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fonsoison/IZ ARQUITECTOS Dropbox/FAISON/c. NAUKA/01. Casas/08. Beach Front/01. Presupuestos/03. Excel/Buy Out/Junio/"/>
    </mc:Choice>
  </mc:AlternateContent>
  <xr:revisionPtr revIDLastSave="0" documentId="13_ncr:1_{0F77970C-24BB-534B-8CDE-8D211EDB7194}" xr6:coauthVersionLast="47" xr6:coauthVersionMax="47" xr10:uidLastSave="{00000000-0000-0000-0000-000000000000}"/>
  <bookViews>
    <workbookView xWindow="0" yWindow="600" windowWidth="38400" windowHeight="19500" tabRatio="500" firstSheet="38" activeTab="50" xr2:uid="{00000000-000D-0000-FFFF-FFFF00000000}"/>
  </bookViews>
  <sheets>
    <sheet name="BUY OUT" sheetId="1" r:id="rId1"/>
    <sheet name="UNITARIO" sheetId="2" r:id="rId2"/>
    <sheet name="PPTO vs PAR" sheetId="3" state="hidden" r:id="rId3"/>
    <sheet name="BF vs Golf" sheetId="4" r:id="rId4"/>
    <sheet name="Glosario Deptos" sheetId="5" state="hidden" r:id="rId5"/>
    <sheet name="Prompt" sheetId="6" state="hidden" r:id="rId6"/>
    <sheet name="PPT" sheetId="7" r:id="rId7"/>
    <sheet name="BD &gt;&gt;" sheetId="8" state="hidden" r:id="rId8"/>
    <sheet name="BD" sheetId="9" state="hidden" r:id="rId9"/>
    <sheet name="PU &gt;&gt;" sheetId="10" r:id="rId10"/>
    <sheet name="Arquitectura" sheetId="11" r:id="rId11"/>
    <sheet name="Ingenierias_Y_Topografia" sheetId="12" r:id="rId12"/>
    <sheet name="Mecanica de Suelos PU" sheetId="13" r:id="rId13"/>
    <sheet name="Calculo Estructural PU" sheetId="14" r:id="rId14"/>
    <sheet name="Diseño HVAC PU" sheetId="15" r:id="rId15"/>
    <sheet name="Diseño Albercas PU" sheetId="16" r:id="rId16"/>
    <sheet name="Diseño Instalaciones PU" sheetId="17" r:id="rId17"/>
    <sheet name="Diseño Iluminacion PU" sheetId="18" r:id="rId18"/>
    <sheet name="Diseño Acustica" sheetId="19" r:id="rId19"/>
    <sheet name="Condiciones Generales" sheetId="20" r:id="rId20"/>
    <sheet name="Papeleria PU" sheetId="21" r:id="rId21"/>
    <sheet name="Camper PU" sheetId="22" r:id="rId22"/>
    <sheet name="Generador Luz PU" sheetId="23" r:id="rId23"/>
    <sheet name="Preliminares" sheetId="24" r:id="rId24"/>
    <sheet name="Despalme PU" sheetId="25" r:id="rId25"/>
    <sheet name="Malla PU" sheetId="26" r:id="rId26"/>
    <sheet name="Plataformas PU" sheetId="27" r:id="rId27"/>
    <sheet name="Excavacion" sheetId="28" r:id="rId28"/>
    <sheet name="Obra_Civil" sheetId="29" r:id="rId29"/>
    <sheet name="Obra_Civil PU" sheetId="30" r:id="rId30"/>
    <sheet name="Albañilerias " sheetId="31" r:id="rId31"/>
    <sheet name="Aplanados PU" sheetId="32" r:id="rId32"/>
    <sheet name="Pilas" sheetId="33" r:id="rId33"/>
    <sheet name="Pilas - Mano de Obra PU" sheetId="34" r:id="rId34"/>
    <sheet name="Pilas - Varilla PU" sheetId="35" r:id="rId35"/>
    <sheet name="Impermeabilizacion" sheetId="36" r:id="rId36"/>
    <sheet name="Herreria" sheetId="37" r:id="rId37"/>
    <sheet name="Instalaciones_Electricas" sheetId="38" r:id="rId38"/>
    <sheet name="Instalaciones_Hidraulicas" sheetId="39" r:id="rId39"/>
    <sheet name="Instalaciones_Gas" sheetId="40" r:id="rId40"/>
    <sheet name="Automat_Control_Ilum" sheetId="41" r:id="rId41"/>
    <sheet name="Aire_Acond_Y_Extraccion" sheetId="42" r:id="rId42"/>
    <sheet name="Iluminacion" sheetId="43" r:id="rId43"/>
    <sheet name="Acabados" sheetId="44" r:id="rId44"/>
    <sheet name="Sumin_Coloc_Marmol" sheetId="45" r:id="rId45"/>
    <sheet name="Madera_De_Ingenieria" sheetId="46" r:id="rId46"/>
    <sheet name="Vidrios_Y_Canceles" sheetId="47" r:id="rId47"/>
    <sheet name="Canceles y Vidrios PU" sheetId="48" r:id="rId48"/>
    <sheet name="Barandales PU" sheetId="49" r:id="rId49"/>
    <sheet name="Canceles de Baño PU" sheetId="50" r:id="rId50"/>
    <sheet name="Cocinas" sheetId="51" r:id="rId51"/>
    <sheet name="DIECI" sheetId="52" r:id="rId52"/>
    <sheet name="BOA" sheetId="53" r:id="rId53"/>
    <sheet name="Carpinterias" sheetId="54" r:id="rId54"/>
    <sheet name="Albercas" sheetId="55" r:id="rId55"/>
    <sheet name="Albercas PU" sheetId="56" r:id="rId56"/>
    <sheet name="Griferia_Y_Acces_Baño" sheetId="57" r:id="rId57"/>
    <sheet name="GC" sheetId="58" r:id="rId58"/>
    <sheet name="Jardineria_Y_Riego" sheetId="59" r:id="rId59"/>
    <sheet name="Elevador" sheetId="60" r:id="rId60"/>
    <sheet name="Exteriores" sheetId="61" r:id="rId61"/>
    <sheet name="Garden and Privacy Walls" sheetId="62" r:id="rId62"/>
    <sheet name="Infraestructura" sheetId="63" r:id="rId63"/>
    <sheet name="Otros" sheetId="64" r:id="rId64"/>
    <sheet name="Contingencias" sheetId="65" r:id="rId65"/>
    <sheet name="Glosario &gt;&gt;" sheetId="66" r:id="rId66"/>
    <sheet name="Objetivo" sheetId="67" r:id="rId67"/>
    <sheet name="Glosario Partidas" sheetId="68" r:id="rId68"/>
  </sheets>
  <definedNames>
    <definedName name="_xlnm._FilterDatabase" localSheetId="43" hidden="1">Acabados!$A$1:$V$85</definedName>
    <definedName name="_xlnm._FilterDatabase" localSheetId="40" hidden="1">Automat_Control_Ilum!$A$1:$V$10</definedName>
    <definedName name="_xlnm._FilterDatabase" localSheetId="3" hidden="1">'BF vs Golf'!$B$2:$F$2</definedName>
    <definedName name="_xlnm._FilterDatabase" localSheetId="53" hidden="1">Carpinterias!$A$1:$Y$300</definedName>
    <definedName name="_xlnm._FilterDatabase" localSheetId="50" hidden="1">Cocinas!$A$1:$W$258</definedName>
    <definedName name="_xlnm._FilterDatabase" localSheetId="56" hidden="1">Griferia_Y_Acces_Baño!$A$1:$V$448</definedName>
    <definedName name="_xlnm._FilterDatabase" localSheetId="42" hidden="1">Iluminacion!$A$1:$V$208</definedName>
    <definedName name="_xlnm._FilterDatabase" localSheetId="2" hidden="1">'PPTO vs PAR'!$B$2:$G$2</definedName>
    <definedName name="_xlnm._FilterDatabase" localSheetId="44" hidden="1">Sumin_Coloc_Marmol!$A$1:$V$114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57" i="51" l="1"/>
  <c r="M256" i="51"/>
  <c r="M255" i="51"/>
  <c r="M254" i="51"/>
  <c r="M253" i="51"/>
  <c r="M252" i="51"/>
  <c r="M251" i="51"/>
  <c r="M250" i="51"/>
  <c r="M249" i="51"/>
  <c r="M248" i="51"/>
  <c r="M247" i="51"/>
  <c r="M246" i="51"/>
  <c r="M119" i="51"/>
  <c r="M120" i="51"/>
  <c r="M121" i="51"/>
  <c r="M122" i="51"/>
  <c r="M123" i="51"/>
  <c r="M124" i="51"/>
  <c r="M125" i="51"/>
  <c r="M126" i="51"/>
  <c r="M127" i="51"/>
  <c r="M128" i="51"/>
  <c r="M129" i="51"/>
  <c r="M118" i="51"/>
  <c r="B95" i="68"/>
  <c r="B89" i="68"/>
  <c r="B84" i="68"/>
  <c r="B67" i="68"/>
  <c r="B66" i="68"/>
  <c r="B54" i="68"/>
  <c r="B48" i="68"/>
  <c r="B41" i="68"/>
  <c r="K9" i="68"/>
  <c r="H9" i="68"/>
  <c r="B9" i="68"/>
  <c r="C30" i="67"/>
  <c r="AB4" i="65"/>
  <c r="S3" i="65"/>
  <c r="M3" i="65"/>
  <c r="S2" i="65"/>
  <c r="M2" i="65"/>
  <c r="AB6" i="64"/>
  <c r="S5" i="64"/>
  <c r="M5" i="64"/>
  <c r="S4" i="64"/>
  <c r="M4" i="64"/>
  <c r="S3" i="64"/>
  <c r="M3" i="64"/>
  <c r="S2" i="64"/>
  <c r="M2" i="64"/>
  <c r="AB4" i="63"/>
  <c r="S3" i="63"/>
  <c r="M3" i="63"/>
  <c r="S2" i="63"/>
  <c r="M2" i="63"/>
  <c r="AB8" i="62"/>
  <c r="S7" i="62"/>
  <c r="L7" i="62"/>
  <c r="S6" i="62"/>
  <c r="L6" i="62"/>
  <c r="S5" i="62"/>
  <c r="J5" i="62"/>
  <c r="S4" i="62"/>
  <c r="J4" i="62"/>
  <c r="S3" i="62"/>
  <c r="J3" i="62"/>
  <c r="S2" i="62"/>
  <c r="J2" i="62"/>
  <c r="AB14" i="61"/>
  <c r="S13" i="61"/>
  <c r="L13" i="61"/>
  <c r="S12" i="61"/>
  <c r="J12" i="61"/>
  <c r="S11" i="61"/>
  <c r="M11" i="61"/>
  <c r="S10" i="61"/>
  <c r="M10" i="61"/>
  <c r="S9" i="61"/>
  <c r="J9" i="61"/>
  <c r="S8" i="61"/>
  <c r="J8" i="61"/>
  <c r="S7" i="61"/>
  <c r="L7" i="61"/>
  <c r="S6" i="61"/>
  <c r="J6" i="61"/>
  <c r="S5" i="61"/>
  <c r="M5" i="61"/>
  <c r="S4" i="61"/>
  <c r="M4" i="61"/>
  <c r="S3" i="61"/>
  <c r="J3" i="61"/>
  <c r="S2" i="61"/>
  <c r="J2" i="61"/>
  <c r="S5" i="60"/>
  <c r="L5" i="60"/>
  <c r="S4" i="60"/>
  <c r="L4" i="60"/>
  <c r="S3" i="60"/>
  <c r="L3" i="60"/>
  <c r="S2" i="60"/>
  <c r="L2" i="60"/>
  <c r="AB6" i="59"/>
  <c r="S5" i="59"/>
  <c r="M5" i="59"/>
  <c r="S4" i="59"/>
  <c r="M4" i="59"/>
  <c r="S3" i="59"/>
  <c r="M3" i="59"/>
  <c r="S2" i="59"/>
  <c r="M2" i="59"/>
  <c r="G22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  <c r="AB516" i="57"/>
  <c r="S515" i="57"/>
  <c r="L515" i="57"/>
  <c r="D515" i="57"/>
  <c r="S514" i="57"/>
  <c r="L514" i="57"/>
  <c r="D514" i="57"/>
  <c r="S513" i="57"/>
  <c r="L513" i="57"/>
  <c r="D513" i="57"/>
  <c r="S512" i="57"/>
  <c r="L512" i="57"/>
  <c r="D512" i="57"/>
  <c r="S511" i="57"/>
  <c r="L511" i="57"/>
  <c r="D511" i="57"/>
  <c r="S510" i="57"/>
  <c r="L510" i="57"/>
  <c r="D510" i="57"/>
  <c r="S509" i="57"/>
  <c r="L509" i="57"/>
  <c r="D509" i="57"/>
  <c r="S508" i="57"/>
  <c r="L508" i="57"/>
  <c r="D508" i="57"/>
  <c r="S507" i="57"/>
  <c r="L507" i="57"/>
  <c r="D507" i="57"/>
  <c r="S506" i="57"/>
  <c r="L506" i="57"/>
  <c r="D506" i="57"/>
  <c r="S505" i="57"/>
  <c r="L505" i="57"/>
  <c r="D505" i="57"/>
  <c r="S504" i="57"/>
  <c r="L504" i="57"/>
  <c r="D504" i="57"/>
  <c r="S503" i="57"/>
  <c r="L503" i="57"/>
  <c r="D503" i="57"/>
  <c r="S502" i="57"/>
  <c r="L502" i="57"/>
  <c r="D502" i="57"/>
  <c r="S501" i="57"/>
  <c r="L501" i="57"/>
  <c r="D501" i="57"/>
  <c r="S500" i="57"/>
  <c r="L500" i="57"/>
  <c r="D500" i="57"/>
  <c r="S499" i="57"/>
  <c r="L499" i="57"/>
  <c r="D499" i="57"/>
  <c r="S498" i="57"/>
  <c r="L498" i="57"/>
  <c r="D498" i="57"/>
  <c r="S497" i="57"/>
  <c r="L497" i="57"/>
  <c r="D497" i="57"/>
  <c r="S496" i="57"/>
  <c r="L496" i="57"/>
  <c r="D496" i="57"/>
  <c r="S495" i="57"/>
  <c r="L495" i="57"/>
  <c r="D495" i="57"/>
  <c r="S494" i="57"/>
  <c r="L494" i="57"/>
  <c r="D494" i="57"/>
  <c r="S493" i="57"/>
  <c r="L493" i="57"/>
  <c r="D493" i="57"/>
  <c r="S492" i="57"/>
  <c r="L492" i="57"/>
  <c r="D492" i="57"/>
  <c r="S491" i="57"/>
  <c r="L491" i="57"/>
  <c r="D491" i="57"/>
  <c r="S490" i="57"/>
  <c r="L490" i="57"/>
  <c r="D490" i="57"/>
  <c r="S489" i="57"/>
  <c r="L489" i="57"/>
  <c r="D489" i="57"/>
  <c r="S488" i="57"/>
  <c r="L488" i="57"/>
  <c r="D488" i="57"/>
  <c r="S487" i="57"/>
  <c r="L487" i="57"/>
  <c r="D487" i="57"/>
  <c r="S486" i="57"/>
  <c r="L486" i="57"/>
  <c r="D486" i="57"/>
  <c r="S485" i="57"/>
  <c r="L485" i="57"/>
  <c r="D485" i="57"/>
  <c r="S484" i="57"/>
  <c r="L484" i="57"/>
  <c r="D484" i="57"/>
  <c r="S483" i="57"/>
  <c r="L483" i="57"/>
  <c r="D483" i="57"/>
  <c r="S482" i="57"/>
  <c r="L482" i="57"/>
  <c r="D482" i="57"/>
  <c r="S481" i="57"/>
  <c r="L481" i="57"/>
  <c r="D481" i="57"/>
  <c r="S480" i="57"/>
  <c r="L480" i="57"/>
  <c r="D480" i="57"/>
  <c r="S479" i="57"/>
  <c r="L479" i="57"/>
  <c r="D479" i="57"/>
  <c r="S478" i="57"/>
  <c r="L478" i="57"/>
  <c r="D478" i="57"/>
  <c r="S477" i="57"/>
  <c r="L477" i="57"/>
  <c r="D477" i="57"/>
  <c r="S476" i="57"/>
  <c r="L476" i="57"/>
  <c r="D476" i="57"/>
  <c r="S475" i="57"/>
  <c r="L475" i="57"/>
  <c r="D475" i="57"/>
  <c r="S474" i="57"/>
  <c r="L474" i="57"/>
  <c r="D474" i="57"/>
  <c r="S473" i="57"/>
  <c r="L473" i="57"/>
  <c r="D473" i="57"/>
  <c r="S472" i="57"/>
  <c r="L472" i="57"/>
  <c r="D472" i="57"/>
  <c r="S471" i="57"/>
  <c r="L471" i="57"/>
  <c r="D471" i="57"/>
  <c r="S470" i="57"/>
  <c r="L470" i="57"/>
  <c r="D470" i="57"/>
  <c r="S469" i="57"/>
  <c r="L469" i="57"/>
  <c r="D469" i="57"/>
  <c r="S468" i="57"/>
  <c r="L468" i="57"/>
  <c r="D468" i="57"/>
  <c r="S467" i="57"/>
  <c r="L467" i="57"/>
  <c r="D467" i="57"/>
  <c r="S466" i="57"/>
  <c r="L466" i="57"/>
  <c r="D466" i="57"/>
  <c r="S465" i="57"/>
  <c r="L465" i="57"/>
  <c r="D465" i="57"/>
  <c r="S464" i="57"/>
  <c r="L464" i="57"/>
  <c r="D464" i="57"/>
  <c r="S463" i="57"/>
  <c r="L463" i="57"/>
  <c r="D463" i="57"/>
  <c r="S462" i="57"/>
  <c r="L462" i="57"/>
  <c r="D462" i="57"/>
  <c r="S461" i="57"/>
  <c r="L461" i="57"/>
  <c r="D461" i="57"/>
  <c r="S460" i="57"/>
  <c r="L460" i="57"/>
  <c r="D460" i="57"/>
  <c r="S459" i="57"/>
  <c r="L459" i="57"/>
  <c r="D459" i="57"/>
  <c r="S458" i="57"/>
  <c r="L458" i="57"/>
  <c r="D458" i="57"/>
  <c r="S457" i="57"/>
  <c r="L457" i="57"/>
  <c r="D457" i="57"/>
  <c r="S456" i="57"/>
  <c r="L456" i="57"/>
  <c r="D456" i="57"/>
  <c r="S455" i="57"/>
  <c r="L455" i="57"/>
  <c r="D455" i="57"/>
  <c r="S454" i="57"/>
  <c r="L454" i="57"/>
  <c r="D454" i="57"/>
  <c r="S453" i="57"/>
  <c r="L453" i="57"/>
  <c r="D453" i="57"/>
  <c r="S452" i="57"/>
  <c r="L452" i="57"/>
  <c r="D452" i="57"/>
  <c r="S451" i="57"/>
  <c r="L451" i="57"/>
  <c r="D451" i="57"/>
  <c r="S450" i="57"/>
  <c r="L450" i="57"/>
  <c r="D450" i="57"/>
  <c r="S449" i="57"/>
  <c r="L449" i="57"/>
  <c r="D449" i="57"/>
  <c r="S448" i="57"/>
  <c r="L448" i="57"/>
  <c r="D448" i="57"/>
  <c r="S447" i="57"/>
  <c r="L447" i="57"/>
  <c r="D447" i="57"/>
  <c r="S446" i="57"/>
  <c r="L446" i="57"/>
  <c r="D446" i="57"/>
  <c r="S445" i="57"/>
  <c r="L445" i="57"/>
  <c r="D445" i="57"/>
  <c r="S444" i="57"/>
  <c r="L444" i="57"/>
  <c r="D444" i="57"/>
  <c r="S443" i="57"/>
  <c r="L443" i="57"/>
  <c r="D443" i="57"/>
  <c r="S442" i="57"/>
  <c r="L442" i="57"/>
  <c r="D442" i="57"/>
  <c r="S441" i="57"/>
  <c r="L441" i="57"/>
  <c r="D441" i="57"/>
  <c r="S440" i="57"/>
  <c r="L440" i="57"/>
  <c r="D440" i="57"/>
  <c r="S439" i="57"/>
  <c r="L439" i="57"/>
  <c r="D439" i="57"/>
  <c r="S438" i="57"/>
  <c r="L438" i="57"/>
  <c r="D438" i="57"/>
  <c r="S437" i="57"/>
  <c r="L437" i="57"/>
  <c r="D437" i="57"/>
  <c r="S436" i="57"/>
  <c r="L436" i="57"/>
  <c r="D436" i="57"/>
  <c r="S435" i="57"/>
  <c r="L435" i="57"/>
  <c r="D435" i="57"/>
  <c r="S434" i="57"/>
  <c r="L434" i="57"/>
  <c r="D434" i="57"/>
  <c r="S433" i="57"/>
  <c r="L433" i="57"/>
  <c r="D433" i="57"/>
  <c r="S432" i="57"/>
  <c r="L432" i="57"/>
  <c r="D432" i="57"/>
  <c r="S431" i="57"/>
  <c r="L431" i="57"/>
  <c r="D431" i="57"/>
  <c r="S430" i="57"/>
  <c r="L430" i="57"/>
  <c r="D430" i="57"/>
  <c r="S429" i="57"/>
  <c r="L429" i="57"/>
  <c r="D429" i="57"/>
  <c r="S428" i="57"/>
  <c r="L428" i="57"/>
  <c r="D428" i="57"/>
  <c r="S427" i="57"/>
  <c r="L427" i="57"/>
  <c r="D427" i="57"/>
  <c r="S426" i="57"/>
  <c r="L426" i="57"/>
  <c r="D426" i="57"/>
  <c r="S425" i="57"/>
  <c r="L425" i="57"/>
  <c r="D425" i="57"/>
  <c r="S424" i="57"/>
  <c r="L424" i="57"/>
  <c r="D424" i="57"/>
  <c r="S423" i="57"/>
  <c r="L423" i="57"/>
  <c r="D423" i="57"/>
  <c r="S422" i="57"/>
  <c r="L422" i="57"/>
  <c r="D422" i="57"/>
  <c r="S421" i="57"/>
  <c r="L421" i="57"/>
  <c r="D421" i="57"/>
  <c r="S420" i="57"/>
  <c r="L420" i="57"/>
  <c r="D420" i="57"/>
  <c r="S419" i="57"/>
  <c r="L419" i="57"/>
  <c r="D419" i="57"/>
  <c r="S418" i="57"/>
  <c r="L418" i="57"/>
  <c r="D418" i="57"/>
  <c r="S417" i="57"/>
  <c r="L417" i="57"/>
  <c r="D417" i="57"/>
  <c r="S416" i="57"/>
  <c r="L416" i="57"/>
  <c r="D416" i="57"/>
  <c r="S415" i="57"/>
  <c r="L415" i="57"/>
  <c r="D415" i="57"/>
  <c r="S414" i="57"/>
  <c r="L414" i="57"/>
  <c r="D414" i="57"/>
  <c r="S413" i="57"/>
  <c r="L413" i="57"/>
  <c r="D413" i="57"/>
  <c r="S412" i="57"/>
  <c r="L412" i="57"/>
  <c r="D412" i="57"/>
  <c r="S411" i="57"/>
  <c r="L411" i="57"/>
  <c r="D411" i="57"/>
  <c r="S410" i="57"/>
  <c r="L410" i="57"/>
  <c r="D410" i="57"/>
  <c r="S409" i="57"/>
  <c r="L409" i="57"/>
  <c r="D409" i="57"/>
  <c r="S408" i="57"/>
  <c r="L408" i="57"/>
  <c r="D408" i="57"/>
  <c r="S407" i="57"/>
  <c r="L407" i="57"/>
  <c r="D407" i="57"/>
  <c r="S406" i="57"/>
  <c r="L406" i="57"/>
  <c r="D406" i="57"/>
  <c r="S405" i="57"/>
  <c r="L405" i="57"/>
  <c r="D405" i="57"/>
  <c r="S404" i="57"/>
  <c r="L404" i="57"/>
  <c r="D404" i="57"/>
  <c r="S403" i="57"/>
  <c r="L403" i="57"/>
  <c r="D403" i="57"/>
  <c r="S402" i="57"/>
  <c r="L402" i="57"/>
  <c r="D402" i="57"/>
  <c r="S401" i="57"/>
  <c r="L401" i="57"/>
  <c r="D401" i="57"/>
  <c r="S400" i="57"/>
  <c r="L400" i="57"/>
  <c r="D400" i="57"/>
  <c r="S399" i="57"/>
  <c r="L399" i="57"/>
  <c r="D399" i="57"/>
  <c r="S398" i="57"/>
  <c r="L398" i="57"/>
  <c r="D398" i="57"/>
  <c r="S397" i="57"/>
  <c r="L397" i="57"/>
  <c r="D397" i="57"/>
  <c r="S396" i="57"/>
  <c r="L396" i="57"/>
  <c r="D396" i="57"/>
  <c r="S395" i="57"/>
  <c r="L395" i="57"/>
  <c r="D395" i="57"/>
  <c r="S394" i="57"/>
  <c r="L394" i="57"/>
  <c r="D394" i="57"/>
  <c r="S393" i="57"/>
  <c r="L393" i="57"/>
  <c r="D393" i="57"/>
  <c r="S392" i="57"/>
  <c r="L392" i="57"/>
  <c r="D392" i="57"/>
  <c r="S391" i="57"/>
  <c r="L391" i="57"/>
  <c r="D391" i="57"/>
  <c r="S390" i="57"/>
  <c r="L390" i="57"/>
  <c r="D390" i="57"/>
  <c r="S389" i="57"/>
  <c r="L389" i="57"/>
  <c r="D389" i="57"/>
  <c r="S388" i="57"/>
  <c r="L388" i="57"/>
  <c r="D388" i="57"/>
  <c r="S387" i="57"/>
  <c r="L387" i="57"/>
  <c r="D387" i="57"/>
  <c r="S386" i="57"/>
  <c r="L386" i="57"/>
  <c r="D386" i="57"/>
  <c r="S385" i="57"/>
  <c r="L385" i="57"/>
  <c r="D385" i="57"/>
  <c r="S384" i="57"/>
  <c r="L384" i="57"/>
  <c r="D384" i="57"/>
  <c r="S383" i="57"/>
  <c r="L383" i="57"/>
  <c r="D383" i="57"/>
  <c r="S382" i="57"/>
  <c r="L382" i="57"/>
  <c r="D382" i="57"/>
  <c r="S381" i="57"/>
  <c r="L381" i="57"/>
  <c r="D381" i="57"/>
  <c r="S380" i="57"/>
  <c r="L380" i="57"/>
  <c r="D380" i="57"/>
  <c r="S379" i="57"/>
  <c r="L379" i="57"/>
  <c r="D379" i="57"/>
  <c r="S378" i="57"/>
  <c r="L378" i="57"/>
  <c r="D378" i="57"/>
  <c r="S377" i="57"/>
  <c r="L377" i="57"/>
  <c r="D377" i="57"/>
  <c r="S376" i="57"/>
  <c r="L376" i="57"/>
  <c r="D376" i="57"/>
  <c r="S375" i="57"/>
  <c r="L375" i="57"/>
  <c r="D375" i="57"/>
  <c r="S374" i="57"/>
  <c r="L374" i="57"/>
  <c r="D374" i="57"/>
  <c r="S373" i="57"/>
  <c r="L373" i="57"/>
  <c r="D373" i="57"/>
  <c r="S372" i="57"/>
  <c r="L372" i="57"/>
  <c r="D372" i="57"/>
  <c r="S371" i="57"/>
  <c r="L371" i="57"/>
  <c r="D371" i="57"/>
  <c r="S370" i="57"/>
  <c r="L370" i="57"/>
  <c r="D370" i="57"/>
  <c r="S369" i="57"/>
  <c r="L369" i="57"/>
  <c r="D369" i="57"/>
  <c r="S368" i="57"/>
  <c r="L368" i="57"/>
  <c r="D368" i="57"/>
  <c r="S367" i="57"/>
  <c r="L367" i="57"/>
  <c r="D367" i="57"/>
  <c r="S366" i="57"/>
  <c r="L366" i="57"/>
  <c r="D366" i="57"/>
  <c r="S365" i="57"/>
  <c r="L365" i="57"/>
  <c r="D365" i="57"/>
  <c r="S364" i="57"/>
  <c r="L364" i="57"/>
  <c r="D364" i="57"/>
  <c r="S363" i="57"/>
  <c r="L363" i="57"/>
  <c r="D363" i="57"/>
  <c r="S362" i="57"/>
  <c r="L362" i="57"/>
  <c r="D362" i="57"/>
  <c r="S361" i="57"/>
  <c r="L361" i="57"/>
  <c r="D361" i="57"/>
  <c r="S360" i="57"/>
  <c r="L360" i="57"/>
  <c r="D360" i="57"/>
  <c r="S359" i="57"/>
  <c r="L359" i="57"/>
  <c r="D359" i="57"/>
  <c r="S358" i="57"/>
  <c r="L358" i="57"/>
  <c r="D358" i="57"/>
  <c r="S357" i="57"/>
  <c r="L357" i="57"/>
  <c r="D357" i="57"/>
  <c r="S356" i="57"/>
  <c r="L356" i="57"/>
  <c r="D356" i="57"/>
  <c r="S355" i="57"/>
  <c r="L355" i="57"/>
  <c r="D355" i="57"/>
  <c r="S354" i="57"/>
  <c r="L354" i="57"/>
  <c r="D354" i="57"/>
  <c r="S353" i="57"/>
  <c r="L353" i="57"/>
  <c r="D353" i="57"/>
  <c r="S352" i="57"/>
  <c r="L352" i="57"/>
  <c r="D352" i="57"/>
  <c r="S351" i="57"/>
  <c r="L351" i="57"/>
  <c r="D351" i="57"/>
  <c r="S350" i="57"/>
  <c r="L350" i="57"/>
  <c r="D350" i="57"/>
  <c r="S349" i="57"/>
  <c r="L349" i="57"/>
  <c r="D349" i="57"/>
  <c r="S348" i="57"/>
  <c r="L348" i="57"/>
  <c r="D348" i="57"/>
  <c r="S347" i="57"/>
  <c r="L347" i="57"/>
  <c r="D347" i="57"/>
  <c r="S346" i="57"/>
  <c r="L346" i="57"/>
  <c r="D346" i="57"/>
  <c r="S345" i="57"/>
  <c r="L345" i="57"/>
  <c r="D345" i="57"/>
  <c r="S344" i="57"/>
  <c r="L344" i="57"/>
  <c r="D344" i="57"/>
  <c r="S343" i="57"/>
  <c r="L343" i="57"/>
  <c r="D343" i="57"/>
  <c r="S342" i="57"/>
  <c r="L342" i="57"/>
  <c r="D342" i="57"/>
  <c r="S341" i="57"/>
  <c r="L341" i="57"/>
  <c r="D341" i="57"/>
  <c r="S340" i="57"/>
  <c r="L340" i="57"/>
  <c r="D340" i="57"/>
  <c r="S339" i="57"/>
  <c r="L339" i="57"/>
  <c r="D339" i="57"/>
  <c r="S338" i="57"/>
  <c r="L338" i="57"/>
  <c r="D338" i="57"/>
  <c r="S337" i="57"/>
  <c r="L337" i="57"/>
  <c r="D337" i="57"/>
  <c r="S336" i="57"/>
  <c r="L336" i="57"/>
  <c r="D336" i="57"/>
  <c r="S335" i="57"/>
  <c r="L335" i="57"/>
  <c r="D335" i="57"/>
  <c r="S334" i="57"/>
  <c r="L334" i="57"/>
  <c r="D334" i="57"/>
  <c r="S333" i="57"/>
  <c r="L333" i="57"/>
  <c r="D333" i="57"/>
  <c r="S332" i="57"/>
  <c r="L332" i="57"/>
  <c r="D332" i="57"/>
  <c r="S331" i="57"/>
  <c r="L331" i="57"/>
  <c r="D331" i="57"/>
  <c r="S330" i="57"/>
  <c r="L330" i="57"/>
  <c r="D330" i="57"/>
  <c r="S329" i="57"/>
  <c r="L329" i="57"/>
  <c r="D329" i="57"/>
  <c r="S328" i="57"/>
  <c r="L328" i="57"/>
  <c r="D328" i="57"/>
  <c r="S327" i="57"/>
  <c r="L327" i="57"/>
  <c r="D327" i="57"/>
  <c r="S326" i="57"/>
  <c r="L326" i="57"/>
  <c r="D326" i="57"/>
  <c r="S325" i="57"/>
  <c r="L325" i="57"/>
  <c r="D325" i="57"/>
  <c r="S324" i="57"/>
  <c r="L324" i="57"/>
  <c r="D324" i="57"/>
  <c r="S323" i="57"/>
  <c r="L323" i="57"/>
  <c r="D323" i="57"/>
  <c r="S322" i="57"/>
  <c r="L322" i="57"/>
  <c r="D322" i="57"/>
  <c r="S321" i="57"/>
  <c r="L321" i="57"/>
  <c r="D321" i="57"/>
  <c r="S320" i="57"/>
  <c r="L320" i="57"/>
  <c r="D320" i="57"/>
  <c r="S319" i="57"/>
  <c r="L319" i="57"/>
  <c r="D319" i="57"/>
  <c r="S318" i="57"/>
  <c r="L318" i="57"/>
  <c r="D318" i="57"/>
  <c r="S317" i="57"/>
  <c r="L317" i="57"/>
  <c r="D317" i="57"/>
  <c r="S316" i="57"/>
  <c r="L316" i="57"/>
  <c r="D316" i="57"/>
  <c r="S315" i="57"/>
  <c r="L315" i="57"/>
  <c r="D315" i="57"/>
  <c r="S314" i="57"/>
  <c r="L314" i="57"/>
  <c r="D314" i="57"/>
  <c r="S313" i="57"/>
  <c r="L313" i="57"/>
  <c r="D313" i="57"/>
  <c r="S312" i="57"/>
  <c r="L312" i="57"/>
  <c r="D312" i="57"/>
  <c r="S311" i="57"/>
  <c r="L311" i="57"/>
  <c r="D311" i="57"/>
  <c r="S310" i="57"/>
  <c r="L310" i="57"/>
  <c r="D310" i="57"/>
  <c r="S309" i="57"/>
  <c r="L309" i="57"/>
  <c r="D309" i="57"/>
  <c r="S308" i="57"/>
  <c r="L308" i="57"/>
  <c r="D308" i="57"/>
  <c r="S307" i="57"/>
  <c r="L307" i="57"/>
  <c r="D307" i="57"/>
  <c r="S306" i="57"/>
  <c r="L306" i="57"/>
  <c r="D306" i="57"/>
  <c r="S305" i="57"/>
  <c r="L305" i="57"/>
  <c r="D305" i="57"/>
  <c r="S304" i="57"/>
  <c r="L304" i="57"/>
  <c r="D304" i="57"/>
  <c r="S303" i="57"/>
  <c r="M303" i="57"/>
  <c r="S302" i="57"/>
  <c r="L302" i="57"/>
  <c r="D302" i="57"/>
  <c r="S301" i="57"/>
  <c r="L301" i="57"/>
  <c r="D301" i="57"/>
  <c r="S300" i="57"/>
  <c r="L300" i="57"/>
  <c r="D300" i="57"/>
  <c r="S299" i="57"/>
  <c r="L299" i="57"/>
  <c r="D299" i="57"/>
  <c r="S298" i="57"/>
  <c r="L298" i="57"/>
  <c r="D298" i="57"/>
  <c r="S297" i="57"/>
  <c r="L297" i="57"/>
  <c r="D297" i="57"/>
  <c r="S296" i="57"/>
  <c r="L296" i="57"/>
  <c r="D296" i="57"/>
  <c r="S295" i="57"/>
  <c r="L295" i="57"/>
  <c r="D295" i="57"/>
  <c r="S294" i="57"/>
  <c r="L294" i="57"/>
  <c r="D294" i="57"/>
  <c r="S293" i="57"/>
  <c r="L293" i="57"/>
  <c r="D293" i="57"/>
  <c r="S292" i="57"/>
  <c r="L292" i="57"/>
  <c r="D292" i="57"/>
  <c r="S291" i="57"/>
  <c r="L291" i="57"/>
  <c r="D291" i="57"/>
  <c r="S290" i="57"/>
  <c r="L290" i="57"/>
  <c r="D290" i="57"/>
  <c r="S289" i="57"/>
  <c r="L289" i="57"/>
  <c r="D289" i="57"/>
  <c r="S288" i="57"/>
  <c r="M288" i="57"/>
  <c r="S287" i="57"/>
  <c r="L287" i="57"/>
  <c r="D287" i="57"/>
  <c r="S286" i="57"/>
  <c r="L286" i="57"/>
  <c r="D286" i="57"/>
  <c r="S285" i="57"/>
  <c r="L285" i="57"/>
  <c r="D285" i="57"/>
  <c r="S284" i="57"/>
  <c r="L284" i="57"/>
  <c r="D284" i="57"/>
  <c r="S283" i="57"/>
  <c r="L283" i="57"/>
  <c r="D283" i="57"/>
  <c r="S282" i="57"/>
  <c r="L282" i="57"/>
  <c r="D282" i="57"/>
  <c r="S281" i="57"/>
  <c r="L281" i="57"/>
  <c r="D281" i="57"/>
  <c r="S280" i="57"/>
  <c r="L280" i="57"/>
  <c r="D280" i="57"/>
  <c r="S279" i="57"/>
  <c r="L279" i="57"/>
  <c r="D279" i="57"/>
  <c r="S278" i="57"/>
  <c r="L278" i="57"/>
  <c r="D278" i="57"/>
  <c r="S277" i="57"/>
  <c r="L277" i="57"/>
  <c r="D277" i="57"/>
  <c r="S276" i="57"/>
  <c r="L276" i="57"/>
  <c r="D276" i="57"/>
  <c r="S275" i="57"/>
  <c r="L275" i="57"/>
  <c r="D275" i="57"/>
  <c r="S274" i="57"/>
  <c r="L274" i="57"/>
  <c r="D274" i="57"/>
  <c r="S273" i="57"/>
  <c r="M273" i="57"/>
  <c r="S272" i="57"/>
  <c r="L272" i="57"/>
  <c r="D272" i="57"/>
  <c r="S271" i="57"/>
  <c r="L271" i="57"/>
  <c r="D271" i="57"/>
  <c r="S270" i="57"/>
  <c r="L270" i="57"/>
  <c r="D270" i="57"/>
  <c r="S269" i="57"/>
  <c r="L269" i="57"/>
  <c r="D269" i="57"/>
  <c r="S268" i="57"/>
  <c r="L268" i="57"/>
  <c r="D268" i="57"/>
  <c r="S267" i="57"/>
  <c r="L267" i="57"/>
  <c r="D267" i="57"/>
  <c r="S266" i="57"/>
  <c r="L266" i="57"/>
  <c r="D266" i="57"/>
  <c r="S265" i="57"/>
  <c r="L265" i="57"/>
  <c r="D265" i="57"/>
  <c r="S264" i="57"/>
  <c r="L264" i="57"/>
  <c r="D264" i="57"/>
  <c r="S263" i="57"/>
  <c r="L263" i="57"/>
  <c r="D263" i="57"/>
  <c r="S262" i="57"/>
  <c r="L262" i="57"/>
  <c r="D262" i="57"/>
  <c r="S261" i="57"/>
  <c r="L261" i="57"/>
  <c r="D261" i="57"/>
  <c r="S260" i="57"/>
  <c r="L260" i="57"/>
  <c r="D260" i="57"/>
  <c r="S259" i="57"/>
  <c r="L259" i="57"/>
  <c r="D259" i="57"/>
  <c r="S258" i="57"/>
  <c r="M258" i="57"/>
  <c r="S257" i="57"/>
  <c r="L257" i="57"/>
  <c r="D257" i="57"/>
  <c r="S256" i="57"/>
  <c r="L256" i="57"/>
  <c r="D256" i="57"/>
  <c r="S255" i="57"/>
  <c r="L255" i="57"/>
  <c r="D255" i="57"/>
  <c r="S254" i="57"/>
  <c r="L254" i="57"/>
  <c r="D254" i="57"/>
  <c r="S253" i="57"/>
  <c r="L253" i="57"/>
  <c r="D253" i="57"/>
  <c r="S252" i="57"/>
  <c r="L252" i="57"/>
  <c r="D252" i="57"/>
  <c r="S251" i="57"/>
  <c r="L251" i="57"/>
  <c r="D251" i="57"/>
  <c r="S250" i="57"/>
  <c r="L250" i="57"/>
  <c r="D250" i="57"/>
  <c r="S249" i="57"/>
  <c r="L249" i="57"/>
  <c r="D249" i="57"/>
  <c r="S248" i="57"/>
  <c r="L248" i="57"/>
  <c r="D248" i="57"/>
  <c r="S247" i="57"/>
  <c r="L247" i="57"/>
  <c r="D247" i="57"/>
  <c r="S246" i="57"/>
  <c r="L246" i="57"/>
  <c r="D246" i="57"/>
  <c r="S245" i="57"/>
  <c r="L245" i="57"/>
  <c r="D245" i="57"/>
  <c r="S244" i="57"/>
  <c r="L244" i="57"/>
  <c r="D244" i="57"/>
  <c r="S243" i="57"/>
  <c r="L243" i="57"/>
  <c r="D243" i="57"/>
  <c r="S242" i="57"/>
  <c r="L242" i="57"/>
  <c r="D242" i="57"/>
  <c r="S241" i="57"/>
  <c r="L241" i="57"/>
  <c r="D241" i="57"/>
  <c r="S240" i="57"/>
  <c r="L240" i="57"/>
  <c r="D240" i="57"/>
  <c r="S239" i="57"/>
  <c r="L239" i="57"/>
  <c r="D239" i="57"/>
  <c r="S238" i="57"/>
  <c r="L238" i="57"/>
  <c r="D238" i="57"/>
  <c r="S237" i="57"/>
  <c r="L237" i="57"/>
  <c r="D237" i="57"/>
  <c r="S236" i="57"/>
  <c r="L236" i="57"/>
  <c r="D236" i="57"/>
  <c r="S235" i="57"/>
  <c r="L235" i="57"/>
  <c r="D235" i="57"/>
  <c r="S234" i="57"/>
  <c r="L234" i="57"/>
  <c r="D234" i="57"/>
  <c r="S233" i="57"/>
  <c r="L233" i="57"/>
  <c r="D233" i="57"/>
  <c r="S232" i="57"/>
  <c r="L232" i="57"/>
  <c r="D232" i="57"/>
  <c r="S231" i="57"/>
  <c r="L231" i="57"/>
  <c r="D231" i="57"/>
  <c r="S230" i="57"/>
  <c r="L230" i="57"/>
  <c r="D230" i="57"/>
  <c r="S229" i="57"/>
  <c r="L229" i="57"/>
  <c r="D229" i="57"/>
  <c r="S228" i="57"/>
  <c r="L228" i="57"/>
  <c r="D228" i="57"/>
  <c r="S227" i="57"/>
  <c r="L227" i="57"/>
  <c r="D227" i="57"/>
  <c r="S226" i="57"/>
  <c r="L226" i="57"/>
  <c r="D226" i="57"/>
  <c r="S225" i="57"/>
  <c r="L225" i="57"/>
  <c r="D225" i="57"/>
  <c r="S224" i="57"/>
  <c r="L224" i="57"/>
  <c r="D224" i="57"/>
  <c r="S223" i="57"/>
  <c r="L223" i="57"/>
  <c r="D223" i="57"/>
  <c r="S222" i="57"/>
  <c r="L222" i="57"/>
  <c r="D222" i="57"/>
  <c r="S221" i="57"/>
  <c r="L221" i="57"/>
  <c r="D221" i="57"/>
  <c r="S220" i="57"/>
  <c r="L220" i="57"/>
  <c r="D220" i="57"/>
  <c r="S219" i="57"/>
  <c r="L219" i="57"/>
  <c r="D219" i="57"/>
  <c r="S218" i="57"/>
  <c r="L218" i="57"/>
  <c r="D218" i="57"/>
  <c r="S217" i="57"/>
  <c r="L217" i="57"/>
  <c r="D217" i="57"/>
  <c r="S216" i="57"/>
  <c r="L216" i="57"/>
  <c r="D216" i="57"/>
  <c r="S215" i="57"/>
  <c r="L215" i="57"/>
  <c r="D215" i="57"/>
  <c r="S214" i="57"/>
  <c r="L214" i="57"/>
  <c r="D214" i="57"/>
  <c r="S213" i="57"/>
  <c r="L213" i="57"/>
  <c r="D213" i="57"/>
  <c r="S212" i="57"/>
  <c r="L212" i="57"/>
  <c r="D212" i="57"/>
  <c r="S211" i="57"/>
  <c r="L211" i="57"/>
  <c r="D211" i="57"/>
  <c r="S210" i="57"/>
  <c r="L210" i="57"/>
  <c r="D210" i="57"/>
  <c r="S209" i="57"/>
  <c r="L209" i="57"/>
  <c r="D209" i="57"/>
  <c r="S208" i="57"/>
  <c r="L208" i="57"/>
  <c r="D208" i="57"/>
  <c r="S207" i="57"/>
  <c r="L207" i="57"/>
  <c r="D207" i="57"/>
  <c r="S206" i="57"/>
  <c r="L206" i="57"/>
  <c r="D206" i="57"/>
  <c r="S205" i="57"/>
  <c r="L205" i="57"/>
  <c r="D205" i="57"/>
  <c r="S204" i="57"/>
  <c r="L204" i="57"/>
  <c r="D204" i="57"/>
  <c r="S203" i="57"/>
  <c r="L203" i="57"/>
  <c r="D203" i="57"/>
  <c r="S202" i="57"/>
  <c r="L202" i="57"/>
  <c r="D202" i="57"/>
  <c r="S201" i="57"/>
  <c r="L201" i="57"/>
  <c r="D201" i="57"/>
  <c r="S200" i="57"/>
  <c r="L200" i="57"/>
  <c r="D200" i="57"/>
  <c r="S199" i="57"/>
  <c r="L199" i="57"/>
  <c r="D199" i="57"/>
  <c r="S198" i="57"/>
  <c r="L198" i="57"/>
  <c r="D198" i="57"/>
  <c r="S197" i="57"/>
  <c r="L197" i="57"/>
  <c r="D197" i="57"/>
  <c r="S196" i="57"/>
  <c r="L196" i="57"/>
  <c r="D196" i="57"/>
  <c r="S195" i="57"/>
  <c r="L195" i="57"/>
  <c r="D195" i="57"/>
  <c r="S194" i="57"/>
  <c r="L194" i="57"/>
  <c r="D194" i="57"/>
  <c r="S193" i="57"/>
  <c r="L193" i="57"/>
  <c r="D193" i="57"/>
  <c r="S192" i="57"/>
  <c r="L192" i="57"/>
  <c r="D192" i="57"/>
  <c r="S191" i="57"/>
  <c r="L191" i="57"/>
  <c r="D191" i="57"/>
  <c r="S190" i="57"/>
  <c r="L190" i="57"/>
  <c r="D190" i="57"/>
  <c r="S189" i="57"/>
  <c r="L189" i="57"/>
  <c r="D189" i="57"/>
  <c r="S188" i="57"/>
  <c r="L188" i="57"/>
  <c r="D188" i="57"/>
  <c r="S187" i="57"/>
  <c r="L187" i="57"/>
  <c r="D187" i="57"/>
  <c r="S186" i="57"/>
  <c r="L186" i="57"/>
  <c r="D186" i="57"/>
  <c r="S185" i="57"/>
  <c r="L185" i="57"/>
  <c r="D185" i="57"/>
  <c r="S184" i="57"/>
  <c r="L184" i="57"/>
  <c r="D184" i="57"/>
  <c r="S183" i="57"/>
  <c r="L183" i="57"/>
  <c r="D183" i="57"/>
  <c r="S182" i="57"/>
  <c r="L182" i="57"/>
  <c r="D182" i="57"/>
  <c r="S181" i="57"/>
  <c r="L181" i="57"/>
  <c r="D181" i="57"/>
  <c r="S180" i="57"/>
  <c r="L180" i="57"/>
  <c r="D180" i="57"/>
  <c r="S179" i="57"/>
  <c r="L179" i="57"/>
  <c r="D179" i="57"/>
  <c r="S178" i="57"/>
  <c r="L178" i="57"/>
  <c r="D178" i="57"/>
  <c r="S177" i="57"/>
  <c r="L177" i="57"/>
  <c r="D177" i="57"/>
  <c r="S176" i="57"/>
  <c r="L176" i="57"/>
  <c r="D176" i="57"/>
  <c r="S175" i="57"/>
  <c r="L175" i="57"/>
  <c r="D175" i="57"/>
  <c r="S174" i="57"/>
  <c r="L174" i="57"/>
  <c r="D174" i="57"/>
  <c r="S173" i="57"/>
  <c r="L173" i="57"/>
  <c r="D173" i="57"/>
  <c r="S172" i="57"/>
  <c r="L172" i="57"/>
  <c r="D172" i="57"/>
  <c r="S171" i="57"/>
  <c r="L171" i="57"/>
  <c r="D171" i="57"/>
  <c r="S170" i="57"/>
  <c r="L170" i="57"/>
  <c r="D170" i="57"/>
  <c r="S169" i="57"/>
  <c r="L169" i="57"/>
  <c r="D169" i="57"/>
  <c r="S168" i="57"/>
  <c r="L168" i="57"/>
  <c r="D168" i="57"/>
  <c r="S167" i="57"/>
  <c r="L167" i="57"/>
  <c r="D167" i="57"/>
  <c r="S166" i="57"/>
  <c r="L166" i="57"/>
  <c r="D166" i="57"/>
  <c r="S165" i="57"/>
  <c r="L165" i="57"/>
  <c r="D165" i="57"/>
  <c r="S164" i="57"/>
  <c r="L164" i="57"/>
  <c r="D164" i="57"/>
  <c r="S163" i="57"/>
  <c r="L163" i="57"/>
  <c r="D163" i="57"/>
  <c r="S162" i="57"/>
  <c r="L162" i="57"/>
  <c r="D162" i="57"/>
  <c r="S161" i="57"/>
  <c r="L161" i="57"/>
  <c r="D161" i="57"/>
  <c r="S160" i="57"/>
  <c r="L160" i="57"/>
  <c r="D160" i="57"/>
  <c r="S159" i="57"/>
  <c r="L159" i="57"/>
  <c r="D159" i="57"/>
  <c r="S158" i="57"/>
  <c r="L158" i="57"/>
  <c r="D158" i="57"/>
  <c r="S157" i="57"/>
  <c r="L157" i="57"/>
  <c r="D157" i="57"/>
  <c r="S156" i="57"/>
  <c r="L156" i="57"/>
  <c r="D156" i="57"/>
  <c r="S155" i="57"/>
  <c r="L155" i="57"/>
  <c r="D155" i="57"/>
  <c r="S154" i="57"/>
  <c r="L154" i="57"/>
  <c r="D154" i="57"/>
  <c r="S153" i="57"/>
  <c r="L153" i="57"/>
  <c r="D153" i="57"/>
  <c r="S152" i="57"/>
  <c r="L152" i="57"/>
  <c r="D152" i="57"/>
  <c r="S151" i="57"/>
  <c r="L151" i="57"/>
  <c r="D151" i="57"/>
  <c r="S150" i="57"/>
  <c r="L150" i="57"/>
  <c r="D150" i="57"/>
  <c r="S149" i="57"/>
  <c r="L149" i="57"/>
  <c r="D149" i="57"/>
  <c r="S148" i="57"/>
  <c r="L148" i="57"/>
  <c r="D148" i="57"/>
  <c r="S147" i="57"/>
  <c r="L147" i="57"/>
  <c r="D147" i="57"/>
  <c r="S146" i="57"/>
  <c r="L146" i="57"/>
  <c r="D146" i="57"/>
  <c r="S145" i="57"/>
  <c r="L145" i="57"/>
  <c r="D145" i="57"/>
  <c r="S144" i="57"/>
  <c r="L144" i="57"/>
  <c r="D144" i="57"/>
  <c r="S143" i="57"/>
  <c r="L143" i="57"/>
  <c r="D143" i="57"/>
  <c r="S142" i="57"/>
  <c r="L142" i="57"/>
  <c r="D142" i="57"/>
  <c r="S141" i="57"/>
  <c r="L141" i="57"/>
  <c r="D141" i="57"/>
  <c r="S140" i="57"/>
  <c r="L140" i="57"/>
  <c r="D140" i="57"/>
  <c r="S139" i="57"/>
  <c r="L139" i="57"/>
  <c r="D139" i="57"/>
  <c r="S138" i="57"/>
  <c r="L138" i="57"/>
  <c r="D138" i="57"/>
  <c r="S137" i="57"/>
  <c r="L137" i="57"/>
  <c r="D137" i="57"/>
  <c r="S136" i="57"/>
  <c r="L136" i="57"/>
  <c r="D136" i="57"/>
  <c r="S135" i="57"/>
  <c r="L135" i="57"/>
  <c r="D135" i="57"/>
  <c r="S134" i="57"/>
  <c r="L134" i="57"/>
  <c r="D134" i="57"/>
  <c r="S133" i="57"/>
  <c r="L133" i="57"/>
  <c r="D133" i="57"/>
  <c r="S132" i="57"/>
  <c r="L132" i="57"/>
  <c r="D132" i="57"/>
  <c r="S131" i="57"/>
  <c r="L131" i="57"/>
  <c r="D131" i="57"/>
  <c r="S130" i="57"/>
  <c r="L130" i="57"/>
  <c r="D130" i="57"/>
  <c r="S129" i="57"/>
  <c r="L129" i="57"/>
  <c r="D129" i="57"/>
  <c r="S128" i="57"/>
  <c r="L128" i="57"/>
  <c r="D128" i="57"/>
  <c r="S127" i="57"/>
  <c r="L127" i="57"/>
  <c r="D127" i="57"/>
  <c r="S126" i="57"/>
  <c r="L126" i="57"/>
  <c r="D126" i="57"/>
  <c r="S125" i="57"/>
  <c r="L125" i="57"/>
  <c r="D125" i="57"/>
  <c r="S124" i="57"/>
  <c r="L124" i="57"/>
  <c r="D124" i="57"/>
  <c r="S123" i="57"/>
  <c r="L123" i="57"/>
  <c r="D123" i="57"/>
  <c r="S122" i="57"/>
  <c r="L122" i="57"/>
  <c r="D122" i="57"/>
  <c r="S121" i="57"/>
  <c r="L121" i="57"/>
  <c r="D121" i="57"/>
  <c r="S120" i="57"/>
  <c r="L120" i="57"/>
  <c r="D120" i="57"/>
  <c r="S119" i="57"/>
  <c r="L119" i="57"/>
  <c r="D119" i="57"/>
  <c r="S118" i="57"/>
  <c r="L118" i="57"/>
  <c r="D118" i="57"/>
  <c r="S117" i="57"/>
  <c r="L117" i="57"/>
  <c r="D117" i="57"/>
  <c r="S116" i="57"/>
  <c r="L116" i="57"/>
  <c r="D116" i="57"/>
  <c r="S115" i="57"/>
  <c r="L115" i="57"/>
  <c r="D115" i="57"/>
  <c r="S114" i="57"/>
  <c r="L114" i="57"/>
  <c r="D114" i="57"/>
  <c r="S113" i="57"/>
  <c r="L113" i="57"/>
  <c r="D113" i="57"/>
  <c r="S112" i="57"/>
  <c r="L112" i="57"/>
  <c r="D112" i="57"/>
  <c r="S111" i="57"/>
  <c r="L111" i="57"/>
  <c r="D111" i="57"/>
  <c r="S110" i="57"/>
  <c r="L110" i="57"/>
  <c r="D110" i="57"/>
  <c r="S109" i="57"/>
  <c r="L109" i="57"/>
  <c r="D109" i="57"/>
  <c r="S108" i="57"/>
  <c r="L108" i="57"/>
  <c r="D108" i="57"/>
  <c r="S107" i="57"/>
  <c r="L107" i="57"/>
  <c r="D107" i="57"/>
  <c r="S106" i="57"/>
  <c r="L106" i="57"/>
  <c r="D106" i="57"/>
  <c r="S105" i="57"/>
  <c r="L105" i="57"/>
  <c r="D105" i="57"/>
  <c r="S104" i="57"/>
  <c r="L104" i="57"/>
  <c r="D104" i="57"/>
  <c r="S103" i="57"/>
  <c r="L103" i="57"/>
  <c r="D103" i="57"/>
  <c r="S102" i="57"/>
  <c r="L102" i="57"/>
  <c r="D102" i="57"/>
  <c r="S101" i="57"/>
  <c r="L101" i="57"/>
  <c r="D101" i="57"/>
  <c r="S100" i="57"/>
  <c r="L100" i="57"/>
  <c r="D100" i="57"/>
  <c r="S99" i="57"/>
  <c r="L99" i="57"/>
  <c r="D99" i="57"/>
  <c r="S98" i="57"/>
  <c r="L98" i="57"/>
  <c r="D98" i="57"/>
  <c r="S97" i="57"/>
  <c r="L97" i="57"/>
  <c r="D97" i="57"/>
  <c r="S96" i="57"/>
  <c r="L96" i="57"/>
  <c r="D96" i="57"/>
  <c r="S95" i="57"/>
  <c r="L95" i="57"/>
  <c r="D95" i="57"/>
  <c r="S94" i="57"/>
  <c r="L94" i="57"/>
  <c r="D94" i="57"/>
  <c r="S93" i="57"/>
  <c r="L93" i="57"/>
  <c r="D93" i="57"/>
  <c r="S92" i="57"/>
  <c r="L92" i="57"/>
  <c r="D92" i="57"/>
  <c r="S91" i="57"/>
  <c r="L91" i="57"/>
  <c r="D91" i="57"/>
  <c r="S90" i="57"/>
  <c r="L90" i="57"/>
  <c r="D90" i="57"/>
  <c r="S89" i="57"/>
  <c r="L89" i="57"/>
  <c r="D89" i="57"/>
  <c r="S88" i="57"/>
  <c r="L88" i="57"/>
  <c r="D88" i="57"/>
  <c r="S87" i="57"/>
  <c r="L87" i="57"/>
  <c r="D87" i="57"/>
  <c r="S86" i="57"/>
  <c r="L86" i="57"/>
  <c r="D86" i="57"/>
  <c r="S85" i="57"/>
  <c r="L85" i="57"/>
  <c r="D85" i="57"/>
  <c r="S84" i="57"/>
  <c r="L84" i="57"/>
  <c r="D84" i="57"/>
  <c r="S83" i="57"/>
  <c r="L83" i="57"/>
  <c r="D83" i="57"/>
  <c r="S82" i="57"/>
  <c r="L82" i="57"/>
  <c r="D82" i="57"/>
  <c r="S81" i="57"/>
  <c r="L81" i="57"/>
  <c r="D81" i="57"/>
  <c r="S80" i="57"/>
  <c r="L80" i="57"/>
  <c r="D80" i="57"/>
  <c r="S79" i="57"/>
  <c r="L79" i="57"/>
  <c r="D79" i="57"/>
  <c r="S78" i="57"/>
  <c r="L78" i="57"/>
  <c r="D78" i="57"/>
  <c r="S77" i="57"/>
  <c r="L77" i="57"/>
  <c r="D77" i="57"/>
  <c r="S76" i="57"/>
  <c r="L76" i="57"/>
  <c r="D76" i="57"/>
  <c r="S75" i="57"/>
  <c r="L75" i="57"/>
  <c r="D75" i="57"/>
  <c r="S74" i="57"/>
  <c r="L74" i="57"/>
  <c r="D74" i="57"/>
  <c r="S73" i="57"/>
  <c r="L73" i="57"/>
  <c r="D73" i="57"/>
  <c r="S72" i="57"/>
  <c r="L72" i="57"/>
  <c r="D72" i="57"/>
  <c r="S71" i="57"/>
  <c r="L71" i="57"/>
  <c r="D71" i="57"/>
  <c r="S70" i="57"/>
  <c r="L70" i="57"/>
  <c r="D70" i="57"/>
  <c r="S69" i="57"/>
  <c r="L69" i="57"/>
  <c r="D69" i="57"/>
  <c r="S68" i="57"/>
  <c r="L68" i="57"/>
  <c r="D68" i="57"/>
  <c r="S67" i="57"/>
  <c r="L67" i="57"/>
  <c r="D67" i="57"/>
  <c r="S66" i="57"/>
  <c r="L66" i="57"/>
  <c r="D66" i="57"/>
  <c r="S65" i="57"/>
  <c r="L65" i="57"/>
  <c r="D65" i="57"/>
  <c r="S64" i="57"/>
  <c r="L64" i="57"/>
  <c r="D64" i="57"/>
  <c r="S63" i="57"/>
  <c r="L63" i="57"/>
  <c r="D63" i="57"/>
  <c r="S62" i="57"/>
  <c r="L62" i="57"/>
  <c r="D62" i="57"/>
  <c r="S61" i="57"/>
  <c r="L61" i="57"/>
  <c r="D61" i="57"/>
  <c r="S60" i="57"/>
  <c r="L60" i="57"/>
  <c r="D60" i="57"/>
  <c r="S59" i="57"/>
  <c r="L59" i="57"/>
  <c r="D59" i="57"/>
  <c r="S58" i="57"/>
  <c r="L58" i="57"/>
  <c r="D58" i="57"/>
  <c r="S57" i="57"/>
  <c r="M57" i="57"/>
  <c r="S56" i="57"/>
  <c r="L56" i="57"/>
  <c r="D56" i="57"/>
  <c r="S55" i="57"/>
  <c r="L55" i="57"/>
  <c r="D55" i="57"/>
  <c r="S54" i="57"/>
  <c r="L54" i="57"/>
  <c r="D54" i="57"/>
  <c r="S53" i="57"/>
  <c r="L53" i="57"/>
  <c r="D53" i="57"/>
  <c r="S52" i="57"/>
  <c r="L52" i="57"/>
  <c r="D52" i="57"/>
  <c r="S51" i="57"/>
  <c r="L51" i="57"/>
  <c r="D51" i="57"/>
  <c r="S50" i="57"/>
  <c r="L50" i="57"/>
  <c r="D50" i="57"/>
  <c r="S49" i="57"/>
  <c r="L49" i="57"/>
  <c r="D49" i="57"/>
  <c r="S48" i="57"/>
  <c r="L48" i="57"/>
  <c r="D48" i="57"/>
  <c r="S47" i="57"/>
  <c r="L47" i="57"/>
  <c r="D47" i="57"/>
  <c r="S46" i="57"/>
  <c r="L46" i="57"/>
  <c r="D46" i="57"/>
  <c r="S45" i="57"/>
  <c r="L45" i="57"/>
  <c r="D45" i="57"/>
  <c r="S44" i="57"/>
  <c r="L44" i="57"/>
  <c r="D44" i="57"/>
  <c r="S43" i="57"/>
  <c r="L43" i="57"/>
  <c r="D43" i="57"/>
  <c r="S42" i="57"/>
  <c r="M42" i="57"/>
  <c r="S41" i="57"/>
  <c r="L41" i="57"/>
  <c r="D41" i="57"/>
  <c r="S40" i="57"/>
  <c r="L40" i="57"/>
  <c r="D40" i="57"/>
  <c r="S39" i="57"/>
  <c r="L39" i="57"/>
  <c r="D39" i="57"/>
  <c r="S38" i="57"/>
  <c r="L38" i="57"/>
  <c r="D38" i="57"/>
  <c r="S37" i="57"/>
  <c r="L37" i="57"/>
  <c r="D37" i="57"/>
  <c r="S36" i="57"/>
  <c r="L36" i="57"/>
  <c r="D36" i="57"/>
  <c r="S35" i="57"/>
  <c r="L35" i="57"/>
  <c r="D35" i="57"/>
  <c r="S34" i="57"/>
  <c r="L34" i="57"/>
  <c r="D34" i="57"/>
  <c r="S33" i="57"/>
  <c r="L33" i="57"/>
  <c r="D33" i="57"/>
  <c r="S32" i="57"/>
  <c r="L32" i="57"/>
  <c r="D32" i="57"/>
  <c r="S31" i="57"/>
  <c r="L31" i="57"/>
  <c r="D31" i="57"/>
  <c r="S30" i="57"/>
  <c r="L30" i="57"/>
  <c r="D30" i="57"/>
  <c r="S29" i="57"/>
  <c r="L29" i="57"/>
  <c r="D29" i="57"/>
  <c r="S28" i="57"/>
  <c r="L28" i="57"/>
  <c r="D28" i="57"/>
  <c r="S27" i="57"/>
  <c r="M27" i="57"/>
  <c r="S26" i="57"/>
  <c r="L26" i="57"/>
  <c r="D26" i="57"/>
  <c r="S25" i="57"/>
  <c r="L25" i="57"/>
  <c r="D25" i="57"/>
  <c r="S24" i="57"/>
  <c r="L24" i="57"/>
  <c r="D24" i="57"/>
  <c r="S23" i="57"/>
  <c r="L23" i="57"/>
  <c r="D23" i="57"/>
  <c r="S22" i="57"/>
  <c r="L22" i="57"/>
  <c r="D22" i="57"/>
  <c r="S21" i="57"/>
  <c r="L21" i="57"/>
  <c r="D21" i="57"/>
  <c r="S20" i="57"/>
  <c r="L20" i="57"/>
  <c r="D20" i="57"/>
  <c r="S19" i="57"/>
  <c r="L19" i="57"/>
  <c r="D19" i="57"/>
  <c r="S18" i="57"/>
  <c r="L18" i="57"/>
  <c r="D18" i="57"/>
  <c r="S17" i="57"/>
  <c r="L17" i="57"/>
  <c r="D17" i="57"/>
  <c r="S16" i="57"/>
  <c r="L16" i="57"/>
  <c r="D16" i="57"/>
  <c r="S15" i="57"/>
  <c r="L15" i="57"/>
  <c r="D15" i="57"/>
  <c r="S14" i="57"/>
  <c r="L14" i="57"/>
  <c r="D14" i="57"/>
  <c r="S13" i="57"/>
  <c r="L13" i="57"/>
  <c r="D13" i="57"/>
  <c r="S12" i="57"/>
  <c r="M12" i="57"/>
  <c r="S11" i="57"/>
  <c r="L11" i="57"/>
  <c r="D11" i="57"/>
  <c r="S10" i="57"/>
  <c r="L10" i="57"/>
  <c r="D10" i="57"/>
  <c r="S9" i="57"/>
  <c r="L9" i="57"/>
  <c r="D9" i="57"/>
  <c r="S8" i="57"/>
  <c r="L8" i="57"/>
  <c r="D8" i="57"/>
  <c r="S7" i="57"/>
  <c r="L7" i="57"/>
  <c r="D7" i="57"/>
  <c r="S6" i="57"/>
  <c r="L6" i="57"/>
  <c r="D6" i="57"/>
  <c r="S5" i="57"/>
  <c r="L5" i="57"/>
  <c r="D5" i="57"/>
  <c r="S4" i="57"/>
  <c r="L4" i="57"/>
  <c r="D4" i="57"/>
  <c r="S3" i="57"/>
  <c r="L3" i="57"/>
  <c r="D3" i="57"/>
  <c r="S2" i="57"/>
  <c r="L2" i="57"/>
  <c r="D2" i="57"/>
  <c r="S46" i="56"/>
  <c r="M46" i="56"/>
  <c r="S45" i="56"/>
  <c r="M45" i="56"/>
  <c r="S44" i="56"/>
  <c r="M44" i="56"/>
  <c r="S43" i="56"/>
  <c r="M43" i="56"/>
  <c r="S42" i="56"/>
  <c r="M42" i="56"/>
  <c r="S41" i="56"/>
  <c r="M41" i="56"/>
  <c r="S40" i="56"/>
  <c r="M40" i="56"/>
  <c r="S39" i="56"/>
  <c r="M39" i="56"/>
  <c r="S38" i="56"/>
  <c r="M38" i="56"/>
  <c r="S37" i="56"/>
  <c r="M37" i="56"/>
  <c r="S36" i="56"/>
  <c r="M36" i="56"/>
  <c r="S35" i="56"/>
  <c r="M35" i="56"/>
  <c r="S34" i="56"/>
  <c r="M34" i="56"/>
  <c r="S33" i="56"/>
  <c r="M33" i="56"/>
  <c r="S32" i="56"/>
  <c r="M32" i="56"/>
  <c r="S31" i="56"/>
  <c r="M31" i="56"/>
  <c r="S30" i="56"/>
  <c r="M30" i="56"/>
  <c r="S29" i="56"/>
  <c r="M29" i="56"/>
  <c r="S28" i="56"/>
  <c r="M28" i="56"/>
  <c r="S27" i="56"/>
  <c r="M27" i="56"/>
  <c r="S26" i="56"/>
  <c r="M26" i="56"/>
  <c r="S25" i="56"/>
  <c r="M25" i="56"/>
  <c r="S24" i="56"/>
  <c r="M24" i="56"/>
  <c r="S23" i="56"/>
  <c r="M23" i="56"/>
  <c r="S22" i="56"/>
  <c r="M22" i="56"/>
  <c r="S21" i="56"/>
  <c r="M21" i="56"/>
  <c r="S20" i="56"/>
  <c r="M20" i="56"/>
  <c r="S19" i="56"/>
  <c r="M19" i="56"/>
  <c r="S18" i="56"/>
  <c r="M18" i="56"/>
  <c r="S17" i="56"/>
  <c r="M17" i="56"/>
  <c r="S16" i="56"/>
  <c r="M16" i="56"/>
  <c r="S15" i="56"/>
  <c r="M15" i="56"/>
  <c r="S14" i="56"/>
  <c r="M14" i="56"/>
  <c r="S13" i="56"/>
  <c r="M13" i="56"/>
  <c r="S12" i="56"/>
  <c r="M12" i="56"/>
  <c r="S11" i="56"/>
  <c r="M11" i="56"/>
  <c r="S10" i="56"/>
  <c r="M10" i="56"/>
  <c r="S9" i="56"/>
  <c r="M9" i="56"/>
  <c r="S8" i="56"/>
  <c r="M8" i="56"/>
  <c r="S7" i="56"/>
  <c r="M7" i="56"/>
  <c r="S6" i="56"/>
  <c r="M6" i="56"/>
  <c r="S5" i="56"/>
  <c r="M5" i="56"/>
  <c r="S4" i="56"/>
  <c r="M4" i="56"/>
  <c r="S3" i="56"/>
  <c r="M3" i="56"/>
  <c r="AB10" i="55"/>
  <c r="S9" i="55"/>
  <c r="S8" i="55"/>
  <c r="S7" i="55"/>
  <c r="S6" i="55"/>
  <c r="S5" i="55"/>
  <c r="S4" i="55"/>
  <c r="S3" i="55"/>
  <c r="S2" i="55"/>
  <c r="T299" i="54"/>
  <c r="N299" i="54"/>
  <c r="T298" i="54"/>
  <c r="N298" i="54"/>
  <c r="T297" i="54"/>
  <c r="N297" i="54"/>
  <c r="T296" i="54"/>
  <c r="N296" i="54"/>
  <c r="T295" i="54"/>
  <c r="N295" i="54"/>
  <c r="T294" i="54"/>
  <c r="M294" i="54"/>
  <c r="T293" i="54"/>
  <c r="N293" i="54"/>
  <c r="T292" i="54"/>
  <c r="N292" i="54"/>
  <c r="T291" i="54"/>
  <c r="N291" i="54"/>
  <c r="T290" i="54"/>
  <c r="N290" i="54"/>
  <c r="T289" i="54"/>
  <c r="N289" i="54"/>
  <c r="T288" i="54"/>
  <c r="N288" i="54"/>
  <c r="T287" i="54"/>
  <c r="N287" i="54"/>
  <c r="T286" i="54"/>
  <c r="N286" i="54"/>
  <c r="T285" i="54"/>
  <c r="N285" i="54"/>
  <c r="T284" i="54"/>
  <c r="N284" i="54"/>
  <c r="T283" i="54"/>
  <c r="N283" i="54"/>
  <c r="T282" i="54"/>
  <c r="N282" i="54"/>
  <c r="T281" i="54"/>
  <c r="N281" i="54"/>
  <c r="T280" i="54"/>
  <c r="N280" i="54"/>
  <c r="T279" i="54"/>
  <c r="N279" i="54"/>
  <c r="T278" i="54"/>
  <c r="N278" i="54"/>
  <c r="T277" i="54"/>
  <c r="N277" i="54"/>
  <c r="T276" i="54"/>
  <c r="N276" i="54"/>
  <c r="T275" i="54"/>
  <c r="N275" i="54"/>
  <c r="T274" i="54"/>
  <c r="N274" i="54"/>
  <c r="T273" i="54"/>
  <c r="N273" i="54"/>
  <c r="T272" i="54"/>
  <c r="N272" i="54"/>
  <c r="T271" i="54"/>
  <c r="N271" i="54"/>
  <c r="T270" i="54"/>
  <c r="N270" i="54"/>
  <c r="T269" i="54"/>
  <c r="N269" i="54"/>
  <c r="T268" i="54"/>
  <c r="N268" i="54"/>
  <c r="T267" i="54"/>
  <c r="N267" i="54"/>
  <c r="T266" i="54"/>
  <c r="N266" i="54"/>
  <c r="T265" i="54"/>
  <c r="N265" i="54"/>
  <c r="T264" i="54"/>
  <c r="N264" i="54"/>
  <c r="T263" i="54"/>
  <c r="N263" i="54"/>
  <c r="T262" i="54"/>
  <c r="N262" i="54"/>
  <c r="T261" i="54"/>
  <c r="N261" i="54"/>
  <c r="T260" i="54"/>
  <c r="N260" i="54"/>
  <c r="T259" i="54"/>
  <c r="N259" i="54"/>
  <c r="T258" i="54"/>
  <c r="N258" i="54"/>
  <c r="T257" i="54"/>
  <c r="M257" i="54"/>
  <c r="T256" i="54"/>
  <c r="N256" i="54"/>
  <c r="T255" i="54"/>
  <c r="N255" i="54"/>
  <c r="T254" i="54"/>
  <c r="N254" i="54"/>
  <c r="T253" i="54"/>
  <c r="N253" i="54"/>
  <c r="T252" i="54"/>
  <c r="N252" i="54"/>
  <c r="T251" i="54"/>
  <c r="N251" i="54"/>
  <c r="T250" i="54"/>
  <c r="N250" i="54"/>
  <c r="T249" i="54"/>
  <c r="N249" i="54"/>
  <c r="T248" i="54"/>
  <c r="N248" i="54"/>
  <c r="T247" i="54"/>
  <c r="N247" i="54"/>
  <c r="T246" i="54"/>
  <c r="N246" i="54"/>
  <c r="T245" i="54"/>
  <c r="N245" i="54"/>
  <c r="T244" i="54"/>
  <c r="N244" i="54"/>
  <c r="T243" i="54"/>
  <c r="N243" i="54"/>
  <c r="T242" i="54"/>
  <c r="N242" i="54"/>
  <c r="T241" i="54"/>
  <c r="N241" i="54"/>
  <c r="T240" i="54"/>
  <c r="N240" i="54"/>
  <c r="T239" i="54"/>
  <c r="N239" i="54"/>
  <c r="T238" i="54"/>
  <c r="N238" i="54"/>
  <c r="T237" i="54"/>
  <c r="N237" i="54"/>
  <c r="T236" i="54"/>
  <c r="N236" i="54"/>
  <c r="T235" i="54"/>
  <c r="N235" i="54"/>
  <c r="T234" i="54"/>
  <c r="N234" i="54"/>
  <c r="T233" i="54"/>
  <c r="N233" i="54"/>
  <c r="T232" i="54"/>
  <c r="N232" i="54"/>
  <c r="T231" i="54"/>
  <c r="N231" i="54"/>
  <c r="T230" i="54"/>
  <c r="N230" i="54"/>
  <c r="T229" i="54"/>
  <c r="N229" i="54"/>
  <c r="T228" i="54"/>
  <c r="N228" i="54"/>
  <c r="T227" i="54"/>
  <c r="N227" i="54"/>
  <c r="T226" i="54"/>
  <c r="N226" i="54"/>
  <c r="T225" i="54"/>
  <c r="N225" i="54"/>
  <c r="T224" i="54"/>
  <c r="N224" i="54"/>
  <c r="T223" i="54"/>
  <c r="N223" i="54"/>
  <c r="T222" i="54"/>
  <c r="N222" i="54"/>
  <c r="T221" i="54"/>
  <c r="N221" i="54"/>
  <c r="T220" i="54"/>
  <c r="N220" i="54"/>
  <c r="T219" i="54"/>
  <c r="N219" i="54"/>
  <c r="T218" i="54"/>
  <c r="N218" i="54"/>
  <c r="T217" i="54"/>
  <c r="N217" i="54"/>
  <c r="T216" i="54"/>
  <c r="N216" i="54"/>
  <c r="T215" i="54"/>
  <c r="M215" i="54"/>
  <c r="T214" i="54"/>
  <c r="N214" i="54"/>
  <c r="T213" i="54"/>
  <c r="N213" i="54"/>
  <c r="T212" i="54"/>
  <c r="N212" i="54"/>
  <c r="T211" i="54"/>
  <c r="N211" i="54"/>
  <c r="T210" i="54"/>
  <c r="N210" i="54"/>
  <c r="T209" i="54"/>
  <c r="N209" i="54"/>
  <c r="T208" i="54"/>
  <c r="N208" i="54"/>
  <c r="T207" i="54"/>
  <c r="N207" i="54"/>
  <c r="T206" i="54"/>
  <c r="N206" i="54"/>
  <c r="T205" i="54"/>
  <c r="N205" i="54"/>
  <c r="T204" i="54"/>
  <c r="N204" i="54"/>
  <c r="T203" i="54"/>
  <c r="N203" i="54"/>
  <c r="T202" i="54"/>
  <c r="N202" i="54"/>
  <c r="T201" i="54"/>
  <c r="N201" i="54"/>
  <c r="T200" i="54"/>
  <c r="N200" i="54"/>
  <c r="T199" i="54"/>
  <c r="N199" i="54"/>
  <c r="T198" i="54"/>
  <c r="N198" i="54"/>
  <c r="T197" i="54"/>
  <c r="N197" i="54"/>
  <c r="T196" i="54"/>
  <c r="N196" i="54"/>
  <c r="T195" i="54"/>
  <c r="N195" i="54"/>
  <c r="T194" i="54"/>
  <c r="N194" i="54"/>
  <c r="T193" i="54"/>
  <c r="N193" i="54"/>
  <c r="T192" i="54"/>
  <c r="N192" i="54"/>
  <c r="T191" i="54"/>
  <c r="N191" i="54"/>
  <c r="T190" i="54"/>
  <c r="N190" i="54"/>
  <c r="T189" i="54"/>
  <c r="N189" i="54"/>
  <c r="T188" i="54"/>
  <c r="N188" i="54"/>
  <c r="T187" i="54"/>
  <c r="N187" i="54"/>
  <c r="T186" i="54"/>
  <c r="N186" i="54"/>
  <c r="T185" i="54"/>
  <c r="N185" i="54"/>
  <c r="T184" i="54"/>
  <c r="N184" i="54"/>
  <c r="T183" i="54"/>
  <c r="N183" i="54"/>
  <c r="T182" i="54"/>
  <c r="N182" i="54"/>
  <c r="T181" i="54"/>
  <c r="N181" i="54"/>
  <c r="T180" i="54"/>
  <c r="M180" i="54"/>
  <c r="T179" i="54"/>
  <c r="N179" i="54"/>
  <c r="T178" i="54"/>
  <c r="N178" i="54"/>
  <c r="T177" i="54"/>
  <c r="N177" i="54"/>
  <c r="T176" i="54"/>
  <c r="N176" i="54"/>
  <c r="T175" i="54"/>
  <c r="N175" i="54"/>
  <c r="T174" i="54"/>
  <c r="N174" i="54"/>
  <c r="T173" i="54"/>
  <c r="N173" i="54"/>
  <c r="T172" i="54"/>
  <c r="N172" i="54"/>
  <c r="T171" i="54"/>
  <c r="N171" i="54"/>
  <c r="T170" i="54"/>
  <c r="N170" i="54"/>
  <c r="T169" i="54"/>
  <c r="N169" i="54"/>
  <c r="T168" i="54"/>
  <c r="N168" i="54"/>
  <c r="T167" i="54"/>
  <c r="N167" i="54"/>
  <c r="T166" i="54"/>
  <c r="N166" i="54"/>
  <c r="T165" i="54"/>
  <c r="N165" i="54"/>
  <c r="T164" i="54"/>
  <c r="N164" i="54"/>
  <c r="T163" i="54"/>
  <c r="N163" i="54"/>
  <c r="T162" i="54"/>
  <c r="N162" i="54"/>
  <c r="T161" i="54"/>
  <c r="N161" i="54"/>
  <c r="T160" i="54"/>
  <c r="N160" i="54"/>
  <c r="T159" i="54"/>
  <c r="N159" i="54"/>
  <c r="T158" i="54"/>
  <c r="N158" i="54"/>
  <c r="T157" i="54"/>
  <c r="N157" i="54"/>
  <c r="T156" i="54"/>
  <c r="N156" i="54"/>
  <c r="T155" i="54"/>
  <c r="N155" i="54"/>
  <c r="T154" i="54"/>
  <c r="N154" i="54"/>
  <c r="T153" i="54"/>
  <c r="N153" i="54"/>
  <c r="T152" i="54"/>
  <c r="N152" i="54"/>
  <c r="T151" i="54"/>
  <c r="N151" i="54"/>
  <c r="T150" i="54"/>
  <c r="N150" i="54"/>
  <c r="T149" i="54"/>
  <c r="N149" i="54"/>
  <c r="T148" i="54"/>
  <c r="N148" i="54"/>
  <c r="T147" i="54"/>
  <c r="N147" i="54"/>
  <c r="T146" i="54"/>
  <c r="N146" i="54"/>
  <c r="T145" i="54"/>
  <c r="M145" i="54"/>
  <c r="T144" i="54"/>
  <c r="N144" i="54"/>
  <c r="T143" i="54"/>
  <c r="N143" i="54"/>
  <c r="T142" i="54"/>
  <c r="N142" i="54"/>
  <c r="T141" i="54"/>
  <c r="N141" i="54"/>
  <c r="T140" i="54"/>
  <c r="N140" i="54"/>
  <c r="T139" i="54"/>
  <c r="N139" i="54"/>
  <c r="T138" i="54"/>
  <c r="N138" i="54"/>
  <c r="T137" i="54"/>
  <c r="N137" i="54"/>
  <c r="T136" i="54"/>
  <c r="N136" i="54"/>
  <c r="T135" i="54"/>
  <c r="N135" i="54"/>
  <c r="T134" i="54"/>
  <c r="N134" i="54"/>
  <c r="T133" i="54"/>
  <c r="N133" i="54"/>
  <c r="T132" i="54"/>
  <c r="N132" i="54"/>
  <c r="T131" i="54"/>
  <c r="N131" i="54"/>
  <c r="T130" i="54"/>
  <c r="N130" i="54"/>
  <c r="T129" i="54"/>
  <c r="N129" i="54"/>
  <c r="T128" i="54"/>
  <c r="N128" i="54"/>
  <c r="T127" i="54"/>
  <c r="N127" i="54"/>
  <c r="T126" i="54"/>
  <c r="N126" i="54"/>
  <c r="T125" i="54"/>
  <c r="N125" i="54"/>
  <c r="T124" i="54"/>
  <c r="N124" i="54"/>
  <c r="T123" i="54"/>
  <c r="N123" i="54"/>
  <c r="T122" i="54"/>
  <c r="N122" i="54"/>
  <c r="T121" i="54"/>
  <c r="N121" i="54"/>
  <c r="T120" i="54"/>
  <c r="N120" i="54"/>
  <c r="T119" i="54"/>
  <c r="N119" i="54"/>
  <c r="T118" i="54"/>
  <c r="N118" i="54"/>
  <c r="T117" i="54"/>
  <c r="N117" i="54"/>
  <c r="T116" i="54"/>
  <c r="N116" i="54"/>
  <c r="T115" i="54"/>
  <c r="N115" i="54"/>
  <c r="T114" i="54"/>
  <c r="N114" i="54"/>
  <c r="T113" i="54"/>
  <c r="N113" i="54"/>
  <c r="T112" i="54"/>
  <c r="N112" i="54"/>
  <c r="T111" i="54"/>
  <c r="N111" i="54"/>
  <c r="T110" i="54"/>
  <c r="N110" i="54"/>
  <c r="T109" i="54"/>
  <c r="N109" i="54"/>
  <c r="T108" i="54"/>
  <c r="M108" i="54"/>
  <c r="T107" i="54"/>
  <c r="N107" i="54"/>
  <c r="T106" i="54"/>
  <c r="N106" i="54"/>
  <c r="T105" i="54"/>
  <c r="N105" i="54"/>
  <c r="T104" i="54"/>
  <c r="N104" i="54"/>
  <c r="T103" i="54"/>
  <c r="N103" i="54"/>
  <c r="T102" i="54"/>
  <c r="N102" i="54"/>
  <c r="T101" i="54"/>
  <c r="N101" i="54"/>
  <c r="T100" i="54"/>
  <c r="N100" i="54"/>
  <c r="T99" i="54"/>
  <c r="N99" i="54"/>
  <c r="T98" i="54"/>
  <c r="N98" i="54"/>
  <c r="T97" i="54"/>
  <c r="N97" i="54"/>
  <c r="T96" i="54"/>
  <c r="N96" i="54"/>
  <c r="T95" i="54"/>
  <c r="N95" i="54"/>
  <c r="T94" i="54"/>
  <c r="N94" i="54"/>
  <c r="T93" i="54"/>
  <c r="N93" i="54"/>
  <c r="T92" i="54"/>
  <c r="N92" i="54"/>
  <c r="T91" i="54"/>
  <c r="N91" i="54"/>
  <c r="T90" i="54"/>
  <c r="N90" i="54"/>
  <c r="T89" i="54"/>
  <c r="N89" i="54"/>
  <c r="T88" i="54"/>
  <c r="N88" i="54"/>
  <c r="T87" i="54"/>
  <c r="N87" i="54"/>
  <c r="T86" i="54"/>
  <c r="N86" i="54"/>
  <c r="T85" i="54"/>
  <c r="N85" i="54"/>
  <c r="T84" i="54"/>
  <c r="N84" i="54"/>
  <c r="T83" i="54"/>
  <c r="N83" i="54"/>
  <c r="T82" i="54"/>
  <c r="N82" i="54"/>
  <c r="T81" i="54"/>
  <c r="N81" i="54"/>
  <c r="T80" i="54"/>
  <c r="N80" i="54"/>
  <c r="T79" i="54"/>
  <c r="N79" i="54"/>
  <c r="T78" i="54"/>
  <c r="N78" i="54"/>
  <c r="T77" i="54"/>
  <c r="N77" i="54"/>
  <c r="T76" i="54"/>
  <c r="N76" i="54"/>
  <c r="T75" i="54"/>
  <c r="N75" i="54"/>
  <c r="T74" i="54"/>
  <c r="N74" i="54"/>
  <c r="T73" i="54"/>
  <c r="N73" i="54"/>
  <c r="T72" i="54"/>
  <c r="N72" i="54"/>
  <c r="T71" i="54"/>
  <c r="M71" i="54"/>
  <c r="T70" i="54"/>
  <c r="N70" i="54"/>
  <c r="T69" i="54"/>
  <c r="N69" i="54"/>
  <c r="T68" i="54"/>
  <c r="N68" i="54"/>
  <c r="T67" i="54"/>
  <c r="N67" i="54"/>
  <c r="T66" i="54"/>
  <c r="N66" i="54"/>
  <c r="T65" i="54"/>
  <c r="N65" i="54"/>
  <c r="T64" i="54"/>
  <c r="N64" i="54"/>
  <c r="T63" i="54"/>
  <c r="N63" i="54"/>
  <c r="T62" i="54"/>
  <c r="N62" i="54"/>
  <c r="T61" i="54"/>
  <c r="N61" i="54"/>
  <c r="T60" i="54"/>
  <c r="N60" i="54"/>
  <c r="T59" i="54"/>
  <c r="N59" i="54"/>
  <c r="T58" i="54"/>
  <c r="N58" i="54"/>
  <c r="T57" i="54"/>
  <c r="N57" i="54"/>
  <c r="T56" i="54"/>
  <c r="N56" i="54"/>
  <c r="T55" i="54"/>
  <c r="N55" i="54"/>
  <c r="T54" i="54"/>
  <c r="N54" i="54"/>
  <c r="T53" i="54"/>
  <c r="N53" i="54"/>
  <c r="T52" i="54"/>
  <c r="N52" i="54"/>
  <c r="T51" i="54"/>
  <c r="N51" i="54"/>
  <c r="T50" i="54"/>
  <c r="N50" i="54"/>
  <c r="T49" i="54"/>
  <c r="N49" i="54"/>
  <c r="T48" i="54"/>
  <c r="N48" i="54"/>
  <c r="T47" i="54"/>
  <c r="N47" i="54"/>
  <c r="T46" i="54"/>
  <c r="N46" i="54"/>
  <c r="T45" i="54"/>
  <c r="N45" i="54"/>
  <c r="T44" i="54"/>
  <c r="N44" i="54"/>
  <c r="T43" i="54"/>
  <c r="N43" i="54"/>
  <c r="T42" i="54"/>
  <c r="N42" i="54"/>
  <c r="T41" i="54"/>
  <c r="N41" i="54"/>
  <c r="T40" i="54"/>
  <c r="N40" i="54"/>
  <c r="T39" i="54"/>
  <c r="N39" i="54"/>
  <c r="T38" i="54"/>
  <c r="N38" i="54"/>
  <c r="T37" i="54"/>
  <c r="N37" i="54"/>
  <c r="T36" i="54"/>
  <c r="M36" i="54"/>
  <c r="T35" i="54"/>
  <c r="N35" i="54"/>
  <c r="T34" i="54"/>
  <c r="N34" i="54"/>
  <c r="T33" i="54"/>
  <c r="N33" i="54"/>
  <c r="T32" i="54"/>
  <c r="N32" i="54"/>
  <c r="T31" i="54"/>
  <c r="N31" i="54"/>
  <c r="T30" i="54"/>
  <c r="N30" i="54"/>
  <c r="T29" i="54"/>
  <c r="N29" i="54"/>
  <c r="T28" i="54"/>
  <c r="N28" i="54"/>
  <c r="T27" i="54"/>
  <c r="N27" i="54"/>
  <c r="T26" i="54"/>
  <c r="N26" i="54"/>
  <c r="T25" i="54"/>
  <c r="N25" i="54"/>
  <c r="T24" i="54"/>
  <c r="N24" i="54"/>
  <c r="T23" i="54"/>
  <c r="N23" i="54"/>
  <c r="T22" i="54"/>
  <c r="N22" i="54"/>
  <c r="T21" i="54"/>
  <c r="N21" i="54"/>
  <c r="T20" i="54"/>
  <c r="N20" i="54"/>
  <c r="T19" i="54"/>
  <c r="N19" i="54"/>
  <c r="T18" i="54"/>
  <c r="N18" i="54"/>
  <c r="T17" i="54"/>
  <c r="N17" i="54"/>
  <c r="T16" i="54"/>
  <c r="N16" i="54"/>
  <c r="T15" i="54"/>
  <c r="N15" i="54"/>
  <c r="T14" i="54"/>
  <c r="N14" i="54"/>
  <c r="T13" i="54"/>
  <c r="N13" i="54"/>
  <c r="T12" i="54"/>
  <c r="N12" i="54"/>
  <c r="T11" i="54"/>
  <c r="N11" i="54"/>
  <c r="T10" i="54"/>
  <c r="N10" i="54"/>
  <c r="T9" i="54"/>
  <c r="N9" i="54"/>
  <c r="T8" i="54"/>
  <c r="N8" i="54"/>
  <c r="T7" i="54"/>
  <c r="N7" i="54"/>
  <c r="T6" i="54"/>
  <c r="N6" i="54"/>
  <c r="T5" i="54"/>
  <c r="N5" i="54"/>
  <c r="T4" i="54"/>
  <c r="N4" i="54"/>
  <c r="T3" i="54"/>
  <c r="N3" i="54"/>
  <c r="T2" i="54"/>
  <c r="N2" i="54"/>
  <c r="H75" i="53"/>
  <c r="H74" i="53"/>
  <c r="H73" i="53"/>
  <c r="H72" i="53"/>
  <c r="H71" i="53"/>
  <c r="H70" i="53"/>
  <c r="H69" i="53"/>
  <c r="H68" i="53"/>
  <c r="H67" i="53"/>
  <c r="H66" i="53"/>
  <c r="H65" i="53"/>
  <c r="H61" i="53"/>
  <c r="H60" i="53"/>
  <c r="H59" i="53"/>
  <c r="H58" i="53"/>
  <c r="H57" i="53"/>
  <c r="H56" i="53"/>
  <c r="H55" i="53"/>
  <c r="H54" i="53"/>
  <c r="H53" i="53"/>
  <c r="H52" i="53"/>
  <c r="H51" i="53"/>
  <c r="H47" i="53"/>
  <c r="H46" i="53"/>
  <c r="H45" i="53"/>
  <c r="H44" i="53"/>
  <c r="H43" i="53"/>
  <c r="H42" i="53"/>
  <c r="H41" i="53"/>
  <c r="H40" i="53"/>
  <c r="H39" i="53"/>
  <c r="H38" i="53"/>
  <c r="H37" i="53"/>
  <c r="H36" i="53"/>
  <c r="H35" i="53"/>
  <c r="H34" i="53"/>
  <c r="H33" i="53"/>
  <c r="H32" i="53"/>
  <c r="H31" i="53"/>
  <c r="H30" i="53"/>
  <c r="H29" i="53"/>
  <c r="H25" i="53"/>
  <c r="H24" i="53"/>
  <c r="H23" i="53"/>
  <c r="H22" i="53"/>
  <c r="H21" i="53"/>
  <c r="H20" i="53"/>
  <c r="H19" i="53"/>
  <c r="H18" i="53"/>
  <c r="H17" i="53"/>
  <c r="H16" i="53"/>
  <c r="H15" i="53"/>
  <c r="H14" i="53"/>
  <c r="H13" i="53"/>
  <c r="H12" i="53"/>
  <c r="H11" i="53"/>
  <c r="H10" i="53"/>
  <c r="H9" i="53"/>
  <c r="H8" i="53"/>
  <c r="H7" i="53"/>
  <c r="N11" i="52"/>
  <c r="F11" i="52"/>
  <c r="N9" i="52"/>
  <c r="F9" i="52"/>
  <c r="N7" i="52"/>
  <c r="I7" i="52"/>
  <c r="F7" i="52"/>
  <c r="A7" i="52"/>
  <c r="N6" i="52"/>
  <c r="F6" i="52"/>
  <c r="T257" i="51"/>
  <c r="N257" i="51"/>
  <c r="T256" i="51"/>
  <c r="N256" i="51"/>
  <c r="T255" i="51"/>
  <c r="N255" i="51"/>
  <c r="T254" i="51"/>
  <c r="N254" i="51"/>
  <c r="T253" i="51"/>
  <c r="N253" i="51"/>
  <c r="T252" i="51"/>
  <c r="N252" i="51"/>
  <c r="T251" i="51"/>
  <c r="N251" i="51"/>
  <c r="T250" i="51"/>
  <c r="N250" i="51"/>
  <c r="T249" i="51"/>
  <c r="N249" i="51"/>
  <c r="T248" i="51"/>
  <c r="N248" i="51"/>
  <c r="T247" i="51"/>
  <c r="N247" i="51"/>
  <c r="T246" i="51"/>
  <c r="N246" i="51"/>
  <c r="T245" i="51"/>
  <c r="N245" i="51"/>
  <c r="T244" i="51"/>
  <c r="N244" i="51"/>
  <c r="T243" i="51"/>
  <c r="M243" i="51"/>
  <c r="I243" i="51"/>
  <c r="E243" i="51"/>
  <c r="T242" i="51"/>
  <c r="M242" i="51"/>
  <c r="I242" i="51"/>
  <c r="E242" i="51"/>
  <c r="T241" i="51"/>
  <c r="M241" i="51"/>
  <c r="I241" i="51"/>
  <c r="E241" i="51"/>
  <c r="T240" i="51"/>
  <c r="M240" i="51"/>
  <c r="I240" i="51"/>
  <c r="E240" i="51"/>
  <c r="T239" i="51"/>
  <c r="M239" i="51"/>
  <c r="I239" i="51"/>
  <c r="E239" i="51"/>
  <c r="T238" i="51"/>
  <c r="M238" i="51"/>
  <c r="I238" i="51"/>
  <c r="E238" i="51"/>
  <c r="T237" i="51"/>
  <c r="M237" i="51"/>
  <c r="I237" i="51"/>
  <c r="E237" i="51"/>
  <c r="T236" i="51"/>
  <c r="M236" i="51"/>
  <c r="I236" i="51"/>
  <c r="E236" i="51"/>
  <c r="T235" i="51"/>
  <c r="M235" i="51"/>
  <c r="I235" i="51"/>
  <c r="E235" i="51"/>
  <c r="T234" i="51"/>
  <c r="M234" i="51"/>
  <c r="I234" i="51"/>
  <c r="E234" i="51"/>
  <c r="T233" i="51"/>
  <c r="M233" i="51"/>
  <c r="I233" i="51"/>
  <c r="E233" i="51"/>
  <c r="T232" i="51"/>
  <c r="M232" i="51"/>
  <c r="I232" i="51"/>
  <c r="E232" i="51"/>
  <c r="T231" i="51"/>
  <c r="M231" i="51"/>
  <c r="I231" i="51"/>
  <c r="E231" i="51"/>
  <c r="T230" i="51"/>
  <c r="M230" i="51"/>
  <c r="I230" i="51"/>
  <c r="E230" i="51"/>
  <c r="T229" i="51"/>
  <c r="M229" i="51"/>
  <c r="I229" i="51"/>
  <c r="E229" i="51"/>
  <c r="T228" i="51"/>
  <c r="M228" i="51"/>
  <c r="I228" i="51"/>
  <c r="E228" i="51"/>
  <c r="T227" i="51"/>
  <c r="M227" i="51"/>
  <c r="I227" i="51"/>
  <c r="E227" i="51"/>
  <c r="T226" i="51"/>
  <c r="M226" i="51"/>
  <c r="I226" i="51"/>
  <c r="E226" i="51"/>
  <c r="T225" i="51"/>
  <c r="M225" i="51"/>
  <c r="I225" i="51"/>
  <c r="E225" i="51"/>
  <c r="T224" i="51"/>
  <c r="M224" i="51"/>
  <c r="I224" i="51"/>
  <c r="E224" i="51"/>
  <c r="T223" i="51"/>
  <c r="M223" i="51"/>
  <c r="I223" i="51"/>
  <c r="E223" i="51"/>
  <c r="T222" i="51"/>
  <c r="M222" i="51"/>
  <c r="I222" i="51"/>
  <c r="E222" i="51"/>
  <c r="T221" i="51"/>
  <c r="M221" i="51"/>
  <c r="I221" i="51"/>
  <c r="E221" i="51"/>
  <c r="T220" i="51"/>
  <c r="M220" i="51"/>
  <c r="I220" i="51"/>
  <c r="E220" i="51"/>
  <c r="T219" i="51"/>
  <c r="M219" i="51"/>
  <c r="I219" i="51"/>
  <c r="E219" i="51"/>
  <c r="T218" i="51"/>
  <c r="N218" i="51"/>
  <c r="T217" i="51"/>
  <c r="N217" i="51"/>
  <c r="T216" i="51"/>
  <c r="M216" i="51"/>
  <c r="I216" i="51"/>
  <c r="E216" i="51"/>
  <c r="T215" i="51"/>
  <c r="M215" i="51"/>
  <c r="I215" i="51"/>
  <c r="E215" i="51"/>
  <c r="T214" i="51"/>
  <c r="M214" i="51"/>
  <c r="I214" i="51"/>
  <c r="E214" i="51"/>
  <c r="T213" i="51"/>
  <c r="M213" i="51"/>
  <c r="I213" i="51"/>
  <c r="E213" i="51"/>
  <c r="T212" i="51"/>
  <c r="M212" i="51"/>
  <c r="I212" i="51"/>
  <c r="E212" i="51"/>
  <c r="T211" i="51"/>
  <c r="M211" i="51"/>
  <c r="I211" i="51"/>
  <c r="E211" i="51"/>
  <c r="T210" i="51"/>
  <c r="M210" i="51"/>
  <c r="I210" i="51"/>
  <c r="E210" i="51"/>
  <c r="T209" i="51"/>
  <c r="M209" i="51"/>
  <c r="I209" i="51"/>
  <c r="E209" i="51"/>
  <c r="T208" i="51"/>
  <c r="M208" i="51"/>
  <c r="I208" i="51"/>
  <c r="E208" i="51"/>
  <c r="T207" i="51"/>
  <c r="M207" i="51"/>
  <c r="I207" i="51"/>
  <c r="E207" i="51"/>
  <c r="T206" i="51"/>
  <c r="M206" i="51"/>
  <c r="I206" i="51"/>
  <c r="E206" i="51"/>
  <c r="T205" i="51"/>
  <c r="M205" i="51"/>
  <c r="I205" i="51"/>
  <c r="E205" i="51"/>
  <c r="T204" i="51"/>
  <c r="M204" i="51"/>
  <c r="I204" i="51"/>
  <c r="E204" i="51"/>
  <c r="T203" i="51"/>
  <c r="M203" i="51"/>
  <c r="I203" i="51"/>
  <c r="E203" i="51"/>
  <c r="T202" i="51"/>
  <c r="M202" i="51"/>
  <c r="I202" i="51"/>
  <c r="E202" i="51"/>
  <c r="T201" i="51"/>
  <c r="M201" i="51"/>
  <c r="I201" i="51"/>
  <c r="E201" i="51"/>
  <c r="T200" i="51"/>
  <c r="M200" i="51"/>
  <c r="I200" i="51"/>
  <c r="E200" i="51"/>
  <c r="T199" i="51"/>
  <c r="M199" i="51"/>
  <c r="I199" i="51"/>
  <c r="E199" i="51"/>
  <c r="T198" i="51"/>
  <c r="M198" i="51"/>
  <c r="I198" i="51"/>
  <c r="E198" i="51"/>
  <c r="T197" i="51"/>
  <c r="M197" i="51"/>
  <c r="I197" i="51"/>
  <c r="E197" i="51"/>
  <c r="T196" i="51"/>
  <c r="M196" i="51"/>
  <c r="I196" i="51"/>
  <c r="E196" i="51"/>
  <c r="T195" i="51"/>
  <c r="M195" i="51"/>
  <c r="I195" i="51"/>
  <c r="E195" i="51"/>
  <c r="T194" i="51"/>
  <c r="M194" i="51"/>
  <c r="I194" i="51"/>
  <c r="E194" i="51"/>
  <c r="T193" i="51"/>
  <c r="M193" i="51"/>
  <c r="I193" i="51"/>
  <c r="E193" i="51"/>
  <c r="T192" i="51"/>
  <c r="M192" i="51"/>
  <c r="I192" i="51"/>
  <c r="E192" i="51"/>
  <c r="T191" i="51"/>
  <c r="N191" i="51"/>
  <c r="T190" i="51"/>
  <c r="N190" i="51"/>
  <c r="T189" i="51"/>
  <c r="M189" i="51"/>
  <c r="I189" i="51"/>
  <c r="E189" i="51"/>
  <c r="T188" i="51"/>
  <c r="M188" i="51"/>
  <c r="I188" i="51"/>
  <c r="E188" i="51"/>
  <c r="T187" i="51"/>
  <c r="M187" i="51"/>
  <c r="I187" i="51"/>
  <c r="E187" i="51"/>
  <c r="T186" i="51"/>
  <c r="M186" i="51"/>
  <c r="I186" i="51"/>
  <c r="E186" i="51"/>
  <c r="T185" i="51"/>
  <c r="M185" i="51"/>
  <c r="I185" i="51"/>
  <c r="E185" i="51"/>
  <c r="T184" i="51"/>
  <c r="M184" i="51"/>
  <c r="I184" i="51"/>
  <c r="E184" i="51"/>
  <c r="T183" i="51"/>
  <c r="M183" i="51"/>
  <c r="I183" i="51"/>
  <c r="E183" i="51"/>
  <c r="T182" i="51"/>
  <c r="M182" i="51"/>
  <c r="I182" i="51"/>
  <c r="E182" i="51"/>
  <c r="T181" i="51"/>
  <c r="M181" i="51"/>
  <c r="I181" i="51"/>
  <c r="E181" i="51"/>
  <c r="T180" i="51"/>
  <c r="M180" i="51"/>
  <c r="I180" i="51"/>
  <c r="E180" i="51"/>
  <c r="T179" i="51"/>
  <c r="M179" i="51"/>
  <c r="I179" i="51"/>
  <c r="E179" i="51"/>
  <c r="T178" i="51"/>
  <c r="M178" i="51"/>
  <c r="I178" i="51"/>
  <c r="E178" i="51"/>
  <c r="T177" i="51"/>
  <c r="M177" i="51"/>
  <c r="I177" i="51"/>
  <c r="E177" i="51"/>
  <c r="T176" i="51"/>
  <c r="M176" i="51"/>
  <c r="I176" i="51"/>
  <c r="E176" i="51"/>
  <c r="T175" i="51"/>
  <c r="M175" i="51"/>
  <c r="I175" i="51"/>
  <c r="E175" i="51"/>
  <c r="T174" i="51"/>
  <c r="M174" i="51"/>
  <c r="I174" i="51"/>
  <c r="E174" i="51"/>
  <c r="T173" i="51"/>
  <c r="M173" i="51"/>
  <c r="I173" i="51"/>
  <c r="E173" i="51"/>
  <c r="T172" i="51"/>
  <c r="M172" i="51"/>
  <c r="I172" i="51"/>
  <c r="E172" i="51"/>
  <c r="T171" i="51"/>
  <c r="M171" i="51"/>
  <c r="I171" i="51"/>
  <c r="E171" i="51"/>
  <c r="T170" i="51"/>
  <c r="M170" i="51"/>
  <c r="I170" i="51"/>
  <c r="E170" i="51"/>
  <c r="T169" i="51"/>
  <c r="M169" i="51"/>
  <c r="I169" i="51"/>
  <c r="E169" i="51"/>
  <c r="T168" i="51"/>
  <c r="M168" i="51"/>
  <c r="I168" i="51"/>
  <c r="E168" i="51"/>
  <c r="T167" i="51"/>
  <c r="M167" i="51"/>
  <c r="I167" i="51"/>
  <c r="E167" i="51"/>
  <c r="T166" i="51"/>
  <c r="M166" i="51"/>
  <c r="I166" i="51"/>
  <c r="E166" i="51"/>
  <c r="T165" i="51"/>
  <c r="M165" i="51"/>
  <c r="I165" i="51"/>
  <c r="E165" i="51"/>
  <c r="T164" i="51"/>
  <c r="N164" i="51"/>
  <c r="T163" i="51"/>
  <c r="N163" i="51"/>
  <c r="T162" i="51"/>
  <c r="M162" i="51"/>
  <c r="I162" i="51"/>
  <c r="E162" i="51"/>
  <c r="T161" i="51"/>
  <c r="M161" i="51"/>
  <c r="I161" i="51"/>
  <c r="E161" i="51"/>
  <c r="T160" i="51"/>
  <c r="M160" i="51"/>
  <c r="I160" i="51"/>
  <c r="E160" i="51"/>
  <c r="T159" i="51"/>
  <c r="M159" i="51"/>
  <c r="I159" i="51"/>
  <c r="E159" i="51"/>
  <c r="T158" i="51"/>
  <c r="M158" i="51"/>
  <c r="I158" i="51"/>
  <c r="E158" i="51"/>
  <c r="T157" i="51"/>
  <c r="M157" i="51"/>
  <c r="I157" i="51"/>
  <c r="E157" i="51"/>
  <c r="T156" i="51"/>
  <c r="M156" i="51"/>
  <c r="I156" i="51"/>
  <c r="E156" i="51"/>
  <c r="T155" i="51"/>
  <c r="M155" i="51"/>
  <c r="I155" i="51"/>
  <c r="E155" i="51"/>
  <c r="T154" i="51"/>
  <c r="M154" i="51"/>
  <c r="I154" i="51"/>
  <c r="E154" i="51"/>
  <c r="T153" i="51"/>
  <c r="M153" i="51"/>
  <c r="I153" i="51"/>
  <c r="E153" i="51"/>
  <c r="T152" i="51"/>
  <c r="M152" i="51"/>
  <c r="I152" i="51"/>
  <c r="E152" i="51"/>
  <c r="T151" i="51"/>
  <c r="M151" i="51"/>
  <c r="I151" i="51"/>
  <c r="E151" i="51"/>
  <c r="T150" i="51"/>
  <c r="M150" i="51"/>
  <c r="I150" i="51"/>
  <c r="E150" i="51"/>
  <c r="T149" i="51"/>
  <c r="M149" i="51"/>
  <c r="I149" i="51"/>
  <c r="E149" i="51"/>
  <c r="T148" i="51"/>
  <c r="M148" i="51"/>
  <c r="I148" i="51"/>
  <c r="E148" i="51"/>
  <c r="T147" i="51"/>
  <c r="M147" i="51"/>
  <c r="I147" i="51"/>
  <c r="E147" i="51"/>
  <c r="T146" i="51"/>
  <c r="M146" i="51"/>
  <c r="I146" i="51"/>
  <c r="E146" i="51"/>
  <c r="T145" i="51"/>
  <c r="M145" i="51"/>
  <c r="I145" i="51"/>
  <c r="E145" i="51"/>
  <c r="T144" i="51"/>
  <c r="M144" i="51"/>
  <c r="I144" i="51"/>
  <c r="E144" i="51"/>
  <c r="T143" i="51"/>
  <c r="M143" i="51"/>
  <c r="I143" i="51"/>
  <c r="E143" i="51"/>
  <c r="T142" i="51"/>
  <c r="M142" i="51"/>
  <c r="I142" i="51"/>
  <c r="E142" i="51"/>
  <c r="T141" i="51"/>
  <c r="M141" i="51"/>
  <c r="I141" i="51"/>
  <c r="E141" i="51"/>
  <c r="T140" i="51"/>
  <c r="M140" i="51"/>
  <c r="I140" i="51"/>
  <c r="E140" i="51"/>
  <c r="T139" i="51"/>
  <c r="M139" i="51"/>
  <c r="I139" i="51"/>
  <c r="E139" i="51"/>
  <c r="T138" i="51"/>
  <c r="M138" i="51"/>
  <c r="I138" i="51"/>
  <c r="E138" i="51"/>
  <c r="T137" i="51"/>
  <c r="I137" i="51"/>
  <c r="T136" i="51"/>
  <c r="I136" i="51"/>
  <c r="T135" i="51"/>
  <c r="I135" i="51"/>
  <c r="T134" i="51"/>
  <c r="I134" i="51"/>
  <c r="T133" i="51"/>
  <c r="I133" i="51"/>
  <c r="T132" i="51"/>
  <c r="I132" i="51"/>
  <c r="T131" i="51"/>
  <c r="I131" i="51"/>
  <c r="T130" i="51"/>
  <c r="I130" i="51"/>
  <c r="T129" i="51"/>
  <c r="N129" i="51"/>
  <c r="T128" i="51"/>
  <c r="N128" i="51"/>
  <c r="T127" i="51"/>
  <c r="N127" i="51"/>
  <c r="T126" i="51"/>
  <c r="N126" i="51"/>
  <c r="T125" i="51"/>
  <c r="N125" i="51"/>
  <c r="T124" i="51"/>
  <c r="N124" i="51"/>
  <c r="T123" i="51"/>
  <c r="N123" i="51"/>
  <c r="T122" i="51"/>
  <c r="N122" i="51"/>
  <c r="T121" i="51"/>
  <c r="N121" i="51"/>
  <c r="T120" i="51"/>
  <c r="N120" i="51"/>
  <c r="T119" i="51"/>
  <c r="N119" i="51"/>
  <c r="T118" i="51"/>
  <c r="N118" i="51"/>
  <c r="T117" i="51"/>
  <c r="N117" i="51"/>
  <c r="T116" i="51"/>
  <c r="N116" i="51"/>
  <c r="T115" i="51"/>
  <c r="M115" i="51"/>
  <c r="I115" i="51"/>
  <c r="E115" i="51"/>
  <c r="T114" i="51"/>
  <c r="M114" i="51"/>
  <c r="I114" i="51"/>
  <c r="E114" i="51"/>
  <c r="T113" i="51"/>
  <c r="M113" i="51"/>
  <c r="I113" i="51"/>
  <c r="E113" i="51"/>
  <c r="T112" i="51"/>
  <c r="M112" i="51"/>
  <c r="I112" i="51"/>
  <c r="E112" i="51"/>
  <c r="T111" i="51"/>
  <c r="M111" i="51"/>
  <c r="I111" i="51"/>
  <c r="E111" i="51"/>
  <c r="T110" i="51"/>
  <c r="M110" i="51"/>
  <c r="I110" i="51"/>
  <c r="E110" i="51"/>
  <c r="T109" i="51"/>
  <c r="M109" i="51"/>
  <c r="I109" i="51"/>
  <c r="E109" i="51"/>
  <c r="T108" i="51"/>
  <c r="M108" i="51"/>
  <c r="I108" i="51"/>
  <c r="E108" i="51"/>
  <c r="T107" i="51"/>
  <c r="M107" i="51"/>
  <c r="I107" i="51"/>
  <c r="E107" i="51"/>
  <c r="T106" i="51"/>
  <c r="M106" i="51"/>
  <c r="I106" i="51"/>
  <c r="E106" i="51"/>
  <c r="T105" i="51"/>
  <c r="M105" i="51"/>
  <c r="I105" i="51"/>
  <c r="E105" i="51"/>
  <c r="T104" i="51"/>
  <c r="M104" i="51"/>
  <c r="I104" i="51"/>
  <c r="E104" i="51"/>
  <c r="T103" i="51"/>
  <c r="M103" i="51"/>
  <c r="I103" i="51"/>
  <c r="E103" i="51"/>
  <c r="T102" i="51"/>
  <c r="M102" i="51"/>
  <c r="I102" i="51"/>
  <c r="E102" i="51"/>
  <c r="T101" i="51"/>
  <c r="M101" i="51"/>
  <c r="I101" i="51"/>
  <c r="E101" i="51"/>
  <c r="T100" i="51"/>
  <c r="M100" i="51"/>
  <c r="I100" i="51"/>
  <c r="E100" i="51"/>
  <c r="T99" i="51"/>
  <c r="M99" i="51"/>
  <c r="I99" i="51"/>
  <c r="E99" i="51"/>
  <c r="T98" i="51"/>
  <c r="M98" i="51"/>
  <c r="I98" i="51"/>
  <c r="E98" i="51"/>
  <c r="T97" i="51"/>
  <c r="M97" i="51"/>
  <c r="I97" i="51"/>
  <c r="E97" i="51"/>
  <c r="T96" i="51"/>
  <c r="M96" i="51"/>
  <c r="I96" i="51"/>
  <c r="E96" i="51"/>
  <c r="T95" i="51"/>
  <c r="M95" i="51"/>
  <c r="I95" i="51"/>
  <c r="E95" i="51"/>
  <c r="T94" i="51"/>
  <c r="M94" i="51"/>
  <c r="I94" i="51"/>
  <c r="E94" i="51"/>
  <c r="T93" i="51"/>
  <c r="M93" i="51"/>
  <c r="I93" i="51"/>
  <c r="E93" i="51"/>
  <c r="T92" i="51"/>
  <c r="M92" i="51"/>
  <c r="I92" i="51"/>
  <c r="E92" i="51"/>
  <c r="T91" i="51"/>
  <c r="M91" i="51"/>
  <c r="I91" i="51"/>
  <c r="E91" i="51"/>
  <c r="T90" i="51"/>
  <c r="N90" i="51"/>
  <c r="T89" i="51"/>
  <c r="N89" i="51"/>
  <c r="T88" i="51"/>
  <c r="M88" i="51"/>
  <c r="I88" i="51"/>
  <c r="E88" i="51"/>
  <c r="T87" i="51"/>
  <c r="M87" i="51"/>
  <c r="I87" i="51"/>
  <c r="E87" i="51"/>
  <c r="T86" i="51"/>
  <c r="M86" i="51"/>
  <c r="I86" i="51"/>
  <c r="E86" i="51"/>
  <c r="T85" i="51"/>
  <c r="M85" i="51"/>
  <c r="I85" i="51"/>
  <c r="E85" i="51"/>
  <c r="T84" i="51"/>
  <c r="M84" i="51"/>
  <c r="I84" i="51"/>
  <c r="E84" i="51"/>
  <c r="T83" i="51"/>
  <c r="M83" i="51"/>
  <c r="I83" i="51"/>
  <c r="E83" i="51"/>
  <c r="T82" i="51"/>
  <c r="M82" i="51"/>
  <c r="I82" i="51"/>
  <c r="E82" i="51"/>
  <c r="T81" i="51"/>
  <c r="M81" i="51"/>
  <c r="I81" i="51"/>
  <c r="E81" i="51"/>
  <c r="T80" i="51"/>
  <c r="M80" i="51"/>
  <c r="I80" i="51"/>
  <c r="E80" i="51"/>
  <c r="T79" i="51"/>
  <c r="M79" i="51"/>
  <c r="I79" i="51"/>
  <c r="E79" i="51"/>
  <c r="T78" i="51"/>
  <c r="M78" i="51"/>
  <c r="I78" i="51"/>
  <c r="E78" i="51"/>
  <c r="T77" i="51"/>
  <c r="M77" i="51"/>
  <c r="I77" i="51"/>
  <c r="E77" i="51"/>
  <c r="T76" i="51"/>
  <c r="M76" i="51"/>
  <c r="I76" i="51"/>
  <c r="E76" i="51"/>
  <c r="T75" i="51"/>
  <c r="M75" i="51"/>
  <c r="I75" i="51"/>
  <c r="E75" i="51"/>
  <c r="T74" i="51"/>
  <c r="M74" i="51"/>
  <c r="I74" i="51"/>
  <c r="E74" i="51"/>
  <c r="T73" i="51"/>
  <c r="M73" i="51"/>
  <c r="I73" i="51"/>
  <c r="E73" i="51"/>
  <c r="T72" i="51"/>
  <c r="M72" i="51"/>
  <c r="I72" i="51"/>
  <c r="E72" i="51"/>
  <c r="T71" i="51"/>
  <c r="M71" i="51"/>
  <c r="I71" i="51"/>
  <c r="E71" i="51"/>
  <c r="T70" i="51"/>
  <c r="M70" i="51"/>
  <c r="I70" i="51"/>
  <c r="E70" i="51"/>
  <c r="T69" i="51"/>
  <c r="M69" i="51"/>
  <c r="I69" i="51"/>
  <c r="E69" i="51"/>
  <c r="T68" i="51"/>
  <c r="M68" i="51"/>
  <c r="I68" i="51"/>
  <c r="E68" i="51"/>
  <c r="T67" i="51"/>
  <c r="M67" i="51"/>
  <c r="I67" i="51"/>
  <c r="E67" i="51"/>
  <c r="T66" i="51"/>
  <c r="M66" i="51"/>
  <c r="I66" i="51"/>
  <c r="E66" i="51"/>
  <c r="T65" i="51"/>
  <c r="M65" i="51"/>
  <c r="I65" i="51"/>
  <c r="E65" i="51"/>
  <c r="T64" i="51"/>
  <c r="M64" i="51"/>
  <c r="I64" i="51"/>
  <c r="E64" i="51"/>
  <c r="T63" i="51"/>
  <c r="N63" i="51"/>
  <c r="T62" i="51"/>
  <c r="N62" i="51"/>
  <c r="T61" i="51"/>
  <c r="M61" i="51"/>
  <c r="I61" i="51"/>
  <c r="E61" i="51"/>
  <c r="T60" i="51"/>
  <c r="M60" i="51"/>
  <c r="I60" i="51"/>
  <c r="E60" i="51"/>
  <c r="T59" i="51"/>
  <c r="M59" i="51"/>
  <c r="I59" i="51"/>
  <c r="E59" i="51"/>
  <c r="T58" i="51"/>
  <c r="M58" i="51"/>
  <c r="I58" i="51"/>
  <c r="E58" i="51"/>
  <c r="T57" i="51"/>
  <c r="M57" i="51"/>
  <c r="I57" i="51"/>
  <c r="E57" i="51"/>
  <c r="T56" i="51"/>
  <c r="M56" i="51"/>
  <c r="I56" i="51"/>
  <c r="E56" i="51"/>
  <c r="T55" i="51"/>
  <c r="M55" i="51"/>
  <c r="I55" i="51"/>
  <c r="E55" i="51"/>
  <c r="T54" i="51"/>
  <c r="M54" i="51"/>
  <c r="I54" i="51"/>
  <c r="E54" i="51"/>
  <c r="T53" i="51"/>
  <c r="M53" i="51"/>
  <c r="I53" i="51"/>
  <c r="E53" i="51"/>
  <c r="T52" i="51"/>
  <c r="M52" i="51"/>
  <c r="I52" i="51"/>
  <c r="E52" i="51"/>
  <c r="T51" i="51"/>
  <c r="M51" i="51"/>
  <c r="I51" i="51"/>
  <c r="E51" i="51"/>
  <c r="T50" i="51"/>
  <c r="M50" i="51"/>
  <c r="I50" i="51"/>
  <c r="E50" i="51"/>
  <c r="T49" i="51"/>
  <c r="M49" i="51"/>
  <c r="I49" i="51"/>
  <c r="E49" i="51"/>
  <c r="T48" i="51"/>
  <c r="M48" i="51"/>
  <c r="I48" i="51"/>
  <c r="E48" i="51"/>
  <c r="T47" i="51"/>
  <c r="M47" i="51"/>
  <c r="I47" i="51"/>
  <c r="E47" i="51"/>
  <c r="T46" i="51"/>
  <c r="M46" i="51"/>
  <c r="I46" i="51"/>
  <c r="E46" i="51"/>
  <c r="T45" i="51"/>
  <c r="M45" i="51"/>
  <c r="I45" i="51"/>
  <c r="E45" i="51"/>
  <c r="T44" i="51"/>
  <c r="M44" i="51"/>
  <c r="I44" i="51"/>
  <c r="E44" i="51"/>
  <c r="T43" i="51"/>
  <c r="M43" i="51"/>
  <c r="I43" i="51"/>
  <c r="E43" i="51"/>
  <c r="T42" i="51"/>
  <c r="M42" i="51"/>
  <c r="I42" i="51"/>
  <c r="E42" i="51"/>
  <c r="T41" i="51"/>
  <c r="M41" i="51"/>
  <c r="I41" i="51"/>
  <c r="E41" i="51"/>
  <c r="T40" i="51"/>
  <c r="M40" i="51"/>
  <c r="I40" i="51"/>
  <c r="E40" i="51"/>
  <c r="T39" i="51"/>
  <c r="M39" i="51"/>
  <c r="I39" i="51"/>
  <c r="E39" i="51"/>
  <c r="T38" i="51"/>
  <c r="M38" i="51"/>
  <c r="I38" i="51"/>
  <c r="E38" i="51"/>
  <c r="T37" i="51"/>
  <c r="M37" i="51"/>
  <c r="I37" i="51"/>
  <c r="E37" i="51"/>
  <c r="T36" i="51"/>
  <c r="N36" i="51"/>
  <c r="T35" i="51"/>
  <c r="N35" i="51"/>
  <c r="T34" i="51"/>
  <c r="M34" i="51"/>
  <c r="I34" i="51"/>
  <c r="E34" i="51"/>
  <c r="T33" i="51"/>
  <c r="M33" i="51"/>
  <c r="I33" i="51"/>
  <c r="E33" i="51"/>
  <c r="T32" i="51"/>
  <c r="M32" i="51"/>
  <c r="I32" i="51"/>
  <c r="E32" i="51"/>
  <c r="T31" i="51"/>
  <c r="M31" i="51"/>
  <c r="I31" i="51"/>
  <c r="E31" i="51"/>
  <c r="T30" i="51"/>
  <c r="M30" i="51"/>
  <c r="I30" i="51"/>
  <c r="E30" i="51"/>
  <c r="T29" i="51"/>
  <c r="M29" i="51"/>
  <c r="I29" i="51"/>
  <c r="E29" i="51"/>
  <c r="T28" i="51"/>
  <c r="M28" i="51"/>
  <c r="I28" i="51"/>
  <c r="E28" i="51"/>
  <c r="T27" i="51"/>
  <c r="M27" i="51"/>
  <c r="I27" i="51"/>
  <c r="E27" i="51"/>
  <c r="T26" i="51"/>
  <c r="M26" i="51"/>
  <c r="I26" i="51"/>
  <c r="E26" i="51"/>
  <c r="T25" i="51"/>
  <c r="M25" i="51"/>
  <c r="I25" i="51"/>
  <c r="E25" i="51"/>
  <c r="T24" i="51"/>
  <c r="M24" i="51"/>
  <c r="I24" i="51"/>
  <c r="E24" i="51"/>
  <c r="T23" i="51"/>
  <c r="M23" i="51"/>
  <c r="I23" i="51"/>
  <c r="E23" i="51"/>
  <c r="T22" i="51"/>
  <c r="M22" i="51"/>
  <c r="I22" i="51"/>
  <c r="E22" i="51"/>
  <c r="T21" i="51"/>
  <c r="M21" i="51"/>
  <c r="I21" i="51"/>
  <c r="E21" i="51"/>
  <c r="T20" i="51"/>
  <c r="M20" i="51"/>
  <c r="I20" i="51"/>
  <c r="E20" i="51"/>
  <c r="T19" i="51"/>
  <c r="M19" i="51"/>
  <c r="I19" i="51"/>
  <c r="E19" i="51"/>
  <c r="T18" i="51"/>
  <c r="M18" i="51"/>
  <c r="I18" i="51"/>
  <c r="E18" i="51"/>
  <c r="T17" i="51"/>
  <c r="M17" i="51"/>
  <c r="I17" i="51"/>
  <c r="E17" i="51"/>
  <c r="T16" i="51"/>
  <c r="M16" i="51"/>
  <c r="I16" i="51"/>
  <c r="E16" i="51"/>
  <c r="T15" i="51"/>
  <c r="M15" i="51"/>
  <c r="I15" i="51"/>
  <c r="E15" i="51"/>
  <c r="T14" i="51"/>
  <c r="M14" i="51"/>
  <c r="I14" i="51"/>
  <c r="E14" i="51"/>
  <c r="T13" i="51"/>
  <c r="M13" i="51"/>
  <c r="I13" i="51"/>
  <c r="E13" i="51"/>
  <c r="T12" i="51"/>
  <c r="M12" i="51"/>
  <c r="I12" i="51"/>
  <c r="E12" i="51"/>
  <c r="T11" i="51"/>
  <c r="M11" i="51"/>
  <c r="I11" i="51"/>
  <c r="E11" i="51"/>
  <c r="T10" i="51"/>
  <c r="M10" i="51"/>
  <c r="I10" i="51"/>
  <c r="E10" i="51"/>
  <c r="T9" i="51"/>
  <c r="I9" i="51"/>
  <c r="T8" i="51"/>
  <c r="I8" i="51"/>
  <c r="T7" i="51"/>
  <c r="I7" i="51"/>
  <c r="T6" i="51"/>
  <c r="I6" i="51"/>
  <c r="T5" i="51"/>
  <c r="I5" i="51"/>
  <c r="T4" i="51"/>
  <c r="I4" i="51"/>
  <c r="T3" i="51"/>
  <c r="I3" i="51"/>
  <c r="T2" i="51"/>
  <c r="I2" i="51"/>
  <c r="S10" i="50"/>
  <c r="M10" i="50"/>
  <c r="S9" i="50"/>
  <c r="M9" i="50"/>
  <c r="S8" i="50"/>
  <c r="M8" i="50"/>
  <c r="S7" i="50"/>
  <c r="M7" i="50"/>
  <c r="S6" i="50"/>
  <c r="M6" i="50"/>
  <c r="S5" i="50"/>
  <c r="M5" i="50"/>
  <c r="S4" i="50"/>
  <c r="M4" i="50"/>
  <c r="S3" i="50"/>
  <c r="M3" i="50"/>
  <c r="S6" i="49"/>
  <c r="M6" i="49"/>
  <c r="S5" i="49"/>
  <c r="M5" i="49"/>
  <c r="S4" i="49"/>
  <c r="M4" i="49"/>
  <c r="S3" i="49"/>
  <c r="M3" i="49"/>
  <c r="S34" i="48"/>
  <c r="M34" i="48"/>
  <c r="S33" i="48"/>
  <c r="M33" i="48"/>
  <c r="S32" i="48"/>
  <c r="M32" i="48"/>
  <c r="S31" i="48"/>
  <c r="M31" i="48"/>
  <c r="S30" i="48"/>
  <c r="M30" i="48"/>
  <c r="S29" i="48"/>
  <c r="M29" i="48"/>
  <c r="S28" i="48"/>
  <c r="M28" i="48"/>
  <c r="S27" i="48"/>
  <c r="M27" i="48"/>
  <c r="S26" i="48"/>
  <c r="M26" i="48"/>
  <c r="S25" i="48"/>
  <c r="M25" i="48"/>
  <c r="S24" i="48"/>
  <c r="M24" i="48"/>
  <c r="S23" i="48"/>
  <c r="M23" i="48"/>
  <c r="S22" i="48"/>
  <c r="M22" i="48"/>
  <c r="S21" i="48"/>
  <c r="M21" i="48"/>
  <c r="S20" i="48"/>
  <c r="M20" i="48"/>
  <c r="S19" i="48"/>
  <c r="M19" i="48"/>
  <c r="S18" i="48"/>
  <c r="M18" i="48"/>
  <c r="S17" i="48"/>
  <c r="M17" i="48"/>
  <c r="S16" i="48"/>
  <c r="M16" i="48"/>
  <c r="S15" i="48"/>
  <c r="M15" i="48"/>
  <c r="S14" i="48"/>
  <c r="M14" i="48"/>
  <c r="S13" i="48"/>
  <c r="M13" i="48"/>
  <c r="S12" i="48"/>
  <c r="M12" i="48"/>
  <c r="S11" i="48"/>
  <c r="M11" i="48"/>
  <c r="S10" i="48"/>
  <c r="M10" i="48"/>
  <c r="S9" i="48"/>
  <c r="M9" i="48"/>
  <c r="S8" i="48"/>
  <c r="M8" i="48"/>
  <c r="S7" i="48"/>
  <c r="M7" i="48"/>
  <c r="S6" i="48"/>
  <c r="M6" i="48"/>
  <c r="S5" i="48"/>
  <c r="M5" i="48"/>
  <c r="S4" i="48"/>
  <c r="M4" i="48"/>
  <c r="S3" i="48"/>
  <c r="M3" i="48"/>
  <c r="AB10" i="47"/>
  <c r="S9" i="47"/>
  <c r="M9" i="47"/>
  <c r="S8" i="47"/>
  <c r="M8" i="47"/>
  <c r="S7" i="47"/>
  <c r="L7" i="47"/>
  <c r="H7" i="47"/>
  <c r="S6" i="47"/>
  <c r="L6" i="47"/>
  <c r="H6" i="47"/>
  <c r="S5" i="47"/>
  <c r="L5" i="47"/>
  <c r="H5" i="47"/>
  <c r="S4" i="47"/>
  <c r="L4" i="47"/>
  <c r="H4" i="47"/>
  <c r="S3" i="47"/>
  <c r="L3" i="47"/>
  <c r="H3" i="47"/>
  <c r="S2" i="47"/>
  <c r="L2" i="47"/>
  <c r="H2" i="47"/>
  <c r="AB62" i="46"/>
  <c r="S61" i="46"/>
  <c r="M61" i="46"/>
  <c r="S60" i="46"/>
  <c r="M60" i="46"/>
  <c r="S59" i="46"/>
  <c r="M59" i="46"/>
  <c r="S58" i="46"/>
  <c r="M58" i="46"/>
  <c r="S57" i="46"/>
  <c r="M57" i="46"/>
  <c r="S56" i="46"/>
  <c r="M56" i="46"/>
  <c r="S55" i="46"/>
  <c r="M55" i="46"/>
  <c r="S54" i="46"/>
  <c r="M54" i="46"/>
  <c r="S53" i="46"/>
  <c r="M53" i="46"/>
  <c r="S52" i="46"/>
  <c r="M52" i="46"/>
  <c r="S51" i="46"/>
  <c r="M51" i="46"/>
  <c r="S50" i="46"/>
  <c r="M50" i="46"/>
  <c r="S49" i="46"/>
  <c r="M49" i="46"/>
  <c r="S48" i="46"/>
  <c r="M48" i="46"/>
  <c r="S47" i="46"/>
  <c r="M47" i="46"/>
  <c r="S46" i="46"/>
  <c r="M46" i="46"/>
  <c r="S45" i="46"/>
  <c r="M45" i="46"/>
  <c r="S44" i="46"/>
  <c r="M44" i="46"/>
  <c r="S43" i="46"/>
  <c r="M43" i="46"/>
  <c r="S42" i="46"/>
  <c r="M42" i="46"/>
  <c r="S41" i="46"/>
  <c r="M41" i="46"/>
  <c r="S40" i="46"/>
  <c r="M40" i="46"/>
  <c r="S39" i="46"/>
  <c r="M39" i="46"/>
  <c r="S38" i="46"/>
  <c r="M38" i="46"/>
  <c r="S37" i="46"/>
  <c r="M37" i="46"/>
  <c r="S36" i="46"/>
  <c r="M36" i="46"/>
  <c r="S35" i="46"/>
  <c r="M35" i="46"/>
  <c r="S34" i="46"/>
  <c r="M34" i="46"/>
  <c r="S33" i="46"/>
  <c r="M33" i="46"/>
  <c r="S32" i="46"/>
  <c r="M32" i="46"/>
  <c r="S31" i="46"/>
  <c r="M31" i="46"/>
  <c r="S30" i="46"/>
  <c r="M30" i="46"/>
  <c r="S29" i="46"/>
  <c r="M29" i="46"/>
  <c r="S28" i="46"/>
  <c r="M28" i="46"/>
  <c r="S27" i="46"/>
  <c r="M27" i="46"/>
  <c r="S26" i="46"/>
  <c r="M26" i="46"/>
  <c r="S25" i="46"/>
  <c r="M25" i="46"/>
  <c r="S24" i="46"/>
  <c r="M24" i="46"/>
  <c r="S23" i="46"/>
  <c r="M23" i="46"/>
  <c r="S22" i="46"/>
  <c r="M22" i="46"/>
  <c r="S21" i="46"/>
  <c r="M21" i="46"/>
  <c r="S20" i="46"/>
  <c r="M20" i="46"/>
  <c r="S19" i="46"/>
  <c r="M19" i="46"/>
  <c r="S18" i="46"/>
  <c r="M18" i="46"/>
  <c r="S17" i="46"/>
  <c r="M17" i="46"/>
  <c r="S16" i="46"/>
  <c r="M16" i="46"/>
  <c r="S15" i="46"/>
  <c r="M15" i="46"/>
  <c r="S14" i="46"/>
  <c r="M14" i="46"/>
  <c r="S13" i="46"/>
  <c r="M13" i="46"/>
  <c r="S12" i="46"/>
  <c r="M12" i="46"/>
  <c r="S11" i="46"/>
  <c r="M11" i="46"/>
  <c r="S10" i="46"/>
  <c r="M10" i="46"/>
  <c r="S9" i="46"/>
  <c r="M9" i="46"/>
  <c r="S8" i="46"/>
  <c r="M8" i="46"/>
  <c r="S7" i="46"/>
  <c r="M7" i="46"/>
  <c r="S6" i="46"/>
  <c r="M6" i="46"/>
  <c r="S5" i="46"/>
  <c r="M5" i="46"/>
  <c r="S4" i="46"/>
  <c r="M4" i="46"/>
  <c r="S3" i="46"/>
  <c r="M3" i="46"/>
  <c r="S2" i="46"/>
  <c r="M2" i="46"/>
  <c r="AB114" i="45"/>
  <c r="S113" i="45"/>
  <c r="M113" i="45"/>
  <c r="S112" i="45"/>
  <c r="M112" i="45"/>
  <c r="S111" i="45"/>
  <c r="M111" i="45"/>
  <c r="S110" i="45"/>
  <c r="M110" i="45"/>
  <c r="S109" i="45"/>
  <c r="M109" i="45"/>
  <c r="S108" i="45"/>
  <c r="M108" i="45"/>
  <c r="S107" i="45"/>
  <c r="M107" i="45"/>
  <c r="S106" i="45"/>
  <c r="M106" i="45"/>
  <c r="S105" i="45"/>
  <c r="M105" i="45"/>
  <c r="S104" i="45"/>
  <c r="M104" i="45"/>
  <c r="S103" i="45"/>
  <c r="M103" i="45"/>
  <c r="S102" i="45"/>
  <c r="M102" i="45"/>
  <c r="S101" i="45"/>
  <c r="M101" i="45"/>
  <c r="S100" i="45"/>
  <c r="M100" i="45"/>
  <c r="S99" i="45"/>
  <c r="M99" i="45"/>
  <c r="S98" i="45"/>
  <c r="M98" i="45"/>
  <c r="S97" i="45"/>
  <c r="M97" i="45"/>
  <c r="S96" i="45"/>
  <c r="M96" i="45"/>
  <c r="S95" i="45"/>
  <c r="M95" i="45"/>
  <c r="S94" i="45"/>
  <c r="M94" i="45"/>
  <c r="S93" i="45"/>
  <c r="M93" i="45"/>
  <c r="S92" i="45"/>
  <c r="M92" i="45"/>
  <c r="S91" i="45"/>
  <c r="M91" i="45"/>
  <c r="S90" i="45"/>
  <c r="M90" i="45"/>
  <c r="S89" i="45"/>
  <c r="M89" i="45"/>
  <c r="S88" i="45"/>
  <c r="M88" i="45"/>
  <c r="S87" i="45"/>
  <c r="M87" i="45"/>
  <c r="S86" i="45"/>
  <c r="M86" i="45"/>
  <c r="S85" i="45"/>
  <c r="M85" i="45"/>
  <c r="S84" i="45"/>
  <c r="M84" i="45"/>
  <c r="S83" i="45"/>
  <c r="M83" i="45"/>
  <c r="S82" i="45"/>
  <c r="M82" i="45"/>
  <c r="S81" i="45"/>
  <c r="M81" i="45"/>
  <c r="S80" i="45"/>
  <c r="M80" i="45"/>
  <c r="S79" i="45"/>
  <c r="M79" i="45"/>
  <c r="S78" i="45"/>
  <c r="M78" i="45"/>
  <c r="S77" i="45"/>
  <c r="M77" i="45"/>
  <c r="S76" i="45"/>
  <c r="M76" i="45"/>
  <c r="S75" i="45"/>
  <c r="M75" i="45"/>
  <c r="S74" i="45"/>
  <c r="M74" i="45"/>
  <c r="S73" i="45"/>
  <c r="M73" i="45"/>
  <c r="S72" i="45"/>
  <c r="M72" i="45"/>
  <c r="S71" i="45"/>
  <c r="M71" i="45"/>
  <c r="S70" i="45"/>
  <c r="M70" i="45"/>
  <c r="S69" i="45"/>
  <c r="M69" i="45"/>
  <c r="S68" i="45"/>
  <c r="M68" i="45"/>
  <c r="S67" i="45"/>
  <c r="M67" i="45"/>
  <c r="S66" i="45"/>
  <c r="M66" i="45"/>
  <c r="S65" i="45"/>
  <c r="M65" i="45"/>
  <c r="S64" i="45"/>
  <c r="M64" i="45"/>
  <c r="S63" i="45"/>
  <c r="M63" i="45"/>
  <c r="S62" i="45"/>
  <c r="M62" i="45"/>
  <c r="S61" i="45"/>
  <c r="M61" i="45"/>
  <c r="S60" i="45"/>
  <c r="M60" i="45"/>
  <c r="S59" i="45"/>
  <c r="M59" i="45"/>
  <c r="S58" i="45"/>
  <c r="M58" i="45"/>
  <c r="S57" i="45"/>
  <c r="M57" i="45"/>
  <c r="S56" i="45"/>
  <c r="M56" i="45"/>
  <c r="S55" i="45"/>
  <c r="M55" i="45"/>
  <c r="S54" i="45"/>
  <c r="M54" i="45"/>
  <c r="S53" i="45"/>
  <c r="M53" i="45"/>
  <c r="S52" i="45"/>
  <c r="M52" i="45"/>
  <c r="S51" i="45"/>
  <c r="M51" i="45"/>
  <c r="S50" i="45"/>
  <c r="M50" i="45"/>
  <c r="S49" i="45"/>
  <c r="M49" i="45"/>
  <c r="S48" i="45"/>
  <c r="M48" i="45"/>
  <c r="S47" i="45"/>
  <c r="M47" i="45"/>
  <c r="S46" i="45"/>
  <c r="M46" i="45"/>
  <c r="S45" i="45"/>
  <c r="M45" i="45"/>
  <c r="S44" i="45"/>
  <c r="M44" i="45"/>
  <c r="S43" i="45"/>
  <c r="M43" i="45"/>
  <c r="S42" i="45"/>
  <c r="M42" i="45"/>
  <c r="S41" i="45"/>
  <c r="M41" i="45"/>
  <c r="S40" i="45"/>
  <c r="M40" i="45"/>
  <c r="S39" i="45"/>
  <c r="M39" i="45"/>
  <c r="S38" i="45"/>
  <c r="M38" i="45"/>
  <c r="S37" i="45"/>
  <c r="M37" i="45"/>
  <c r="S36" i="45"/>
  <c r="M36" i="45"/>
  <c r="S35" i="45"/>
  <c r="M35" i="45"/>
  <c r="S34" i="45"/>
  <c r="M34" i="45"/>
  <c r="S33" i="45"/>
  <c r="M33" i="45"/>
  <c r="S32" i="45"/>
  <c r="M32" i="45"/>
  <c r="S31" i="45"/>
  <c r="M31" i="45"/>
  <c r="S30" i="45"/>
  <c r="M30" i="45"/>
  <c r="S29" i="45"/>
  <c r="M29" i="45"/>
  <c r="S28" i="45"/>
  <c r="M28" i="45"/>
  <c r="S27" i="45"/>
  <c r="M27" i="45"/>
  <c r="S26" i="45"/>
  <c r="M26" i="45"/>
  <c r="S25" i="45"/>
  <c r="M25" i="45"/>
  <c r="S24" i="45"/>
  <c r="M24" i="45"/>
  <c r="S23" i="45"/>
  <c r="M23" i="45"/>
  <c r="S22" i="45"/>
  <c r="M22" i="45"/>
  <c r="S21" i="45"/>
  <c r="M21" i="45"/>
  <c r="S20" i="45"/>
  <c r="M20" i="45"/>
  <c r="S19" i="45"/>
  <c r="M19" i="45"/>
  <c r="S18" i="45"/>
  <c r="M18" i="45"/>
  <c r="S17" i="45"/>
  <c r="M17" i="45"/>
  <c r="S16" i="45"/>
  <c r="M16" i="45"/>
  <c r="S15" i="45"/>
  <c r="M15" i="45"/>
  <c r="S14" i="45"/>
  <c r="M14" i="45"/>
  <c r="S13" i="45"/>
  <c r="M13" i="45"/>
  <c r="S12" i="45"/>
  <c r="M12" i="45"/>
  <c r="S11" i="45"/>
  <c r="M11" i="45"/>
  <c r="S10" i="45"/>
  <c r="M10" i="45"/>
  <c r="S9" i="45"/>
  <c r="M9" i="45"/>
  <c r="S8" i="45"/>
  <c r="M8" i="45"/>
  <c r="S7" i="45"/>
  <c r="M7" i="45"/>
  <c r="S6" i="45"/>
  <c r="M6" i="45"/>
  <c r="S5" i="45"/>
  <c r="M5" i="45"/>
  <c r="S4" i="45"/>
  <c r="M4" i="45"/>
  <c r="S3" i="45"/>
  <c r="M3" i="45"/>
  <c r="S2" i="45"/>
  <c r="M2" i="45"/>
  <c r="AB86" i="44"/>
  <c r="S85" i="44"/>
  <c r="J85" i="44"/>
  <c r="S84" i="44"/>
  <c r="J84" i="44"/>
  <c r="S83" i="44"/>
  <c r="J83" i="44"/>
  <c r="S82" i="44"/>
  <c r="J82" i="44"/>
  <c r="S81" i="44"/>
  <c r="J81" i="44"/>
  <c r="S80" i="44"/>
  <c r="J80" i="44"/>
  <c r="S79" i="44"/>
  <c r="M79" i="44"/>
  <c r="S78" i="44"/>
  <c r="M78" i="44"/>
  <c r="S77" i="44"/>
  <c r="M77" i="44"/>
  <c r="S76" i="44"/>
  <c r="M76" i="44"/>
  <c r="S75" i="44"/>
  <c r="M75" i="44"/>
  <c r="S74" i="44"/>
  <c r="M74" i="44"/>
  <c r="S73" i="44"/>
  <c r="M73" i="44"/>
  <c r="S72" i="44"/>
  <c r="M72" i="44"/>
  <c r="S71" i="44"/>
  <c r="M71" i="44"/>
  <c r="S70" i="44"/>
  <c r="M70" i="44"/>
  <c r="S69" i="44"/>
  <c r="M69" i="44"/>
  <c r="S68" i="44"/>
  <c r="M68" i="44"/>
  <c r="S67" i="44"/>
  <c r="M67" i="44"/>
  <c r="S66" i="44"/>
  <c r="M66" i="44"/>
  <c r="S65" i="44"/>
  <c r="M65" i="44"/>
  <c r="S64" i="44"/>
  <c r="M64" i="44"/>
  <c r="S63" i="44"/>
  <c r="M63" i="44"/>
  <c r="S62" i="44"/>
  <c r="M62" i="44"/>
  <c r="S61" i="44"/>
  <c r="M61" i="44"/>
  <c r="S60" i="44"/>
  <c r="M60" i="44"/>
  <c r="S59" i="44"/>
  <c r="M59" i="44"/>
  <c r="S58" i="44"/>
  <c r="M58" i="44"/>
  <c r="S57" i="44"/>
  <c r="M57" i="44"/>
  <c r="S56" i="44"/>
  <c r="M56" i="44"/>
  <c r="S55" i="44"/>
  <c r="J55" i="44"/>
  <c r="S54" i="44"/>
  <c r="J54" i="44"/>
  <c r="S53" i="44"/>
  <c r="J53" i="44"/>
  <c r="S52" i="44"/>
  <c r="J52" i="44"/>
  <c r="S51" i="44"/>
  <c r="J51" i="44"/>
  <c r="S50" i="44"/>
  <c r="J50" i="44"/>
  <c r="S49" i="44"/>
  <c r="M49" i="44"/>
  <c r="S48" i="44"/>
  <c r="M48" i="44"/>
  <c r="S47" i="44"/>
  <c r="M47" i="44"/>
  <c r="S46" i="44"/>
  <c r="M46" i="44"/>
  <c r="S45" i="44"/>
  <c r="M45" i="44"/>
  <c r="S44" i="44"/>
  <c r="M44" i="44"/>
  <c r="S43" i="44"/>
  <c r="M43" i="44"/>
  <c r="S42" i="44"/>
  <c r="M42" i="44"/>
  <c r="S41" i="44"/>
  <c r="M41" i="44"/>
  <c r="S40" i="44"/>
  <c r="M40" i="44"/>
  <c r="S39" i="44"/>
  <c r="M39" i="44"/>
  <c r="S38" i="44"/>
  <c r="M38" i="44"/>
  <c r="S37" i="44"/>
  <c r="M37" i="44"/>
  <c r="S36" i="44"/>
  <c r="M36" i="44"/>
  <c r="S35" i="44"/>
  <c r="M35" i="44"/>
  <c r="S34" i="44"/>
  <c r="M34" i="44"/>
  <c r="S33" i="44"/>
  <c r="M33" i="44"/>
  <c r="S32" i="44"/>
  <c r="M32" i="44"/>
  <c r="S31" i="44"/>
  <c r="M31" i="44"/>
  <c r="S30" i="44"/>
  <c r="M30" i="44"/>
  <c r="S29" i="44"/>
  <c r="M29" i="44"/>
  <c r="S28" i="44"/>
  <c r="M28" i="44"/>
  <c r="S27" i="44"/>
  <c r="M27" i="44"/>
  <c r="S26" i="44"/>
  <c r="M26" i="44"/>
  <c r="S25" i="44"/>
  <c r="M25" i="44"/>
  <c r="S24" i="44"/>
  <c r="M24" i="44"/>
  <c r="S23" i="44"/>
  <c r="M23" i="44"/>
  <c r="S22" i="44"/>
  <c r="M22" i="44"/>
  <c r="S21" i="44"/>
  <c r="M21" i="44"/>
  <c r="S20" i="44"/>
  <c r="M20" i="44"/>
  <c r="S19" i="44"/>
  <c r="M19" i="44"/>
  <c r="S18" i="44"/>
  <c r="M18" i="44"/>
  <c r="S17" i="44"/>
  <c r="M17" i="44"/>
  <c r="S16" i="44"/>
  <c r="M16" i="44"/>
  <c r="S15" i="44"/>
  <c r="M15" i="44"/>
  <c r="S14" i="44"/>
  <c r="M14" i="44"/>
  <c r="S13" i="44"/>
  <c r="M13" i="44"/>
  <c r="S12" i="44"/>
  <c r="M12" i="44"/>
  <c r="S11" i="44"/>
  <c r="M11" i="44"/>
  <c r="S10" i="44"/>
  <c r="M10" i="44"/>
  <c r="S9" i="44"/>
  <c r="M9" i="44"/>
  <c r="S8" i="44"/>
  <c r="M8" i="44"/>
  <c r="S7" i="44"/>
  <c r="M7" i="44"/>
  <c r="S6" i="44"/>
  <c r="M6" i="44"/>
  <c r="S5" i="44"/>
  <c r="M5" i="44"/>
  <c r="S4" i="44"/>
  <c r="M4" i="44"/>
  <c r="S3" i="44"/>
  <c r="M3" i="44"/>
  <c r="S2" i="44"/>
  <c r="M2" i="44"/>
  <c r="AB208" i="43"/>
  <c r="S207" i="43"/>
  <c r="M207" i="43"/>
  <c r="S206" i="43"/>
  <c r="M206" i="43"/>
  <c r="S205" i="43"/>
  <c r="M205" i="43"/>
  <c r="S204" i="43"/>
  <c r="M204" i="43"/>
  <c r="S203" i="43"/>
  <c r="M203" i="43"/>
  <c r="S202" i="43"/>
  <c r="M202" i="43"/>
  <c r="S201" i="43"/>
  <c r="M201" i="43"/>
  <c r="S200" i="43"/>
  <c r="M200" i="43"/>
  <c r="S199" i="43"/>
  <c r="M199" i="43"/>
  <c r="S198" i="43"/>
  <c r="M198" i="43"/>
  <c r="S197" i="43"/>
  <c r="M197" i="43"/>
  <c r="S196" i="43"/>
  <c r="M196" i="43"/>
  <c r="S195" i="43"/>
  <c r="M195" i="43"/>
  <c r="S194" i="43"/>
  <c r="M194" i="43"/>
  <c r="S193" i="43"/>
  <c r="M193" i="43"/>
  <c r="S192" i="43"/>
  <c r="M192" i="43"/>
  <c r="S191" i="43"/>
  <c r="M191" i="43"/>
  <c r="S190" i="43"/>
  <c r="M190" i="43"/>
  <c r="S189" i="43"/>
  <c r="M189" i="43"/>
  <c r="S188" i="43"/>
  <c r="M188" i="43"/>
  <c r="S187" i="43"/>
  <c r="M187" i="43"/>
  <c r="S186" i="43"/>
  <c r="M186" i="43"/>
  <c r="S185" i="43"/>
  <c r="M185" i="43"/>
  <c r="S184" i="43"/>
  <c r="M184" i="43"/>
  <c r="S183" i="43"/>
  <c r="M183" i="43"/>
  <c r="S182" i="43"/>
  <c r="M182" i="43"/>
  <c r="S181" i="43"/>
  <c r="M181" i="43"/>
  <c r="S180" i="43"/>
  <c r="M180" i="43"/>
  <c r="S179" i="43"/>
  <c r="M179" i="43"/>
  <c r="S178" i="43"/>
  <c r="M178" i="43"/>
  <c r="S177" i="43"/>
  <c r="M177" i="43"/>
  <c r="S176" i="43"/>
  <c r="M176" i="43"/>
  <c r="S175" i="43"/>
  <c r="M175" i="43"/>
  <c r="S174" i="43"/>
  <c r="M174" i="43"/>
  <c r="S173" i="43"/>
  <c r="M173" i="43"/>
  <c r="S172" i="43"/>
  <c r="M172" i="43"/>
  <c r="S171" i="43"/>
  <c r="M171" i="43"/>
  <c r="S170" i="43"/>
  <c r="M170" i="43"/>
  <c r="S169" i="43"/>
  <c r="M169" i="43"/>
  <c r="S168" i="43"/>
  <c r="M168" i="43"/>
  <c r="S167" i="43"/>
  <c r="M167" i="43"/>
  <c r="S166" i="43"/>
  <c r="M166" i="43"/>
  <c r="S165" i="43"/>
  <c r="M165" i="43"/>
  <c r="S164" i="43"/>
  <c r="M164" i="43"/>
  <c r="S163" i="43"/>
  <c r="M163" i="43"/>
  <c r="S162" i="43"/>
  <c r="M162" i="43"/>
  <c r="S161" i="43"/>
  <c r="M161" i="43"/>
  <c r="S160" i="43"/>
  <c r="M160" i="43"/>
  <c r="S159" i="43"/>
  <c r="M159" i="43"/>
  <c r="S158" i="43"/>
  <c r="M158" i="43"/>
  <c r="S157" i="43"/>
  <c r="M157" i="43"/>
  <c r="S156" i="43"/>
  <c r="M156" i="43"/>
  <c r="S155" i="43"/>
  <c r="M155" i="43"/>
  <c r="S154" i="43"/>
  <c r="M154" i="43"/>
  <c r="S153" i="43"/>
  <c r="M153" i="43"/>
  <c r="S152" i="43"/>
  <c r="M152" i="43"/>
  <c r="S151" i="43"/>
  <c r="M151" i="43"/>
  <c r="S150" i="43"/>
  <c r="M150" i="43"/>
  <c r="S149" i="43"/>
  <c r="M149" i="43"/>
  <c r="S148" i="43"/>
  <c r="M148" i="43"/>
  <c r="S147" i="43"/>
  <c r="M147" i="43"/>
  <c r="S146" i="43"/>
  <c r="M146" i="43"/>
  <c r="S145" i="43"/>
  <c r="M145" i="43"/>
  <c r="S144" i="43"/>
  <c r="M144" i="43"/>
  <c r="S143" i="43"/>
  <c r="M143" i="43"/>
  <c r="S142" i="43"/>
  <c r="M142" i="43"/>
  <c r="S141" i="43"/>
  <c r="M141" i="43"/>
  <c r="S140" i="43"/>
  <c r="M140" i="43"/>
  <c r="S139" i="43"/>
  <c r="M139" i="43"/>
  <c r="S138" i="43"/>
  <c r="M138" i="43"/>
  <c r="S137" i="43"/>
  <c r="M137" i="43"/>
  <c r="S136" i="43"/>
  <c r="M136" i="43"/>
  <c r="S135" i="43"/>
  <c r="M135" i="43"/>
  <c r="S134" i="43"/>
  <c r="M134" i="43"/>
  <c r="S133" i="43"/>
  <c r="M133" i="43"/>
  <c r="S132" i="43"/>
  <c r="M132" i="43"/>
  <c r="S131" i="43"/>
  <c r="M131" i="43"/>
  <c r="S130" i="43"/>
  <c r="M130" i="43"/>
  <c r="S129" i="43"/>
  <c r="M129" i="43"/>
  <c r="S128" i="43"/>
  <c r="M128" i="43"/>
  <c r="S127" i="43"/>
  <c r="M127" i="43"/>
  <c r="S126" i="43"/>
  <c r="M126" i="43"/>
  <c r="S125" i="43"/>
  <c r="M125" i="43"/>
  <c r="S124" i="43"/>
  <c r="M124" i="43"/>
  <c r="S123" i="43"/>
  <c r="M123" i="43"/>
  <c r="S122" i="43"/>
  <c r="M122" i="43"/>
  <c r="S121" i="43"/>
  <c r="M121" i="43"/>
  <c r="S120" i="43"/>
  <c r="M120" i="43"/>
  <c r="S119" i="43"/>
  <c r="M119" i="43"/>
  <c r="S118" i="43"/>
  <c r="M118" i="43"/>
  <c r="S117" i="43"/>
  <c r="M117" i="43"/>
  <c r="S116" i="43"/>
  <c r="M116" i="43"/>
  <c r="S115" i="43"/>
  <c r="M115" i="43"/>
  <c r="S114" i="43"/>
  <c r="M114" i="43"/>
  <c r="S113" i="43"/>
  <c r="M113" i="43"/>
  <c r="S112" i="43"/>
  <c r="M112" i="43"/>
  <c r="S111" i="43"/>
  <c r="M111" i="43"/>
  <c r="S110" i="43"/>
  <c r="M110" i="43"/>
  <c r="S109" i="43"/>
  <c r="M109" i="43"/>
  <c r="S108" i="43"/>
  <c r="M108" i="43"/>
  <c r="S107" i="43"/>
  <c r="M107" i="43"/>
  <c r="S106" i="43"/>
  <c r="M106" i="43"/>
  <c r="S105" i="43"/>
  <c r="M105" i="43"/>
  <c r="S104" i="43"/>
  <c r="M104" i="43"/>
  <c r="S103" i="43"/>
  <c r="M103" i="43"/>
  <c r="S102" i="43"/>
  <c r="M102" i="43"/>
  <c r="S101" i="43"/>
  <c r="M101" i="43"/>
  <c r="S100" i="43"/>
  <c r="M100" i="43"/>
  <c r="S99" i="43"/>
  <c r="M99" i="43"/>
  <c r="S98" i="43"/>
  <c r="M98" i="43"/>
  <c r="S97" i="43"/>
  <c r="M97" i="43"/>
  <c r="S96" i="43"/>
  <c r="M96" i="43"/>
  <c r="S95" i="43"/>
  <c r="M95" i="43"/>
  <c r="S94" i="43"/>
  <c r="M94" i="43"/>
  <c r="S93" i="43"/>
  <c r="M93" i="43"/>
  <c r="S92" i="43"/>
  <c r="M92" i="43"/>
  <c r="S91" i="43"/>
  <c r="M91" i="43"/>
  <c r="S90" i="43"/>
  <c r="M90" i="43"/>
  <c r="S89" i="43"/>
  <c r="M89" i="43"/>
  <c r="S88" i="43"/>
  <c r="M88" i="43"/>
  <c r="S87" i="43"/>
  <c r="M87" i="43"/>
  <c r="S86" i="43"/>
  <c r="M86" i="43"/>
  <c r="S85" i="43"/>
  <c r="M85" i="43"/>
  <c r="S84" i="43"/>
  <c r="M84" i="43"/>
  <c r="S83" i="43"/>
  <c r="M83" i="43"/>
  <c r="S82" i="43"/>
  <c r="M82" i="43"/>
  <c r="S81" i="43"/>
  <c r="M81" i="43"/>
  <c r="S80" i="43"/>
  <c r="M80" i="43"/>
  <c r="S79" i="43"/>
  <c r="M79" i="43"/>
  <c r="S78" i="43"/>
  <c r="M78" i="43"/>
  <c r="S77" i="43"/>
  <c r="M77" i="43"/>
  <c r="S76" i="43"/>
  <c r="M76" i="43"/>
  <c r="S75" i="43"/>
  <c r="M75" i="43"/>
  <c r="S74" i="43"/>
  <c r="M74" i="43"/>
  <c r="S73" i="43"/>
  <c r="M73" i="43"/>
  <c r="S72" i="43"/>
  <c r="M72" i="43"/>
  <c r="S71" i="43"/>
  <c r="M71" i="43"/>
  <c r="S70" i="43"/>
  <c r="M70" i="43"/>
  <c r="S69" i="43"/>
  <c r="M69" i="43"/>
  <c r="S68" i="43"/>
  <c r="M68" i="43"/>
  <c r="S67" i="43"/>
  <c r="M67" i="43"/>
  <c r="S66" i="43"/>
  <c r="M66" i="43"/>
  <c r="S65" i="43"/>
  <c r="M65" i="43"/>
  <c r="S64" i="43"/>
  <c r="M64" i="43"/>
  <c r="S63" i="43"/>
  <c r="M63" i="43"/>
  <c r="S62" i="43"/>
  <c r="M62" i="43"/>
  <c r="S61" i="43"/>
  <c r="M61" i="43"/>
  <c r="S60" i="43"/>
  <c r="M60" i="43"/>
  <c r="S59" i="43"/>
  <c r="M59" i="43"/>
  <c r="S58" i="43"/>
  <c r="M58" i="43"/>
  <c r="S57" i="43"/>
  <c r="M57" i="43"/>
  <c r="S56" i="43"/>
  <c r="M56" i="43"/>
  <c r="S55" i="43"/>
  <c r="M55" i="43"/>
  <c r="S54" i="43"/>
  <c r="M54" i="43"/>
  <c r="S53" i="43"/>
  <c r="M53" i="43"/>
  <c r="S52" i="43"/>
  <c r="M52" i="43"/>
  <c r="S51" i="43"/>
  <c r="M51" i="43"/>
  <c r="S50" i="43"/>
  <c r="M50" i="43"/>
  <c r="S49" i="43"/>
  <c r="M49" i="43"/>
  <c r="S48" i="43"/>
  <c r="M48" i="43"/>
  <c r="S47" i="43"/>
  <c r="M47" i="43"/>
  <c r="S46" i="43"/>
  <c r="M46" i="43"/>
  <c r="S45" i="43"/>
  <c r="M45" i="43"/>
  <c r="S44" i="43"/>
  <c r="M44" i="43"/>
  <c r="S43" i="43"/>
  <c r="M43" i="43"/>
  <c r="S42" i="43"/>
  <c r="M42" i="43"/>
  <c r="S41" i="43"/>
  <c r="M41" i="43"/>
  <c r="S40" i="43"/>
  <c r="M40" i="43"/>
  <c r="S39" i="43"/>
  <c r="M39" i="43"/>
  <c r="S38" i="43"/>
  <c r="M38" i="43"/>
  <c r="S37" i="43"/>
  <c r="M37" i="43"/>
  <c r="S36" i="43"/>
  <c r="M36" i="43"/>
  <c r="S35" i="43"/>
  <c r="M35" i="43"/>
  <c r="S34" i="43"/>
  <c r="M34" i="43"/>
  <c r="S33" i="43"/>
  <c r="M33" i="43"/>
  <c r="S32" i="43"/>
  <c r="M32" i="43"/>
  <c r="S31" i="43"/>
  <c r="M31" i="43"/>
  <c r="S30" i="43"/>
  <c r="M30" i="43"/>
  <c r="S29" i="43"/>
  <c r="M29" i="43"/>
  <c r="S28" i="43"/>
  <c r="M28" i="43"/>
  <c r="S27" i="43"/>
  <c r="M27" i="43"/>
  <c r="S26" i="43"/>
  <c r="M26" i="43"/>
  <c r="S25" i="43"/>
  <c r="M25" i="43"/>
  <c r="S24" i="43"/>
  <c r="M24" i="43"/>
  <c r="S23" i="43"/>
  <c r="M23" i="43"/>
  <c r="S22" i="43"/>
  <c r="M22" i="43"/>
  <c r="S21" i="43"/>
  <c r="M21" i="43"/>
  <c r="S20" i="43"/>
  <c r="M20" i="43"/>
  <c r="S19" i="43"/>
  <c r="M19" i="43"/>
  <c r="S18" i="43"/>
  <c r="M18" i="43"/>
  <c r="S17" i="43"/>
  <c r="M17" i="43"/>
  <c r="S16" i="43"/>
  <c r="M16" i="43"/>
  <c r="S15" i="43"/>
  <c r="M15" i="43"/>
  <c r="S14" i="43"/>
  <c r="M14" i="43"/>
  <c r="S13" i="43"/>
  <c r="M13" i="43"/>
  <c r="S12" i="43"/>
  <c r="M12" i="43"/>
  <c r="S11" i="43"/>
  <c r="M11" i="43"/>
  <c r="S10" i="43"/>
  <c r="M10" i="43"/>
  <c r="S9" i="43"/>
  <c r="M9" i="43"/>
  <c r="S8" i="43"/>
  <c r="M8" i="43"/>
  <c r="S7" i="43"/>
  <c r="M7" i="43"/>
  <c r="S6" i="43"/>
  <c r="M6" i="43"/>
  <c r="S5" i="43"/>
  <c r="M5" i="43"/>
  <c r="S4" i="43"/>
  <c r="M4" i="43"/>
  <c r="S3" i="43"/>
  <c r="M3" i="43"/>
  <c r="S2" i="43"/>
  <c r="M2" i="43"/>
  <c r="AB20" i="42"/>
  <c r="S19" i="42"/>
  <c r="M19" i="42"/>
  <c r="S18" i="42"/>
  <c r="M18" i="42"/>
  <c r="S17" i="42"/>
  <c r="M17" i="42"/>
  <c r="S16" i="42"/>
  <c r="M16" i="42"/>
  <c r="S15" i="42"/>
  <c r="M15" i="42"/>
  <c r="S14" i="42"/>
  <c r="M14" i="42"/>
  <c r="S13" i="42"/>
  <c r="M13" i="42"/>
  <c r="S12" i="42"/>
  <c r="M12" i="42"/>
  <c r="S11" i="42"/>
  <c r="M11" i="42"/>
  <c r="S10" i="42"/>
  <c r="M10" i="42"/>
  <c r="S9" i="42"/>
  <c r="M9" i="42"/>
  <c r="S8" i="42"/>
  <c r="M8" i="42"/>
  <c r="S7" i="42"/>
  <c r="M7" i="42"/>
  <c r="S6" i="42"/>
  <c r="M6" i="42"/>
  <c r="S5" i="42"/>
  <c r="M5" i="42"/>
  <c r="S4" i="42"/>
  <c r="M4" i="42"/>
  <c r="S3" i="42"/>
  <c r="M3" i="42"/>
  <c r="S2" i="42"/>
  <c r="M2" i="42"/>
  <c r="AB10" i="41"/>
  <c r="S9" i="41"/>
  <c r="M9" i="41"/>
  <c r="S8" i="41"/>
  <c r="M8" i="41"/>
  <c r="S7" i="41"/>
  <c r="M7" i="41"/>
  <c r="S6" i="41"/>
  <c r="M6" i="41"/>
  <c r="S5" i="41"/>
  <c r="M5" i="41"/>
  <c r="S4" i="41"/>
  <c r="M4" i="41"/>
  <c r="S3" i="41"/>
  <c r="M3" i="41"/>
  <c r="S2" i="41"/>
  <c r="M2" i="41"/>
  <c r="AB4" i="40"/>
  <c r="S3" i="40"/>
  <c r="M3" i="40"/>
  <c r="S2" i="40"/>
  <c r="M2" i="40"/>
  <c r="AB10" i="39"/>
  <c r="S9" i="39"/>
  <c r="M9" i="39"/>
  <c r="S8" i="39"/>
  <c r="M8" i="39"/>
  <c r="S7" i="39"/>
  <c r="M7" i="39"/>
  <c r="S6" i="39"/>
  <c r="M6" i="39"/>
  <c r="S5" i="39"/>
  <c r="M5" i="39"/>
  <c r="S4" i="39"/>
  <c r="M4" i="39"/>
  <c r="S3" i="39"/>
  <c r="M3" i="39"/>
  <c r="S2" i="39"/>
  <c r="M2" i="39"/>
  <c r="AB10" i="38"/>
  <c r="S9" i="38"/>
  <c r="M9" i="38"/>
  <c r="S8" i="38"/>
  <c r="M8" i="38"/>
  <c r="S7" i="38"/>
  <c r="M7" i="38"/>
  <c r="S6" i="38"/>
  <c r="M6" i="38"/>
  <c r="S5" i="38"/>
  <c r="M5" i="38"/>
  <c r="S4" i="38"/>
  <c r="M4" i="38"/>
  <c r="S3" i="38"/>
  <c r="M3" i="38"/>
  <c r="S2" i="38"/>
  <c r="M2" i="38"/>
  <c r="AB8" i="37"/>
  <c r="S7" i="37"/>
  <c r="M7" i="37"/>
  <c r="S6" i="37"/>
  <c r="M6" i="37"/>
  <c r="S5" i="37"/>
  <c r="M5" i="37"/>
  <c r="S4" i="37"/>
  <c r="M4" i="37"/>
  <c r="S3" i="37"/>
  <c r="M3" i="37"/>
  <c r="S2" i="37"/>
  <c r="M2" i="37"/>
  <c r="AB23" i="36"/>
  <c r="S22" i="36"/>
  <c r="M22" i="36"/>
  <c r="S21" i="36"/>
  <c r="M21" i="36"/>
  <c r="S20" i="36"/>
  <c r="M20" i="36"/>
  <c r="S19" i="36"/>
  <c r="M19" i="36"/>
  <c r="S18" i="36"/>
  <c r="M18" i="36"/>
  <c r="S17" i="36"/>
  <c r="M17" i="36"/>
  <c r="S16" i="36"/>
  <c r="M16" i="36"/>
  <c r="S15" i="36"/>
  <c r="M15" i="36"/>
  <c r="S14" i="36"/>
  <c r="M14" i="36"/>
  <c r="S13" i="36"/>
  <c r="M13" i="36"/>
  <c r="S12" i="36"/>
  <c r="M12" i="36"/>
  <c r="S11" i="36"/>
  <c r="M11" i="36"/>
  <c r="S10" i="36"/>
  <c r="M10" i="36"/>
  <c r="S9" i="36"/>
  <c r="M9" i="36"/>
  <c r="S8" i="36"/>
  <c r="M8" i="36"/>
  <c r="S7" i="36"/>
  <c r="M7" i="36"/>
  <c r="S6" i="36"/>
  <c r="M6" i="36"/>
  <c r="S5" i="36"/>
  <c r="M5" i="36"/>
  <c r="S4" i="36"/>
  <c r="M4" i="36"/>
  <c r="S3" i="36"/>
  <c r="M3" i="36"/>
  <c r="S2" i="36"/>
  <c r="M2" i="36"/>
  <c r="S7" i="35"/>
  <c r="J7" i="35"/>
  <c r="S6" i="35"/>
  <c r="J6" i="35"/>
  <c r="S5" i="35"/>
  <c r="J5" i="35"/>
  <c r="S4" i="35"/>
  <c r="J4" i="35"/>
  <c r="S43" i="34"/>
  <c r="J43" i="34"/>
  <c r="S42" i="34"/>
  <c r="J42" i="34"/>
  <c r="S41" i="34"/>
  <c r="J41" i="34"/>
  <c r="S40" i="34"/>
  <c r="J40" i="34"/>
  <c r="S39" i="34"/>
  <c r="J39" i="34"/>
  <c r="S38" i="34"/>
  <c r="J38" i="34"/>
  <c r="S37" i="34"/>
  <c r="J37" i="34"/>
  <c r="S36" i="34"/>
  <c r="J36" i="34"/>
  <c r="S35" i="34"/>
  <c r="J35" i="34"/>
  <c r="S34" i="34"/>
  <c r="J34" i="34"/>
  <c r="S33" i="34"/>
  <c r="J33" i="34"/>
  <c r="S32" i="34"/>
  <c r="J32" i="34"/>
  <c r="S31" i="34"/>
  <c r="J31" i="34"/>
  <c r="S30" i="34"/>
  <c r="J30" i="34"/>
  <c r="S29" i="34"/>
  <c r="J29" i="34"/>
  <c r="S28" i="34"/>
  <c r="J28" i="34"/>
  <c r="S27" i="34"/>
  <c r="J27" i="34"/>
  <c r="S26" i="34"/>
  <c r="J26" i="34"/>
  <c r="S25" i="34"/>
  <c r="J25" i="34"/>
  <c r="S24" i="34"/>
  <c r="J24" i="34"/>
  <c r="S23" i="34"/>
  <c r="J23" i="34"/>
  <c r="S22" i="34"/>
  <c r="J22" i="34"/>
  <c r="S21" i="34"/>
  <c r="J21" i="34"/>
  <c r="S20" i="34"/>
  <c r="J20" i="34"/>
  <c r="S19" i="34"/>
  <c r="J19" i="34"/>
  <c r="S18" i="34"/>
  <c r="J18" i="34"/>
  <c r="S17" i="34"/>
  <c r="J17" i="34"/>
  <c r="S16" i="34"/>
  <c r="J16" i="34"/>
  <c r="S15" i="34"/>
  <c r="J15" i="34"/>
  <c r="S14" i="34"/>
  <c r="J14" i="34"/>
  <c r="S13" i="34"/>
  <c r="J13" i="34"/>
  <c r="S12" i="34"/>
  <c r="J12" i="34"/>
  <c r="S11" i="34"/>
  <c r="J11" i="34"/>
  <c r="S10" i="34"/>
  <c r="J10" i="34"/>
  <c r="S9" i="34"/>
  <c r="J9" i="34"/>
  <c r="S8" i="34"/>
  <c r="J8" i="34"/>
  <c r="S7" i="34"/>
  <c r="J7" i="34"/>
  <c r="S6" i="34"/>
  <c r="J6" i="34"/>
  <c r="S5" i="34"/>
  <c r="J5" i="34"/>
  <c r="S4" i="34"/>
  <c r="J4" i="34"/>
  <c r="S7" i="33"/>
  <c r="S6" i="33"/>
  <c r="S5" i="33"/>
  <c r="S4" i="33"/>
  <c r="S3" i="33"/>
  <c r="S2" i="33"/>
  <c r="S13" i="32"/>
  <c r="M13" i="32"/>
  <c r="S12" i="32"/>
  <c r="M12" i="32"/>
  <c r="S11" i="32"/>
  <c r="M11" i="32"/>
  <c r="S10" i="32"/>
  <c r="M10" i="32"/>
  <c r="S9" i="32"/>
  <c r="M9" i="32"/>
  <c r="S8" i="32"/>
  <c r="M8" i="32"/>
  <c r="S7" i="32"/>
  <c r="M7" i="32"/>
  <c r="S6" i="32"/>
  <c r="M6" i="32"/>
  <c r="S5" i="32"/>
  <c r="M5" i="32"/>
  <c r="S4" i="32"/>
  <c r="M4" i="32"/>
  <c r="S3" i="32"/>
  <c r="M3" i="32"/>
  <c r="S2" i="32"/>
  <c r="M2" i="32"/>
  <c r="S3" i="31"/>
  <c r="L3" i="31"/>
  <c r="H3" i="31"/>
  <c r="S2" i="31"/>
  <c r="L2" i="31"/>
  <c r="H2" i="31"/>
  <c r="S83" i="30"/>
  <c r="M83" i="30"/>
  <c r="S82" i="30"/>
  <c r="M82" i="30"/>
  <c r="S81" i="30"/>
  <c r="M81" i="30"/>
  <c r="S80" i="30"/>
  <c r="M80" i="30"/>
  <c r="S79" i="30"/>
  <c r="M79" i="30"/>
  <c r="S78" i="30"/>
  <c r="M78" i="30"/>
  <c r="S77" i="30"/>
  <c r="M77" i="30"/>
  <c r="S76" i="30"/>
  <c r="M76" i="30"/>
  <c r="S75" i="30"/>
  <c r="M75" i="30"/>
  <c r="S74" i="30"/>
  <c r="M74" i="30"/>
  <c r="S73" i="30"/>
  <c r="M73" i="30"/>
  <c r="S72" i="30"/>
  <c r="M72" i="30"/>
  <c r="S71" i="30"/>
  <c r="M71" i="30"/>
  <c r="S70" i="30"/>
  <c r="M70" i="30"/>
  <c r="S69" i="30"/>
  <c r="M69" i="30"/>
  <c r="S68" i="30"/>
  <c r="M68" i="30"/>
  <c r="S67" i="30"/>
  <c r="M67" i="30"/>
  <c r="S66" i="30"/>
  <c r="M66" i="30"/>
  <c r="S65" i="30"/>
  <c r="M65" i="30"/>
  <c r="S64" i="30"/>
  <c r="M64" i="30"/>
  <c r="S63" i="30"/>
  <c r="M63" i="30"/>
  <c r="S62" i="30"/>
  <c r="M62" i="30"/>
  <c r="S61" i="30"/>
  <c r="M61" i="30"/>
  <c r="S60" i="30"/>
  <c r="M60" i="30"/>
  <c r="S59" i="30"/>
  <c r="M59" i="30"/>
  <c r="S58" i="30"/>
  <c r="M58" i="30"/>
  <c r="S57" i="30"/>
  <c r="M57" i="30"/>
  <c r="S56" i="30"/>
  <c r="M56" i="30"/>
  <c r="S55" i="30"/>
  <c r="M55" i="30"/>
  <c r="S54" i="30"/>
  <c r="M54" i="30"/>
  <c r="S53" i="30"/>
  <c r="M53" i="30"/>
  <c r="S52" i="30"/>
  <c r="M52" i="30"/>
  <c r="S51" i="30"/>
  <c r="M51" i="30"/>
  <c r="S50" i="30"/>
  <c r="M50" i="30"/>
  <c r="S49" i="30"/>
  <c r="M49" i="30"/>
  <c r="S48" i="30"/>
  <c r="M48" i="30"/>
  <c r="S47" i="30"/>
  <c r="M47" i="30"/>
  <c r="S46" i="30"/>
  <c r="M46" i="30"/>
  <c r="S45" i="30"/>
  <c r="M45" i="30"/>
  <c r="S44" i="30"/>
  <c r="M44" i="30"/>
  <c r="S43" i="30"/>
  <c r="M43" i="30"/>
  <c r="S42" i="30"/>
  <c r="M42" i="30"/>
  <c r="S41" i="30"/>
  <c r="M41" i="30"/>
  <c r="S40" i="30"/>
  <c r="M40" i="30"/>
  <c r="S39" i="30"/>
  <c r="M39" i="30"/>
  <c r="S38" i="30"/>
  <c r="M38" i="30"/>
  <c r="S37" i="30"/>
  <c r="M37" i="30"/>
  <c r="S36" i="30"/>
  <c r="M36" i="30"/>
  <c r="S35" i="30"/>
  <c r="M35" i="30"/>
  <c r="S34" i="30"/>
  <c r="M34" i="30"/>
  <c r="S33" i="30"/>
  <c r="M33" i="30"/>
  <c r="S32" i="30"/>
  <c r="M32" i="30"/>
  <c r="S31" i="30"/>
  <c r="M31" i="30"/>
  <c r="S30" i="30"/>
  <c r="M30" i="30"/>
  <c r="S29" i="30"/>
  <c r="M29" i="30"/>
  <c r="S28" i="30"/>
  <c r="M28" i="30"/>
  <c r="S27" i="30"/>
  <c r="M27" i="30"/>
  <c r="S26" i="30"/>
  <c r="M26" i="30"/>
  <c r="S25" i="30"/>
  <c r="M25" i="30"/>
  <c r="S24" i="30"/>
  <c r="M24" i="30"/>
  <c r="S23" i="30"/>
  <c r="M23" i="30"/>
  <c r="S22" i="30"/>
  <c r="M22" i="30"/>
  <c r="S21" i="30"/>
  <c r="M21" i="30"/>
  <c r="S20" i="30"/>
  <c r="M20" i="30"/>
  <c r="S19" i="30"/>
  <c r="M19" i="30"/>
  <c r="S18" i="30"/>
  <c r="M18" i="30"/>
  <c r="S17" i="30"/>
  <c r="M17" i="30"/>
  <c r="S16" i="30"/>
  <c r="M16" i="30"/>
  <c r="S15" i="30"/>
  <c r="M15" i="30"/>
  <c r="S14" i="30"/>
  <c r="M14" i="30"/>
  <c r="S13" i="30"/>
  <c r="M13" i="30"/>
  <c r="S12" i="30"/>
  <c r="M12" i="30"/>
  <c r="S11" i="30"/>
  <c r="M11" i="30"/>
  <c r="S10" i="30"/>
  <c r="M10" i="30"/>
  <c r="S9" i="30"/>
  <c r="M9" i="30"/>
  <c r="S8" i="30"/>
  <c r="M8" i="30"/>
  <c r="S7" i="30"/>
  <c r="M7" i="30"/>
  <c r="S6" i="30"/>
  <c r="M6" i="30"/>
  <c r="S5" i="30"/>
  <c r="M5" i="30"/>
  <c r="S4" i="30"/>
  <c r="M4" i="30"/>
  <c r="S3" i="30"/>
  <c r="M3" i="30"/>
  <c r="S2" i="30"/>
  <c r="M2" i="30"/>
  <c r="S3" i="29"/>
  <c r="L3" i="29"/>
  <c r="H3" i="29"/>
  <c r="S2" i="29"/>
  <c r="L2" i="29"/>
  <c r="H2" i="29"/>
  <c r="AC3" i="28"/>
  <c r="AB3" i="28"/>
  <c r="S2" i="28"/>
  <c r="M2" i="28"/>
  <c r="S4" i="27"/>
  <c r="M4" i="27"/>
  <c r="S3" i="27"/>
  <c r="M3" i="27"/>
  <c r="S6" i="26"/>
  <c r="M6" i="26"/>
  <c r="S5" i="26"/>
  <c r="M5" i="26"/>
  <c r="S4" i="26"/>
  <c r="M4" i="26"/>
  <c r="S3" i="26"/>
  <c r="M3" i="26"/>
  <c r="S4" i="25"/>
  <c r="M4" i="25"/>
  <c r="S3" i="25"/>
  <c r="M3" i="25"/>
  <c r="AC8" i="24"/>
  <c r="S7" i="24"/>
  <c r="S6" i="24"/>
  <c r="L6" i="24"/>
  <c r="H6" i="24"/>
  <c r="S5" i="24"/>
  <c r="L5" i="24"/>
  <c r="H5" i="24"/>
  <c r="S4" i="24"/>
  <c r="S3" i="24"/>
  <c r="L3" i="24"/>
  <c r="H3" i="24"/>
  <c r="S2" i="24"/>
  <c r="L2" i="24"/>
  <c r="H2" i="24"/>
  <c r="S6" i="23"/>
  <c r="M6" i="23"/>
  <c r="S5" i="23"/>
  <c r="M5" i="23"/>
  <c r="S4" i="23"/>
  <c r="M4" i="23"/>
  <c r="S3" i="23"/>
  <c r="M3" i="23"/>
  <c r="S4" i="22"/>
  <c r="M4" i="22"/>
  <c r="S3" i="22"/>
  <c r="M3" i="22"/>
  <c r="S48" i="21"/>
  <c r="M48" i="21"/>
  <c r="S47" i="21"/>
  <c r="M47" i="21"/>
  <c r="S46" i="21"/>
  <c r="M46" i="21"/>
  <c r="S45" i="21"/>
  <c r="M45" i="21"/>
  <c r="S44" i="21"/>
  <c r="M44" i="21"/>
  <c r="S43" i="21"/>
  <c r="M43" i="21"/>
  <c r="S42" i="21"/>
  <c r="M42" i="21"/>
  <c r="S41" i="21"/>
  <c r="M41" i="21"/>
  <c r="S40" i="21"/>
  <c r="M40" i="21"/>
  <c r="S39" i="21"/>
  <c r="M39" i="21"/>
  <c r="S38" i="21"/>
  <c r="M38" i="21"/>
  <c r="S37" i="21"/>
  <c r="M37" i="21"/>
  <c r="S36" i="21"/>
  <c r="M36" i="21"/>
  <c r="S35" i="21"/>
  <c r="M35" i="21"/>
  <c r="S34" i="21"/>
  <c r="M34" i="21"/>
  <c r="S33" i="21"/>
  <c r="M33" i="21"/>
  <c r="S32" i="21"/>
  <c r="M32" i="21"/>
  <c r="S31" i="21"/>
  <c r="M31" i="21"/>
  <c r="S30" i="21"/>
  <c r="M30" i="21"/>
  <c r="S29" i="21"/>
  <c r="M29" i="21"/>
  <c r="S28" i="21"/>
  <c r="M28" i="21"/>
  <c r="S27" i="21"/>
  <c r="M27" i="21"/>
  <c r="S26" i="21"/>
  <c r="M26" i="21"/>
  <c r="S25" i="21"/>
  <c r="M25" i="21"/>
  <c r="S24" i="21"/>
  <c r="M24" i="21"/>
  <c r="S23" i="21"/>
  <c r="M23" i="21"/>
  <c r="S22" i="21"/>
  <c r="M22" i="21"/>
  <c r="S21" i="21"/>
  <c r="M21" i="21"/>
  <c r="S20" i="21"/>
  <c r="M20" i="21"/>
  <c r="S19" i="21"/>
  <c r="M19" i="21"/>
  <c r="S18" i="21"/>
  <c r="M18" i="21"/>
  <c r="S17" i="21"/>
  <c r="M17" i="21"/>
  <c r="S16" i="21"/>
  <c r="M16" i="21"/>
  <c r="S15" i="21"/>
  <c r="M15" i="21"/>
  <c r="S14" i="21"/>
  <c r="M14" i="21"/>
  <c r="S13" i="21"/>
  <c r="M13" i="21"/>
  <c r="S12" i="21"/>
  <c r="M12" i="21"/>
  <c r="S11" i="21"/>
  <c r="M11" i="21"/>
  <c r="S10" i="21"/>
  <c r="M10" i="21"/>
  <c r="S9" i="21"/>
  <c r="M9" i="21"/>
  <c r="S8" i="21"/>
  <c r="M8" i="21"/>
  <c r="S7" i="21"/>
  <c r="M7" i="21"/>
  <c r="S6" i="21"/>
  <c r="M6" i="21"/>
  <c r="S5" i="21"/>
  <c r="M5" i="21"/>
  <c r="S4" i="21"/>
  <c r="M4" i="21"/>
  <c r="S3" i="21"/>
  <c r="M3" i="21"/>
  <c r="S41" i="20"/>
  <c r="M41" i="20"/>
  <c r="S40" i="20"/>
  <c r="M40" i="20"/>
  <c r="S39" i="20"/>
  <c r="M39" i="20"/>
  <c r="S38" i="20"/>
  <c r="M38" i="20"/>
  <c r="S37" i="20"/>
  <c r="M37" i="20"/>
  <c r="S36" i="20"/>
  <c r="M36" i="20"/>
  <c r="S35" i="20"/>
  <c r="M35" i="20"/>
  <c r="S34" i="20"/>
  <c r="M34" i="20"/>
  <c r="S33" i="20"/>
  <c r="M33" i="20"/>
  <c r="S32" i="20"/>
  <c r="M32" i="20"/>
  <c r="S31" i="20"/>
  <c r="M31" i="20"/>
  <c r="S30" i="20"/>
  <c r="M30" i="20"/>
  <c r="S29" i="20"/>
  <c r="M29" i="20"/>
  <c r="S28" i="20"/>
  <c r="M28" i="20"/>
  <c r="S27" i="20"/>
  <c r="M27" i="20"/>
  <c r="S26" i="20"/>
  <c r="L26" i="20"/>
  <c r="S25" i="20"/>
  <c r="L25" i="20"/>
  <c r="H25" i="20"/>
  <c r="S24" i="20"/>
  <c r="L24" i="20" a="1"/>
  <c r="H24" i="20"/>
  <c r="S23" i="20"/>
  <c r="L23" i="20" a="1"/>
  <c r="H23" i="20"/>
  <c r="S22" i="20"/>
  <c r="L22" i="20"/>
  <c r="H22" i="20"/>
  <c r="S21" i="20"/>
  <c r="M21" i="20"/>
  <c r="S20" i="20"/>
  <c r="M20" i="20"/>
  <c r="S19" i="20"/>
  <c r="M19" i="20"/>
  <c r="S18" i="20"/>
  <c r="M18" i="20"/>
  <c r="S17" i="20"/>
  <c r="M17" i="20"/>
  <c r="S16" i="20"/>
  <c r="M16" i="20"/>
  <c r="S15" i="20"/>
  <c r="M15" i="20"/>
  <c r="S14" i="20"/>
  <c r="M14" i="20"/>
  <c r="S13" i="20"/>
  <c r="M13" i="20"/>
  <c r="S12" i="20"/>
  <c r="M12" i="20"/>
  <c r="S11" i="20"/>
  <c r="M11" i="20"/>
  <c r="S10" i="20"/>
  <c r="M10" i="20"/>
  <c r="S9" i="20"/>
  <c r="M9" i="20"/>
  <c r="S8" i="20"/>
  <c r="M8" i="20"/>
  <c r="S7" i="20"/>
  <c r="M7" i="20"/>
  <c r="S6" i="20"/>
  <c r="L6" i="20"/>
  <c r="S5" i="20"/>
  <c r="L5" i="20"/>
  <c r="H5" i="20"/>
  <c r="S4" i="20"/>
  <c r="L4" i="20" a="1"/>
  <c r="H4" i="20"/>
  <c r="S3" i="20"/>
  <c r="L3" i="20" a="1"/>
  <c r="H3" i="20"/>
  <c r="S2" i="20"/>
  <c r="L2" i="20"/>
  <c r="H2" i="20"/>
  <c r="S5" i="19"/>
  <c r="J5" i="19"/>
  <c r="S4" i="19"/>
  <c r="J4" i="19"/>
  <c r="S5" i="18"/>
  <c r="L5" i="18"/>
  <c r="J5" i="18"/>
  <c r="S4" i="18"/>
  <c r="L4" i="18"/>
  <c r="J4" i="18"/>
  <c r="S21" i="17"/>
  <c r="L21" i="17"/>
  <c r="J21" i="17"/>
  <c r="S20" i="17"/>
  <c r="L20" i="17"/>
  <c r="J20" i="17"/>
  <c r="S19" i="17"/>
  <c r="L19" i="17"/>
  <c r="J19" i="17"/>
  <c r="S18" i="17"/>
  <c r="L18" i="17"/>
  <c r="J18" i="17"/>
  <c r="S17" i="17"/>
  <c r="L17" i="17"/>
  <c r="J17" i="17"/>
  <c r="S16" i="17"/>
  <c r="L16" i="17"/>
  <c r="J16" i="17"/>
  <c r="S15" i="17"/>
  <c r="L15" i="17"/>
  <c r="J15" i="17"/>
  <c r="S14" i="17"/>
  <c r="L14" i="17"/>
  <c r="J14" i="17"/>
  <c r="S13" i="17"/>
  <c r="L13" i="17"/>
  <c r="J13" i="17"/>
  <c r="S12" i="17"/>
  <c r="L12" i="17"/>
  <c r="J12" i="17"/>
  <c r="S11" i="17"/>
  <c r="L11" i="17"/>
  <c r="J11" i="17"/>
  <c r="S10" i="17"/>
  <c r="L10" i="17"/>
  <c r="J10" i="17"/>
  <c r="S9" i="17"/>
  <c r="L9" i="17"/>
  <c r="J9" i="17"/>
  <c r="S8" i="17"/>
  <c r="L8" i="17"/>
  <c r="J8" i="17"/>
  <c r="S7" i="17"/>
  <c r="L7" i="17"/>
  <c r="J7" i="17"/>
  <c r="S6" i="17"/>
  <c r="L6" i="17"/>
  <c r="J6" i="17"/>
  <c r="S5" i="17"/>
  <c r="L5" i="17"/>
  <c r="J5" i="17"/>
  <c r="S4" i="17"/>
  <c r="L4" i="17"/>
  <c r="J4" i="17"/>
  <c r="S5" i="16"/>
  <c r="L5" i="16"/>
  <c r="J5" i="16"/>
  <c r="S4" i="16"/>
  <c r="L4" i="16"/>
  <c r="J4" i="16"/>
  <c r="S5" i="15"/>
  <c r="L5" i="15"/>
  <c r="J5" i="15"/>
  <c r="S4" i="15"/>
  <c r="L4" i="15"/>
  <c r="J4" i="15"/>
  <c r="S13" i="14"/>
  <c r="L13" i="14"/>
  <c r="J13" i="14"/>
  <c r="S12" i="14"/>
  <c r="L12" i="14"/>
  <c r="J12" i="14"/>
  <c r="S11" i="14"/>
  <c r="L11" i="14"/>
  <c r="J11" i="14"/>
  <c r="S10" i="14"/>
  <c r="L10" i="14"/>
  <c r="J10" i="14"/>
  <c r="S9" i="14"/>
  <c r="L9" i="14"/>
  <c r="J9" i="14"/>
  <c r="S8" i="14"/>
  <c r="L8" i="14"/>
  <c r="J8" i="14"/>
  <c r="S7" i="14"/>
  <c r="L7" i="14"/>
  <c r="J7" i="14"/>
  <c r="S6" i="14"/>
  <c r="L6" i="14"/>
  <c r="J6" i="14"/>
  <c r="S5" i="14"/>
  <c r="L5" i="14"/>
  <c r="J5" i="14"/>
  <c r="S4" i="14"/>
  <c r="L4" i="14"/>
  <c r="J4" i="14"/>
  <c r="S63" i="13"/>
  <c r="J63" i="13"/>
  <c r="S62" i="13"/>
  <c r="J62" i="13"/>
  <c r="S61" i="13"/>
  <c r="J61" i="13"/>
  <c r="S60" i="13"/>
  <c r="J60" i="13"/>
  <c r="S59" i="13"/>
  <c r="J59" i="13"/>
  <c r="S58" i="13"/>
  <c r="J58" i="13"/>
  <c r="S57" i="13"/>
  <c r="J57" i="13"/>
  <c r="S56" i="13"/>
  <c r="J56" i="13"/>
  <c r="S55" i="13"/>
  <c r="J55" i="13"/>
  <c r="S54" i="13"/>
  <c r="J54" i="13"/>
  <c r="S53" i="13"/>
  <c r="J53" i="13"/>
  <c r="S52" i="13"/>
  <c r="J52" i="13"/>
  <c r="S51" i="13"/>
  <c r="J51" i="13"/>
  <c r="S50" i="13"/>
  <c r="J50" i="13"/>
  <c r="S49" i="13"/>
  <c r="J49" i="13"/>
  <c r="S48" i="13"/>
  <c r="J48" i="13"/>
  <c r="S47" i="13"/>
  <c r="J47" i="13"/>
  <c r="S46" i="13"/>
  <c r="J46" i="13"/>
  <c r="S45" i="13"/>
  <c r="J45" i="13"/>
  <c r="S44" i="13"/>
  <c r="J44" i="13"/>
  <c r="S43" i="13"/>
  <c r="J43" i="13"/>
  <c r="S42" i="13"/>
  <c r="J42" i="13"/>
  <c r="S41" i="13"/>
  <c r="J41" i="13"/>
  <c r="S40" i="13"/>
  <c r="J40" i="13"/>
  <c r="S39" i="13"/>
  <c r="J39" i="13"/>
  <c r="S38" i="13"/>
  <c r="J38" i="13"/>
  <c r="S37" i="13"/>
  <c r="J37" i="13"/>
  <c r="S36" i="13"/>
  <c r="J36" i="13"/>
  <c r="S35" i="13"/>
  <c r="J35" i="13"/>
  <c r="S34" i="13"/>
  <c r="J34" i="13"/>
  <c r="S33" i="13"/>
  <c r="J33" i="13"/>
  <c r="S32" i="13"/>
  <c r="J32" i="13"/>
  <c r="S31" i="13"/>
  <c r="J31" i="13"/>
  <c r="S30" i="13"/>
  <c r="J30" i="13"/>
  <c r="S29" i="13"/>
  <c r="J29" i="13"/>
  <c r="S28" i="13"/>
  <c r="J28" i="13"/>
  <c r="S27" i="13"/>
  <c r="J27" i="13"/>
  <c r="S26" i="13"/>
  <c r="J26" i="13"/>
  <c r="S25" i="13"/>
  <c r="J25" i="13"/>
  <c r="S24" i="13"/>
  <c r="J24" i="13"/>
  <c r="S23" i="13"/>
  <c r="J23" i="13"/>
  <c r="S22" i="13"/>
  <c r="J22" i="13"/>
  <c r="S21" i="13"/>
  <c r="J21" i="13"/>
  <c r="S20" i="13"/>
  <c r="J20" i="13"/>
  <c r="S19" i="13"/>
  <c r="J19" i="13"/>
  <c r="S18" i="13"/>
  <c r="J18" i="13"/>
  <c r="S17" i="13"/>
  <c r="J17" i="13"/>
  <c r="S16" i="13"/>
  <c r="J16" i="13"/>
  <c r="S15" i="13"/>
  <c r="J15" i="13"/>
  <c r="S14" i="13"/>
  <c r="J14" i="13"/>
  <c r="S13" i="13"/>
  <c r="J13" i="13"/>
  <c r="S12" i="13"/>
  <c r="J12" i="13"/>
  <c r="S11" i="13"/>
  <c r="J11" i="13"/>
  <c r="S10" i="13"/>
  <c r="J10" i="13"/>
  <c r="S9" i="13"/>
  <c r="J9" i="13"/>
  <c r="S8" i="13"/>
  <c r="J8" i="13"/>
  <c r="S7" i="13"/>
  <c r="J7" i="13"/>
  <c r="S6" i="13"/>
  <c r="J6" i="13"/>
  <c r="S5" i="13"/>
  <c r="J5" i="13"/>
  <c r="S4" i="13"/>
  <c r="J4" i="13"/>
  <c r="S19" i="12"/>
  <c r="H19" i="12"/>
  <c r="S18" i="12"/>
  <c r="H18" i="12"/>
  <c r="S17" i="12"/>
  <c r="H17" i="12"/>
  <c r="S16" i="12"/>
  <c r="H16" i="12"/>
  <c r="S15" i="12"/>
  <c r="H15" i="12"/>
  <c r="S14" i="12"/>
  <c r="H14" i="12"/>
  <c r="S13" i="12"/>
  <c r="H13" i="12"/>
  <c r="S12" i="12"/>
  <c r="M12" i="12"/>
  <c r="S11" i="12"/>
  <c r="M11" i="12"/>
  <c r="S10" i="12"/>
  <c r="H10" i="12"/>
  <c r="S9" i="12"/>
  <c r="H9" i="12"/>
  <c r="S8" i="12"/>
  <c r="H8" i="12"/>
  <c r="S7" i="12"/>
  <c r="H7" i="12"/>
  <c r="S6" i="12"/>
  <c r="H6" i="12"/>
  <c r="S5" i="12"/>
  <c r="H5" i="12"/>
  <c r="S4" i="12"/>
  <c r="H4" i="12"/>
  <c r="S3" i="12"/>
  <c r="M3" i="12"/>
  <c r="S2" i="12"/>
  <c r="M2" i="12"/>
  <c r="S6" i="11"/>
  <c r="M6" i="11"/>
  <c r="S5" i="11"/>
  <c r="M5" i="11"/>
  <c r="S4" i="11"/>
  <c r="M4" i="11"/>
  <c r="S3" i="11"/>
  <c r="M3" i="11"/>
  <c r="S2" i="11"/>
  <c r="M2" i="11"/>
  <c r="S577" i="9"/>
  <c r="L577" i="9"/>
  <c r="S576" i="9"/>
  <c r="L576" i="9"/>
  <c r="S575" i="9"/>
  <c r="L575" i="9"/>
  <c r="S574" i="9"/>
  <c r="M574" i="9"/>
  <c r="S573" i="9"/>
  <c r="M573" i="9"/>
  <c r="S572" i="9"/>
  <c r="M572" i="9"/>
  <c r="S571" i="9"/>
  <c r="M571" i="9"/>
  <c r="S570" i="9"/>
  <c r="M570" i="9"/>
  <c r="S569" i="9"/>
  <c r="M569" i="9"/>
  <c r="S568" i="9"/>
  <c r="M568" i="9"/>
  <c r="S567" i="9"/>
  <c r="M567" i="9"/>
  <c r="S566" i="9"/>
  <c r="M566" i="9"/>
  <c r="S565" i="9"/>
  <c r="M565" i="9"/>
  <c r="S564" i="9"/>
  <c r="M564" i="9"/>
  <c r="S563" i="9"/>
  <c r="M563" i="9"/>
  <c r="S562" i="9"/>
  <c r="M562" i="9"/>
  <c r="S561" i="9"/>
  <c r="M561" i="9"/>
  <c r="S560" i="9"/>
  <c r="M560" i="9"/>
  <c r="S559" i="9"/>
  <c r="M559" i="9"/>
  <c r="S558" i="9"/>
  <c r="M558" i="9"/>
  <c r="S557" i="9"/>
  <c r="M557" i="9"/>
  <c r="S556" i="9"/>
  <c r="M556" i="9"/>
  <c r="S555" i="9"/>
  <c r="M555" i="9"/>
  <c r="S554" i="9"/>
  <c r="M554" i="9"/>
  <c r="S553" i="9"/>
  <c r="M553" i="9"/>
  <c r="S552" i="9"/>
  <c r="M552" i="9"/>
  <c r="S551" i="9"/>
  <c r="M551" i="9"/>
  <c r="S550" i="9"/>
  <c r="M550" i="9"/>
  <c r="S549" i="9"/>
  <c r="M549" i="9"/>
  <c r="S548" i="9"/>
  <c r="M548" i="9"/>
  <c r="S547" i="9"/>
  <c r="M547" i="9"/>
  <c r="S546" i="9"/>
  <c r="M546" i="9"/>
  <c r="S545" i="9"/>
  <c r="M545" i="9"/>
  <c r="S544" i="9"/>
  <c r="M544" i="9"/>
  <c r="S543" i="9"/>
  <c r="M543" i="9"/>
  <c r="S542" i="9"/>
  <c r="M542" i="9"/>
  <c r="S541" i="9"/>
  <c r="M541" i="9"/>
  <c r="S540" i="9"/>
  <c r="M540" i="9"/>
  <c r="S539" i="9"/>
  <c r="M539" i="9"/>
  <c r="S538" i="9"/>
  <c r="M538" i="9"/>
  <c r="S537" i="9"/>
  <c r="M537" i="9"/>
  <c r="S536" i="9"/>
  <c r="M536" i="9"/>
  <c r="S535" i="9"/>
  <c r="M535" i="9"/>
  <c r="S534" i="9"/>
  <c r="M534" i="9"/>
  <c r="S533" i="9"/>
  <c r="M533" i="9"/>
  <c r="S532" i="9"/>
  <c r="M532" i="9"/>
  <c r="S531" i="9"/>
  <c r="M531" i="9"/>
  <c r="S530" i="9"/>
  <c r="M530" i="9"/>
  <c r="S529" i="9"/>
  <c r="M529" i="9"/>
  <c r="S528" i="9"/>
  <c r="M528" i="9"/>
  <c r="S527" i="9"/>
  <c r="M527" i="9"/>
  <c r="S526" i="9"/>
  <c r="M526" i="9"/>
  <c r="S525" i="9"/>
  <c r="M525" i="9"/>
  <c r="S524" i="9"/>
  <c r="M524" i="9"/>
  <c r="S523" i="9"/>
  <c r="M523" i="9"/>
  <c r="S522" i="9"/>
  <c r="M522" i="9"/>
  <c r="S521" i="9"/>
  <c r="M521" i="9"/>
  <c r="S520" i="9"/>
  <c r="M520" i="9"/>
  <c r="S519" i="9"/>
  <c r="M519" i="9"/>
  <c r="S518" i="9"/>
  <c r="M518" i="9"/>
  <c r="S517" i="9"/>
  <c r="M517" i="9"/>
  <c r="S516" i="9"/>
  <c r="M516" i="9"/>
  <c r="S515" i="9"/>
  <c r="M515" i="9"/>
  <c r="S514" i="9"/>
  <c r="M514" i="9"/>
  <c r="S513" i="9"/>
  <c r="M513" i="9"/>
  <c r="S512" i="9"/>
  <c r="M512" i="9"/>
  <c r="S511" i="9"/>
  <c r="M511" i="9"/>
  <c r="S510" i="9"/>
  <c r="M510" i="9"/>
  <c r="S509" i="9"/>
  <c r="M509" i="9"/>
  <c r="S508" i="9"/>
  <c r="M508" i="9"/>
  <c r="S507" i="9"/>
  <c r="M507" i="9"/>
  <c r="S506" i="9"/>
  <c r="M506" i="9"/>
  <c r="S505" i="9"/>
  <c r="M505" i="9"/>
  <c r="S504" i="9"/>
  <c r="M504" i="9"/>
  <c r="S503" i="9"/>
  <c r="M503" i="9"/>
  <c r="S502" i="9"/>
  <c r="M502" i="9"/>
  <c r="S501" i="9"/>
  <c r="M501" i="9"/>
  <c r="S500" i="9"/>
  <c r="M500" i="9"/>
  <c r="S499" i="9"/>
  <c r="M499" i="9"/>
  <c r="S498" i="9"/>
  <c r="M498" i="9"/>
  <c r="S497" i="9"/>
  <c r="M497" i="9"/>
  <c r="S496" i="9"/>
  <c r="M496" i="9"/>
  <c r="S495" i="9"/>
  <c r="M495" i="9"/>
  <c r="S494" i="9"/>
  <c r="M494" i="9"/>
  <c r="S493" i="9"/>
  <c r="M493" i="9"/>
  <c r="S492" i="9"/>
  <c r="M492" i="9"/>
  <c r="S491" i="9"/>
  <c r="M491" i="9"/>
  <c r="S490" i="9"/>
  <c r="M490" i="9"/>
  <c r="S489" i="9"/>
  <c r="M489" i="9"/>
  <c r="S488" i="9"/>
  <c r="M488" i="9"/>
  <c r="S487" i="9"/>
  <c r="M487" i="9"/>
  <c r="S486" i="9"/>
  <c r="M486" i="9"/>
  <c r="S485" i="9"/>
  <c r="M485" i="9"/>
  <c r="S484" i="9"/>
  <c r="M484" i="9"/>
  <c r="S483" i="9"/>
  <c r="M483" i="9"/>
  <c r="S482" i="9"/>
  <c r="M482" i="9"/>
  <c r="S481" i="9"/>
  <c r="M481" i="9"/>
  <c r="S480" i="9"/>
  <c r="M480" i="9"/>
  <c r="S479" i="9"/>
  <c r="M479" i="9"/>
  <c r="S478" i="9"/>
  <c r="M478" i="9"/>
  <c r="S477" i="9"/>
  <c r="M477" i="9"/>
  <c r="S476" i="9"/>
  <c r="M476" i="9"/>
  <c r="S475" i="9"/>
  <c r="M475" i="9"/>
  <c r="S474" i="9"/>
  <c r="M474" i="9"/>
  <c r="S473" i="9"/>
  <c r="M473" i="9"/>
  <c r="S472" i="9"/>
  <c r="M472" i="9"/>
  <c r="S471" i="9"/>
  <c r="M471" i="9"/>
  <c r="S470" i="9"/>
  <c r="M470" i="9"/>
  <c r="S469" i="9"/>
  <c r="M469" i="9"/>
  <c r="S468" i="9"/>
  <c r="M468" i="9"/>
  <c r="S467" i="9"/>
  <c r="M467" i="9"/>
  <c r="S466" i="9"/>
  <c r="M466" i="9"/>
  <c r="S465" i="9"/>
  <c r="M465" i="9"/>
  <c r="S464" i="9"/>
  <c r="M464" i="9"/>
  <c r="S463" i="9"/>
  <c r="M463" i="9"/>
  <c r="S462" i="9"/>
  <c r="M462" i="9"/>
  <c r="S461" i="9"/>
  <c r="M461" i="9"/>
  <c r="S460" i="9"/>
  <c r="M460" i="9"/>
  <c r="S459" i="9"/>
  <c r="M459" i="9"/>
  <c r="S458" i="9"/>
  <c r="M458" i="9"/>
  <c r="S457" i="9"/>
  <c r="M457" i="9"/>
  <c r="S456" i="9"/>
  <c r="M456" i="9"/>
  <c r="S455" i="9"/>
  <c r="M455" i="9"/>
  <c r="S454" i="9"/>
  <c r="M454" i="9"/>
  <c r="S453" i="9"/>
  <c r="M453" i="9"/>
  <c r="S452" i="9"/>
  <c r="M452" i="9"/>
  <c r="S451" i="9"/>
  <c r="M451" i="9"/>
  <c r="S450" i="9"/>
  <c r="M450" i="9"/>
  <c r="S449" i="9"/>
  <c r="M449" i="9"/>
  <c r="S448" i="9"/>
  <c r="M448" i="9"/>
  <c r="S447" i="9"/>
  <c r="M447" i="9"/>
  <c r="S446" i="9"/>
  <c r="M446" i="9"/>
  <c r="S445" i="9"/>
  <c r="M445" i="9"/>
  <c r="S444" i="9"/>
  <c r="M444" i="9"/>
  <c r="S443" i="9"/>
  <c r="M443" i="9"/>
  <c r="S442" i="9"/>
  <c r="M442" i="9"/>
  <c r="S441" i="9"/>
  <c r="M441" i="9"/>
  <c r="S440" i="9"/>
  <c r="M440" i="9"/>
  <c r="S439" i="9"/>
  <c r="M439" i="9"/>
  <c r="S438" i="9"/>
  <c r="M438" i="9"/>
  <c r="S437" i="9"/>
  <c r="M437" i="9"/>
  <c r="S436" i="9"/>
  <c r="M436" i="9"/>
  <c r="S435" i="9"/>
  <c r="M435" i="9"/>
  <c r="S434" i="9"/>
  <c r="M434" i="9"/>
  <c r="S433" i="9"/>
  <c r="M433" i="9"/>
  <c r="S432" i="9"/>
  <c r="M432" i="9"/>
  <c r="S431" i="9"/>
  <c r="M431" i="9"/>
  <c r="S430" i="9"/>
  <c r="M430" i="9"/>
  <c r="S429" i="9"/>
  <c r="M429" i="9"/>
  <c r="S428" i="9"/>
  <c r="M428" i="9"/>
  <c r="S427" i="9"/>
  <c r="M427" i="9"/>
  <c r="S426" i="9"/>
  <c r="M426" i="9"/>
  <c r="S425" i="9"/>
  <c r="M425" i="9"/>
  <c r="S424" i="9"/>
  <c r="M424" i="9"/>
  <c r="S423" i="9"/>
  <c r="M423" i="9"/>
  <c r="S422" i="9"/>
  <c r="M422" i="9"/>
  <c r="S421" i="9"/>
  <c r="M421" i="9"/>
  <c r="S420" i="9"/>
  <c r="M420" i="9"/>
  <c r="S419" i="9"/>
  <c r="M419" i="9"/>
  <c r="S418" i="9"/>
  <c r="M418" i="9"/>
  <c r="S417" i="9"/>
  <c r="M417" i="9"/>
  <c r="S416" i="9"/>
  <c r="M416" i="9"/>
  <c r="S415" i="9"/>
  <c r="M415" i="9"/>
  <c r="S414" i="9"/>
  <c r="M414" i="9"/>
  <c r="S413" i="9"/>
  <c r="M413" i="9"/>
  <c r="S412" i="9"/>
  <c r="M412" i="9"/>
  <c r="S411" i="9"/>
  <c r="M411" i="9"/>
  <c r="S410" i="9"/>
  <c r="M410" i="9"/>
  <c r="S409" i="9"/>
  <c r="M409" i="9"/>
  <c r="S408" i="9"/>
  <c r="M408" i="9"/>
  <c r="S407" i="9"/>
  <c r="M407" i="9"/>
  <c r="S406" i="9"/>
  <c r="M406" i="9"/>
  <c r="S405" i="9"/>
  <c r="M405" i="9"/>
  <c r="S404" i="9"/>
  <c r="M404" i="9"/>
  <c r="S403" i="9"/>
  <c r="M403" i="9"/>
  <c r="S402" i="9"/>
  <c r="M402" i="9"/>
  <c r="S401" i="9"/>
  <c r="L401" i="9"/>
  <c r="S400" i="9"/>
  <c r="L400" i="9"/>
  <c r="S399" i="9"/>
  <c r="L399" i="9"/>
  <c r="S398" i="9"/>
  <c r="L398" i="9"/>
  <c r="S397" i="9"/>
  <c r="L397" i="9"/>
  <c r="S396" i="9"/>
  <c r="L396" i="9"/>
  <c r="S395" i="9"/>
  <c r="M395" i="9"/>
  <c r="S394" i="9"/>
  <c r="M394" i="9"/>
  <c r="S393" i="9"/>
  <c r="M393" i="9"/>
  <c r="S392" i="9"/>
  <c r="M392" i="9"/>
  <c r="S391" i="9"/>
  <c r="M391" i="9"/>
  <c r="S390" i="9"/>
  <c r="M390" i="9"/>
  <c r="S389" i="9"/>
  <c r="M389" i="9"/>
  <c r="S388" i="9"/>
  <c r="M388" i="9"/>
  <c r="S387" i="9"/>
  <c r="M387" i="9"/>
  <c r="S386" i="9"/>
  <c r="M386" i="9"/>
  <c r="S385" i="9"/>
  <c r="M385" i="9"/>
  <c r="S384" i="9"/>
  <c r="M384" i="9"/>
  <c r="S383" i="9"/>
  <c r="M383" i="9"/>
  <c r="S382" i="9"/>
  <c r="M382" i="9"/>
  <c r="S381" i="9"/>
  <c r="M381" i="9"/>
  <c r="S380" i="9"/>
  <c r="M380" i="9"/>
  <c r="S379" i="9"/>
  <c r="M379" i="9"/>
  <c r="S378" i="9"/>
  <c r="M378" i="9"/>
  <c r="S377" i="9"/>
  <c r="M377" i="9"/>
  <c r="S376" i="9"/>
  <c r="M376" i="9"/>
  <c r="S375" i="9"/>
  <c r="M375" i="9"/>
  <c r="S374" i="9"/>
  <c r="M374" i="9"/>
  <c r="S373" i="9"/>
  <c r="M373" i="9"/>
  <c r="S372" i="9"/>
  <c r="M372" i="9"/>
  <c r="S371" i="9"/>
  <c r="M371" i="9"/>
  <c r="S370" i="9"/>
  <c r="M370" i="9"/>
  <c r="S369" i="9"/>
  <c r="M369" i="9"/>
  <c r="S368" i="9"/>
  <c r="M368" i="9"/>
  <c r="S367" i="9"/>
  <c r="M367" i="9"/>
  <c r="S366" i="9"/>
  <c r="M366" i="9"/>
  <c r="S365" i="9"/>
  <c r="M365" i="9"/>
  <c r="S364" i="9"/>
  <c r="M364" i="9"/>
  <c r="S363" i="9"/>
  <c r="M363" i="9"/>
  <c r="S362" i="9"/>
  <c r="M362" i="9"/>
  <c r="S361" i="9"/>
  <c r="M361" i="9"/>
  <c r="S360" i="9"/>
  <c r="M360" i="9"/>
  <c r="S359" i="9"/>
  <c r="M359" i="9"/>
  <c r="S358" i="9"/>
  <c r="M358" i="9"/>
  <c r="S357" i="9"/>
  <c r="M357" i="9"/>
  <c r="S356" i="9"/>
  <c r="M356" i="9"/>
  <c r="S355" i="9"/>
  <c r="M355" i="9"/>
  <c r="S354" i="9"/>
  <c r="M354" i="9"/>
  <c r="S353" i="9"/>
  <c r="M353" i="9"/>
  <c r="S352" i="9"/>
  <c r="M352" i="9"/>
  <c r="S351" i="9"/>
  <c r="M351" i="9"/>
  <c r="S350" i="9"/>
  <c r="M350" i="9"/>
  <c r="S349" i="9"/>
  <c r="M349" i="9"/>
  <c r="S348" i="9"/>
  <c r="M348" i="9"/>
  <c r="S347" i="9"/>
  <c r="M347" i="9"/>
  <c r="S346" i="9"/>
  <c r="M346" i="9"/>
  <c r="S345" i="9"/>
  <c r="M345" i="9"/>
  <c r="S344" i="9"/>
  <c r="M344" i="9"/>
  <c r="S343" i="9"/>
  <c r="M343" i="9"/>
  <c r="S342" i="9"/>
  <c r="M342" i="9"/>
  <c r="S341" i="9"/>
  <c r="J341" i="9"/>
  <c r="S340" i="9"/>
  <c r="J340" i="9"/>
  <c r="S339" i="9"/>
  <c r="J339" i="9"/>
  <c r="S338" i="9"/>
  <c r="J338" i="9"/>
  <c r="S337" i="9"/>
  <c r="J337" i="9"/>
  <c r="S336" i="9"/>
  <c r="J336" i="9"/>
  <c r="S335" i="9"/>
  <c r="M335" i="9"/>
  <c r="S334" i="9"/>
  <c r="M334" i="9"/>
  <c r="S333" i="9"/>
  <c r="J333" i="9"/>
  <c r="S332" i="9"/>
  <c r="J332" i="9"/>
  <c r="S331" i="9"/>
  <c r="J331" i="9"/>
  <c r="S330" i="9"/>
  <c r="J330" i="9"/>
  <c r="S329" i="9"/>
  <c r="M329" i="9"/>
  <c r="S328" i="9"/>
  <c r="M328" i="9"/>
  <c r="S327" i="9"/>
  <c r="M327" i="9"/>
  <c r="S326" i="9"/>
  <c r="M326" i="9"/>
  <c r="S325" i="9"/>
  <c r="M325" i="9"/>
  <c r="S324" i="9"/>
  <c r="M324" i="9"/>
  <c r="S323" i="9"/>
  <c r="M323" i="9"/>
  <c r="S322" i="9"/>
  <c r="M322" i="9"/>
  <c r="S321" i="9"/>
  <c r="M321" i="9"/>
  <c r="S320" i="9"/>
  <c r="M320" i="9"/>
  <c r="S319" i="9"/>
  <c r="M319" i="9"/>
  <c r="S318" i="9"/>
  <c r="M318" i="9"/>
  <c r="S317" i="9"/>
  <c r="M317" i="9"/>
  <c r="S316" i="9"/>
  <c r="M316" i="9"/>
  <c r="S315" i="9"/>
  <c r="J315" i="9"/>
  <c r="S314" i="9"/>
  <c r="M314" i="9"/>
  <c r="S313" i="9"/>
  <c r="M313" i="9"/>
  <c r="S312" i="9"/>
  <c r="J312" i="9"/>
  <c r="S311" i="9"/>
  <c r="L311" i="9"/>
  <c r="S310" i="9"/>
  <c r="L310" i="9"/>
  <c r="S309" i="9"/>
  <c r="L309" i="9"/>
  <c r="S308" i="9"/>
  <c r="M308" i="9"/>
  <c r="S307" i="9"/>
  <c r="M307" i="9"/>
  <c r="S306" i="9"/>
  <c r="M306" i="9"/>
  <c r="S305" i="9"/>
  <c r="M305" i="9"/>
  <c r="S304" i="9"/>
  <c r="M304" i="9"/>
  <c r="S303" i="9"/>
  <c r="M303" i="9"/>
  <c r="S302" i="9"/>
  <c r="M302" i="9"/>
  <c r="S301" i="9"/>
  <c r="M301" i="9"/>
  <c r="S300" i="9"/>
  <c r="M300" i="9"/>
  <c r="S299" i="9"/>
  <c r="M299" i="9"/>
  <c r="S298" i="9"/>
  <c r="M298" i="9"/>
  <c r="S297" i="9"/>
  <c r="M297" i="9"/>
  <c r="S296" i="9"/>
  <c r="M296" i="9"/>
  <c r="S295" i="9"/>
  <c r="M295" i="9"/>
  <c r="S294" i="9"/>
  <c r="M294" i="9"/>
  <c r="S293" i="9"/>
  <c r="M293" i="9"/>
  <c r="S292" i="9"/>
  <c r="M292" i="9"/>
  <c r="S291" i="9"/>
  <c r="M291" i="9"/>
  <c r="S290" i="9"/>
  <c r="M290" i="9"/>
  <c r="S289" i="9"/>
  <c r="M289" i="9"/>
  <c r="S288" i="9"/>
  <c r="M288" i="9"/>
  <c r="S287" i="9"/>
  <c r="M287" i="9"/>
  <c r="S286" i="9"/>
  <c r="M286" i="9"/>
  <c r="S285" i="9"/>
  <c r="M285" i="9"/>
  <c r="S284" i="9"/>
  <c r="M284" i="9"/>
  <c r="S283" i="9"/>
  <c r="M283" i="9"/>
  <c r="S282" i="9"/>
  <c r="M282" i="9"/>
  <c r="S281" i="9"/>
  <c r="M281" i="9"/>
  <c r="S280" i="9"/>
  <c r="M280" i="9"/>
  <c r="S279" i="9"/>
  <c r="M279" i="9"/>
  <c r="S278" i="9"/>
  <c r="M278" i="9"/>
  <c r="S277" i="9"/>
  <c r="M277" i="9"/>
  <c r="S276" i="9"/>
  <c r="M276" i="9"/>
  <c r="S275" i="9"/>
  <c r="M275" i="9"/>
  <c r="S274" i="9"/>
  <c r="M274" i="9"/>
  <c r="S273" i="9"/>
  <c r="M273" i="9"/>
  <c r="S272" i="9"/>
  <c r="M272" i="9"/>
  <c r="S271" i="9"/>
  <c r="M271" i="9"/>
  <c r="S270" i="9"/>
  <c r="M270" i="9"/>
  <c r="S269" i="9"/>
  <c r="M269" i="9"/>
  <c r="S268" i="9"/>
  <c r="M268" i="9"/>
  <c r="S267" i="9"/>
  <c r="M267" i="9"/>
  <c r="S266" i="9"/>
  <c r="M266" i="9"/>
  <c r="S265" i="9"/>
  <c r="M265" i="9"/>
  <c r="S264" i="9"/>
  <c r="M264" i="9"/>
  <c r="S263" i="9"/>
  <c r="M263" i="9"/>
  <c r="S262" i="9"/>
  <c r="M262" i="9"/>
  <c r="S261" i="9"/>
  <c r="M261" i="9"/>
  <c r="S260" i="9"/>
  <c r="M260" i="9"/>
  <c r="S259" i="9"/>
  <c r="M259" i="9"/>
  <c r="S258" i="9"/>
  <c r="M258" i="9"/>
  <c r="S257" i="9"/>
  <c r="M257" i="9"/>
  <c r="S256" i="9"/>
  <c r="M256" i="9"/>
  <c r="S255" i="9"/>
  <c r="M255" i="9"/>
  <c r="S254" i="9"/>
  <c r="M254" i="9"/>
  <c r="S253" i="9"/>
  <c r="M253" i="9"/>
  <c r="S252" i="9"/>
  <c r="M252" i="9"/>
  <c r="S251" i="9"/>
  <c r="M251" i="9"/>
  <c r="S250" i="9"/>
  <c r="M250" i="9"/>
  <c r="S249" i="9"/>
  <c r="M249" i="9"/>
  <c r="S248" i="9"/>
  <c r="M248" i="9"/>
  <c r="S247" i="9"/>
  <c r="M247" i="9"/>
  <c r="S246" i="9"/>
  <c r="M246" i="9"/>
  <c r="S245" i="9"/>
  <c r="M245" i="9"/>
  <c r="S244" i="9"/>
  <c r="M244" i="9"/>
  <c r="S243" i="9"/>
  <c r="M243" i="9"/>
  <c r="S242" i="9"/>
  <c r="M242" i="9"/>
  <c r="S241" i="9"/>
  <c r="M241" i="9"/>
  <c r="S240" i="9"/>
  <c r="M240" i="9"/>
  <c r="S239" i="9"/>
  <c r="M239" i="9"/>
  <c r="S238" i="9"/>
  <c r="M238" i="9"/>
  <c r="S237" i="9"/>
  <c r="M237" i="9"/>
  <c r="S236" i="9"/>
  <c r="M236" i="9"/>
  <c r="S235" i="9"/>
  <c r="M235" i="9"/>
  <c r="S234" i="9"/>
  <c r="M234" i="9"/>
  <c r="S233" i="9"/>
  <c r="M233" i="9"/>
  <c r="S232" i="9"/>
  <c r="M232" i="9"/>
  <c r="S231" i="9"/>
  <c r="M231" i="9"/>
  <c r="S230" i="9"/>
  <c r="M230" i="9"/>
  <c r="S229" i="9"/>
  <c r="M229" i="9"/>
  <c r="S228" i="9"/>
  <c r="M228" i="9"/>
  <c r="S227" i="9"/>
  <c r="M227" i="9"/>
  <c r="S226" i="9"/>
  <c r="M226" i="9"/>
  <c r="S225" i="9"/>
  <c r="M225" i="9"/>
  <c r="S224" i="9"/>
  <c r="M224" i="9"/>
  <c r="S223" i="9"/>
  <c r="M223" i="9"/>
  <c r="S222" i="9"/>
  <c r="M222" i="9"/>
  <c r="S221" i="9"/>
  <c r="M221" i="9"/>
  <c r="S220" i="9"/>
  <c r="M220" i="9"/>
  <c r="S219" i="9"/>
  <c r="M219" i="9"/>
  <c r="S218" i="9"/>
  <c r="M218" i="9"/>
  <c r="S217" i="9"/>
  <c r="M217" i="9"/>
  <c r="S216" i="9"/>
  <c r="M216" i="9"/>
  <c r="S215" i="9"/>
  <c r="M215" i="9"/>
  <c r="S214" i="9"/>
  <c r="M214" i="9"/>
  <c r="S213" i="9"/>
  <c r="M213" i="9"/>
  <c r="S212" i="9"/>
  <c r="M212" i="9"/>
  <c r="S211" i="9"/>
  <c r="M211" i="9"/>
  <c r="S210" i="9"/>
  <c r="M210" i="9"/>
  <c r="S209" i="9"/>
  <c r="M209" i="9"/>
  <c r="S208" i="9"/>
  <c r="M208" i="9"/>
  <c r="S207" i="9"/>
  <c r="M207" i="9"/>
  <c r="S206" i="9"/>
  <c r="M206" i="9"/>
  <c r="S205" i="9"/>
  <c r="M205" i="9"/>
  <c r="S204" i="9"/>
  <c r="M204" i="9"/>
  <c r="S203" i="9"/>
  <c r="M203" i="9"/>
  <c r="S202" i="9"/>
  <c r="M202" i="9"/>
  <c r="S201" i="9"/>
  <c r="M201" i="9"/>
  <c r="S200" i="9"/>
  <c r="M200" i="9"/>
  <c r="S199" i="9"/>
  <c r="M199" i="9"/>
  <c r="S198" i="9"/>
  <c r="M198" i="9"/>
  <c r="S197" i="9"/>
  <c r="M197" i="9"/>
  <c r="S196" i="9"/>
  <c r="M196" i="9"/>
  <c r="S195" i="9"/>
  <c r="M195" i="9"/>
  <c r="S194" i="9"/>
  <c r="M194" i="9"/>
  <c r="S193" i="9"/>
  <c r="M193" i="9"/>
  <c r="S192" i="9"/>
  <c r="M192" i="9"/>
  <c r="S191" i="9"/>
  <c r="M191" i="9"/>
  <c r="S190" i="9"/>
  <c r="M190" i="9"/>
  <c r="S189" i="9"/>
  <c r="M189" i="9"/>
  <c r="S188" i="9"/>
  <c r="M188" i="9"/>
  <c r="S187" i="9"/>
  <c r="M187" i="9"/>
  <c r="S186" i="9"/>
  <c r="M186" i="9"/>
  <c r="S185" i="9"/>
  <c r="M185" i="9"/>
  <c r="S184" i="9"/>
  <c r="M184" i="9"/>
  <c r="S183" i="9"/>
  <c r="M183" i="9"/>
  <c r="S182" i="9"/>
  <c r="M182" i="9"/>
  <c r="S181" i="9"/>
  <c r="M181" i="9"/>
  <c r="S180" i="9"/>
  <c r="M180" i="9"/>
  <c r="S179" i="9"/>
  <c r="M179" i="9"/>
  <c r="S178" i="9"/>
  <c r="M178" i="9"/>
  <c r="S177" i="9"/>
  <c r="M177" i="9"/>
  <c r="S176" i="9"/>
  <c r="M176" i="9"/>
  <c r="S175" i="9"/>
  <c r="M175" i="9"/>
  <c r="S174" i="9"/>
  <c r="M174" i="9"/>
  <c r="S173" i="9"/>
  <c r="M173" i="9"/>
  <c r="S172" i="9"/>
  <c r="M172" i="9"/>
  <c r="S171" i="9"/>
  <c r="M171" i="9"/>
  <c r="S170" i="9"/>
  <c r="M170" i="9"/>
  <c r="S169" i="9"/>
  <c r="M169" i="9"/>
  <c r="S168" i="9"/>
  <c r="M168" i="9"/>
  <c r="S167" i="9"/>
  <c r="M167" i="9"/>
  <c r="S166" i="9"/>
  <c r="M166" i="9"/>
  <c r="S165" i="9"/>
  <c r="M165" i="9"/>
  <c r="S164" i="9"/>
  <c r="M164" i="9"/>
  <c r="S163" i="9"/>
  <c r="M163" i="9"/>
  <c r="S162" i="9"/>
  <c r="M162" i="9"/>
  <c r="S161" i="9"/>
  <c r="M161" i="9"/>
  <c r="S160" i="9"/>
  <c r="M160" i="9"/>
  <c r="S159" i="9"/>
  <c r="M159" i="9"/>
  <c r="S158" i="9"/>
  <c r="M158" i="9"/>
  <c r="S157" i="9"/>
  <c r="M157" i="9"/>
  <c r="S156" i="9"/>
  <c r="M156" i="9"/>
  <c r="S155" i="9"/>
  <c r="M155" i="9"/>
  <c r="S154" i="9"/>
  <c r="M154" i="9"/>
  <c r="S153" i="9"/>
  <c r="M153" i="9"/>
  <c r="S152" i="9"/>
  <c r="M152" i="9"/>
  <c r="S151" i="9"/>
  <c r="M151" i="9"/>
  <c r="S150" i="9"/>
  <c r="M150" i="9"/>
  <c r="S149" i="9"/>
  <c r="M149" i="9"/>
  <c r="S148" i="9"/>
  <c r="M148" i="9"/>
  <c r="S147" i="9"/>
  <c r="M147" i="9"/>
  <c r="S146" i="9"/>
  <c r="M146" i="9"/>
  <c r="S145" i="9"/>
  <c r="M145" i="9"/>
  <c r="S144" i="9"/>
  <c r="M144" i="9"/>
  <c r="S143" i="9"/>
  <c r="M143" i="9"/>
  <c r="S142" i="9"/>
  <c r="M142" i="9"/>
  <c r="S141" i="9"/>
  <c r="M141" i="9"/>
  <c r="S140" i="9"/>
  <c r="M140" i="9"/>
  <c r="S139" i="9"/>
  <c r="M139" i="9"/>
  <c r="S138" i="9"/>
  <c r="M138" i="9"/>
  <c r="S137" i="9"/>
  <c r="M137" i="9"/>
  <c r="S136" i="9"/>
  <c r="M136" i="9"/>
  <c r="S135" i="9"/>
  <c r="L135" i="9"/>
  <c r="S134" i="9"/>
  <c r="L134" i="9"/>
  <c r="S133" i="9"/>
  <c r="L133" i="9"/>
  <c r="S132" i="9"/>
  <c r="L132" i="9"/>
  <c r="S131" i="9"/>
  <c r="L131" i="9"/>
  <c r="S130" i="9"/>
  <c r="L130" i="9"/>
  <c r="S129" i="9"/>
  <c r="M129" i="9"/>
  <c r="S128" i="9"/>
  <c r="M128" i="9"/>
  <c r="S127" i="9"/>
  <c r="M127" i="9"/>
  <c r="S126" i="9"/>
  <c r="M126" i="9"/>
  <c r="S125" i="9"/>
  <c r="M125" i="9"/>
  <c r="S124" i="9"/>
  <c r="M124" i="9"/>
  <c r="S123" i="9"/>
  <c r="M123" i="9"/>
  <c r="S122" i="9"/>
  <c r="M122" i="9"/>
  <c r="S121" i="9"/>
  <c r="M121" i="9"/>
  <c r="S120" i="9"/>
  <c r="M120" i="9"/>
  <c r="S119" i="9"/>
  <c r="M119" i="9"/>
  <c r="S118" i="9"/>
  <c r="M118" i="9"/>
  <c r="S117" i="9"/>
  <c r="M117" i="9"/>
  <c r="S116" i="9"/>
  <c r="M116" i="9"/>
  <c r="S115" i="9"/>
  <c r="M115" i="9"/>
  <c r="S114" i="9"/>
  <c r="M114" i="9"/>
  <c r="S113" i="9"/>
  <c r="M113" i="9"/>
  <c r="S112" i="9"/>
  <c r="M112" i="9"/>
  <c r="S111" i="9"/>
  <c r="M111" i="9"/>
  <c r="S110" i="9"/>
  <c r="M110" i="9"/>
  <c r="S109" i="9"/>
  <c r="M109" i="9"/>
  <c r="S108" i="9"/>
  <c r="M108" i="9"/>
  <c r="S107" i="9"/>
  <c r="M107" i="9"/>
  <c r="S106" i="9"/>
  <c r="M106" i="9"/>
  <c r="S105" i="9"/>
  <c r="M105" i="9"/>
  <c r="S104" i="9"/>
  <c r="M104" i="9"/>
  <c r="S103" i="9"/>
  <c r="M103" i="9"/>
  <c r="S102" i="9"/>
  <c r="M102" i="9"/>
  <c r="S101" i="9"/>
  <c r="M101" i="9"/>
  <c r="S100" i="9"/>
  <c r="M100" i="9"/>
  <c r="S99" i="9"/>
  <c r="M99" i="9"/>
  <c r="S98" i="9"/>
  <c r="M98" i="9"/>
  <c r="S97" i="9"/>
  <c r="M97" i="9"/>
  <c r="S96" i="9"/>
  <c r="M96" i="9"/>
  <c r="S95" i="9"/>
  <c r="M95" i="9"/>
  <c r="S94" i="9"/>
  <c r="M94" i="9"/>
  <c r="S93" i="9"/>
  <c r="M93" i="9"/>
  <c r="S92" i="9"/>
  <c r="M92" i="9"/>
  <c r="S91" i="9"/>
  <c r="M91" i="9"/>
  <c r="S90" i="9"/>
  <c r="M90" i="9"/>
  <c r="S89" i="9"/>
  <c r="M89" i="9"/>
  <c r="S88" i="9"/>
  <c r="M88" i="9"/>
  <c r="S87" i="9"/>
  <c r="M87" i="9"/>
  <c r="S86" i="9"/>
  <c r="M86" i="9"/>
  <c r="S85" i="9"/>
  <c r="M85" i="9"/>
  <c r="S84" i="9"/>
  <c r="M84" i="9"/>
  <c r="S83" i="9"/>
  <c r="M83" i="9"/>
  <c r="S82" i="9"/>
  <c r="M82" i="9"/>
  <c r="S81" i="9"/>
  <c r="M81" i="9"/>
  <c r="S80" i="9"/>
  <c r="M80" i="9"/>
  <c r="S79" i="9"/>
  <c r="M79" i="9"/>
  <c r="S78" i="9"/>
  <c r="M78" i="9"/>
  <c r="S77" i="9"/>
  <c r="M77" i="9"/>
  <c r="S76" i="9"/>
  <c r="M76" i="9"/>
  <c r="S75" i="9"/>
  <c r="M75" i="9"/>
  <c r="S74" i="9"/>
  <c r="M74" i="9"/>
  <c r="S73" i="9"/>
  <c r="M73" i="9"/>
  <c r="S72" i="9"/>
  <c r="J72" i="9"/>
  <c r="S71" i="9"/>
  <c r="J71" i="9"/>
  <c r="S70" i="9"/>
  <c r="J70" i="9"/>
  <c r="S69" i="9"/>
  <c r="J69" i="9"/>
  <c r="S68" i="9"/>
  <c r="M68" i="9"/>
  <c r="S67" i="9"/>
  <c r="J67" i="9"/>
  <c r="S66" i="9"/>
  <c r="J66" i="9"/>
  <c r="S65" i="9"/>
  <c r="M65" i="9"/>
  <c r="S64" i="9"/>
  <c r="M64" i="9"/>
  <c r="S63" i="9"/>
  <c r="J63" i="9"/>
  <c r="S62" i="9"/>
  <c r="J62" i="9"/>
  <c r="S61" i="9"/>
  <c r="J61" i="9"/>
  <c r="S60" i="9"/>
  <c r="J60" i="9"/>
  <c r="S59" i="9"/>
  <c r="M59" i="9"/>
  <c r="S58" i="9"/>
  <c r="M58" i="9"/>
  <c r="S57" i="9"/>
  <c r="M57" i="9"/>
  <c r="S56" i="9"/>
  <c r="M56" i="9"/>
  <c r="S55" i="9"/>
  <c r="M55" i="9"/>
  <c r="S54" i="9"/>
  <c r="M54" i="9"/>
  <c r="S53" i="9"/>
  <c r="M53" i="9"/>
  <c r="S52" i="9"/>
  <c r="M52" i="9"/>
  <c r="S51" i="9"/>
  <c r="M51" i="9"/>
  <c r="S50" i="9"/>
  <c r="M50" i="9"/>
  <c r="S49" i="9"/>
  <c r="M49" i="9"/>
  <c r="S48" i="9"/>
  <c r="M48" i="9"/>
  <c r="S47" i="9"/>
  <c r="M47" i="9"/>
  <c r="S46" i="9"/>
  <c r="M46" i="9"/>
  <c r="S45" i="9"/>
  <c r="M45" i="9"/>
  <c r="S44" i="9"/>
  <c r="M44" i="9"/>
  <c r="S43" i="9"/>
  <c r="M43" i="9"/>
  <c r="S42" i="9"/>
  <c r="M42" i="9"/>
  <c r="S41" i="9"/>
  <c r="M41" i="9"/>
  <c r="S40" i="9"/>
  <c r="M40" i="9"/>
  <c r="S39" i="9"/>
  <c r="M39" i="9"/>
  <c r="S38" i="9"/>
  <c r="M38" i="9"/>
  <c r="S37" i="9"/>
  <c r="M37" i="9"/>
  <c r="S36" i="9"/>
  <c r="M36" i="9"/>
  <c r="S35" i="9"/>
  <c r="M35" i="9"/>
  <c r="S34" i="9"/>
  <c r="M34" i="9"/>
  <c r="S33" i="9"/>
  <c r="M33" i="9"/>
  <c r="S32" i="9"/>
  <c r="M32" i="9"/>
  <c r="S31" i="9"/>
  <c r="M31" i="9"/>
  <c r="S30" i="9"/>
  <c r="M30" i="9"/>
  <c r="S29" i="9"/>
  <c r="M29" i="9"/>
  <c r="S28" i="9"/>
  <c r="M28" i="9"/>
  <c r="S27" i="9"/>
  <c r="M27" i="9"/>
  <c r="S26" i="9"/>
  <c r="M26" i="9"/>
  <c r="S25" i="9"/>
  <c r="M25" i="9"/>
  <c r="S24" i="9"/>
  <c r="M24" i="9"/>
  <c r="S23" i="9"/>
  <c r="M23" i="9"/>
  <c r="S22" i="9"/>
  <c r="M22" i="9"/>
  <c r="S21" i="9"/>
  <c r="M21" i="9"/>
  <c r="S20" i="9"/>
  <c r="M20" i="9"/>
  <c r="S19" i="9"/>
  <c r="M19" i="9"/>
  <c r="S18" i="9"/>
  <c r="L18" i="9"/>
  <c r="S17" i="9"/>
  <c r="L17" i="9"/>
  <c r="S16" i="9"/>
  <c r="M16" i="9"/>
  <c r="S15" i="9"/>
  <c r="M15" i="9"/>
  <c r="S14" i="9"/>
  <c r="M14" i="9"/>
  <c r="S13" i="9"/>
  <c r="M13" i="9"/>
  <c r="S12" i="9"/>
  <c r="M12" i="9"/>
  <c r="S11" i="9"/>
  <c r="M11" i="9"/>
  <c r="S10" i="9"/>
  <c r="M10" i="9"/>
  <c r="S9" i="9"/>
  <c r="M9" i="9"/>
  <c r="S8" i="9"/>
  <c r="M8" i="9"/>
  <c r="S7" i="9"/>
  <c r="M7" i="9"/>
  <c r="S6" i="9"/>
  <c r="M6" i="9"/>
  <c r="S5" i="9"/>
  <c r="M5" i="9"/>
  <c r="E82" i="7"/>
  <c r="D82" i="7"/>
  <c r="O81" i="7"/>
  <c r="N81" i="7"/>
  <c r="J81" i="7"/>
  <c r="I81" i="7"/>
  <c r="N80" i="7"/>
  <c r="J80" i="7"/>
  <c r="I80" i="7"/>
  <c r="O79" i="7"/>
  <c r="N79" i="7"/>
  <c r="J79" i="7"/>
  <c r="I79" i="7"/>
  <c r="O78" i="7"/>
  <c r="N78" i="7"/>
  <c r="J78" i="7"/>
  <c r="I78" i="7"/>
  <c r="O77" i="7"/>
  <c r="N77" i="7"/>
  <c r="J77" i="7"/>
  <c r="I77" i="7"/>
  <c r="O76" i="7"/>
  <c r="N76" i="7"/>
  <c r="J76" i="7"/>
  <c r="I76" i="7"/>
  <c r="O75" i="7"/>
  <c r="N75" i="7"/>
  <c r="J75" i="7"/>
  <c r="I75" i="7"/>
  <c r="O74" i="7"/>
  <c r="N74" i="7"/>
  <c r="J74" i="7"/>
  <c r="I74" i="7"/>
  <c r="O73" i="7"/>
  <c r="N73" i="7"/>
  <c r="J73" i="7"/>
  <c r="I73" i="7"/>
  <c r="J72" i="7"/>
  <c r="I72" i="7"/>
  <c r="O71" i="7"/>
  <c r="N71" i="7"/>
  <c r="J71" i="7"/>
  <c r="I71" i="7"/>
  <c r="O70" i="7"/>
  <c r="N70" i="7"/>
  <c r="J70" i="7"/>
  <c r="I70" i="7"/>
  <c r="O69" i="7"/>
  <c r="N69" i="7"/>
  <c r="J69" i="7"/>
  <c r="I69" i="7"/>
  <c r="O68" i="7"/>
  <c r="N68" i="7"/>
  <c r="J68" i="7"/>
  <c r="I68" i="7"/>
  <c r="N67" i="7"/>
  <c r="J67" i="7"/>
  <c r="I67" i="7"/>
  <c r="O66" i="7"/>
  <c r="N66" i="7"/>
  <c r="J66" i="7"/>
  <c r="I66" i="7"/>
  <c r="O65" i="7"/>
  <c r="N65" i="7"/>
  <c r="J65" i="7"/>
  <c r="I65" i="7"/>
  <c r="O64" i="7"/>
  <c r="N64" i="7"/>
  <c r="J64" i="7"/>
  <c r="I64" i="7"/>
  <c r="O63" i="7"/>
  <c r="N63" i="7"/>
  <c r="J63" i="7"/>
  <c r="I63" i="7"/>
  <c r="O62" i="7"/>
  <c r="N62" i="7"/>
  <c r="J62" i="7"/>
  <c r="I62" i="7"/>
  <c r="O61" i="7"/>
  <c r="N61" i="7"/>
  <c r="J61" i="7"/>
  <c r="I61" i="7"/>
  <c r="O60" i="7"/>
  <c r="N60" i="7"/>
  <c r="J60" i="7"/>
  <c r="I60" i="7"/>
  <c r="O59" i="7"/>
  <c r="N59" i="7"/>
  <c r="J59" i="7"/>
  <c r="I59" i="7"/>
  <c r="O58" i="7"/>
  <c r="N58" i="7"/>
  <c r="J58" i="7"/>
  <c r="I58" i="7"/>
  <c r="O57" i="7"/>
  <c r="N57" i="7"/>
  <c r="J57" i="7"/>
  <c r="I57" i="7"/>
  <c r="E50" i="7"/>
  <c r="D50" i="7"/>
  <c r="C40" i="7"/>
  <c r="C39" i="7"/>
  <c r="D20" i="7"/>
  <c r="C20" i="7"/>
  <c r="C9" i="7"/>
  <c r="C8" i="7"/>
  <c r="C7" i="7"/>
  <c r="C6" i="7"/>
  <c r="H36" i="4"/>
  <c r="J34" i="4"/>
  <c r="J33" i="4"/>
  <c r="J32" i="4"/>
  <c r="D32" i="4"/>
  <c r="J31" i="4"/>
  <c r="J30" i="4"/>
  <c r="J28" i="4"/>
  <c r="J27" i="4"/>
  <c r="D27" i="4"/>
  <c r="I26" i="4"/>
  <c r="I25" i="4"/>
  <c r="J24" i="4"/>
  <c r="J23" i="4"/>
  <c r="J22" i="4"/>
  <c r="J21" i="4"/>
  <c r="J20" i="4"/>
  <c r="J19" i="4"/>
  <c r="J18" i="4"/>
  <c r="J17" i="4"/>
  <c r="J14" i="4"/>
  <c r="J13" i="4"/>
  <c r="J12" i="4"/>
  <c r="I11" i="4"/>
  <c r="J10" i="4"/>
  <c r="J9" i="4"/>
  <c r="J7" i="4"/>
  <c r="J6" i="4"/>
  <c r="J5" i="4"/>
  <c r="J4" i="4"/>
  <c r="J3" i="4"/>
  <c r="F34" i="3"/>
  <c r="F32" i="3"/>
  <c r="F30" i="3"/>
  <c r="F29" i="3"/>
  <c r="F28" i="3"/>
  <c r="F27" i="3"/>
  <c r="F25" i="3"/>
  <c r="F23" i="3"/>
  <c r="G22" i="3"/>
  <c r="F20" i="3"/>
  <c r="G19" i="3"/>
  <c r="G18" i="3"/>
  <c r="F17" i="3"/>
  <c r="F16" i="3"/>
  <c r="F14" i="3"/>
  <c r="F13" i="3"/>
  <c r="F12" i="3"/>
  <c r="G10" i="3"/>
  <c r="F9" i="3"/>
  <c r="G8" i="3"/>
  <c r="F6" i="3"/>
  <c r="G5" i="3"/>
  <c r="I9" i="2"/>
  <c r="D9" i="2"/>
  <c r="K8" i="2"/>
  <c r="F8" i="2"/>
  <c r="K7" i="2"/>
  <c r="F7" i="2"/>
  <c r="K6" i="2"/>
  <c r="F6" i="2"/>
  <c r="K5" i="2"/>
  <c r="F5" i="2"/>
  <c r="D2" i="2"/>
  <c r="D180" i="1"/>
  <c r="D179" i="1"/>
  <c r="R174" i="1"/>
  <c r="O174" i="1"/>
  <c r="F174" i="1"/>
  <c r="E174" i="1"/>
  <c r="H170" i="1"/>
  <c r="G170" i="1"/>
  <c r="R169" i="1"/>
  <c r="O169" i="1"/>
  <c r="F169" i="1"/>
  <c r="E169" i="1"/>
  <c r="R168" i="1"/>
  <c r="O168" i="1"/>
  <c r="F168" i="1"/>
  <c r="E168" i="1"/>
  <c r="H166" i="1"/>
  <c r="G166" i="1"/>
  <c r="H164" i="1"/>
  <c r="G164" i="1"/>
  <c r="R163" i="1"/>
  <c r="O163" i="1"/>
  <c r="F163" i="1"/>
  <c r="E163" i="1"/>
  <c r="K162" i="1"/>
  <c r="H160" i="1"/>
  <c r="G160" i="1"/>
  <c r="R159" i="1"/>
  <c r="F159" i="1"/>
  <c r="E159" i="1"/>
  <c r="H156" i="1"/>
  <c r="G156" i="1"/>
  <c r="R155" i="1"/>
  <c r="O155" i="1"/>
  <c r="R154" i="1"/>
  <c r="O154" i="1"/>
  <c r="F154" i="1"/>
  <c r="E154" i="1"/>
  <c r="R153" i="1"/>
  <c r="O153" i="1"/>
  <c r="F153" i="1"/>
  <c r="E153" i="1"/>
  <c r="R152" i="1"/>
  <c r="O152" i="1"/>
  <c r="F152" i="1"/>
  <c r="E152" i="1"/>
  <c r="R151" i="1"/>
  <c r="O151" i="1"/>
  <c r="F151" i="1"/>
  <c r="E151" i="1"/>
  <c r="R150" i="1"/>
  <c r="O150" i="1"/>
  <c r="F150" i="1"/>
  <c r="E150" i="1"/>
  <c r="H148" i="1"/>
  <c r="G148" i="1"/>
  <c r="H146" i="1"/>
  <c r="G146" i="1"/>
  <c r="O145" i="1"/>
  <c r="F145" i="1"/>
  <c r="E145" i="1"/>
  <c r="H143" i="1"/>
  <c r="G143" i="1"/>
  <c r="H141" i="1"/>
  <c r="G141" i="1"/>
  <c r="R140" i="1"/>
  <c r="O140" i="1"/>
  <c r="F140" i="1"/>
  <c r="E140" i="1"/>
  <c r="R139" i="1"/>
  <c r="O139" i="1"/>
  <c r="F139" i="1"/>
  <c r="E139" i="1"/>
  <c r="H137" i="1"/>
  <c r="G137" i="1"/>
  <c r="H135" i="1"/>
  <c r="G135" i="1"/>
  <c r="R134" i="1"/>
  <c r="P134" i="1"/>
  <c r="F134" i="1"/>
  <c r="E134" i="1"/>
  <c r="H132" i="1"/>
  <c r="G132" i="1"/>
  <c r="H130" i="1"/>
  <c r="G130" i="1"/>
  <c r="R129" i="1"/>
  <c r="O129" i="1"/>
  <c r="F129" i="1"/>
  <c r="E129" i="1"/>
  <c r="R128" i="1"/>
  <c r="P128" i="1"/>
  <c r="F128" i="1"/>
  <c r="E128" i="1"/>
  <c r="S127" i="1"/>
  <c r="P127" i="1"/>
  <c r="S126" i="1"/>
  <c r="P126" i="1"/>
  <c r="F126" i="1"/>
  <c r="E126" i="1"/>
  <c r="S125" i="1"/>
  <c r="P125" i="1"/>
  <c r="F125" i="1"/>
  <c r="E125" i="1"/>
  <c r="S124" i="1"/>
  <c r="P124" i="1"/>
  <c r="F124" i="1"/>
  <c r="E124" i="1"/>
  <c r="H121" i="1"/>
  <c r="G121" i="1"/>
  <c r="R120" i="1"/>
  <c r="P120" i="1"/>
  <c r="F120" i="1"/>
  <c r="E120" i="1"/>
  <c r="H117" i="1"/>
  <c r="G117" i="1"/>
  <c r="R116" i="1"/>
  <c r="O116" i="1"/>
  <c r="F116" i="1"/>
  <c r="E116" i="1"/>
  <c r="R115" i="1"/>
  <c r="F115" i="1"/>
  <c r="E115" i="1"/>
  <c r="R114" i="1"/>
  <c r="P114" i="1"/>
  <c r="F114" i="1"/>
  <c r="E114" i="1"/>
  <c r="H111" i="1"/>
  <c r="G111" i="1"/>
  <c r="R110" i="1"/>
  <c r="O110" i="1"/>
  <c r="R109" i="1"/>
  <c r="P109" i="1"/>
  <c r="F109" i="1"/>
  <c r="E109" i="1"/>
  <c r="R108" i="1"/>
  <c r="P108" i="1"/>
  <c r="F108" i="1"/>
  <c r="E108" i="1"/>
  <c r="R107" i="1"/>
  <c r="P107" i="1"/>
  <c r="F107" i="1"/>
  <c r="E107" i="1"/>
  <c r="H104" i="1"/>
  <c r="G104" i="1"/>
  <c r="R103" i="1"/>
  <c r="O103" i="1"/>
  <c r="F103" i="1"/>
  <c r="E103" i="1"/>
  <c r="R102" i="1"/>
  <c r="O102" i="1"/>
  <c r="F102" i="1"/>
  <c r="E102" i="1"/>
  <c r="H99" i="1"/>
  <c r="G99" i="1"/>
  <c r="R98" i="1"/>
  <c r="O98" i="1"/>
  <c r="F98" i="1"/>
  <c r="E98" i="1"/>
  <c r="R97" i="1"/>
  <c r="O97" i="1"/>
  <c r="F97" i="1"/>
  <c r="E97" i="1"/>
  <c r="H94" i="1"/>
  <c r="G94" i="1"/>
  <c r="F94" i="1"/>
  <c r="R93" i="1"/>
  <c r="O93" i="1"/>
  <c r="E93" i="1"/>
  <c r="R92" i="1"/>
  <c r="O92" i="1"/>
  <c r="E92" i="1"/>
  <c r="H90" i="1"/>
  <c r="G90" i="1"/>
  <c r="H88" i="1"/>
  <c r="G88" i="1"/>
  <c r="R87" i="1"/>
  <c r="O87" i="1"/>
  <c r="F87" i="1"/>
  <c r="E87" i="1"/>
  <c r="H85" i="1"/>
  <c r="G85" i="1"/>
  <c r="H83" i="1"/>
  <c r="G83" i="1"/>
  <c r="R82" i="1"/>
  <c r="F82" i="1"/>
  <c r="E82" i="1"/>
  <c r="H79" i="1"/>
  <c r="G79" i="1"/>
  <c r="R78" i="1"/>
  <c r="P78" i="1"/>
  <c r="F78" i="1"/>
  <c r="E78" i="1"/>
  <c r="H75" i="1"/>
  <c r="G75" i="1"/>
  <c r="R74" i="1"/>
  <c r="P74" i="1"/>
  <c r="F74" i="1"/>
  <c r="E74" i="1"/>
  <c r="H71" i="1"/>
  <c r="G71" i="1"/>
  <c r="R70" i="1"/>
  <c r="O70" i="1"/>
  <c r="F70" i="1"/>
  <c r="E70" i="1"/>
  <c r="H67" i="1"/>
  <c r="G67" i="1"/>
  <c r="R66" i="1"/>
  <c r="O66" i="1"/>
  <c r="F66" i="1"/>
  <c r="E66" i="1"/>
  <c r="H63" i="1"/>
  <c r="G63" i="1"/>
  <c r="R62" i="1"/>
  <c r="O62" i="1"/>
  <c r="F62" i="1"/>
  <c r="E62" i="1"/>
  <c r="H60" i="1"/>
  <c r="H58" i="1"/>
  <c r="G58" i="1"/>
  <c r="F58" i="1"/>
  <c r="E58" i="1"/>
  <c r="R57" i="1"/>
  <c r="O57" i="1"/>
  <c r="H54" i="1"/>
  <c r="G54" i="1"/>
  <c r="F53" i="1"/>
  <c r="E53" i="1"/>
  <c r="H50" i="1"/>
  <c r="G50" i="1"/>
  <c r="F49" i="1"/>
  <c r="E49" i="1"/>
  <c r="H46" i="1"/>
  <c r="G46" i="1"/>
  <c r="F46" i="1"/>
  <c r="E46" i="1"/>
  <c r="S45" i="1"/>
  <c r="R45" i="1"/>
  <c r="O45" i="1"/>
  <c r="H42" i="1"/>
  <c r="G42" i="1"/>
  <c r="S41" i="1"/>
  <c r="P41" i="1"/>
  <c r="F41" i="1"/>
  <c r="E41" i="1"/>
  <c r="S40" i="1"/>
  <c r="P40" i="1"/>
  <c r="F40" i="1"/>
  <c r="E40" i="1"/>
  <c r="H37" i="1"/>
  <c r="G37" i="1"/>
  <c r="F36" i="1"/>
  <c r="E36" i="1"/>
  <c r="H34" i="1"/>
  <c r="G34" i="1"/>
  <c r="H32" i="1"/>
  <c r="G32" i="1"/>
  <c r="P31" i="1"/>
  <c r="F31" i="1"/>
  <c r="E31" i="1"/>
  <c r="H29" i="1"/>
  <c r="H27" i="1"/>
  <c r="G27" i="1"/>
  <c r="F27" i="1"/>
  <c r="E27" i="1"/>
  <c r="S26" i="1"/>
  <c r="P26" i="1"/>
  <c r="S25" i="1"/>
  <c r="P25" i="1"/>
  <c r="S24" i="1"/>
  <c r="P24" i="1"/>
  <c r="S23" i="1"/>
  <c r="P23" i="1"/>
  <c r="S22" i="1"/>
  <c r="P22" i="1"/>
  <c r="S21" i="1"/>
  <c r="P21" i="1"/>
  <c r="S20" i="1"/>
  <c r="P20" i="1"/>
  <c r="O19" i="1"/>
  <c r="O18" i="1"/>
  <c r="H15" i="1"/>
  <c r="G15" i="1"/>
  <c r="F15" i="1"/>
  <c r="E15" i="1"/>
  <c r="R14" i="1"/>
  <c r="O14" i="1"/>
  <c r="S13" i="1"/>
  <c r="R13" i="1"/>
  <c r="P13" i="1"/>
  <c r="O13" i="1"/>
  <c r="I13" i="1"/>
  <c r="R12" i="1"/>
  <c r="P12" i="1"/>
  <c r="S11" i="1"/>
  <c r="P11" i="1"/>
  <c r="R10" i="1"/>
  <c r="O10" i="1"/>
  <c r="H8" i="1"/>
  <c r="G8" i="1"/>
  <c r="F8" i="1"/>
  <c r="E8" i="1"/>
  <c r="D1" i="1"/>
  <c r="G60" i="1" l="1"/>
  <c r="G29" i="1"/>
  <c r="M296" i="57"/>
  <c r="O23" i="48"/>
  <c r="O14" i="45"/>
  <c r="O8" i="45"/>
  <c r="O10" i="42"/>
  <c r="O75" i="30"/>
  <c r="O18" i="30"/>
  <c r="O8" i="30"/>
  <c r="M399" i="9"/>
  <c r="O374" i="9"/>
  <c r="O30" i="9"/>
  <c r="B96" i="68"/>
  <c r="B97" i="68" s="1"/>
  <c r="B98" i="68" s="1"/>
  <c r="B99" i="68" s="1"/>
  <c r="B90" i="68"/>
  <c r="B69" i="68"/>
  <c r="B71" i="68" s="1"/>
  <c r="B73" i="68" s="1"/>
  <c r="B75" i="68" s="1"/>
  <c r="B76" i="68" s="1"/>
  <c r="B77" i="68" s="1"/>
  <c r="B78" i="68" s="1"/>
  <c r="B79" i="68" s="1"/>
  <c r="B68" i="68"/>
  <c r="B70" i="68" s="1"/>
  <c r="B72" i="68" s="1"/>
  <c r="B74" i="68" s="1"/>
  <c r="B55" i="68"/>
  <c r="B56" i="68" s="1"/>
  <c r="B57" i="68" s="1"/>
  <c r="B58" i="68" s="1"/>
  <c r="B59" i="68" s="1"/>
  <c r="B60" i="68" s="1"/>
  <c r="B61" i="68" s="1"/>
  <c r="B49" i="68"/>
  <c r="B42" i="68"/>
  <c r="B43" i="68" s="1"/>
  <c r="K10" i="68"/>
  <c r="H10" i="68"/>
  <c r="H11" i="68" s="1"/>
  <c r="H12" i="68" s="1"/>
  <c r="H13" i="68" s="1"/>
  <c r="H14" i="68" s="1"/>
  <c r="B10" i="68"/>
  <c r="B11" i="68" s="1"/>
  <c r="B12" i="68" s="1"/>
  <c r="B13" i="68" s="1"/>
  <c r="B14" i="68" s="1"/>
  <c r="B15" i="68" s="1"/>
  <c r="B16" i="68" s="1"/>
  <c r="B17" i="68" s="1"/>
  <c r="B18" i="68" s="1"/>
  <c r="B19" i="68" s="1"/>
  <c r="B20" i="68" s="1"/>
  <c r="B21" i="68" s="1"/>
  <c r="B22" i="68" s="1"/>
  <c r="B23" i="68" s="1"/>
  <c r="B24" i="68" s="1"/>
  <c r="B25" i="68" s="1"/>
  <c r="B26" i="68" s="1"/>
  <c r="B27" i="68" s="1"/>
  <c r="B28" i="68" s="1"/>
  <c r="B29" i="68" s="1"/>
  <c r="B30" i="68" s="1"/>
  <c r="B31" i="68" s="1"/>
  <c r="B32" i="68" s="1"/>
  <c r="B33" i="68" s="1"/>
  <c r="B34" i="68" s="1"/>
  <c r="B35" i="68" s="1"/>
  <c r="O3" i="65"/>
  <c r="O2" i="65"/>
  <c r="O5" i="64"/>
  <c r="O4" i="64"/>
  <c r="O3" i="64"/>
  <c r="O2" i="64"/>
  <c r="O3" i="63"/>
  <c r="O2" i="63"/>
  <c r="M7" i="62"/>
  <c r="M6" i="62"/>
  <c r="M5" i="62"/>
  <c r="M4" i="62"/>
  <c r="M3" i="62"/>
  <c r="M2" i="62"/>
  <c r="M13" i="61"/>
  <c r="M12" i="61"/>
  <c r="O11" i="61"/>
  <c r="O10" i="61"/>
  <c r="M9" i="61"/>
  <c r="M8" i="61"/>
  <c r="M7" i="61"/>
  <c r="M6" i="61"/>
  <c r="O5" i="61"/>
  <c r="O4" i="61"/>
  <c r="M3" i="61"/>
  <c r="M2" i="61"/>
  <c r="M5" i="60"/>
  <c r="M4" i="60"/>
  <c r="M3" i="60"/>
  <c r="M2" i="60"/>
  <c r="O5" i="59"/>
  <c r="O4" i="59"/>
  <c r="O3" i="59"/>
  <c r="O2" i="59"/>
  <c r="G23" i="58"/>
  <c r="M515" i="57"/>
  <c r="M514" i="57"/>
  <c r="M513" i="57"/>
  <c r="M512" i="57"/>
  <c r="M511" i="57"/>
  <c r="M510" i="57"/>
  <c r="M509" i="57"/>
  <c r="M508" i="57"/>
  <c r="M507" i="57"/>
  <c r="M506" i="57"/>
  <c r="M505" i="57"/>
  <c r="M504" i="57"/>
  <c r="M503" i="57"/>
  <c r="M502" i="57"/>
  <c r="M501" i="57"/>
  <c r="M500" i="57"/>
  <c r="M499" i="57"/>
  <c r="M498" i="57"/>
  <c r="M497" i="57"/>
  <c r="M496" i="57"/>
  <c r="M495" i="57"/>
  <c r="M494" i="57"/>
  <c r="M493" i="57"/>
  <c r="M492" i="57"/>
  <c r="M491" i="57"/>
  <c r="M490" i="57"/>
  <c r="M489" i="57"/>
  <c r="M488" i="57"/>
  <c r="M487" i="57"/>
  <c r="M486" i="57"/>
  <c r="M485" i="57"/>
  <c r="M484" i="57"/>
  <c r="M483" i="57"/>
  <c r="M482" i="57"/>
  <c r="M481" i="57"/>
  <c r="M480" i="57"/>
  <c r="M479" i="57"/>
  <c r="M478" i="57"/>
  <c r="M477" i="57"/>
  <c r="M476" i="57"/>
  <c r="M475" i="57"/>
  <c r="M474" i="57"/>
  <c r="M473" i="57"/>
  <c r="M472" i="57"/>
  <c r="M471" i="57"/>
  <c r="M470" i="57"/>
  <c r="M469" i="57"/>
  <c r="M468" i="57"/>
  <c r="M467" i="57"/>
  <c r="M466" i="57"/>
  <c r="M465" i="57"/>
  <c r="M464" i="57"/>
  <c r="M463" i="57"/>
  <c r="M462" i="57"/>
  <c r="M461" i="57"/>
  <c r="M460" i="57"/>
  <c r="M459" i="57"/>
  <c r="M458" i="57"/>
  <c r="M457" i="57"/>
  <c r="M456" i="57"/>
  <c r="M455" i="57"/>
  <c r="M454" i="57"/>
  <c r="M453" i="57"/>
  <c r="M452" i="57"/>
  <c r="M451" i="57"/>
  <c r="M450" i="57"/>
  <c r="M449" i="57"/>
  <c r="M448" i="57"/>
  <c r="M447" i="57"/>
  <c r="M446" i="57"/>
  <c r="M445" i="57"/>
  <c r="M444" i="57"/>
  <c r="M443" i="57"/>
  <c r="M442" i="57"/>
  <c r="M441" i="57"/>
  <c r="M440" i="57"/>
  <c r="M439" i="57"/>
  <c r="M438" i="57"/>
  <c r="M437" i="57"/>
  <c r="M436" i="57"/>
  <c r="M435" i="57"/>
  <c r="M434" i="57"/>
  <c r="M433" i="57"/>
  <c r="M432" i="57"/>
  <c r="M431" i="57"/>
  <c r="M430" i="57"/>
  <c r="M429" i="57"/>
  <c r="M428" i="57"/>
  <c r="M427" i="57"/>
  <c r="M426" i="57"/>
  <c r="M425" i="57"/>
  <c r="M424" i="57"/>
  <c r="M423" i="57"/>
  <c r="M422" i="57"/>
  <c r="M421" i="57"/>
  <c r="M420" i="57"/>
  <c r="M419" i="57"/>
  <c r="M418" i="57"/>
  <c r="M417" i="57"/>
  <c r="M416" i="57"/>
  <c r="M415" i="57"/>
  <c r="M414" i="57"/>
  <c r="M413" i="57"/>
  <c r="M412" i="57"/>
  <c r="M411" i="57"/>
  <c r="M410" i="57"/>
  <c r="M409" i="57"/>
  <c r="M408" i="57"/>
  <c r="M407" i="57"/>
  <c r="M406" i="57"/>
  <c r="M405" i="57"/>
  <c r="M404" i="57"/>
  <c r="M403" i="57"/>
  <c r="M402" i="57"/>
  <c r="M401" i="57"/>
  <c r="M400" i="57"/>
  <c r="M399" i="57"/>
  <c r="M398" i="57"/>
  <c r="M397" i="57"/>
  <c r="M396" i="57"/>
  <c r="M395" i="57"/>
  <c r="M394" i="57"/>
  <c r="M393" i="57"/>
  <c r="M392" i="57"/>
  <c r="M391" i="57"/>
  <c r="M390" i="57"/>
  <c r="M389" i="57"/>
  <c r="M388" i="57"/>
  <c r="M387" i="57"/>
  <c r="M386" i="57"/>
  <c r="M385" i="57"/>
  <c r="M384" i="57"/>
  <c r="M383" i="57"/>
  <c r="M382" i="57"/>
  <c r="M381" i="57"/>
  <c r="M380" i="57"/>
  <c r="M379" i="57"/>
  <c r="M378" i="57"/>
  <c r="M377" i="57"/>
  <c r="M376" i="57"/>
  <c r="M375" i="57"/>
  <c r="M374" i="57"/>
  <c r="M373" i="57"/>
  <c r="M372" i="57"/>
  <c r="M371" i="57"/>
  <c r="M370" i="57"/>
  <c r="M369" i="57"/>
  <c r="M368" i="57"/>
  <c r="M367" i="57"/>
  <c r="M366" i="57"/>
  <c r="M365" i="57"/>
  <c r="M364" i="57"/>
  <c r="M363" i="57"/>
  <c r="M362" i="57"/>
  <c r="M361" i="57"/>
  <c r="M360" i="57"/>
  <c r="M359" i="57"/>
  <c r="M358" i="57"/>
  <c r="M357" i="57"/>
  <c r="M356" i="57"/>
  <c r="M355" i="57"/>
  <c r="M354" i="57"/>
  <c r="M353" i="57"/>
  <c r="M352" i="57"/>
  <c r="M351" i="57"/>
  <c r="M350" i="57"/>
  <c r="M349" i="57"/>
  <c r="M348" i="57"/>
  <c r="M347" i="57"/>
  <c r="M346" i="57"/>
  <c r="M345" i="57"/>
  <c r="M344" i="57"/>
  <c r="M343" i="57"/>
  <c r="M342" i="57"/>
  <c r="M341" i="57"/>
  <c r="M340" i="57"/>
  <c r="M339" i="57"/>
  <c r="M338" i="57"/>
  <c r="M337" i="57"/>
  <c r="M336" i="57"/>
  <c r="M335" i="57"/>
  <c r="M334" i="57"/>
  <c r="M333" i="57"/>
  <c r="M332" i="57"/>
  <c r="M331" i="57"/>
  <c r="M330" i="57"/>
  <c r="M329" i="57"/>
  <c r="M328" i="57"/>
  <c r="M327" i="57"/>
  <c r="M326" i="57"/>
  <c r="M325" i="57"/>
  <c r="M324" i="57"/>
  <c r="M323" i="57"/>
  <c r="M322" i="57"/>
  <c r="M321" i="57"/>
  <c r="M320" i="57"/>
  <c r="M319" i="57"/>
  <c r="M318" i="57"/>
  <c r="M317" i="57"/>
  <c r="M316" i="57"/>
  <c r="M315" i="57"/>
  <c r="M314" i="57"/>
  <c r="M313" i="57"/>
  <c r="M312" i="57"/>
  <c r="M311" i="57"/>
  <c r="M310" i="57"/>
  <c r="M309" i="57"/>
  <c r="M308" i="57"/>
  <c r="M307" i="57"/>
  <c r="M306" i="57"/>
  <c r="M305" i="57"/>
  <c r="M304" i="57"/>
  <c r="O303" i="57"/>
  <c r="M302" i="57"/>
  <c r="M301" i="57"/>
  <c r="M300" i="57"/>
  <c r="M299" i="57"/>
  <c r="M298" i="57"/>
  <c r="M297" i="57"/>
  <c r="N232" i="51"/>
  <c r="N229" i="51"/>
  <c r="N222" i="51"/>
  <c r="N220" i="51"/>
  <c r="N219" i="51"/>
  <c r="N210" i="51"/>
  <c r="N201" i="51"/>
  <c r="N198" i="51"/>
  <c r="P190" i="51"/>
  <c r="N189" i="51"/>
  <c r="N187" i="51"/>
  <c r="N186" i="51"/>
  <c r="N185" i="51"/>
  <c r="N179" i="51"/>
  <c r="N174" i="51"/>
  <c r="N172" i="51"/>
  <c r="N170" i="51"/>
  <c r="N167" i="51"/>
  <c r="N165" i="51"/>
  <c r="N161" i="51"/>
  <c r="N157" i="51"/>
  <c r="N152" i="51"/>
  <c r="N151" i="51"/>
  <c r="N142" i="51"/>
  <c r="N139" i="51"/>
  <c r="N138" i="51"/>
  <c r="P125" i="51"/>
  <c r="P122" i="51"/>
  <c r="P120" i="51"/>
  <c r="P119" i="51"/>
  <c r="N110" i="51"/>
  <c r="N107" i="51"/>
  <c r="N100" i="51"/>
  <c r="N93" i="51"/>
  <c r="N92" i="51"/>
  <c r="N91" i="51"/>
  <c r="N86" i="51"/>
  <c r="N85" i="51"/>
  <c r="N82" i="51"/>
  <c r="N76" i="51"/>
  <c r="O20" i="48"/>
  <c r="O10" i="48"/>
  <c r="O6" i="48"/>
  <c r="O9" i="47"/>
  <c r="O8" i="47"/>
  <c r="O8" i="46"/>
  <c r="O4" i="46"/>
  <c r="O110" i="45"/>
  <c r="O109" i="45"/>
  <c r="O108" i="45"/>
  <c r="O106" i="45"/>
  <c r="O103" i="45"/>
  <c r="O102" i="45"/>
  <c r="O100" i="45"/>
  <c r="O98" i="45"/>
  <c r="O96" i="45"/>
  <c r="O95" i="45"/>
  <c r="O93" i="45"/>
  <c r="O91" i="45"/>
  <c r="O89" i="45"/>
  <c r="O86" i="45"/>
  <c r="O84" i="45"/>
  <c r="O83" i="45"/>
  <c r="O82" i="45"/>
  <c r="O80" i="45"/>
  <c r="O79" i="45"/>
  <c r="O77" i="45"/>
  <c r="O75" i="45"/>
  <c r="O74" i="45"/>
  <c r="O73" i="45"/>
  <c r="O71" i="45"/>
  <c r="O69" i="45"/>
  <c r="O67" i="45"/>
  <c r="O62" i="45"/>
  <c r="O60" i="45"/>
  <c r="O55" i="45"/>
  <c r="O51" i="45"/>
  <c r="O39" i="45"/>
  <c r="O36" i="45"/>
  <c r="O31" i="45"/>
  <c r="O27" i="45"/>
  <c r="O23" i="45"/>
  <c r="O20" i="45"/>
  <c r="O19" i="45"/>
  <c r="O16" i="45"/>
  <c r="O6" i="45"/>
  <c r="O4" i="45"/>
  <c r="M80" i="44"/>
  <c r="M2" i="31"/>
  <c r="M5" i="24"/>
  <c r="M3" i="24"/>
  <c r="M295" i="57"/>
  <c r="M294" i="57"/>
  <c r="M293" i="57"/>
  <c r="M292" i="57"/>
  <c r="M291" i="57"/>
  <c r="M290" i="57"/>
  <c r="M289" i="57"/>
  <c r="O288" i="57"/>
  <c r="M287" i="57"/>
  <c r="M286" i="57"/>
  <c r="M285" i="57"/>
  <c r="M284" i="57"/>
  <c r="M283" i="57"/>
  <c r="M282" i="57"/>
  <c r="M281" i="57"/>
  <c r="M280" i="57"/>
  <c r="M279" i="57"/>
  <c r="M278" i="57"/>
  <c r="M277" i="57"/>
  <c r="M276" i="57"/>
  <c r="M275" i="57"/>
  <c r="M274" i="57"/>
  <c r="O273" i="57"/>
  <c r="M272" i="57"/>
  <c r="M271" i="57"/>
  <c r="M270" i="57"/>
  <c r="M269" i="57"/>
  <c r="M268" i="57"/>
  <c r="M267" i="57"/>
  <c r="M266" i="57"/>
  <c r="M265" i="57"/>
  <c r="M264" i="57"/>
  <c r="M263" i="57"/>
  <c r="M262" i="57"/>
  <c r="M261" i="57"/>
  <c r="M260" i="57"/>
  <c r="M259" i="57"/>
  <c r="O258" i="57"/>
  <c r="M257" i="57"/>
  <c r="M256" i="57"/>
  <c r="M255" i="57"/>
  <c r="M254" i="57"/>
  <c r="M253" i="57"/>
  <c r="M252" i="57"/>
  <c r="M251" i="57"/>
  <c r="M250" i="57"/>
  <c r="M249" i="57"/>
  <c r="M248" i="57"/>
  <c r="M247" i="57"/>
  <c r="M246" i="57"/>
  <c r="M245" i="57"/>
  <c r="M244" i="57"/>
  <c r="M243" i="57"/>
  <c r="M242" i="57"/>
  <c r="M241" i="57"/>
  <c r="M240" i="57"/>
  <c r="M239" i="57"/>
  <c r="M238" i="57"/>
  <c r="M237" i="57"/>
  <c r="M236" i="57"/>
  <c r="M235" i="57"/>
  <c r="M234" i="57"/>
  <c r="M233" i="57"/>
  <c r="M232" i="57"/>
  <c r="M231" i="57"/>
  <c r="M230" i="57"/>
  <c r="M229" i="57"/>
  <c r="M228" i="57"/>
  <c r="M227" i="57"/>
  <c r="M226" i="57"/>
  <c r="M225" i="57"/>
  <c r="M224" i="57"/>
  <c r="M223" i="57"/>
  <c r="M222" i="57"/>
  <c r="M221" i="57"/>
  <c r="M220" i="57"/>
  <c r="M219" i="57"/>
  <c r="M218" i="57"/>
  <c r="M217" i="57"/>
  <c r="M216" i="57"/>
  <c r="M215" i="57"/>
  <c r="M214" i="57"/>
  <c r="M213" i="57"/>
  <c r="M212" i="57"/>
  <c r="M211" i="57"/>
  <c r="M210" i="57"/>
  <c r="M209" i="57"/>
  <c r="M208" i="57"/>
  <c r="M207" i="57"/>
  <c r="M206" i="57"/>
  <c r="M205" i="57"/>
  <c r="M204" i="57"/>
  <c r="M203" i="57"/>
  <c r="M202" i="57"/>
  <c r="M201" i="57"/>
  <c r="M200" i="57"/>
  <c r="M199" i="57"/>
  <c r="M198" i="57"/>
  <c r="M197" i="57"/>
  <c r="M196" i="57"/>
  <c r="M195" i="57"/>
  <c r="M194" i="57"/>
  <c r="M193" i="57"/>
  <c r="M192" i="57"/>
  <c r="M191" i="57"/>
  <c r="M190" i="57"/>
  <c r="M189" i="57"/>
  <c r="M188" i="57"/>
  <c r="M187" i="57"/>
  <c r="M186" i="57"/>
  <c r="M185" i="57"/>
  <c r="M184" i="57"/>
  <c r="M183" i="57"/>
  <c r="M182" i="57"/>
  <c r="M181" i="57"/>
  <c r="M180" i="57"/>
  <c r="M179" i="57"/>
  <c r="M178" i="57"/>
  <c r="M177" i="57"/>
  <c r="M176" i="57"/>
  <c r="M175" i="57"/>
  <c r="M174" i="57"/>
  <c r="M173" i="57"/>
  <c r="M172" i="57"/>
  <c r="M171" i="57"/>
  <c r="M170" i="57"/>
  <c r="M169" i="57"/>
  <c r="M168" i="57"/>
  <c r="M167" i="57"/>
  <c r="M166" i="57"/>
  <c r="M165" i="57"/>
  <c r="M164" i="57"/>
  <c r="M163" i="57"/>
  <c r="M162" i="57"/>
  <c r="M161" i="57"/>
  <c r="M160" i="57"/>
  <c r="M159" i="57"/>
  <c r="M158" i="57"/>
  <c r="M157" i="57"/>
  <c r="M156" i="57"/>
  <c r="M155" i="57"/>
  <c r="M154" i="57"/>
  <c r="M153" i="57"/>
  <c r="M152" i="57"/>
  <c r="M151" i="57"/>
  <c r="M150" i="57"/>
  <c r="M149" i="57"/>
  <c r="M148" i="57"/>
  <c r="M147" i="57"/>
  <c r="M146" i="57"/>
  <c r="M145" i="57"/>
  <c r="M144" i="57"/>
  <c r="M143" i="57"/>
  <c r="M142" i="57"/>
  <c r="M141" i="57"/>
  <c r="M140" i="57"/>
  <c r="M139" i="57"/>
  <c r="M138" i="57"/>
  <c r="M137" i="57"/>
  <c r="M136" i="57"/>
  <c r="M135" i="57"/>
  <c r="M134" i="57"/>
  <c r="M133" i="57"/>
  <c r="M132" i="57"/>
  <c r="M131" i="57"/>
  <c r="M130" i="57"/>
  <c r="M129" i="57"/>
  <c r="M128" i="57"/>
  <c r="M127" i="57"/>
  <c r="M126" i="57"/>
  <c r="M125" i="57"/>
  <c r="M124" i="57"/>
  <c r="M123" i="57"/>
  <c r="M122" i="57"/>
  <c r="M121" i="57"/>
  <c r="M120" i="57"/>
  <c r="M119" i="57"/>
  <c r="M118" i="57"/>
  <c r="M117" i="57"/>
  <c r="M116" i="57"/>
  <c r="M115" i="57"/>
  <c r="M114" i="57"/>
  <c r="M113" i="57"/>
  <c r="M112" i="57"/>
  <c r="M111" i="57"/>
  <c r="M110" i="57"/>
  <c r="M109" i="57"/>
  <c r="M108" i="57"/>
  <c r="M107" i="57"/>
  <c r="M106" i="57"/>
  <c r="M105" i="57"/>
  <c r="M104" i="57"/>
  <c r="M103" i="57"/>
  <c r="M102" i="57"/>
  <c r="M101" i="57"/>
  <c r="M100" i="57"/>
  <c r="M99" i="57"/>
  <c r="M98" i="57"/>
  <c r="M97" i="57"/>
  <c r="M96" i="57"/>
  <c r="M95" i="57"/>
  <c r="M94" i="57"/>
  <c r="M93" i="57"/>
  <c r="M92" i="57"/>
  <c r="M91" i="57"/>
  <c r="M90" i="57"/>
  <c r="M89" i="57"/>
  <c r="M88" i="57"/>
  <c r="M87" i="57"/>
  <c r="M86" i="57"/>
  <c r="M85" i="57"/>
  <c r="M84" i="57"/>
  <c r="M83" i="57"/>
  <c r="M82" i="57"/>
  <c r="M81" i="57"/>
  <c r="M80" i="57"/>
  <c r="M79" i="57"/>
  <c r="M78" i="57"/>
  <c r="M77" i="57"/>
  <c r="M76" i="57"/>
  <c r="M75" i="57"/>
  <c r="M74" i="57"/>
  <c r="M73" i="57"/>
  <c r="M72" i="57"/>
  <c r="M71" i="57"/>
  <c r="M70" i="57"/>
  <c r="M69" i="57"/>
  <c r="M68" i="57"/>
  <c r="M67" i="57"/>
  <c r="M66" i="57"/>
  <c r="M65" i="57"/>
  <c r="M64" i="57"/>
  <c r="M63" i="57"/>
  <c r="M62" i="57"/>
  <c r="M61" i="57"/>
  <c r="M60" i="57"/>
  <c r="M59" i="57"/>
  <c r="M58" i="57"/>
  <c r="O57" i="57"/>
  <c r="M56" i="57"/>
  <c r="M55" i="57"/>
  <c r="M54" i="57"/>
  <c r="M53" i="57"/>
  <c r="M52" i="57"/>
  <c r="M51" i="57"/>
  <c r="M50" i="57"/>
  <c r="M49" i="57"/>
  <c r="M48" i="57"/>
  <c r="M47" i="57"/>
  <c r="M46" i="57"/>
  <c r="M45" i="57"/>
  <c r="M44" i="57"/>
  <c r="M43" i="57"/>
  <c r="O42" i="57"/>
  <c r="M41" i="57"/>
  <c r="M40" i="57"/>
  <c r="M39" i="57"/>
  <c r="M38" i="57"/>
  <c r="M37" i="57"/>
  <c r="M36" i="57"/>
  <c r="M35" i="57"/>
  <c r="M34" i="57"/>
  <c r="M33" i="57"/>
  <c r="P80" i="54"/>
  <c r="P78" i="54"/>
  <c r="P77" i="54"/>
  <c r="P74" i="54"/>
  <c r="P70" i="54"/>
  <c r="P68" i="54"/>
  <c r="P67" i="54"/>
  <c r="P64" i="54"/>
  <c r="P63" i="54"/>
  <c r="P60" i="54"/>
  <c r="P59" i="54"/>
  <c r="P57" i="54"/>
  <c r="P56" i="54"/>
  <c r="P245" i="51"/>
  <c r="N242" i="51"/>
  <c r="N237" i="51"/>
  <c r="N236" i="51"/>
  <c r="N235" i="51"/>
  <c r="N231" i="51"/>
  <c r="N228" i="51"/>
  <c r="N227" i="51"/>
  <c r="N225" i="51"/>
  <c r="N224" i="51"/>
  <c r="N223" i="51"/>
  <c r="P217" i="51"/>
  <c r="N216" i="51"/>
  <c r="N215" i="51"/>
  <c r="N213" i="51"/>
  <c r="N212" i="51"/>
  <c r="N208" i="51"/>
  <c r="N207" i="51"/>
  <c r="N195" i="51"/>
  <c r="N194" i="51"/>
  <c r="N193" i="51"/>
  <c r="N192" i="51"/>
  <c r="N188" i="51"/>
  <c r="N184" i="51"/>
  <c r="N178" i="51"/>
  <c r="N177" i="51"/>
  <c r="N176" i="51"/>
  <c r="N171" i="51"/>
  <c r="N166" i="51"/>
  <c r="P164" i="51"/>
  <c r="P163" i="51"/>
  <c r="N159" i="51"/>
  <c r="N156" i="51"/>
  <c r="N155" i="51"/>
  <c r="N153" i="51"/>
  <c r="N149" i="51"/>
  <c r="N147" i="51"/>
  <c r="N145" i="51"/>
  <c r="N140" i="51"/>
  <c r="P128" i="51"/>
  <c r="P126" i="51"/>
  <c r="P124" i="51"/>
  <c r="N114" i="51"/>
  <c r="N113" i="51"/>
  <c r="N96" i="51"/>
  <c r="N95" i="51"/>
  <c r="P89" i="51"/>
  <c r="N87" i="51"/>
  <c r="N84" i="51"/>
  <c r="N83" i="51"/>
  <c r="N80" i="51"/>
  <c r="N78" i="51"/>
  <c r="N77" i="51"/>
  <c r="O19" i="48"/>
  <c r="O15" i="48"/>
  <c r="O14" i="48"/>
  <c r="O11" i="48"/>
  <c r="O9" i="48"/>
  <c r="M5" i="47"/>
  <c r="M4" i="47"/>
  <c r="O64" i="45"/>
  <c r="O63" i="45"/>
  <c r="O48" i="45"/>
  <c r="O47" i="45"/>
  <c r="O44" i="45"/>
  <c r="O33" i="45"/>
  <c r="O30" i="45"/>
  <c r="O12" i="45"/>
  <c r="O2" i="45"/>
  <c r="O83" i="30"/>
  <c r="O55" i="30"/>
  <c r="O54" i="30"/>
  <c r="O53" i="30"/>
  <c r="O50" i="30"/>
  <c r="O49" i="30"/>
  <c r="O47" i="30"/>
  <c r="O43" i="30"/>
  <c r="O42" i="30"/>
  <c r="O41" i="30"/>
  <c r="O39" i="30"/>
  <c r="O37" i="30"/>
  <c r="O33" i="30"/>
  <c r="M7" i="23"/>
  <c r="O6" i="23"/>
  <c r="O5" i="23"/>
  <c r="O4" i="23"/>
  <c r="O3" i="23"/>
  <c r="M5" i="22"/>
  <c r="O4" i="22"/>
  <c r="O3" i="22"/>
  <c r="O46" i="21"/>
  <c r="O45" i="21"/>
  <c r="O43" i="21"/>
  <c r="O41" i="21"/>
  <c r="O39" i="21"/>
  <c r="O38" i="21"/>
  <c r="O36" i="21"/>
  <c r="O34" i="21"/>
  <c r="O30" i="21"/>
  <c r="O29" i="21"/>
  <c r="O27" i="21"/>
  <c r="O25" i="21"/>
  <c r="O24" i="21"/>
  <c r="O22" i="21"/>
  <c r="O20" i="21"/>
  <c r="O18" i="21"/>
  <c r="O15" i="21"/>
  <c r="O13" i="21"/>
  <c r="O11" i="21"/>
  <c r="O9" i="21"/>
  <c r="O7" i="21"/>
  <c r="O5" i="21"/>
  <c r="O3" i="21"/>
  <c r="O40" i="20"/>
  <c r="O37" i="20"/>
  <c r="O35" i="20"/>
  <c r="O33" i="20"/>
  <c r="O32" i="20"/>
  <c r="O30" i="20"/>
  <c r="O29" i="20"/>
  <c r="M26" i="20"/>
  <c r="M25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M6" i="20"/>
  <c r="M5" i="20"/>
  <c r="O3" i="12"/>
  <c r="O2" i="12"/>
  <c r="O6" i="11"/>
  <c r="M575" i="9"/>
  <c r="O573" i="9"/>
  <c r="O571" i="9"/>
  <c r="Q571" i="9" s="1"/>
  <c r="O568" i="9"/>
  <c r="O562" i="9"/>
  <c r="O555" i="9"/>
  <c r="O544" i="9"/>
  <c r="O540" i="9"/>
  <c r="O535" i="9"/>
  <c r="O525" i="9"/>
  <c r="O524" i="9"/>
  <c r="O514" i="9"/>
  <c r="M32" i="57"/>
  <c r="M31" i="57"/>
  <c r="M30" i="57"/>
  <c r="M29" i="57"/>
  <c r="M28" i="57"/>
  <c r="O27" i="57"/>
  <c r="M26" i="57"/>
  <c r="M25" i="57"/>
  <c r="M24" i="57"/>
  <c r="M23" i="57"/>
  <c r="M22" i="57"/>
  <c r="M21" i="57"/>
  <c r="M20" i="57"/>
  <c r="M19" i="57"/>
  <c r="M18" i="57"/>
  <c r="M17" i="57"/>
  <c r="M16" i="57"/>
  <c r="M15" i="57"/>
  <c r="M14" i="57"/>
  <c r="M13" i="57"/>
  <c r="O12" i="57"/>
  <c r="M11" i="57"/>
  <c r="M10" i="57"/>
  <c r="M9" i="57"/>
  <c r="M8" i="57"/>
  <c r="M7" i="57"/>
  <c r="M6" i="57"/>
  <c r="M5" i="57"/>
  <c r="M4" i="57"/>
  <c r="M3" i="57"/>
  <c r="M2" i="57"/>
  <c r="M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P299" i="54"/>
  <c r="P298" i="54"/>
  <c r="P297" i="54"/>
  <c r="P296" i="54"/>
  <c r="P295" i="54"/>
  <c r="N294" i="54"/>
  <c r="P293" i="54"/>
  <c r="P292" i="54"/>
  <c r="P291" i="54"/>
  <c r="P290" i="54"/>
  <c r="P289" i="54"/>
  <c r="P288" i="54"/>
  <c r="P287" i="54"/>
  <c r="P286" i="54"/>
  <c r="P285" i="54"/>
  <c r="P284" i="54"/>
  <c r="P283" i="54"/>
  <c r="P282" i="54"/>
  <c r="P281" i="54"/>
  <c r="P280" i="54"/>
  <c r="P279" i="54"/>
  <c r="P278" i="54"/>
  <c r="P277" i="54"/>
  <c r="P276" i="54"/>
  <c r="P275" i="54"/>
  <c r="P274" i="54"/>
  <c r="P273" i="54"/>
  <c r="P272" i="54"/>
  <c r="P271" i="54"/>
  <c r="P270" i="54"/>
  <c r="P269" i="54"/>
  <c r="P268" i="54"/>
  <c r="P267" i="54"/>
  <c r="P266" i="54"/>
  <c r="P265" i="54"/>
  <c r="P264" i="54"/>
  <c r="P263" i="54"/>
  <c r="P262" i="54"/>
  <c r="P261" i="54"/>
  <c r="P260" i="54"/>
  <c r="P259" i="54"/>
  <c r="P258" i="54"/>
  <c r="N257" i="54"/>
  <c r="P256" i="54"/>
  <c r="P255" i="54"/>
  <c r="P254" i="54"/>
  <c r="P253" i="54"/>
  <c r="P252" i="54"/>
  <c r="P251" i="54"/>
  <c r="P250" i="54"/>
  <c r="P249" i="54"/>
  <c r="P248" i="54"/>
  <c r="P247" i="54"/>
  <c r="P246" i="54"/>
  <c r="P245" i="54"/>
  <c r="P244" i="54"/>
  <c r="P243" i="54"/>
  <c r="P242" i="54"/>
  <c r="P241" i="54"/>
  <c r="P240" i="54"/>
  <c r="P239" i="54"/>
  <c r="P238" i="54"/>
  <c r="P237" i="54"/>
  <c r="P236" i="54"/>
  <c r="P235" i="54"/>
  <c r="P234" i="54"/>
  <c r="P233" i="54"/>
  <c r="P232" i="54"/>
  <c r="P231" i="54"/>
  <c r="P230" i="54"/>
  <c r="P229" i="54"/>
  <c r="P228" i="54"/>
  <c r="P227" i="54"/>
  <c r="P226" i="54"/>
  <c r="P225" i="54"/>
  <c r="P224" i="54"/>
  <c r="P223" i="54"/>
  <c r="P222" i="54"/>
  <c r="P221" i="54"/>
  <c r="P220" i="54"/>
  <c r="P219" i="54"/>
  <c r="P218" i="54"/>
  <c r="P217" i="54"/>
  <c r="P216" i="54"/>
  <c r="N215" i="54"/>
  <c r="P214" i="54"/>
  <c r="P213" i="54"/>
  <c r="P212" i="54"/>
  <c r="P211" i="54"/>
  <c r="P210" i="54"/>
  <c r="P209" i="54"/>
  <c r="P208" i="54"/>
  <c r="P207" i="54"/>
  <c r="P206" i="54"/>
  <c r="P205" i="54"/>
  <c r="P204" i="54"/>
  <c r="P203" i="54"/>
  <c r="P202" i="54"/>
  <c r="P201" i="54"/>
  <c r="P200" i="54"/>
  <c r="P199" i="54"/>
  <c r="P198" i="54"/>
  <c r="P197" i="54"/>
  <c r="P196" i="54"/>
  <c r="P195" i="54"/>
  <c r="P194" i="54"/>
  <c r="P193" i="54"/>
  <c r="P192" i="54"/>
  <c r="P191" i="54"/>
  <c r="P190" i="54"/>
  <c r="P189" i="54"/>
  <c r="P188" i="54"/>
  <c r="P187" i="54"/>
  <c r="P186" i="54"/>
  <c r="P185" i="54"/>
  <c r="P184" i="54"/>
  <c r="P183" i="54"/>
  <c r="P182" i="54"/>
  <c r="P181" i="54"/>
  <c r="N180" i="54"/>
  <c r="P179" i="54"/>
  <c r="P178" i="54"/>
  <c r="P177" i="54"/>
  <c r="P176" i="54"/>
  <c r="P175" i="54"/>
  <c r="P174" i="54"/>
  <c r="P173" i="54"/>
  <c r="P172" i="54"/>
  <c r="P171" i="54"/>
  <c r="P170" i="54"/>
  <c r="P169" i="54"/>
  <c r="P168" i="54"/>
  <c r="P167" i="54"/>
  <c r="P166" i="54"/>
  <c r="P165" i="54"/>
  <c r="P164" i="54"/>
  <c r="P163" i="54"/>
  <c r="P162" i="54"/>
  <c r="P161" i="54"/>
  <c r="P160" i="54"/>
  <c r="P159" i="54"/>
  <c r="P158" i="54"/>
  <c r="P157" i="54"/>
  <c r="P156" i="54"/>
  <c r="P155" i="54"/>
  <c r="P154" i="54"/>
  <c r="P153" i="54"/>
  <c r="P152" i="54"/>
  <c r="P151" i="54"/>
  <c r="P150" i="54"/>
  <c r="P149" i="54"/>
  <c r="P148" i="54"/>
  <c r="P147" i="54"/>
  <c r="P146" i="54"/>
  <c r="N145" i="54"/>
  <c r="P144" i="54"/>
  <c r="P143" i="54"/>
  <c r="P142" i="54"/>
  <c r="P141" i="54"/>
  <c r="P140" i="54"/>
  <c r="P139" i="54"/>
  <c r="P138" i="54"/>
  <c r="P137" i="54"/>
  <c r="P136" i="54"/>
  <c r="P135" i="54"/>
  <c r="P134" i="54"/>
  <c r="P133" i="54"/>
  <c r="P132" i="54"/>
  <c r="P131" i="54"/>
  <c r="P130" i="54"/>
  <c r="P129" i="54"/>
  <c r="P128" i="54"/>
  <c r="P127" i="54"/>
  <c r="P126" i="54"/>
  <c r="P125" i="54"/>
  <c r="P124" i="54"/>
  <c r="P123" i="54"/>
  <c r="P122" i="54"/>
  <c r="P121" i="54"/>
  <c r="P120" i="54"/>
  <c r="P119" i="54"/>
  <c r="P118" i="54"/>
  <c r="P117" i="54"/>
  <c r="P116" i="54"/>
  <c r="P115" i="54"/>
  <c r="P114" i="54"/>
  <c r="P113" i="54"/>
  <c r="P112" i="54"/>
  <c r="P111" i="54"/>
  <c r="P110" i="54"/>
  <c r="P109" i="54"/>
  <c r="N108" i="54"/>
  <c r="P107" i="54"/>
  <c r="P106" i="54"/>
  <c r="P105" i="54"/>
  <c r="P104" i="54"/>
  <c r="P103" i="54"/>
  <c r="P102" i="54"/>
  <c r="P101" i="54"/>
  <c r="P100" i="54"/>
  <c r="P99" i="54"/>
  <c r="P98" i="54"/>
  <c r="P97" i="54"/>
  <c r="P96" i="54"/>
  <c r="P95" i="54"/>
  <c r="P94" i="54"/>
  <c r="P93" i="54"/>
  <c r="P92" i="54"/>
  <c r="P91" i="54"/>
  <c r="P90" i="54"/>
  <c r="P89" i="54"/>
  <c r="P88" i="54"/>
  <c r="P87" i="54"/>
  <c r="P86" i="54"/>
  <c r="P85" i="54"/>
  <c r="P84" i="54"/>
  <c r="P83" i="54"/>
  <c r="P82" i="54"/>
  <c r="P81" i="54"/>
  <c r="P79" i="54"/>
  <c r="P76" i="54"/>
  <c r="P75" i="54"/>
  <c r="P73" i="54"/>
  <c r="P72" i="54"/>
  <c r="N71" i="54"/>
  <c r="P69" i="54"/>
  <c r="P66" i="54"/>
  <c r="P65" i="54"/>
  <c r="P62" i="54"/>
  <c r="P61" i="54"/>
  <c r="P58" i="54"/>
  <c r="P55" i="54"/>
  <c r="P54" i="54"/>
  <c r="P53" i="54"/>
  <c r="P52" i="54"/>
  <c r="P51" i="54"/>
  <c r="P50" i="54"/>
  <c r="P49" i="54"/>
  <c r="P48" i="54"/>
  <c r="P250" i="51"/>
  <c r="P249" i="51"/>
  <c r="N243" i="51"/>
  <c r="N241" i="51"/>
  <c r="N240" i="51"/>
  <c r="N239" i="51"/>
  <c r="N238" i="51"/>
  <c r="N230" i="51"/>
  <c r="N226" i="51"/>
  <c r="N221" i="51"/>
  <c r="N209" i="51"/>
  <c r="N206" i="51"/>
  <c r="N205" i="51"/>
  <c r="N204" i="51"/>
  <c r="N203" i="51"/>
  <c r="N202" i="51"/>
  <c r="N200" i="51"/>
  <c r="N196" i="51"/>
  <c r="P191" i="51"/>
  <c r="N183" i="51"/>
  <c r="N182" i="51"/>
  <c r="N181" i="51"/>
  <c r="N175" i="51"/>
  <c r="N169" i="51"/>
  <c r="N158" i="51"/>
  <c r="N150" i="51"/>
  <c r="N146" i="51"/>
  <c r="N144" i="51"/>
  <c r="N143" i="51"/>
  <c r="N141" i="51"/>
  <c r="P127" i="51"/>
  <c r="P121" i="51"/>
  <c r="P116" i="51"/>
  <c r="N115" i="51"/>
  <c r="N112" i="51"/>
  <c r="N111" i="51"/>
  <c r="N109" i="51"/>
  <c r="N108" i="51"/>
  <c r="N106" i="51"/>
  <c r="N103" i="51"/>
  <c r="N102" i="51"/>
  <c r="N99" i="51"/>
  <c r="N94" i="51"/>
  <c r="P90" i="51"/>
  <c r="N88" i="51"/>
  <c r="N79" i="51"/>
  <c r="O18" i="48"/>
  <c r="O17" i="48"/>
  <c r="O16" i="48"/>
  <c r="O8" i="48"/>
  <c r="O5" i="48"/>
  <c r="M7" i="47"/>
  <c r="M6" i="47"/>
  <c r="M2" i="47"/>
  <c r="O66" i="45"/>
  <c r="O65" i="45"/>
  <c r="O61" i="45"/>
  <c r="O58" i="45"/>
  <c r="O57" i="45"/>
  <c r="O56" i="45"/>
  <c r="O54" i="45"/>
  <c r="O52" i="45"/>
  <c r="O50" i="45"/>
  <c r="O49" i="45"/>
  <c r="O42" i="45"/>
  <c r="O41" i="45"/>
  <c r="O37" i="45"/>
  <c r="O35" i="45"/>
  <c r="O28" i="45"/>
  <c r="O26" i="45"/>
  <c r="O22" i="45"/>
  <c r="O9" i="45"/>
  <c r="O7" i="45"/>
  <c r="O3" i="45"/>
  <c r="M85" i="44"/>
  <c r="M84" i="44"/>
  <c r="M83" i="44"/>
  <c r="M82" i="44"/>
  <c r="M84" i="30"/>
  <c r="O80" i="30"/>
  <c r="O78" i="30"/>
  <c r="O76" i="30"/>
  <c r="O73" i="30"/>
  <c r="O71" i="30"/>
  <c r="O68" i="30"/>
  <c r="O65" i="30"/>
  <c r="O62" i="30"/>
  <c r="Q62" i="30" s="1"/>
  <c r="O61" i="30"/>
  <c r="O48" i="30"/>
  <c r="O45" i="30"/>
  <c r="O44" i="30"/>
  <c r="O34" i="30"/>
  <c r="O31" i="30"/>
  <c r="O30" i="30"/>
  <c r="O20" i="30"/>
  <c r="O17" i="30"/>
  <c r="O15" i="30"/>
  <c r="O14" i="30"/>
  <c r="O10" i="30"/>
  <c r="O7" i="30"/>
  <c r="M5" i="27"/>
  <c r="O6" i="26"/>
  <c r="L23" i="20"/>
  <c r="M23" i="20" s="1"/>
  <c r="M22" i="20"/>
  <c r="M5" i="19"/>
  <c r="M4" i="19"/>
  <c r="M5" i="18"/>
  <c r="O5" i="11"/>
  <c r="O4" i="11"/>
  <c r="O3" i="11"/>
  <c r="O2" i="11"/>
  <c r="M577" i="9"/>
  <c r="M576" i="9"/>
  <c r="O574" i="9"/>
  <c r="O572" i="9"/>
  <c r="O570" i="9"/>
  <c r="O569" i="9"/>
  <c r="O567" i="9"/>
  <c r="O563" i="9"/>
  <c r="O561" i="9"/>
  <c r="O550" i="9"/>
  <c r="O549" i="9"/>
  <c r="O548" i="9"/>
  <c r="O547" i="9"/>
  <c r="O546" i="9"/>
  <c r="O539" i="9"/>
  <c r="O538" i="9"/>
  <c r="O537" i="9"/>
  <c r="O522" i="9"/>
  <c r="O520" i="9"/>
  <c r="O519" i="9"/>
  <c r="O515" i="9"/>
  <c r="O509" i="9"/>
  <c r="O508" i="9"/>
  <c r="O505" i="9"/>
  <c r="O502" i="9"/>
  <c r="O499" i="9"/>
  <c r="O498" i="9"/>
  <c r="O496" i="9"/>
  <c r="O495" i="9"/>
  <c r="O482" i="9"/>
  <c r="O476" i="9"/>
  <c r="O475" i="9"/>
  <c r="O474" i="9"/>
  <c r="O470" i="9"/>
  <c r="O469" i="9"/>
  <c r="Q465" i="9"/>
  <c r="O463" i="9"/>
  <c r="O452" i="9"/>
  <c r="O451" i="9"/>
  <c r="O449" i="9"/>
  <c r="O447" i="9"/>
  <c r="O446" i="9"/>
  <c r="O444" i="9"/>
  <c r="O433" i="9"/>
  <c r="O430" i="9"/>
  <c r="O426" i="9"/>
  <c r="O424" i="9"/>
  <c r="O417" i="9"/>
  <c r="O416" i="9"/>
  <c r="O406" i="9"/>
  <c r="O405" i="9"/>
  <c r="O404" i="9"/>
  <c r="O403" i="9"/>
  <c r="M401" i="9"/>
  <c r="M398" i="9"/>
  <c r="O393" i="9"/>
  <c r="O391" i="9"/>
  <c r="O390" i="9"/>
  <c r="O387" i="9"/>
  <c r="O386" i="9"/>
  <c r="O384" i="9"/>
  <c r="O382" i="9"/>
  <c r="O379" i="9"/>
  <c r="O378" i="9"/>
  <c r="O377" i="9"/>
  <c r="O375" i="9"/>
  <c r="L20" i="1"/>
  <c r="P47" i="54"/>
  <c r="P46" i="54"/>
  <c r="P45" i="54"/>
  <c r="P44" i="54"/>
  <c r="P43" i="54"/>
  <c r="P42" i="54"/>
  <c r="P41" i="54"/>
  <c r="P40" i="54"/>
  <c r="P39" i="54"/>
  <c r="P38" i="54"/>
  <c r="P37" i="54"/>
  <c r="N36" i="54"/>
  <c r="P35" i="54"/>
  <c r="P34" i="54"/>
  <c r="P33" i="54"/>
  <c r="P32" i="54"/>
  <c r="P31" i="54"/>
  <c r="P30" i="54"/>
  <c r="P29" i="54"/>
  <c r="P28" i="54"/>
  <c r="P27" i="54"/>
  <c r="P26" i="54"/>
  <c r="P25" i="54"/>
  <c r="P24" i="54"/>
  <c r="P23" i="54"/>
  <c r="P22" i="54"/>
  <c r="P21" i="54"/>
  <c r="P20" i="54"/>
  <c r="P19" i="54"/>
  <c r="P18" i="54"/>
  <c r="P17" i="54"/>
  <c r="P16" i="54"/>
  <c r="P15" i="54"/>
  <c r="P14" i="54"/>
  <c r="P13" i="54"/>
  <c r="P12" i="54"/>
  <c r="P11" i="54"/>
  <c r="P10" i="54"/>
  <c r="P9" i="54"/>
  <c r="P8" i="54"/>
  <c r="P7" i="54"/>
  <c r="P6" i="54"/>
  <c r="P5" i="54"/>
  <c r="P4" i="54"/>
  <c r="P3" i="54"/>
  <c r="P2" i="54"/>
  <c r="H76" i="53"/>
  <c r="J75" i="53"/>
  <c r="J74" i="53"/>
  <c r="J73" i="53"/>
  <c r="J72" i="53"/>
  <c r="J71" i="53"/>
  <c r="J70" i="53"/>
  <c r="J69" i="53"/>
  <c r="J68" i="53"/>
  <c r="J67" i="53"/>
  <c r="J66" i="53"/>
  <c r="J65" i="53"/>
  <c r="H62" i="53"/>
  <c r="J61" i="53"/>
  <c r="J60" i="53"/>
  <c r="J59" i="53"/>
  <c r="J58" i="53"/>
  <c r="J57" i="53"/>
  <c r="J56" i="53"/>
  <c r="J55" i="53"/>
  <c r="J54" i="53"/>
  <c r="J53" i="53"/>
  <c r="J52" i="53"/>
  <c r="J51" i="53"/>
  <c r="J62" i="53" s="1"/>
  <c r="H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48" i="53" s="1"/>
  <c r="H26" i="53"/>
  <c r="J25" i="53"/>
  <c r="J24" i="53"/>
  <c r="J23" i="53"/>
  <c r="J22" i="53"/>
  <c r="J21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J7" i="53"/>
  <c r="J26" i="53" s="1"/>
  <c r="N8" i="52"/>
  <c r="F8" i="52"/>
  <c r="P257" i="51"/>
  <c r="P256" i="51"/>
  <c r="P255" i="51"/>
  <c r="P254" i="51"/>
  <c r="P253" i="51"/>
  <c r="P252" i="51"/>
  <c r="P251" i="51"/>
  <c r="P248" i="51"/>
  <c r="R248" i="51" s="1"/>
  <c r="P247" i="51"/>
  <c r="P246" i="51"/>
  <c r="P244" i="51"/>
  <c r="N234" i="51"/>
  <c r="N233" i="51"/>
  <c r="P218" i="51"/>
  <c r="N214" i="51"/>
  <c r="N211" i="51"/>
  <c r="N199" i="51"/>
  <c r="N197" i="51"/>
  <c r="N180" i="51"/>
  <c r="N173" i="51"/>
  <c r="N168" i="51"/>
  <c r="N162" i="51"/>
  <c r="N160" i="51"/>
  <c r="N154" i="51"/>
  <c r="N148" i="51"/>
  <c r="P129" i="51"/>
  <c r="P123" i="51"/>
  <c r="P118" i="51"/>
  <c r="P117" i="51"/>
  <c r="N105" i="51"/>
  <c r="N104" i="51"/>
  <c r="N101" i="51"/>
  <c r="N98" i="51"/>
  <c r="N97" i="51"/>
  <c r="N81" i="51"/>
  <c r="O13" i="48"/>
  <c r="O7" i="48"/>
  <c r="O3" i="48"/>
  <c r="M3" i="47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7" i="46"/>
  <c r="O6" i="46"/>
  <c r="O5" i="46"/>
  <c r="O3" i="46"/>
  <c r="O2" i="46"/>
  <c r="O113" i="45"/>
  <c r="O112" i="45"/>
  <c r="O111" i="45"/>
  <c r="O107" i="45"/>
  <c r="O105" i="45"/>
  <c r="O104" i="45"/>
  <c r="O101" i="45"/>
  <c r="O99" i="45"/>
  <c r="O97" i="45"/>
  <c r="O94" i="45"/>
  <c r="O92" i="45"/>
  <c r="O90" i="45"/>
  <c r="O88" i="45"/>
  <c r="O87" i="45"/>
  <c r="Q87" i="45" s="1"/>
  <c r="O85" i="45"/>
  <c r="O81" i="45"/>
  <c r="O78" i="45"/>
  <c r="O76" i="45"/>
  <c r="O72" i="45"/>
  <c r="O70" i="45"/>
  <c r="O68" i="45"/>
  <c r="O59" i="45"/>
  <c r="O53" i="45"/>
  <c r="O46" i="45"/>
  <c r="O45" i="45"/>
  <c r="O43" i="45"/>
  <c r="O40" i="45"/>
  <c r="O38" i="45"/>
  <c r="O34" i="45"/>
  <c r="O32" i="45"/>
  <c r="O29" i="45"/>
  <c r="O25" i="45"/>
  <c r="O24" i="45"/>
  <c r="O21" i="45"/>
  <c r="O18" i="45"/>
  <c r="O17" i="45"/>
  <c r="O15" i="45"/>
  <c r="O13" i="45"/>
  <c r="O11" i="45"/>
  <c r="O10" i="45"/>
  <c r="O5" i="45"/>
  <c r="M81" i="44"/>
  <c r="O81" i="30"/>
  <c r="O79" i="30"/>
  <c r="O77" i="30"/>
  <c r="O72" i="30"/>
  <c r="O70" i="30"/>
  <c r="O69" i="30"/>
  <c r="O67" i="30"/>
  <c r="Q67" i="30" s="1"/>
  <c r="O66" i="30"/>
  <c r="O64" i="30"/>
  <c r="O56" i="30"/>
  <c r="O51" i="30"/>
  <c r="O40" i="30"/>
  <c r="O38" i="30"/>
  <c r="O35" i="30"/>
  <c r="O32" i="30"/>
  <c r="O29" i="30"/>
  <c r="O27" i="30"/>
  <c r="O26" i="30"/>
  <c r="O21" i="30"/>
  <c r="O19" i="30"/>
  <c r="O12" i="30"/>
  <c r="O11" i="30"/>
  <c r="O9" i="30"/>
  <c r="O6" i="30"/>
  <c r="O5" i="30"/>
  <c r="O3" i="30"/>
  <c r="O2" i="30"/>
  <c r="M2" i="29"/>
  <c r="O2" i="28"/>
  <c r="O4" i="27"/>
  <c r="O4" i="26"/>
  <c r="M5" i="25"/>
  <c r="O4" i="25"/>
  <c r="O3" i="25"/>
  <c r="M6" i="24"/>
  <c r="L3" i="20"/>
  <c r="M3" i="20" s="1"/>
  <c r="M2" i="20"/>
  <c r="O566" i="9"/>
  <c r="O565" i="9"/>
  <c r="O564" i="9"/>
  <c r="O559" i="9"/>
  <c r="O558" i="9"/>
  <c r="O553" i="9"/>
  <c r="O551" i="9"/>
  <c r="O534" i="9"/>
  <c r="O533" i="9"/>
  <c r="O532" i="9"/>
  <c r="O530" i="9"/>
  <c r="O529" i="9"/>
  <c r="O527" i="9"/>
  <c r="O526" i="9"/>
  <c r="O521" i="9"/>
  <c r="O517" i="9"/>
  <c r="O516" i="9"/>
  <c r="O513" i="9"/>
  <c r="O512" i="9"/>
  <c r="O504" i="9"/>
  <c r="O501" i="9"/>
  <c r="O500" i="9"/>
  <c r="O497" i="9"/>
  <c r="O494" i="9"/>
  <c r="O492" i="9"/>
  <c r="O490" i="9"/>
  <c r="O488" i="9"/>
  <c r="O487" i="9"/>
  <c r="Q485" i="9"/>
  <c r="Q483" i="9"/>
  <c r="O479" i="9"/>
  <c r="O478" i="9"/>
  <c r="O477" i="9"/>
  <c r="O473" i="9"/>
  <c r="O471" i="9"/>
  <c r="O468" i="9"/>
  <c r="O458" i="9"/>
  <c r="O457" i="9"/>
  <c r="O456" i="9"/>
  <c r="O455" i="9"/>
  <c r="O454" i="9"/>
  <c r="O448" i="9"/>
  <c r="O445" i="9"/>
  <c r="O443" i="9"/>
  <c r="O442" i="9"/>
  <c r="O440" i="9"/>
  <c r="O438" i="9"/>
  <c r="O437" i="9"/>
  <c r="O436" i="9"/>
  <c r="O432" i="9"/>
  <c r="O428" i="9"/>
  <c r="O425" i="9"/>
  <c r="O423" i="9"/>
  <c r="O422" i="9"/>
  <c r="O421" i="9"/>
  <c r="O420" i="9"/>
  <c r="O413" i="9"/>
  <c r="O412" i="9"/>
  <c r="M397" i="9"/>
  <c r="M396" i="9"/>
  <c r="O395" i="9"/>
  <c r="O394" i="9"/>
  <c r="O392" i="9"/>
  <c r="O389" i="9"/>
  <c r="O388" i="9"/>
  <c r="O385" i="9"/>
  <c r="O383" i="9"/>
  <c r="O381" i="9"/>
  <c r="N75" i="51"/>
  <c r="N74" i="51"/>
  <c r="N73" i="51"/>
  <c r="N72" i="51"/>
  <c r="N71" i="51"/>
  <c r="N70" i="51"/>
  <c r="N69" i="51"/>
  <c r="N68" i="51"/>
  <c r="N67" i="51"/>
  <c r="N66" i="51"/>
  <c r="N65" i="51"/>
  <c r="N64" i="51"/>
  <c r="P63" i="51"/>
  <c r="P62" i="51"/>
  <c r="N61" i="51"/>
  <c r="N60" i="51"/>
  <c r="N59" i="51"/>
  <c r="N58" i="51"/>
  <c r="N57" i="51"/>
  <c r="N56" i="51"/>
  <c r="N55" i="51"/>
  <c r="N54" i="51"/>
  <c r="N53" i="51"/>
  <c r="N52" i="51"/>
  <c r="N51" i="51"/>
  <c r="N50" i="51"/>
  <c r="N49" i="51"/>
  <c r="N48" i="51"/>
  <c r="N47" i="51"/>
  <c r="N46" i="51"/>
  <c r="N45" i="51"/>
  <c r="N44" i="51"/>
  <c r="N43" i="51"/>
  <c r="N42" i="51"/>
  <c r="N41" i="51"/>
  <c r="N40" i="51"/>
  <c r="N39" i="51"/>
  <c r="N38" i="51"/>
  <c r="N37" i="51"/>
  <c r="P36" i="51"/>
  <c r="P35" i="51"/>
  <c r="N34" i="51"/>
  <c r="N33" i="51"/>
  <c r="N32" i="51"/>
  <c r="N31" i="51"/>
  <c r="N30" i="51"/>
  <c r="N29" i="51"/>
  <c r="N28" i="51"/>
  <c r="N27" i="51"/>
  <c r="N26" i="51"/>
  <c r="N25" i="51"/>
  <c r="N24" i="51"/>
  <c r="N23" i="51"/>
  <c r="N22" i="51"/>
  <c r="N21" i="51"/>
  <c r="N20" i="51"/>
  <c r="N19" i="51"/>
  <c r="N18" i="51"/>
  <c r="N17" i="51"/>
  <c r="N16" i="51"/>
  <c r="N15" i="51"/>
  <c r="N14" i="51"/>
  <c r="N13" i="51"/>
  <c r="N12" i="51"/>
  <c r="N11" i="51"/>
  <c r="N10" i="51"/>
  <c r="M13" i="50"/>
  <c r="O10" i="50"/>
  <c r="O9" i="50"/>
  <c r="O8" i="50"/>
  <c r="O7" i="50"/>
  <c r="O6" i="50"/>
  <c r="O5" i="50"/>
  <c r="O4" i="50"/>
  <c r="O3" i="50"/>
  <c r="O13" i="50" s="1"/>
  <c r="M7" i="49"/>
  <c r="O6" i="49"/>
  <c r="O5" i="49"/>
  <c r="O4" i="49"/>
  <c r="O3" i="49"/>
  <c r="O7" i="49" s="1"/>
  <c r="M35" i="48"/>
  <c r="O34" i="48"/>
  <c r="O33" i="48"/>
  <c r="O32" i="48"/>
  <c r="O31" i="48"/>
  <c r="O30" i="48"/>
  <c r="O29" i="48"/>
  <c r="O28" i="48"/>
  <c r="O27" i="48"/>
  <c r="O26" i="48"/>
  <c r="O25" i="48"/>
  <c r="O24" i="48"/>
  <c r="O22" i="48"/>
  <c r="O21" i="48"/>
  <c r="O12" i="48"/>
  <c r="O4" i="48"/>
  <c r="O4" i="30"/>
  <c r="L24" i="20"/>
  <c r="M24" i="20" s="1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M55" i="44"/>
  <c r="M54" i="44"/>
  <c r="M53" i="44"/>
  <c r="M52" i="44"/>
  <c r="M51" i="44"/>
  <c r="M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O148" i="43"/>
  <c r="O147" i="43"/>
  <c r="O146" i="43"/>
  <c r="O145" i="43"/>
  <c r="O144" i="43"/>
  <c r="O143" i="43"/>
  <c r="O142" i="43"/>
  <c r="O141" i="43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19" i="42"/>
  <c r="O18" i="42"/>
  <c r="O17" i="42"/>
  <c r="O16" i="42"/>
  <c r="O15" i="42"/>
  <c r="O14" i="42"/>
  <c r="O13" i="42"/>
  <c r="O12" i="42"/>
  <c r="O11" i="42"/>
  <c r="O57" i="30"/>
  <c r="O46" i="30"/>
  <c r="O24" i="30"/>
  <c r="O22" i="30"/>
  <c r="O16" i="30"/>
  <c r="O13" i="30"/>
  <c r="M3" i="29"/>
  <c r="O3" i="27"/>
  <c r="M7" i="26"/>
  <c r="O5" i="26"/>
  <c r="O3" i="26"/>
  <c r="M49" i="21"/>
  <c r="O48" i="21"/>
  <c r="O47" i="21"/>
  <c r="O44" i="21"/>
  <c r="O42" i="21"/>
  <c r="O40" i="21"/>
  <c r="O37" i="21"/>
  <c r="O35" i="21"/>
  <c r="O33" i="21"/>
  <c r="O32" i="21"/>
  <c r="O31" i="21"/>
  <c r="O28" i="21"/>
  <c r="O26" i="21"/>
  <c r="O23" i="21"/>
  <c r="O21" i="21"/>
  <c r="O19" i="21"/>
  <c r="O17" i="21"/>
  <c r="O16" i="21"/>
  <c r="O14" i="21"/>
  <c r="O12" i="21"/>
  <c r="O10" i="21"/>
  <c r="O8" i="21"/>
  <c r="O6" i="21"/>
  <c r="O4" i="21"/>
  <c r="O41" i="20"/>
  <c r="O39" i="20"/>
  <c r="O38" i="20"/>
  <c r="O36" i="20"/>
  <c r="O34" i="20"/>
  <c r="O31" i="20"/>
  <c r="O28" i="20"/>
  <c r="O27" i="20"/>
  <c r="O9" i="42"/>
  <c r="O8" i="42"/>
  <c r="O7" i="42"/>
  <c r="O6" i="42"/>
  <c r="O5" i="42"/>
  <c r="O4" i="42"/>
  <c r="O3" i="42"/>
  <c r="O2" i="42"/>
  <c r="O9" i="41"/>
  <c r="O8" i="41"/>
  <c r="O7" i="41"/>
  <c r="O6" i="41"/>
  <c r="O5" i="41"/>
  <c r="O4" i="41"/>
  <c r="O3" i="41"/>
  <c r="O2" i="41"/>
  <c r="O3" i="40"/>
  <c r="O2" i="40"/>
  <c r="O9" i="39"/>
  <c r="O8" i="39"/>
  <c r="O7" i="39"/>
  <c r="O6" i="39"/>
  <c r="O5" i="39"/>
  <c r="O4" i="39"/>
  <c r="O3" i="39"/>
  <c r="O2" i="39"/>
  <c r="O9" i="38"/>
  <c r="O8" i="38"/>
  <c r="O7" i="38"/>
  <c r="O6" i="38"/>
  <c r="O5" i="38"/>
  <c r="O4" i="38"/>
  <c r="O3" i="38"/>
  <c r="O2" i="38"/>
  <c r="O7" i="37"/>
  <c r="O6" i="37"/>
  <c r="O5" i="37"/>
  <c r="O4" i="37"/>
  <c r="O3" i="37"/>
  <c r="O2" i="37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M7" i="35"/>
  <c r="M6" i="35"/>
  <c r="M5" i="35"/>
  <c r="M4" i="35"/>
  <c r="M43" i="34"/>
  <c r="M42" i="34"/>
  <c r="M41" i="34"/>
  <c r="M40" i="34"/>
  <c r="M39" i="34"/>
  <c r="M38" i="34"/>
  <c r="M37" i="34"/>
  <c r="M36" i="34"/>
  <c r="M35" i="34"/>
  <c r="M34" i="34"/>
  <c r="M33" i="34"/>
  <c r="M32" i="34"/>
  <c r="M31" i="34"/>
  <c r="M30" i="34"/>
  <c r="M29" i="34"/>
  <c r="M28" i="34"/>
  <c r="M27" i="34"/>
  <c r="M26" i="34"/>
  <c r="M25" i="34"/>
  <c r="M24" i="34"/>
  <c r="M23" i="34"/>
  <c r="M22" i="34"/>
  <c r="M21" i="34"/>
  <c r="M20" i="34"/>
  <c r="M19" i="34"/>
  <c r="M18" i="34"/>
  <c r="M17" i="34"/>
  <c r="M16" i="34"/>
  <c r="M15" i="34"/>
  <c r="M14" i="34"/>
  <c r="M13" i="34"/>
  <c r="M12" i="34"/>
  <c r="M11" i="34"/>
  <c r="M10" i="34"/>
  <c r="M9" i="34"/>
  <c r="M8" i="34"/>
  <c r="M7" i="34"/>
  <c r="M6" i="34"/>
  <c r="M5" i="34"/>
  <c r="M4" i="34"/>
  <c r="M14" i="32"/>
  <c r="O13" i="32"/>
  <c r="O12" i="32"/>
  <c r="O11" i="32"/>
  <c r="O10" i="32"/>
  <c r="O9" i="32"/>
  <c r="O8" i="32"/>
  <c r="O7" i="32"/>
  <c r="O6" i="32"/>
  <c r="O5" i="32"/>
  <c r="O4" i="32"/>
  <c r="O3" i="32"/>
  <c r="O2" i="32"/>
  <c r="O14" i="32" s="1"/>
  <c r="M3" i="31"/>
  <c r="O82" i="30"/>
  <c r="O74" i="30"/>
  <c r="O63" i="30"/>
  <c r="O60" i="30"/>
  <c r="Q60" i="30" s="1"/>
  <c r="O59" i="30"/>
  <c r="O58" i="30"/>
  <c r="O52" i="30"/>
  <c r="O36" i="30"/>
  <c r="O28" i="30"/>
  <c r="O25" i="30"/>
  <c r="O23" i="30"/>
  <c r="M2" i="24"/>
  <c r="L4" i="20"/>
  <c r="M4" i="20" s="1"/>
  <c r="M4" i="18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5" i="16"/>
  <c r="M4" i="16"/>
  <c r="M5" i="15"/>
  <c r="M4" i="15"/>
  <c r="M13" i="14"/>
  <c r="M12" i="14"/>
  <c r="M11" i="14"/>
  <c r="M10" i="14"/>
  <c r="M9" i="14"/>
  <c r="M8" i="14"/>
  <c r="M7" i="14"/>
  <c r="M6" i="14"/>
  <c r="M5" i="14"/>
  <c r="M4" i="14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O12" i="12"/>
  <c r="O11" i="12"/>
  <c r="O560" i="9"/>
  <c r="O557" i="9"/>
  <c r="O556" i="9"/>
  <c r="O554" i="9"/>
  <c r="O552" i="9"/>
  <c r="O545" i="9"/>
  <c r="O543" i="9"/>
  <c r="O542" i="9"/>
  <c r="O541" i="9"/>
  <c r="O536" i="9"/>
  <c r="O531" i="9"/>
  <c r="O528" i="9"/>
  <c r="O523" i="9"/>
  <c r="O518" i="9"/>
  <c r="O511" i="9"/>
  <c r="O510" i="9"/>
  <c r="O507" i="9"/>
  <c r="O506" i="9"/>
  <c r="O503" i="9"/>
  <c r="O493" i="9"/>
  <c r="O491" i="9"/>
  <c r="O489" i="9"/>
  <c r="O486" i="9"/>
  <c r="Q484" i="9"/>
  <c r="O481" i="9"/>
  <c r="O480" i="9"/>
  <c r="O472" i="9"/>
  <c r="O467" i="9"/>
  <c r="Q466" i="9"/>
  <c r="Q464" i="9"/>
  <c r="O462" i="9"/>
  <c r="O461" i="9"/>
  <c r="O460" i="9"/>
  <c r="O459" i="9"/>
  <c r="O453" i="9"/>
  <c r="O450" i="9"/>
  <c r="O441" i="9"/>
  <c r="O439" i="9"/>
  <c r="O435" i="9"/>
  <c r="O434" i="9"/>
  <c r="O431" i="9"/>
  <c r="O429" i="9"/>
  <c r="O427" i="9"/>
  <c r="O419" i="9"/>
  <c r="O418" i="9"/>
  <c r="O415" i="9"/>
  <c r="O414" i="9"/>
  <c r="O411" i="9"/>
  <c r="O410" i="9"/>
  <c r="O409" i="9"/>
  <c r="O408" i="9"/>
  <c r="O407" i="9"/>
  <c r="O402" i="9"/>
  <c r="M400" i="9"/>
  <c r="O380" i="9"/>
  <c r="O376" i="9"/>
  <c r="L19" i="1"/>
  <c r="O373" i="9"/>
  <c r="O372" i="9"/>
  <c r="O371" i="9"/>
  <c r="O370" i="9"/>
  <c r="O369" i="9"/>
  <c r="O368" i="9"/>
  <c r="O367" i="9"/>
  <c r="O366" i="9"/>
  <c r="O365" i="9"/>
  <c r="O364" i="9"/>
  <c r="O363" i="9"/>
  <c r="O362" i="9"/>
  <c r="O361" i="9"/>
  <c r="O360" i="9"/>
  <c r="O359" i="9"/>
  <c r="O358" i="9"/>
  <c r="O357" i="9"/>
  <c r="O356" i="9"/>
  <c r="O355" i="9"/>
  <c r="O354" i="9"/>
  <c r="O353" i="9"/>
  <c r="O352" i="9"/>
  <c r="O351" i="9"/>
  <c r="O350" i="9"/>
  <c r="O349" i="9"/>
  <c r="O348" i="9"/>
  <c r="O347" i="9"/>
  <c r="O346" i="9"/>
  <c r="O345" i="9"/>
  <c r="O344" i="9"/>
  <c r="O343" i="9"/>
  <c r="O342" i="9"/>
  <c r="M341" i="9"/>
  <c r="M340" i="9"/>
  <c r="M339" i="9"/>
  <c r="M338" i="9"/>
  <c r="M337" i="9"/>
  <c r="M336" i="9"/>
  <c r="O335" i="9"/>
  <c r="O334" i="9"/>
  <c r="M333" i="9"/>
  <c r="M332" i="9"/>
  <c r="M331" i="9"/>
  <c r="M330" i="9"/>
  <c r="O329" i="9"/>
  <c r="O328" i="9"/>
  <c r="O327" i="9"/>
  <c r="O326" i="9"/>
  <c r="O325" i="9"/>
  <c r="O324" i="9"/>
  <c r="O323" i="9"/>
  <c r="O322" i="9"/>
  <c r="O321" i="9"/>
  <c r="O320" i="9"/>
  <c r="O319" i="9"/>
  <c r="O318" i="9"/>
  <c r="O317" i="9"/>
  <c r="O316" i="9"/>
  <c r="M315" i="9"/>
  <c r="O314" i="9"/>
  <c r="O313" i="9"/>
  <c r="M312" i="9"/>
  <c r="M311" i="9"/>
  <c r="M310" i="9"/>
  <c r="M309" i="9"/>
  <c r="O308" i="9"/>
  <c r="O307" i="9"/>
  <c r="O306" i="9"/>
  <c r="O305" i="9"/>
  <c r="O304" i="9"/>
  <c r="O303" i="9"/>
  <c r="O302" i="9"/>
  <c r="O301" i="9"/>
  <c r="O300" i="9"/>
  <c r="O299" i="9"/>
  <c r="O298" i="9"/>
  <c r="O297" i="9"/>
  <c r="O296" i="9"/>
  <c r="O295" i="9"/>
  <c r="O294" i="9"/>
  <c r="O293" i="9"/>
  <c r="O292" i="9"/>
  <c r="O291" i="9"/>
  <c r="O290" i="9"/>
  <c r="O289" i="9"/>
  <c r="O288" i="9"/>
  <c r="O287" i="9"/>
  <c r="O286" i="9"/>
  <c r="O285" i="9"/>
  <c r="O284" i="9"/>
  <c r="O283" i="9"/>
  <c r="O282" i="9"/>
  <c r="O281" i="9"/>
  <c r="O280" i="9"/>
  <c r="O279" i="9"/>
  <c r="O278" i="9"/>
  <c r="O277" i="9"/>
  <c r="O276" i="9"/>
  <c r="O275" i="9"/>
  <c r="O274" i="9"/>
  <c r="O273" i="9"/>
  <c r="O272" i="9"/>
  <c r="O271" i="9"/>
  <c r="O270" i="9"/>
  <c r="O269" i="9"/>
  <c r="O268" i="9"/>
  <c r="O267" i="9"/>
  <c r="O266" i="9"/>
  <c r="O265" i="9"/>
  <c r="O264" i="9"/>
  <c r="O263" i="9"/>
  <c r="O262" i="9"/>
  <c r="O261" i="9"/>
  <c r="O260" i="9"/>
  <c r="O259" i="9"/>
  <c r="O258" i="9"/>
  <c r="O257" i="9"/>
  <c r="O256" i="9"/>
  <c r="O255" i="9"/>
  <c r="O254" i="9"/>
  <c r="O253" i="9"/>
  <c r="O252" i="9"/>
  <c r="O251" i="9"/>
  <c r="O250" i="9"/>
  <c r="O249" i="9"/>
  <c r="O248" i="9"/>
  <c r="O247" i="9"/>
  <c r="O246" i="9"/>
  <c r="O245" i="9"/>
  <c r="O244" i="9"/>
  <c r="O243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214" i="9"/>
  <c r="O213" i="9"/>
  <c r="O212" i="9"/>
  <c r="O211" i="9"/>
  <c r="O210" i="9"/>
  <c r="O209" i="9"/>
  <c r="O208" i="9"/>
  <c r="O207" i="9"/>
  <c r="O206" i="9"/>
  <c r="O205" i="9"/>
  <c r="O204" i="9"/>
  <c r="O203" i="9"/>
  <c r="O202" i="9"/>
  <c r="O201" i="9"/>
  <c r="O200" i="9"/>
  <c r="O199" i="9"/>
  <c r="O198" i="9"/>
  <c r="O197" i="9"/>
  <c r="O196" i="9"/>
  <c r="O195" i="9"/>
  <c r="O194" i="9"/>
  <c r="O193" i="9"/>
  <c r="O192" i="9"/>
  <c r="O191" i="9"/>
  <c r="O190" i="9"/>
  <c r="O189" i="9"/>
  <c r="O188" i="9"/>
  <c r="O187" i="9"/>
  <c r="O186" i="9"/>
  <c r="O185" i="9"/>
  <c r="O184" i="9"/>
  <c r="O183" i="9"/>
  <c r="O182" i="9"/>
  <c r="O181" i="9"/>
  <c r="O180" i="9"/>
  <c r="O179" i="9"/>
  <c r="O178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M135" i="9"/>
  <c r="M134" i="9"/>
  <c r="M133" i="9"/>
  <c r="M132" i="9"/>
  <c r="M131" i="9"/>
  <c r="M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M72" i="9"/>
  <c r="M71" i="9"/>
  <c r="M70" i="9"/>
  <c r="M69" i="9"/>
  <c r="O68" i="9"/>
  <c r="M67" i="9"/>
  <c r="M66" i="9"/>
  <c r="O65" i="9"/>
  <c r="O64" i="9"/>
  <c r="M63" i="9"/>
  <c r="M62" i="9"/>
  <c r="M61" i="9"/>
  <c r="M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L98" i="1"/>
  <c r="L97" i="1"/>
  <c r="L93" i="1"/>
  <c r="L92" i="1"/>
  <c r="L94" i="1" s="1"/>
  <c r="R88" i="1"/>
  <c r="R85" i="1" s="1"/>
  <c r="O88" i="1"/>
  <c r="O85" i="1" s="1"/>
  <c r="E88" i="1"/>
  <c r="L87" i="1"/>
  <c r="E83" i="1"/>
  <c r="L83" i="1" s="1"/>
  <c r="R75" i="1"/>
  <c r="F75" i="1"/>
  <c r="O71" i="1"/>
  <c r="F71" i="1"/>
  <c r="L70" i="1"/>
  <c r="L71" i="1" s="1"/>
  <c r="O67" i="1"/>
  <c r="E67" i="1"/>
  <c r="F63" i="1"/>
  <c r="L62" i="1"/>
  <c r="L63" i="1" s="1"/>
  <c r="O58" i="1"/>
  <c r="L58" i="1"/>
  <c r="L57" i="1"/>
  <c r="E50" i="1"/>
  <c r="S46" i="1"/>
  <c r="O46" i="1"/>
  <c r="F42" i="1"/>
  <c r="L36" i="1"/>
  <c r="F32" i="1"/>
  <c r="F29" i="1" s="1"/>
  <c r="O29" i="9"/>
  <c r="O28" i="9"/>
  <c r="O27" i="9"/>
  <c r="O26" i="9"/>
  <c r="O25" i="9"/>
  <c r="O24" i="9"/>
  <c r="O23" i="9"/>
  <c r="O22" i="9"/>
  <c r="O21" i="9"/>
  <c r="O20" i="9"/>
  <c r="O19" i="9"/>
  <c r="M18" i="9"/>
  <c r="M17" i="9"/>
  <c r="O16" i="9"/>
  <c r="O15" i="9"/>
  <c r="O14" i="9"/>
  <c r="O13" i="9"/>
  <c r="O12" i="9"/>
  <c r="O11" i="9"/>
  <c r="O10" i="9"/>
  <c r="O9" i="9"/>
  <c r="O8" i="9"/>
  <c r="O7" i="9"/>
  <c r="O6" i="9"/>
  <c r="O5" i="9"/>
  <c r="O82" i="7"/>
  <c r="N82" i="7"/>
  <c r="J82" i="7"/>
  <c r="I82" i="7"/>
  <c r="E54" i="7"/>
  <c r="D54" i="7"/>
  <c r="E53" i="7"/>
  <c r="D53" i="7"/>
  <c r="C49" i="7"/>
  <c r="C48" i="7"/>
  <c r="C41" i="7"/>
  <c r="C10" i="7"/>
  <c r="F32" i="4"/>
  <c r="F27" i="4"/>
  <c r="J26" i="4"/>
  <c r="J25" i="4"/>
  <c r="J11" i="4"/>
  <c r="K9" i="2"/>
  <c r="F9" i="2"/>
  <c r="L174" i="1"/>
  <c r="H172" i="1"/>
  <c r="G172" i="1"/>
  <c r="R170" i="1"/>
  <c r="R166" i="1" s="1"/>
  <c r="O170" i="1"/>
  <c r="O166" i="1" s="1"/>
  <c r="F170" i="1"/>
  <c r="F166" i="1" s="1"/>
  <c r="E170" i="1"/>
  <c r="E166" i="1" s="1"/>
  <c r="L169" i="1"/>
  <c r="L168" i="1"/>
  <c r="L170" i="1" s="1"/>
  <c r="L166" i="1"/>
  <c r="R164" i="1"/>
  <c r="O164" i="1"/>
  <c r="F164" i="1"/>
  <c r="E164" i="1"/>
  <c r="L163" i="1"/>
  <c r="L164" i="1" s="1"/>
  <c r="R160" i="1"/>
  <c r="F160" i="1"/>
  <c r="E160" i="1"/>
  <c r="L159" i="1"/>
  <c r="L160" i="1" s="1"/>
  <c r="R156" i="1"/>
  <c r="R148" i="1" s="1"/>
  <c r="O156" i="1"/>
  <c r="F156" i="1"/>
  <c r="F148" i="1" s="1"/>
  <c r="E156" i="1"/>
  <c r="E148" i="1" s="1"/>
  <c r="L155" i="1"/>
  <c r="L154" i="1"/>
  <c r="L153" i="1"/>
  <c r="L152" i="1"/>
  <c r="L151" i="1"/>
  <c r="L150" i="1"/>
  <c r="L156" i="1" s="1"/>
  <c r="L148" i="1"/>
  <c r="O146" i="1"/>
  <c r="O143" i="1" s="1"/>
  <c r="F146" i="1"/>
  <c r="F143" i="1" s="1"/>
  <c r="E146" i="1"/>
  <c r="E143" i="1" s="1"/>
  <c r="L145" i="1"/>
  <c r="L146" i="1" s="1"/>
  <c r="R141" i="1"/>
  <c r="R137" i="1" s="1"/>
  <c r="O141" i="1"/>
  <c r="O137" i="1" s="1"/>
  <c r="F141" i="1"/>
  <c r="F137" i="1" s="1"/>
  <c r="E141" i="1"/>
  <c r="E137" i="1" s="1"/>
  <c r="L140" i="1"/>
  <c r="L139" i="1"/>
  <c r="L141" i="1" s="1"/>
  <c r="L137" i="1"/>
  <c r="R135" i="1"/>
  <c r="R132" i="1" s="1"/>
  <c r="P135" i="1"/>
  <c r="P132" i="1" s="1"/>
  <c r="F135" i="1"/>
  <c r="F132" i="1" s="1"/>
  <c r="E135" i="1"/>
  <c r="E132" i="1" s="1"/>
  <c r="L134" i="1"/>
  <c r="L135" i="1" s="1"/>
  <c r="F130" i="1"/>
  <c r="E130" i="1"/>
  <c r="L129" i="1"/>
  <c r="L128" i="1"/>
  <c r="L127" i="1"/>
  <c r="L126" i="1"/>
  <c r="L125" i="1"/>
  <c r="L124" i="1"/>
  <c r="L130" i="1" s="1"/>
  <c r="R121" i="1"/>
  <c r="P121" i="1"/>
  <c r="F121" i="1"/>
  <c r="E121" i="1"/>
  <c r="L121" i="1" s="1"/>
  <c r="L120" i="1"/>
  <c r="R117" i="1"/>
  <c r="F117" i="1"/>
  <c r="E117" i="1"/>
  <c r="L116" i="1"/>
  <c r="L115" i="1"/>
  <c r="L114" i="1"/>
  <c r="L117" i="1" s="1"/>
  <c r="R111" i="1"/>
  <c r="F111" i="1"/>
  <c r="E111" i="1"/>
  <c r="L110" i="1"/>
  <c r="L109" i="1"/>
  <c r="L108" i="1"/>
  <c r="L107" i="1"/>
  <c r="L111" i="1" s="1"/>
  <c r="R104" i="1"/>
  <c r="O104" i="1"/>
  <c r="F104" i="1"/>
  <c r="E104" i="1"/>
  <c r="L103" i="1"/>
  <c r="L102" i="1"/>
  <c r="R99" i="1"/>
  <c r="O99" i="1"/>
  <c r="F99" i="1"/>
  <c r="E99" i="1"/>
  <c r="L99" i="1" s="1"/>
  <c r="R94" i="1"/>
  <c r="O94" i="1"/>
  <c r="E94" i="1"/>
  <c r="E90" i="1" s="1"/>
  <c r="L90" i="1" s="1"/>
  <c r="F88" i="1"/>
  <c r="F85" i="1" s="1"/>
  <c r="R83" i="1"/>
  <c r="F83" i="1"/>
  <c r="L82" i="1"/>
  <c r="R79" i="1"/>
  <c r="P79" i="1"/>
  <c r="F79" i="1"/>
  <c r="E79" i="1"/>
  <c r="L79" i="1" s="1"/>
  <c r="L78" i="1"/>
  <c r="P75" i="1"/>
  <c r="E75" i="1"/>
  <c r="L74" i="1"/>
  <c r="L75" i="1" s="1"/>
  <c r="R71" i="1"/>
  <c r="E71" i="1"/>
  <c r="R67" i="1"/>
  <c r="F67" i="1"/>
  <c r="L66" i="1"/>
  <c r="L67" i="1" s="1"/>
  <c r="R63" i="1"/>
  <c r="R60" i="1" s="1"/>
  <c r="O63" i="1"/>
  <c r="E63" i="1"/>
  <c r="E60" i="1" s="1"/>
  <c r="L60" i="1" s="1"/>
  <c r="R58" i="1"/>
  <c r="F54" i="1"/>
  <c r="E54" i="1"/>
  <c r="L53" i="1"/>
  <c r="L54" i="1" s="1"/>
  <c r="F50" i="1"/>
  <c r="L49" i="1"/>
  <c r="L50" i="1" s="1"/>
  <c r="R46" i="1"/>
  <c r="L45" i="1"/>
  <c r="L46" i="1" s="1"/>
  <c r="S42" i="1"/>
  <c r="P42" i="1"/>
  <c r="E42" i="1"/>
  <c r="L41" i="1"/>
  <c r="L40" i="1"/>
  <c r="F37" i="1"/>
  <c r="F34" i="1" s="1"/>
  <c r="E37" i="1"/>
  <c r="P32" i="1"/>
  <c r="P29" i="1" s="1"/>
  <c r="E32" i="1"/>
  <c r="E29" i="1" s="1"/>
  <c r="L29" i="1" s="1"/>
  <c r="L31" i="1"/>
  <c r="L32" i="1" s="1"/>
  <c r="L26" i="1"/>
  <c r="L25" i="1"/>
  <c r="L24" i="1"/>
  <c r="L23" i="1"/>
  <c r="L22" i="1"/>
  <c r="L21" i="1"/>
  <c r="L18" i="1"/>
  <c r="L14" i="1"/>
  <c r="M13" i="1"/>
  <c r="L13" i="1"/>
  <c r="K13" i="1"/>
  <c r="J13" i="1"/>
  <c r="L12" i="1"/>
  <c r="L11" i="1"/>
  <c r="L10" i="1"/>
  <c r="L8" i="1"/>
  <c r="L104" i="1" l="1"/>
  <c r="Q452" i="9"/>
  <c r="Q426" i="9"/>
  <c r="Q405" i="9"/>
  <c r="L143" i="1"/>
  <c r="L15" i="1"/>
  <c r="Q10" i="42"/>
  <c r="Q26" i="30"/>
  <c r="Q5" i="30"/>
  <c r="Q81" i="30"/>
  <c r="Q77" i="30"/>
  <c r="Q70" i="30"/>
  <c r="Q56" i="30"/>
  <c r="Q27" i="30"/>
  <c r="Q559" i="9"/>
  <c r="Q558" i="9"/>
  <c r="Q553" i="9"/>
  <c r="Q527" i="9"/>
  <c r="Q517" i="9"/>
  <c r="Q512" i="9"/>
  <c r="Q473" i="9"/>
  <c r="Q471" i="9"/>
  <c r="Q468" i="9"/>
  <c r="Q457" i="9"/>
  <c r="Q455" i="9"/>
  <c r="Q454" i="9"/>
  <c r="Q448" i="9"/>
  <c r="Q443" i="9"/>
  <c r="Q442" i="9"/>
  <c r="Q437" i="9"/>
  <c r="Q432" i="9"/>
  <c r="Q425" i="9"/>
  <c r="Q423" i="9"/>
  <c r="Q422" i="9"/>
  <c r="Q421" i="9"/>
  <c r="Q412" i="9"/>
  <c r="F90" i="1"/>
  <c r="O6" i="52"/>
  <c r="Q58" i="30"/>
  <c r="Q37" i="30"/>
  <c r="Q36" i="30"/>
  <c r="Q28" i="30"/>
  <c r="R27" i="30"/>
  <c r="T27" i="30" s="1"/>
  <c r="J76" i="53"/>
  <c r="J78" i="53" s="1"/>
  <c r="O7" i="52"/>
  <c r="L132" i="1"/>
  <c r="Q14" i="45"/>
  <c r="R67" i="54"/>
  <c r="Q11" i="48"/>
  <c r="Q2" i="30"/>
  <c r="O3" i="20"/>
  <c r="Q555" i="9"/>
  <c r="Q544" i="9"/>
  <c r="Q524" i="9"/>
  <c r="Q514" i="9"/>
  <c r="Q447" i="9"/>
  <c r="Q45" i="45"/>
  <c r="Q43" i="45"/>
  <c r="Q52" i="45"/>
  <c r="Q49" i="45"/>
  <c r="Q35" i="45"/>
  <c r="Q3" i="45"/>
  <c r="Q16" i="48"/>
  <c r="Q8" i="48"/>
  <c r="Q65" i="45"/>
  <c r="Q53" i="45"/>
  <c r="Q566" i="9"/>
  <c r="Q551" i="9"/>
  <c r="Q530" i="9"/>
  <c r="Q529" i="9"/>
  <c r="Q526" i="9"/>
  <c r="Q516" i="9"/>
  <c r="Q428" i="9"/>
  <c r="Q420" i="9"/>
  <c r="Q413" i="9"/>
  <c r="R121" i="51"/>
  <c r="R116" i="51"/>
  <c r="O296" i="57"/>
  <c r="R129" i="51"/>
  <c r="R118" i="51"/>
  <c r="R117" i="51"/>
  <c r="G6" i="52"/>
  <c r="H17" i="52" s="1"/>
  <c r="G7" i="52"/>
  <c r="Q66" i="45"/>
  <c r="R191" i="51"/>
  <c r="S121" i="51"/>
  <c r="U121" i="51" s="1"/>
  <c r="S116" i="51"/>
  <c r="U116" i="51" s="1"/>
  <c r="Q18" i="48"/>
  <c r="R18" i="48" s="1"/>
  <c r="T18" i="48" s="1"/>
  <c r="R16" i="48"/>
  <c r="T16" i="48" s="1"/>
  <c r="Q13" i="48"/>
  <c r="Q3" i="48"/>
  <c r="Q83" i="45"/>
  <c r="R49" i="45"/>
  <c r="T49" i="45" s="1"/>
  <c r="Q26" i="45"/>
  <c r="Q7" i="45"/>
  <c r="Q46" i="21"/>
  <c r="Q40" i="20"/>
  <c r="Q563" i="9"/>
  <c r="Q550" i="9"/>
  <c r="Q539" i="9"/>
  <c r="Q519" i="9"/>
  <c r="Q515" i="9"/>
  <c r="R286" i="54"/>
  <c r="Q23" i="48"/>
  <c r="Q8" i="45"/>
  <c r="R23" i="48"/>
  <c r="T23" i="48" s="1"/>
  <c r="Q80" i="45"/>
  <c r="Q62" i="45"/>
  <c r="Q58" i="45"/>
  <c r="Q42" i="45"/>
  <c r="R14" i="45"/>
  <c r="T14" i="45" s="1"/>
  <c r="Q6" i="45"/>
  <c r="R62" i="30"/>
  <c r="T62" i="30" s="1"/>
  <c r="Q44" i="30"/>
  <c r="Q18" i="30"/>
  <c r="Q15" i="30"/>
  <c r="Q8" i="30"/>
  <c r="Q561" i="9"/>
  <c r="Q520" i="9"/>
  <c r="Q509" i="9"/>
  <c r="Q474" i="9"/>
  <c r="Q449" i="9"/>
  <c r="Q444" i="9"/>
  <c r="Q433" i="9"/>
  <c r="Q10" i="48"/>
  <c r="R8" i="30"/>
  <c r="T8" i="30" s="1"/>
  <c r="O23" i="20"/>
  <c r="Q27" i="44"/>
  <c r="Q12" i="44"/>
  <c r="Q6" i="44"/>
  <c r="Q32" i="21"/>
  <c r="Q76" i="30"/>
  <c r="Q75" i="30"/>
  <c r="Q65" i="30"/>
  <c r="Q34" i="30"/>
  <c r="Q30" i="30"/>
  <c r="R30" i="30" s="1"/>
  <c r="T30" i="30" s="1"/>
  <c r="Q17" i="30"/>
  <c r="Q10" i="30"/>
  <c r="Q546" i="9"/>
  <c r="Q538" i="9"/>
  <c r="Q537" i="9"/>
  <c r="Q508" i="9"/>
  <c r="Q496" i="9"/>
  <c r="R471" i="9"/>
  <c r="T471" i="9" s="1"/>
  <c r="Q470" i="9"/>
  <c r="R465" i="9"/>
  <c r="T465" i="9" s="1"/>
  <c r="Q463" i="9"/>
  <c r="Q142" i="9"/>
  <c r="Q111" i="9"/>
  <c r="O399" i="9"/>
  <c r="Q381" i="9"/>
  <c r="Q377" i="9"/>
  <c r="Q374" i="9"/>
  <c r="Q30" i="9"/>
  <c r="O7" i="62"/>
  <c r="Q7" i="62"/>
  <c r="R7" i="62"/>
  <c r="T7" i="62" s="1"/>
  <c r="O6" i="62"/>
  <c r="Q6" i="62"/>
  <c r="R6" i="62"/>
  <c r="T6" i="62" s="1"/>
  <c r="O5" i="62"/>
  <c r="O4" i="62"/>
  <c r="Q4" i="62"/>
  <c r="R4" i="62"/>
  <c r="T4" i="62" s="1"/>
  <c r="O3" i="62"/>
  <c r="Q3" i="62"/>
  <c r="R3" i="62"/>
  <c r="T3" i="62" s="1"/>
  <c r="O2" i="62"/>
  <c r="Q2" i="62"/>
  <c r="R2" i="62"/>
  <c r="T2" i="62" s="1"/>
  <c r="O13" i="61"/>
  <c r="Q13" i="61"/>
  <c r="R13" i="61"/>
  <c r="T13" i="61" s="1"/>
  <c r="O12" i="61"/>
  <c r="Q12" i="61"/>
  <c r="R12" i="61"/>
  <c r="T12" i="61" s="1"/>
  <c r="O9" i="61"/>
  <c r="O8" i="61"/>
  <c r="Q8" i="61"/>
  <c r="R8" i="61"/>
  <c r="T8" i="61" s="1"/>
  <c r="O7" i="61"/>
  <c r="Q7" i="61"/>
  <c r="R7" i="61"/>
  <c r="T7" i="61" s="1"/>
  <c r="O6" i="61"/>
  <c r="Q6" i="61"/>
  <c r="R6" i="61"/>
  <c r="T6" i="61" s="1"/>
  <c r="O3" i="61"/>
  <c r="Q3" i="61"/>
  <c r="R3" i="61"/>
  <c r="T3" i="61" s="1"/>
  <c r="O2" i="61"/>
  <c r="Q2" i="61"/>
  <c r="R2" i="61"/>
  <c r="T2" i="61" s="1"/>
  <c r="O5" i="60"/>
  <c r="Q5" i="60"/>
  <c r="O4" i="60"/>
  <c r="Q4" i="60"/>
  <c r="R4" i="60"/>
  <c r="T4" i="60" s="1"/>
  <c r="O3" i="60"/>
  <c r="Q3" i="60"/>
  <c r="R3" i="60"/>
  <c r="T3" i="60" s="1"/>
  <c r="O2" i="60"/>
  <c r="G24" i="58"/>
  <c r="O515" i="57"/>
  <c r="O514" i="57"/>
  <c r="Q514" i="57"/>
  <c r="R514" i="57"/>
  <c r="T514" i="57" s="1"/>
  <c r="O513" i="57"/>
  <c r="Q513" i="57"/>
  <c r="R513" i="57"/>
  <c r="T513" i="57" s="1"/>
  <c r="O512" i="57"/>
  <c r="Q512" i="57"/>
  <c r="R512" i="57"/>
  <c r="T512" i="57" s="1"/>
  <c r="O511" i="57"/>
  <c r="Q511" i="57"/>
  <c r="R511" i="57"/>
  <c r="T511" i="57" s="1"/>
  <c r="O510" i="57"/>
  <c r="Q510" i="57"/>
  <c r="R510" i="57"/>
  <c r="T510" i="57" s="1"/>
  <c r="O509" i="57"/>
  <c r="Q509" i="57"/>
  <c r="R509" i="57"/>
  <c r="T509" i="57" s="1"/>
  <c r="O508" i="57"/>
  <c r="Q508" i="57"/>
  <c r="R508" i="57"/>
  <c r="T508" i="57" s="1"/>
  <c r="O507" i="57"/>
  <c r="Q507" i="57"/>
  <c r="R507" i="57"/>
  <c r="T507" i="57" s="1"/>
  <c r="O506" i="57"/>
  <c r="Q506" i="57"/>
  <c r="R506" i="57"/>
  <c r="T506" i="57" s="1"/>
  <c r="O505" i="57"/>
  <c r="Q505" i="57"/>
  <c r="R505" i="57"/>
  <c r="T505" i="57" s="1"/>
  <c r="O504" i="57"/>
  <c r="O503" i="57"/>
  <c r="Q503" i="57"/>
  <c r="R503" i="57"/>
  <c r="T503" i="57" s="1"/>
  <c r="O502" i="57"/>
  <c r="Q502" i="57"/>
  <c r="R502" i="57"/>
  <c r="T502" i="57" s="1"/>
  <c r="O501" i="57"/>
  <c r="Q501" i="57"/>
  <c r="R501" i="57"/>
  <c r="T501" i="57" s="1"/>
  <c r="O500" i="57"/>
  <c r="O499" i="57"/>
  <c r="Q499" i="57"/>
  <c r="R499" i="57"/>
  <c r="T499" i="57" s="1"/>
  <c r="O498" i="57"/>
  <c r="O497" i="57"/>
  <c r="O496" i="57"/>
  <c r="Q496" i="57"/>
  <c r="R496" i="57"/>
  <c r="T496" i="57" s="1"/>
  <c r="O495" i="57"/>
  <c r="O494" i="57"/>
  <c r="Q494" i="57"/>
  <c r="R494" i="57"/>
  <c r="T494" i="57" s="1"/>
  <c r="O493" i="57"/>
  <c r="O492" i="57"/>
  <c r="Q492" i="57"/>
  <c r="R492" i="57"/>
  <c r="T492" i="57" s="1"/>
  <c r="O491" i="57"/>
  <c r="Q491" i="57"/>
  <c r="R491" i="57"/>
  <c r="T491" i="57" s="1"/>
  <c r="O490" i="57"/>
  <c r="O489" i="57"/>
  <c r="Q489" i="57"/>
  <c r="O488" i="57"/>
  <c r="Q488" i="57"/>
  <c r="O487" i="57"/>
  <c r="O486" i="57"/>
  <c r="Q486" i="57"/>
  <c r="R486" i="57"/>
  <c r="T486" i="57" s="1"/>
  <c r="O485" i="57"/>
  <c r="O484" i="57"/>
  <c r="O483" i="57"/>
  <c r="Q483" i="57"/>
  <c r="O482" i="57"/>
  <c r="Q482" i="57"/>
  <c r="O481" i="57"/>
  <c r="O480" i="57"/>
  <c r="O479" i="57"/>
  <c r="O478" i="57"/>
  <c r="Q478" i="57"/>
  <c r="O477" i="57"/>
  <c r="O476" i="57"/>
  <c r="Q476" i="57"/>
  <c r="R476" i="57"/>
  <c r="T476" i="57" s="1"/>
  <c r="O475" i="57"/>
  <c r="Q475" i="57"/>
  <c r="O474" i="57"/>
  <c r="O473" i="57"/>
  <c r="Q473" i="57"/>
  <c r="R473" i="57"/>
  <c r="T473" i="57" s="1"/>
  <c r="O472" i="57"/>
  <c r="O471" i="57"/>
  <c r="O470" i="57"/>
  <c r="Q470" i="57"/>
  <c r="O469" i="57"/>
  <c r="O468" i="57"/>
  <c r="O467" i="57"/>
  <c r="O466" i="57"/>
  <c r="Q466" i="57"/>
  <c r="R466" i="57"/>
  <c r="T466" i="57" s="1"/>
  <c r="O465" i="57"/>
  <c r="O464" i="57"/>
  <c r="O463" i="57"/>
  <c r="O462" i="57"/>
  <c r="O461" i="57"/>
  <c r="O460" i="57"/>
  <c r="O459" i="57"/>
  <c r="Q459" i="57"/>
  <c r="O458" i="57"/>
  <c r="O457" i="57"/>
  <c r="O456" i="57"/>
  <c r="O455" i="57"/>
  <c r="O454" i="57"/>
  <c r="O453" i="57"/>
  <c r="O452" i="57"/>
  <c r="O451" i="57"/>
  <c r="O450" i="57"/>
  <c r="Q450" i="57"/>
  <c r="O449" i="57"/>
  <c r="O448" i="57"/>
  <c r="O447" i="57"/>
  <c r="O446" i="57"/>
  <c r="Q446" i="57"/>
  <c r="O445" i="57"/>
  <c r="O444" i="57"/>
  <c r="O443" i="57"/>
  <c r="O442" i="57"/>
  <c r="O441" i="57"/>
  <c r="O440" i="57"/>
  <c r="O439" i="57"/>
  <c r="O438" i="57"/>
  <c r="O437" i="57"/>
  <c r="O436" i="57"/>
  <c r="O435" i="57"/>
  <c r="O434" i="57"/>
  <c r="O433" i="57"/>
  <c r="O432" i="57"/>
  <c r="O431" i="57"/>
  <c r="Q431" i="57"/>
  <c r="R431" i="57"/>
  <c r="T431" i="57" s="1"/>
  <c r="O430" i="57"/>
  <c r="O429" i="57"/>
  <c r="Q429" i="57"/>
  <c r="O428" i="57"/>
  <c r="Q428" i="57"/>
  <c r="O427" i="57"/>
  <c r="Q427" i="57"/>
  <c r="O426" i="57"/>
  <c r="O425" i="57"/>
  <c r="Q425" i="57"/>
  <c r="O424" i="57"/>
  <c r="O423" i="57"/>
  <c r="Q423" i="57"/>
  <c r="R423" i="57"/>
  <c r="T423" i="57" s="1"/>
  <c r="O422" i="57"/>
  <c r="Q422" i="57"/>
  <c r="O421" i="57"/>
  <c r="O420" i="57"/>
  <c r="Q420" i="57"/>
  <c r="O419" i="57"/>
  <c r="Q419" i="57"/>
  <c r="R419" i="57"/>
  <c r="T419" i="57" s="1"/>
  <c r="O418" i="57"/>
  <c r="O417" i="57"/>
  <c r="Q417" i="57"/>
  <c r="R417" i="57"/>
  <c r="T417" i="57" s="1"/>
  <c r="O416" i="57"/>
  <c r="O415" i="57"/>
  <c r="Q415" i="57"/>
  <c r="O414" i="57"/>
  <c r="Q414" i="57"/>
  <c r="R414" i="57"/>
  <c r="T414" i="57" s="1"/>
  <c r="O413" i="57"/>
  <c r="Q413" i="57"/>
  <c r="O412" i="57"/>
  <c r="Q412" i="57"/>
  <c r="O411" i="57"/>
  <c r="Q411" i="57"/>
  <c r="R411" i="57"/>
  <c r="T411" i="57" s="1"/>
  <c r="O410" i="57"/>
  <c r="Q410" i="57"/>
  <c r="R410" i="57"/>
  <c r="T410" i="57" s="1"/>
  <c r="O409" i="57"/>
  <c r="Q409" i="57"/>
  <c r="O408" i="57"/>
  <c r="Q408" i="57"/>
  <c r="R408" i="57"/>
  <c r="T408" i="57" s="1"/>
  <c r="O407" i="57"/>
  <c r="Q407" i="57"/>
  <c r="R407" i="57"/>
  <c r="T407" i="57" s="1"/>
  <c r="O406" i="57"/>
  <c r="Q406" i="57"/>
  <c r="R406" i="57"/>
  <c r="T406" i="57" s="1"/>
  <c r="O405" i="57"/>
  <c r="Q405" i="57"/>
  <c r="R405" i="57"/>
  <c r="T405" i="57" s="1"/>
  <c r="O404" i="57"/>
  <c r="Q404" i="57"/>
  <c r="R404" i="57"/>
  <c r="T404" i="57" s="1"/>
  <c r="O403" i="57"/>
  <c r="Q403" i="57"/>
  <c r="R403" i="57"/>
  <c r="T403" i="57" s="1"/>
  <c r="O402" i="57"/>
  <c r="Q402" i="57"/>
  <c r="R402" i="57"/>
  <c r="T402" i="57" s="1"/>
  <c r="O401" i="57"/>
  <c r="Q401" i="57"/>
  <c r="R401" i="57"/>
  <c r="T401" i="57" s="1"/>
  <c r="O400" i="57"/>
  <c r="Q400" i="57"/>
  <c r="R400" i="57"/>
  <c r="T400" i="57" s="1"/>
  <c r="O399" i="57"/>
  <c r="Q399" i="57"/>
  <c r="R399" i="57"/>
  <c r="T399" i="57" s="1"/>
  <c r="O398" i="57"/>
  <c r="Q398" i="57"/>
  <c r="R398" i="57"/>
  <c r="T398" i="57" s="1"/>
  <c r="O397" i="57"/>
  <c r="Q397" i="57"/>
  <c r="R397" i="57"/>
  <c r="T397" i="57" s="1"/>
  <c r="O396" i="57"/>
  <c r="Q396" i="57"/>
  <c r="R396" i="57"/>
  <c r="T396" i="57" s="1"/>
  <c r="O395" i="57"/>
  <c r="Q395" i="57"/>
  <c r="R395" i="57"/>
  <c r="T395" i="57" s="1"/>
  <c r="O394" i="57"/>
  <c r="Q394" i="57"/>
  <c r="R394" i="57"/>
  <c r="T394" i="57" s="1"/>
  <c r="O393" i="57"/>
  <c r="Q393" i="57"/>
  <c r="R393" i="57"/>
  <c r="T393" i="57" s="1"/>
  <c r="O392" i="57"/>
  <c r="Q392" i="57"/>
  <c r="R392" i="57"/>
  <c r="T392" i="57" s="1"/>
  <c r="O391" i="57"/>
  <c r="Q391" i="57"/>
  <c r="R391" i="57"/>
  <c r="T391" i="57" s="1"/>
  <c r="O390" i="57"/>
  <c r="Q390" i="57"/>
  <c r="R390" i="57"/>
  <c r="T390" i="57" s="1"/>
  <c r="O389" i="57"/>
  <c r="Q389" i="57"/>
  <c r="R389" i="57"/>
  <c r="T389" i="57" s="1"/>
  <c r="O388" i="57"/>
  <c r="Q388" i="57"/>
  <c r="R388" i="57"/>
  <c r="T388" i="57" s="1"/>
  <c r="O387" i="57"/>
  <c r="Q387" i="57"/>
  <c r="R387" i="57"/>
  <c r="T387" i="57" s="1"/>
  <c r="O386" i="57"/>
  <c r="Q386" i="57"/>
  <c r="R386" i="57"/>
  <c r="T386" i="57" s="1"/>
  <c r="O385" i="57"/>
  <c r="Q385" i="57"/>
  <c r="R385" i="57"/>
  <c r="T385" i="57" s="1"/>
  <c r="O384" i="57"/>
  <c r="Q384" i="57"/>
  <c r="R384" i="57"/>
  <c r="T384" i="57" s="1"/>
  <c r="O383" i="57"/>
  <c r="Q383" i="57"/>
  <c r="R383" i="57"/>
  <c r="T383" i="57" s="1"/>
  <c r="O382" i="57"/>
  <c r="Q382" i="57"/>
  <c r="R382" i="57"/>
  <c r="T382" i="57" s="1"/>
  <c r="O381" i="57"/>
  <c r="Q381" i="57"/>
  <c r="R381" i="57"/>
  <c r="T381" i="57" s="1"/>
  <c r="O380" i="57"/>
  <c r="Q380" i="57"/>
  <c r="R380" i="57"/>
  <c r="T380" i="57" s="1"/>
  <c r="O379" i="57"/>
  <c r="O378" i="57"/>
  <c r="O377" i="57"/>
  <c r="Q377" i="57"/>
  <c r="R377" i="57"/>
  <c r="T377" i="57" s="1"/>
  <c r="O376" i="57"/>
  <c r="Q376" i="57"/>
  <c r="O375" i="57"/>
  <c r="Q375" i="57"/>
  <c r="R375" i="57"/>
  <c r="T375" i="57" s="1"/>
  <c r="O374" i="57"/>
  <c r="O373" i="57"/>
  <c r="Q373" i="57"/>
  <c r="R373" i="57"/>
  <c r="T373" i="57" s="1"/>
  <c r="O372" i="57"/>
  <c r="O371" i="57"/>
  <c r="Q371" i="57"/>
  <c r="R371" i="57"/>
  <c r="T371" i="57" s="1"/>
  <c r="O370" i="57"/>
  <c r="O369" i="57"/>
  <c r="O368" i="57"/>
  <c r="O367" i="57"/>
  <c r="O366" i="57"/>
  <c r="O365" i="57"/>
  <c r="O364" i="57"/>
  <c r="Q364" i="57"/>
  <c r="O363" i="57"/>
  <c r="Q363" i="57"/>
  <c r="O362" i="57"/>
  <c r="O361" i="57"/>
  <c r="Q361" i="57"/>
  <c r="O360" i="57"/>
  <c r="Q360" i="57"/>
  <c r="R360" i="57"/>
  <c r="T360" i="57" s="1"/>
  <c r="O359" i="57"/>
  <c r="O358" i="57"/>
  <c r="Q358" i="57"/>
  <c r="O357" i="57"/>
  <c r="Q357" i="57"/>
  <c r="O356" i="57"/>
  <c r="O355" i="57"/>
  <c r="O354" i="57"/>
  <c r="Q354" i="57"/>
  <c r="O353" i="57"/>
  <c r="Q353" i="57"/>
  <c r="R353" i="57"/>
  <c r="T353" i="57" s="1"/>
  <c r="O352" i="57"/>
  <c r="Q352" i="57"/>
  <c r="R352" i="57"/>
  <c r="T352" i="57" s="1"/>
  <c r="O351" i="57"/>
  <c r="Q351" i="57"/>
  <c r="O350" i="57"/>
  <c r="Q350" i="57"/>
  <c r="O349" i="57"/>
  <c r="Q349" i="57"/>
  <c r="O348" i="57"/>
  <c r="Q348" i="57"/>
  <c r="R348" i="57"/>
  <c r="T348" i="57" s="1"/>
  <c r="O347" i="57"/>
  <c r="Q347" i="57"/>
  <c r="R347" i="57"/>
  <c r="T347" i="57" s="1"/>
  <c r="O346" i="57"/>
  <c r="Q346" i="57"/>
  <c r="O345" i="57"/>
  <c r="Q345" i="57"/>
  <c r="O344" i="57"/>
  <c r="Q344" i="57"/>
  <c r="O343" i="57"/>
  <c r="Q343" i="57"/>
  <c r="O342" i="57"/>
  <c r="O341" i="57"/>
  <c r="Q341" i="57"/>
  <c r="O340" i="57"/>
  <c r="Q340" i="57"/>
  <c r="R340" i="57"/>
  <c r="T340" i="57" s="1"/>
  <c r="O339" i="57"/>
  <c r="Q339" i="57"/>
  <c r="R339" i="57"/>
  <c r="T339" i="57" s="1"/>
  <c r="O338" i="57"/>
  <c r="O337" i="57"/>
  <c r="Q337" i="57"/>
  <c r="O336" i="57"/>
  <c r="Q336" i="57"/>
  <c r="O335" i="57"/>
  <c r="Q335" i="57"/>
  <c r="R335" i="57"/>
  <c r="T335" i="57" s="1"/>
  <c r="O334" i="57"/>
  <c r="O333" i="57"/>
  <c r="Q333" i="57"/>
  <c r="O332" i="57"/>
  <c r="Q332" i="57"/>
  <c r="O331" i="57"/>
  <c r="Q331" i="57"/>
  <c r="O330" i="57"/>
  <c r="O329" i="57"/>
  <c r="O328" i="57"/>
  <c r="Q328" i="57"/>
  <c r="O327" i="57"/>
  <c r="Q327" i="57"/>
  <c r="O326" i="57"/>
  <c r="Q326" i="57"/>
  <c r="O325" i="57"/>
  <c r="O324" i="57"/>
  <c r="O323" i="57"/>
  <c r="O322" i="57"/>
  <c r="O321" i="57"/>
  <c r="O320" i="57"/>
  <c r="O319" i="57"/>
  <c r="Q319" i="57"/>
  <c r="R319" i="57"/>
  <c r="T319" i="57" s="1"/>
  <c r="O318" i="57"/>
  <c r="O317" i="57"/>
  <c r="Q317" i="57"/>
  <c r="O316" i="57"/>
  <c r="O315" i="57"/>
  <c r="O314" i="57"/>
  <c r="O313" i="57"/>
  <c r="Q313" i="57"/>
  <c r="R313" i="57"/>
  <c r="T313" i="57" s="1"/>
  <c r="O312" i="57"/>
  <c r="O311" i="57"/>
  <c r="O310" i="57"/>
  <c r="O309" i="57"/>
  <c r="Q309" i="57"/>
  <c r="O308" i="57"/>
  <c r="O307" i="57"/>
  <c r="Q307" i="57"/>
  <c r="O306" i="57"/>
  <c r="Q306" i="57"/>
  <c r="O305" i="57"/>
  <c r="Q305" i="57"/>
  <c r="O304" i="57"/>
  <c r="Q304" i="57"/>
  <c r="O302" i="57"/>
  <c r="O301" i="57"/>
  <c r="O300" i="57"/>
  <c r="Q300" i="57"/>
  <c r="O299" i="57"/>
  <c r="O298" i="57"/>
  <c r="Q298" i="57"/>
  <c r="O297" i="57"/>
  <c r="Q297" i="57"/>
  <c r="R297" i="57"/>
  <c r="T297" i="57" s="1"/>
  <c r="P232" i="51"/>
  <c r="R232" i="51"/>
  <c r="P229" i="51"/>
  <c r="R229" i="51"/>
  <c r="P222" i="51"/>
  <c r="R222" i="51"/>
  <c r="P220" i="51"/>
  <c r="P219" i="51"/>
  <c r="R219" i="51"/>
  <c r="P210" i="51"/>
  <c r="P201" i="51"/>
  <c r="R201" i="51"/>
  <c r="P198" i="51"/>
  <c r="P189" i="51"/>
  <c r="R189" i="51"/>
  <c r="P187" i="51"/>
  <c r="P186" i="51"/>
  <c r="P185" i="51"/>
  <c r="P179" i="51"/>
  <c r="P174" i="51"/>
  <c r="P172" i="51"/>
  <c r="R172" i="51"/>
  <c r="P170" i="51"/>
  <c r="R170" i="51"/>
  <c r="S170" i="51"/>
  <c r="U170" i="51" s="1"/>
  <c r="P167" i="51"/>
  <c r="P165" i="51"/>
  <c r="P161" i="51"/>
  <c r="P157" i="51"/>
  <c r="P152" i="51"/>
  <c r="R152" i="51"/>
  <c r="P151" i="51"/>
  <c r="P142" i="51"/>
  <c r="P139" i="51"/>
  <c r="P138" i="51"/>
  <c r="P110" i="51"/>
  <c r="R110" i="51"/>
  <c r="S110" i="51"/>
  <c r="U110" i="51" s="1"/>
  <c r="P107" i="51"/>
  <c r="P100" i="51"/>
  <c r="R100" i="51"/>
  <c r="P93" i="51"/>
  <c r="R93" i="51"/>
  <c r="P92" i="51"/>
  <c r="P91" i="51"/>
  <c r="P86" i="51"/>
  <c r="P85" i="51"/>
  <c r="P82" i="51"/>
  <c r="P76" i="51"/>
  <c r="O80" i="44"/>
  <c r="M4" i="31"/>
  <c r="O2" i="31"/>
  <c r="O5" i="24"/>
  <c r="Q5" i="24"/>
  <c r="O3" i="24"/>
  <c r="Q3" i="24"/>
  <c r="R3" i="24"/>
  <c r="T3" i="24" s="1"/>
  <c r="O295" i="57"/>
  <c r="Q295" i="57"/>
  <c r="O294" i="57"/>
  <c r="O293" i="57"/>
  <c r="O292" i="57"/>
  <c r="Q292" i="57"/>
  <c r="R292" i="57"/>
  <c r="T292" i="57" s="1"/>
  <c r="O291" i="57"/>
  <c r="O290" i="57"/>
  <c r="Q290" i="57"/>
  <c r="O289" i="57"/>
  <c r="Q289" i="57"/>
  <c r="O287" i="57"/>
  <c r="Q287" i="57"/>
  <c r="R287" i="57"/>
  <c r="T287" i="57" s="1"/>
  <c r="O286" i="57"/>
  <c r="O285" i="57"/>
  <c r="Q285" i="57"/>
  <c r="R285" i="57"/>
  <c r="T285" i="57" s="1"/>
  <c r="O284" i="57"/>
  <c r="Q284" i="57"/>
  <c r="R284" i="57"/>
  <c r="T284" i="57" s="1"/>
  <c r="O283" i="57"/>
  <c r="Q283" i="57"/>
  <c r="R283" i="57"/>
  <c r="T283" i="57" s="1"/>
  <c r="O282" i="57"/>
  <c r="Q282" i="57"/>
  <c r="R282" i="57"/>
  <c r="T282" i="57" s="1"/>
  <c r="O281" i="57"/>
  <c r="Q281" i="57"/>
  <c r="R281" i="57"/>
  <c r="T281" i="57" s="1"/>
  <c r="O280" i="57"/>
  <c r="Q280" i="57"/>
  <c r="R280" i="57"/>
  <c r="T280" i="57" s="1"/>
  <c r="O279" i="57"/>
  <c r="Q279" i="57"/>
  <c r="R279" i="57"/>
  <c r="T279" i="57" s="1"/>
  <c r="O278" i="57"/>
  <c r="O277" i="57"/>
  <c r="Q277" i="57"/>
  <c r="R277" i="57"/>
  <c r="T277" i="57" s="1"/>
  <c r="O276" i="57"/>
  <c r="Q276" i="57"/>
  <c r="R276" i="57"/>
  <c r="T276" i="57" s="1"/>
  <c r="O275" i="57"/>
  <c r="Q275" i="57"/>
  <c r="R275" i="57"/>
  <c r="T275" i="57" s="1"/>
  <c r="O274" i="57"/>
  <c r="Q274" i="57"/>
  <c r="R274" i="57"/>
  <c r="T274" i="57" s="1"/>
  <c r="O272" i="57"/>
  <c r="Q272" i="57"/>
  <c r="R272" i="57"/>
  <c r="T272" i="57" s="1"/>
  <c r="O271" i="57"/>
  <c r="Q271" i="57"/>
  <c r="R271" i="57"/>
  <c r="T271" i="57" s="1"/>
  <c r="O270" i="57"/>
  <c r="Q270" i="57"/>
  <c r="R270" i="57"/>
  <c r="T270" i="57" s="1"/>
  <c r="O269" i="57"/>
  <c r="Q269" i="57"/>
  <c r="R269" i="57"/>
  <c r="T269" i="57" s="1"/>
  <c r="O268" i="57"/>
  <c r="Q268" i="57"/>
  <c r="R268" i="57"/>
  <c r="T268" i="57" s="1"/>
  <c r="O267" i="57"/>
  <c r="Q267" i="57"/>
  <c r="R267" i="57"/>
  <c r="T267" i="57" s="1"/>
  <c r="O266" i="57"/>
  <c r="Q266" i="57"/>
  <c r="R266" i="57"/>
  <c r="T266" i="57" s="1"/>
  <c r="O265" i="57"/>
  <c r="Q265" i="57"/>
  <c r="R265" i="57"/>
  <c r="T265" i="57" s="1"/>
  <c r="O264" i="57"/>
  <c r="Q264" i="57"/>
  <c r="O263" i="57"/>
  <c r="Q263" i="57"/>
  <c r="R263" i="57"/>
  <c r="T263" i="57" s="1"/>
  <c r="O262" i="57"/>
  <c r="Q262" i="57"/>
  <c r="R262" i="57"/>
  <c r="T262" i="57" s="1"/>
  <c r="O261" i="57"/>
  <c r="Q261" i="57"/>
  <c r="R261" i="57"/>
  <c r="T261" i="57" s="1"/>
  <c r="O260" i="57"/>
  <c r="Q260" i="57"/>
  <c r="R260" i="57"/>
  <c r="T260" i="57" s="1"/>
  <c r="O259" i="57"/>
  <c r="O257" i="57"/>
  <c r="Q257" i="57"/>
  <c r="R257" i="57"/>
  <c r="T257" i="57" s="1"/>
  <c r="O256" i="57"/>
  <c r="Q256" i="57"/>
  <c r="O255" i="57"/>
  <c r="Q255" i="57"/>
  <c r="R255" i="57"/>
  <c r="T255" i="57" s="1"/>
  <c r="O254" i="57"/>
  <c r="Q254" i="57"/>
  <c r="R254" i="57"/>
  <c r="T254" i="57" s="1"/>
  <c r="O253" i="57"/>
  <c r="Q253" i="57"/>
  <c r="O252" i="57"/>
  <c r="Q252" i="57"/>
  <c r="R252" i="57"/>
  <c r="T252" i="57" s="1"/>
  <c r="O251" i="57"/>
  <c r="O250" i="57"/>
  <c r="Q250" i="57"/>
  <c r="O249" i="57"/>
  <c r="Q249" i="57"/>
  <c r="R249" i="57"/>
  <c r="T249" i="57" s="1"/>
  <c r="O248" i="57"/>
  <c r="Q248" i="57"/>
  <c r="O247" i="57"/>
  <c r="Q247" i="57"/>
  <c r="O246" i="57"/>
  <c r="O245" i="57"/>
  <c r="Q245" i="57"/>
  <c r="R245" i="57"/>
  <c r="T245" i="57" s="1"/>
  <c r="O244" i="57"/>
  <c r="Q244" i="57"/>
  <c r="O243" i="57"/>
  <c r="Q243" i="57"/>
  <c r="R243" i="57"/>
  <c r="T243" i="57" s="1"/>
  <c r="O242" i="57"/>
  <c r="O241" i="57"/>
  <c r="Q241" i="57"/>
  <c r="R241" i="57"/>
  <c r="T241" i="57" s="1"/>
  <c r="O240" i="57"/>
  <c r="O239" i="57"/>
  <c r="O238" i="57"/>
  <c r="Q238" i="57"/>
  <c r="R238" i="57"/>
  <c r="T238" i="57" s="1"/>
  <c r="O237" i="57"/>
  <c r="Q237" i="57"/>
  <c r="R237" i="57"/>
  <c r="T237" i="57" s="1"/>
  <c r="O236" i="57"/>
  <c r="Q236" i="57"/>
  <c r="R236" i="57"/>
  <c r="T236" i="57" s="1"/>
  <c r="O235" i="57"/>
  <c r="Q235" i="57"/>
  <c r="O234" i="57"/>
  <c r="Q234" i="57"/>
  <c r="R234" i="57"/>
  <c r="T234" i="57" s="1"/>
  <c r="O233" i="57"/>
  <c r="Q233" i="57"/>
  <c r="R233" i="57"/>
  <c r="T233" i="57" s="1"/>
  <c r="O232" i="57"/>
  <c r="Q232" i="57"/>
  <c r="O231" i="57"/>
  <c r="Q231" i="57"/>
  <c r="R231" i="57"/>
  <c r="T231" i="57" s="1"/>
  <c r="O230" i="57"/>
  <c r="O229" i="57"/>
  <c r="Q229" i="57"/>
  <c r="R229" i="57"/>
  <c r="T229" i="57" s="1"/>
  <c r="O228" i="57"/>
  <c r="O227" i="57"/>
  <c r="Q227" i="57"/>
  <c r="O226" i="57"/>
  <c r="Q226" i="57"/>
  <c r="R226" i="57"/>
  <c r="T226" i="57" s="1"/>
  <c r="O225" i="57"/>
  <c r="Q225" i="57"/>
  <c r="O224" i="57"/>
  <c r="Q224" i="57"/>
  <c r="O223" i="57"/>
  <c r="O222" i="57"/>
  <c r="Q222" i="57"/>
  <c r="R222" i="57"/>
  <c r="T222" i="57" s="1"/>
  <c r="O221" i="57"/>
  <c r="Q221" i="57"/>
  <c r="R221" i="57"/>
  <c r="T221" i="57" s="1"/>
  <c r="O220" i="57"/>
  <c r="O219" i="57"/>
  <c r="Q219" i="57"/>
  <c r="O218" i="57"/>
  <c r="O217" i="57"/>
  <c r="O216" i="57"/>
  <c r="Q216" i="57"/>
  <c r="O215" i="57"/>
  <c r="Q215" i="57"/>
  <c r="O214" i="57"/>
  <c r="O213" i="57"/>
  <c r="O212" i="57"/>
  <c r="Q212" i="57"/>
  <c r="O211" i="57"/>
  <c r="Q211" i="57"/>
  <c r="R211" i="57"/>
  <c r="T211" i="57" s="1"/>
  <c r="O210" i="57"/>
  <c r="O209" i="57"/>
  <c r="Q209" i="57"/>
  <c r="O208" i="57"/>
  <c r="Q208" i="57"/>
  <c r="R208" i="57"/>
  <c r="T208" i="57" s="1"/>
  <c r="O207" i="57"/>
  <c r="O206" i="57"/>
  <c r="O205" i="57"/>
  <c r="Q205" i="57"/>
  <c r="R205" i="57"/>
  <c r="T205" i="57" s="1"/>
  <c r="O204" i="57"/>
  <c r="O203" i="57"/>
  <c r="O202" i="57"/>
  <c r="Q202" i="57"/>
  <c r="O201" i="57"/>
  <c r="Q201" i="57"/>
  <c r="O200" i="57"/>
  <c r="Q200" i="57"/>
  <c r="O199" i="57"/>
  <c r="O198" i="57"/>
  <c r="O197" i="57"/>
  <c r="O196" i="57"/>
  <c r="O195" i="57"/>
  <c r="O194" i="57"/>
  <c r="Q194" i="57"/>
  <c r="O193" i="57"/>
  <c r="O192" i="57"/>
  <c r="O191" i="57"/>
  <c r="O190" i="57"/>
  <c r="Q190" i="57"/>
  <c r="O189" i="57"/>
  <c r="Q189" i="57"/>
  <c r="O188" i="57"/>
  <c r="O187" i="57"/>
  <c r="Q187" i="57"/>
  <c r="O186" i="57"/>
  <c r="O185" i="57"/>
  <c r="Q185" i="57"/>
  <c r="R185" i="57"/>
  <c r="T185" i="57" s="1"/>
  <c r="O184" i="57"/>
  <c r="O183" i="57"/>
  <c r="O182" i="57"/>
  <c r="Q182" i="57"/>
  <c r="O181" i="57"/>
  <c r="Q181" i="57"/>
  <c r="O180" i="57"/>
  <c r="Q180" i="57"/>
  <c r="O179" i="57"/>
  <c r="O178" i="57"/>
  <c r="O177" i="57"/>
  <c r="O176" i="57"/>
  <c r="O175" i="57"/>
  <c r="O174" i="57"/>
  <c r="O173" i="57"/>
  <c r="O172" i="57"/>
  <c r="O171" i="57"/>
  <c r="Q171" i="57"/>
  <c r="O170" i="57"/>
  <c r="O169" i="57"/>
  <c r="O168" i="57"/>
  <c r="O167" i="57"/>
  <c r="Q167" i="57"/>
  <c r="O166" i="57"/>
  <c r="O165" i="57"/>
  <c r="O164" i="57"/>
  <c r="O163" i="57"/>
  <c r="O162" i="57"/>
  <c r="Q162" i="57"/>
  <c r="O161" i="57"/>
  <c r="O160" i="57"/>
  <c r="O159" i="57"/>
  <c r="O158" i="57"/>
  <c r="O157" i="57"/>
  <c r="O156" i="57"/>
  <c r="O155" i="57"/>
  <c r="Q155" i="57"/>
  <c r="O154" i="57"/>
  <c r="O153" i="57"/>
  <c r="Q153" i="57"/>
  <c r="O152" i="57"/>
  <c r="O151" i="57"/>
  <c r="O150" i="57"/>
  <c r="O149" i="57"/>
  <c r="Q149" i="57"/>
  <c r="O148" i="57"/>
  <c r="O147" i="57"/>
  <c r="Q147" i="57"/>
  <c r="O146" i="57"/>
  <c r="Q146" i="57"/>
  <c r="O145" i="57"/>
  <c r="Q145" i="57"/>
  <c r="R145" i="57"/>
  <c r="T145" i="57" s="1"/>
  <c r="O144" i="57"/>
  <c r="Q144" i="57"/>
  <c r="O143" i="57"/>
  <c r="O142" i="57"/>
  <c r="O141" i="57"/>
  <c r="O140" i="57"/>
  <c r="O139" i="57"/>
  <c r="Q139" i="57"/>
  <c r="O138" i="57"/>
  <c r="O137" i="57"/>
  <c r="O136" i="57"/>
  <c r="O135" i="57"/>
  <c r="Q135" i="57"/>
  <c r="O134" i="57"/>
  <c r="Q134" i="57"/>
  <c r="O133" i="57"/>
  <c r="O132" i="57"/>
  <c r="O131" i="57"/>
  <c r="O130" i="57"/>
  <c r="Q130" i="57"/>
  <c r="O129" i="57"/>
  <c r="O128" i="57"/>
  <c r="Q128" i="57"/>
  <c r="O127" i="57"/>
  <c r="Q127" i="57"/>
  <c r="R127" i="57"/>
  <c r="T127" i="57" s="1"/>
  <c r="O126" i="57"/>
  <c r="O125" i="57"/>
  <c r="O124" i="57"/>
  <c r="O123" i="57"/>
  <c r="O122" i="57"/>
  <c r="Q122" i="57"/>
  <c r="O121" i="57"/>
  <c r="Q121" i="57"/>
  <c r="R121" i="57"/>
  <c r="T121" i="57" s="1"/>
  <c r="O120" i="57"/>
  <c r="Q120" i="57"/>
  <c r="R120" i="57"/>
  <c r="T120" i="57" s="1"/>
  <c r="O119" i="57"/>
  <c r="Q119" i="57"/>
  <c r="R119" i="57"/>
  <c r="T119" i="57" s="1"/>
  <c r="O118" i="57"/>
  <c r="O117" i="57"/>
  <c r="Q117" i="57"/>
  <c r="R117" i="57"/>
  <c r="T117" i="57" s="1"/>
  <c r="O116" i="57"/>
  <c r="O115" i="57"/>
  <c r="Q115" i="57"/>
  <c r="R115" i="57"/>
  <c r="T115" i="57" s="1"/>
  <c r="O114" i="57"/>
  <c r="Q114" i="57"/>
  <c r="R114" i="57"/>
  <c r="T114" i="57" s="1"/>
  <c r="O113" i="57"/>
  <c r="Q113" i="57"/>
  <c r="R113" i="57"/>
  <c r="T113" i="57" s="1"/>
  <c r="O112" i="57"/>
  <c r="Q112" i="57"/>
  <c r="O111" i="57"/>
  <c r="Q111" i="57"/>
  <c r="R111" i="57"/>
  <c r="T111" i="57" s="1"/>
  <c r="O110" i="57"/>
  <c r="Q110" i="57"/>
  <c r="R110" i="57"/>
  <c r="T110" i="57" s="1"/>
  <c r="O109" i="57"/>
  <c r="Q109" i="57"/>
  <c r="R109" i="57"/>
  <c r="T109" i="57" s="1"/>
  <c r="O108" i="57"/>
  <c r="O107" i="57"/>
  <c r="Q107" i="57"/>
  <c r="O106" i="57"/>
  <c r="O105" i="57"/>
  <c r="Q105" i="57"/>
  <c r="R105" i="57"/>
  <c r="T105" i="57" s="1"/>
  <c r="O104" i="57"/>
  <c r="O103" i="57"/>
  <c r="Q103" i="57"/>
  <c r="O102" i="57"/>
  <c r="O101" i="57"/>
  <c r="O100" i="57"/>
  <c r="O99" i="57"/>
  <c r="Q99" i="57"/>
  <c r="O98" i="57"/>
  <c r="Q98" i="57"/>
  <c r="O97" i="57"/>
  <c r="O96" i="57"/>
  <c r="O95" i="57"/>
  <c r="Q95" i="57"/>
  <c r="R95" i="57"/>
  <c r="T95" i="57" s="1"/>
  <c r="O94" i="57"/>
  <c r="O93" i="57"/>
  <c r="Q93" i="57"/>
  <c r="O92" i="57"/>
  <c r="Q92" i="57"/>
  <c r="R92" i="57"/>
  <c r="T92" i="57" s="1"/>
  <c r="O91" i="57"/>
  <c r="Q91" i="57"/>
  <c r="O90" i="57"/>
  <c r="Q90" i="57"/>
  <c r="R90" i="57"/>
  <c r="T90" i="57" s="1"/>
  <c r="O89" i="57"/>
  <c r="Q89" i="57"/>
  <c r="O88" i="57"/>
  <c r="Q88" i="57"/>
  <c r="O87" i="57"/>
  <c r="Q87" i="57"/>
  <c r="O86" i="57"/>
  <c r="Q86" i="57"/>
  <c r="R86" i="57"/>
  <c r="T86" i="57" s="1"/>
  <c r="O85" i="57"/>
  <c r="O84" i="57"/>
  <c r="O83" i="57"/>
  <c r="Q83" i="57"/>
  <c r="O82" i="57"/>
  <c r="O81" i="57"/>
  <c r="Q81" i="57"/>
  <c r="O80" i="57"/>
  <c r="O79" i="57"/>
  <c r="O78" i="57"/>
  <c r="O77" i="57"/>
  <c r="O76" i="57"/>
  <c r="Q76" i="57"/>
  <c r="R76" i="57"/>
  <c r="T76" i="57" s="1"/>
  <c r="O75" i="57"/>
  <c r="Q75" i="57"/>
  <c r="R75" i="57"/>
  <c r="T75" i="57" s="1"/>
  <c r="O74" i="57"/>
  <c r="Q74" i="57"/>
  <c r="O73" i="57"/>
  <c r="Q73" i="57"/>
  <c r="R73" i="57"/>
  <c r="T73" i="57" s="1"/>
  <c r="O72" i="57"/>
  <c r="Q72" i="57"/>
  <c r="O71" i="57"/>
  <c r="Q71" i="57"/>
  <c r="O70" i="57"/>
  <c r="Q70" i="57"/>
  <c r="R70" i="57"/>
  <c r="T70" i="57" s="1"/>
  <c r="O69" i="57"/>
  <c r="O68" i="57"/>
  <c r="O67" i="57"/>
  <c r="O66" i="57"/>
  <c r="Q66" i="57"/>
  <c r="O65" i="57"/>
  <c r="Q65" i="57"/>
  <c r="R65" i="57"/>
  <c r="T65" i="57" s="1"/>
  <c r="O64" i="57"/>
  <c r="O63" i="57"/>
  <c r="O62" i="57"/>
  <c r="Q62" i="57"/>
  <c r="R62" i="57"/>
  <c r="T62" i="57" s="1"/>
  <c r="O61" i="57"/>
  <c r="Q61" i="57"/>
  <c r="R61" i="57"/>
  <c r="T61" i="57" s="1"/>
  <c r="O60" i="57"/>
  <c r="O59" i="57"/>
  <c r="Q59" i="57"/>
  <c r="O58" i="57"/>
  <c r="Q58" i="57"/>
  <c r="O56" i="57"/>
  <c r="Q56" i="57"/>
  <c r="O55" i="57"/>
  <c r="Q55" i="57"/>
  <c r="O54" i="57"/>
  <c r="O53" i="57"/>
  <c r="O52" i="57"/>
  <c r="Q52" i="57"/>
  <c r="O51" i="57"/>
  <c r="Q51" i="57"/>
  <c r="R51" i="57"/>
  <c r="T51" i="57" s="1"/>
  <c r="O50" i="57"/>
  <c r="Q50" i="57"/>
  <c r="O49" i="57"/>
  <c r="Q49" i="57"/>
  <c r="R49" i="57"/>
  <c r="T49" i="57" s="1"/>
  <c r="O48" i="57"/>
  <c r="O47" i="57"/>
  <c r="Q47" i="57"/>
  <c r="R47" i="57"/>
  <c r="T47" i="57" s="1"/>
  <c r="O46" i="57"/>
  <c r="O45" i="57"/>
  <c r="O44" i="57"/>
  <c r="O43" i="57"/>
  <c r="O41" i="57"/>
  <c r="O40" i="57"/>
  <c r="Q40" i="57"/>
  <c r="O39" i="57"/>
  <c r="O38" i="57"/>
  <c r="O37" i="57"/>
  <c r="Q37" i="57"/>
  <c r="O36" i="57"/>
  <c r="O35" i="57"/>
  <c r="Q35" i="57"/>
  <c r="O34" i="57"/>
  <c r="O33" i="57"/>
  <c r="P242" i="51"/>
  <c r="P237" i="51"/>
  <c r="P236" i="51"/>
  <c r="P235" i="51"/>
  <c r="P231" i="51"/>
  <c r="P228" i="51"/>
  <c r="P227" i="51"/>
  <c r="P225" i="51"/>
  <c r="P224" i="51"/>
  <c r="R224" i="51"/>
  <c r="P223" i="51"/>
  <c r="P216" i="51"/>
  <c r="P215" i="51"/>
  <c r="P213" i="51"/>
  <c r="P212" i="51"/>
  <c r="P208" i="51"/>
  <c r="P207" i="51"/>
  <c r="P195" i="51"/>
  <c r="P194" i="51"/>
  <c r="P193" i="51"/>
  <c r="P192" i="51"/>
  <c r="P188" i="51"/>
  <c r="P184" i="51"/>
  <c r="P178" i="51"/>
  <c r="P177" i="51"/>
  <c r="R177" i="51"/>
  <c r="P176" i="51"/>
  <c r="R176" i="51"/>
  <c r="P171" i="51"/>
  <c r="R171" i="51"/>
  <c r="P166" i="51"/>
  <c r="P159" i="51"/>
  <c r="P156" i="51"/>
  <c r="R156" i="51"/>
  <c r="P155" i="51"/>
  <c r="P153" i="51"/>
  <c r="P149" i="51"/>
  <c r="P147" i="51"/>
  <c r="P145" i="51"/>
  <c r="P140" i="51"/>
  <c r="P114" i="51"/>
  <c r="P113" i="51"/>
  <c r="P96" i="51"/>
  <c r="P95" i="51"/>
  <c r="P87" i="51"/>
  <c r="P84" i="51"/>
  <c r="R84" i="51"/>
  <c r="P83" i="51"/>
  <c r="P80" i="51"/>
  <c r="P78" i="51"/>
  <c r="P77" i="51"/>
  <c r="O5" i="47"/>
  <c r="O4" i="47"/>
  <c r="O26" i="20"/>
  <c r="O25" i="20"/>
  <c r="Q25" i="20"/>
  <c r="O6" i="20"/>
  <c r="O5" i="20"/>
  <c r="O575" i="9"/>
  <c r="O32" i="57"/>
  <c r="Q32" i="57"/>
  <c r="O31" i="57"/>
  <c r="Q31" i="57"/>
  <c r="O30" i="57"/>
  <c r="Q30" i="57"/>
  <c r="O29" i="57"/>
  <c r="O28" i="57"/>
  <c r="O26" i="57"/>
  <c r="Q26" i="57"/>
  <c r="O25" i="57"/>
  <c r="O24" i="57"/>
  <c r="O23" i="57"/>
  <c r="O22" i="57"/>
  <c r="Q22" i="57"/>
  <c r="R22" i="57"/>
  <c r="T22" i="57" s="1"/>
  <c r="O21" i="57"/>
  <c r="O20" i="57"/>
  <c r="O19" i="57"/>
  <c r="O18" i="57"/>
  <c r="O17" i="57"/>
  <c r="O16" i="57"/>
  <c r="Q16" i="57"/>
  <c r="O15" i="57"/>
  <c r="O14" i="57"/>
  <c r="O13" i="57"/>
  <c r="O11" i="57"/>
  <c r="Q11" i="57"/>
  <c r="O10" i="57"/>
  <c r="O9" i="57"/>
  <c r="O8" i="57"/>
  <c r="O7" i="57"/>
  <c r="O6" i="57"/>
  <c r="Q6" i="57"/>
  <c r="O5" i="57"/>
  <c r="Q5" i="57"/>
  <c r="R5" i="57"/>
  <c r="T5" i="57" s="1"/>
  <c r="O4" i="57"/>
  <c r="O3" i="57"/>
  <c r="O2" i="57"/>
  <c r="M516" i="57"/>
  <c r="L2" i="55"/>
  <c r="M2" i="55" s="1"/>
  <c r="L3" i="55"/>
  <c r="M3" i="55" s="1"/>
  <c r="L4" i="55"/>
  <c r="M4" i="55" s="1"/>
  <c r="L5" i="55"/>
  <c r="M5" i="55" s="1"/>
  <c r="L6" i="55"/>
  <c r="M6" i="55" s="1"/>
  <c r="L7" i="55"/>
  <c r="M7" i="55" s="1"/>
  <c r="L8" i="55"/>
  <c r="M8" i="55" s="1"/>
  <c r="L9" i="55"/>
  <c r="M9" i="55" s="1"/>
  <c r="P294" i="54"/>
  <c r="P257" i="54"/>
  <c r="P215" i="54"/>
  <c r="P180" i="54"/>
  <c r="P145" i="54"/>
  <c r="P108" i="54"/>
  <c r="P71" i="54"/>
  <c r="P243" i="51"/>
  <c r="P241" i="51"/>
  <c r="P240" i="51"/>
  <c r="P239" i="51"/>
  <c r="P238" i="51"/>
  <c r="R238" i="51"/>
  <c r="P230" i="51"/>
  <c r="R230" i="51"/>
  <c r="P226" i="51"/>
  <c r="P221" i="51"/>
  <c r="P209" i="51"/>
  <c r="P206" i="51"/>
  <c r="P205" i="51"/>
  <c r="P204" i="51"/>
  <c r="R204" i="51"/>
  <c r="P203" i="51"/>
  <c r="P202" i="51"/>
  <c r="P200" i="51"/>
  <c r="P196" i="51"/>
  <c r="P183" i="51"/>
  <c r="P182" i="51"/>
  <c r="P181" i="51"/>
  <c r="P175" i="51"/>
  <c r="P169" i="51"/>
  <c r="P158" i="51"/>
  <c r="P150" i="51"/>
  <c r="P146" i="51"/>
  <c r="P144" i="51"/>
  <c r="P143" i="51"/>
  <c r="P141" i="51"/>
  <c r="P115" i="51"/>
  <c r="R115" i="51"/>
  <c r="P112" i="51"/>
  <c r="P111" i="51"/>
  <c r="P109" i="51"/>
  <c r="P108" i="51"/>
  <c r="P106" i="51"/>
  <c r="P103" i="51"/>
  <c r="P102" i="51"/>
  <c r="P99" i="51"/>
  <c r="P94" i="51"/>
  <c r="P88" i="51"/>
  <c r="P79" i="51"/>
  <c r="O7" i="47"/>
  <c r="O6" i="47"/>
  <c r="O2" i="47"/>
  <c r="Q2" i="47"/>
  <c r="O85" i="44"/>
  <c r="O84" i="44"/>
  <c r="O83" i="44"/>
  <c r="Q83" i="44"/>
  <c r="O82" i="44"/>
  <c r="O22" i="20"/>
  <c r="Q22" i="20"/>
  <c r="O5" i="19"/>
  <c r="L19" i="12"/>
  <c r="M19" i="12" s="1"/>
  <c r="O4" i="19"/>
  <c r="M6" i="19"/>
  <c r="L10" i="12"/>
  <c r="M10" i="12" s="1"/>
  <c r="O5" i="18"/>
  <c r="L18" i="12"/>
  <c r="M18" i="12" s="1"/>
  <c r="O577" i="9"/>
  <c r="Q577" i="9"/>
  <c r="O576" i="9"/>
  <c r="O401" i="9"/>
  <c r="O398" i="9"/>
  <c r="Q398" i="9"/>
  <c r="P36" i="54"/>
  <c r="J79" i="53"/>
  <c r="J81" i="53"/>
  <c r="J83" i="53" s="1"/>
  <c r="G20" i="52"/>
  <c r="H20" i="52"/>
  <c r="G18" i="52"/>
  <c r="P234" i="51"/>
  <c r="P233" i="51"/>
  <c r="P214" i="51"/>
  <c r="P211" i="51"/>
  <c r="P199" i="51"/>
  <c r="P197" i="51"/>
  <c r="R197" i="51"/>
  <c r="P180" i="51"/>
  <c r="P173" i="51"/>
  <c r="P168" i="51"/>
  <c r="R168" i="51"/>
  <c r="P162" i="51"/>
  <c r="P160" i="51"/>
  <c r="R160" i="51"/>
  <c r="P154" i="51"/>
  <c r="R154" i="51"/>
  <c r="P148" i="51"/>
  <c r="P105" i="51"/>
  <c r="P104" i="51"/>
  <c r="P101" i="51"/>
  <c r="P98" i="51"/>
  <c r="P97" i="51"/>
  <c r="P81" i="51"/>
  <c r="O3" i="47"/>
  <c r="O81" i="44"/>
  <c r="Q81" i="44"/>
  <c r="O2" i="29"/>
  <c r="M4" i="29"/>
  <c r="O6" i="24"/>
  <c r="Q6" i="24"/>
  <c r="O2" i="20"/>
  <c r="O397" i="9"/>
  <c r="O396" i="9"/>
  <c r="P75" i="51"/>
  <c r="P74" i="51"/>
  <c r="P73" i="51"/>
  <c r="P72" i="51"/>
  <c r="P71" i="51"/>
  <c r="P70" i="51"/>
  <c r="P69" i="51"/>
  <c r="P68" i="51"/>
  <c r="P67" i="51"/>
  <c r="P66" i="51"/>
  <c r="P65" i="51"/>
  <c r="R65" i="51"/>
  <c r="P64" i="51"/>
  <c r="P61" i="51"/>
  <c r="P60" i="51"/>
  <c r="P59" i="51"/>
  <c r="P58" i="51"/>
  <c r="P57" i="51"/>
  <c r="P56" i="51"/>
  <c r="P55" i="51"/>
  <c r="P54" i="51"/>
  <c r="P53" i="51"/>
  <c r="P52" i="51"/>
  <c r="P51" i="51"/>
  <c r="P50" i="51"/>
  <c r="P49" i="51"/>
  <c r="P48" i="51"/>
  <c r="P47" i="51"/>
  <c r="P46" i="51"/>
  <c r="R46" i="51"/>
  <c r="P45" i="51"/>
  <c r="P44" i="51"/>
  <c r="R44" i="51"/>
  <c r="P43" i="51"/>
  <c r="P42" i="51"/>
  <c r="P41" i="51"/>
  <c r="P40" i="51"/>
  <c r="P39" i="51"/>
  <c r="P38" i="51"/>
  <c r="P37" i="51"/>
  <c r="P34" i="51"/>
  <c r="P33" i="51"/>
  <c r="P32" i="51"/>
  <c r="P31" i="51"/>
  <c r="P30" i="51"/>
  <c r="P29" i="51"/>
  <c r="P28" i="51"/>
  <c r="P27" i="51"/>
  <c r="P26" i="51"/>
  <c r="P25" i="51"/>
  <c r="P24" i="51"/>
  <c r="P23" i="51"/>
  <c r="P22" i="51"/>
  <c r="P21" i="51"/>
  <c r="P20" i="51"/>
  <c r="P19" i="51"/>
  <c r="P18" i="51"/>
  <c r="P17" i="51"/>
  <c r="P16" i="51"/>
  <c r="P15" i="51"/>
  <c r="P14" i="51"/>
  <c r="P13" i="51"/>
  <c r="P12" i="51"/>
  <c r="P11" i="51"/>
  <c r="P10" i="51"/>
  <c r="O55" i="44"/>
  <c r="O54" i="44"/>
  <c r="O53" i="44"/>
  <c r="O52" i="44"/>
  <c r="Q52" i="44"/>
  <c r="O51" i="44"/>
  <c r="O50" i="44"/>
  <c r="O3" i="29"/>
  <c r="O7" i="35"/>
  <c r="O6" i="35"/>
  <c r="L7" i="33"/>
  <c r="M7" i="33" s="1"/>
  <c r="O5" i="35"/>
  <c r="O4" i="35"/>
  <c r="M8" i="35"/>
  <c r="L4" i="33"/>
  <c r="M4" i="33" s="1"/>
  <c r="O43" i="34"/>
  <c r="O42" i="34"/>
  <c r="O41" i="34"/>
  <c r="O40" i="34"/>
  <c r="O39" i="34"/>
  <c r="Q39" i="34"/>
  <c r="O38" i="34"/>
  <c r="O37" i="34"/>
  <c r="O36" i="34"/>
  <c r="O35" i="34"/>
  <c r="L6" i="33"/>
  <c r="M6" i="33" s="1"/>
  <c r="O34" i="34"/>
  <c r="O33" i="34"/>
  <c r="Q33" i="34"/>
  <c r="O32" i="34"/>
  <c r="O31" i="34"/>
  <c r="O30" i="34"/>
  <c r="O29" i="34"/>
  <c r="O28" i="34"/>
  <c r="O27" i="34"/>
  <c r="Q27" i="34"/>
  <c r="O26" i="34"/>
  <c r="O25" i="34"/>
  <c r="O24" i="34"/>
  <c r="Q24" i="34"/>
  <c r="O23" i="34"/>
  <c r="O22" i="34"/>
  <c r="Q22" i="34"/>
  <c r="O21" i="34"/>
  <c r="O20" i="34"/>
  <c r="O19" i="34"/>
  <c r="O18" i="34"/>
  <c r="O17" i="34"/>
  <c r="O16" i="34"/>
  <c r="O15" i="34"/>
  <c r="M45" i="34"/>
  <c r="M46" i="34"/>
  <c r="L3" i="33"/>
  <c r="M3" i="33" s="1"/>
  <c r="O14" i="34"/>
  <c r="O13" i="34"/>
  <c r="O12" i="34"/>
  <c r="O11" i="34"/>
  <c r="O10" i="34"/>
  <c r="Q10" i="34"/>
  <c r="O9" i="34"/>
  <c r="O8" i="34"/>
  <c r="O7" i="34"/>
  <c r="O6" i="34"/>
  <c r="Q6" i="34"/>
  <c r="O5" i="34"/>
  <c r="O4" i="34"/>
  <c r="M44" i="34"/>
  <c r="O3" i="31"/>
  <c r="Q3" i="31"/>
  <c r="O2" i="24"/>
  <c r="O4" i="20"/>
  <c r="Q4" i="20"/>
  <c r="O4" i="18"/>
  <c r="Q4" i="18"/>
  <c r="M6" i="18"/>
  <c r="L9" i="12"/>
  <c r="M9" i="12" s="1"/>
  <c r="O21" i="17"/>
  <c r="O20" i="17"/>
  <c r="O19" i="17"/>
  <c r="O18" i="17"/>
  <c r="O17" i="17"/>
  <c r="O16" i="17"/>
  <c r="O15" i="17"/>
  <c r="O14" i="17"/>
  <c r="O13" i="17"/>
  <c r="L17" i="12"/>
  <c r="M17" i="12" s="1"/>
  <c r="O12" i="17"/>
  <c r="O11" i="17"/>
  <c r="O10" i="17"/>
  <c r="O9" i="17"/>
  <c r="O8" i="17"/>
  <c r="O7" i="17"/>
  <c r="O6" i="17"/>
  <c r="O5" i="17"/>
  <c r="O4" i="17"/>
  <c r="M22" i="17"/>
  <c r="L8" i="12"/>
  <c r="M8" i="12" s="1"/>
  <c r="O5" i="16"/>
  <c r="L16" i="12"/>
  <c r="M16" i="12" s="1"/>
  <c r="O4" i="16"/>
  <c r="Q4" i="16"/>
  <c r="M6" i="16"/>
  <c r="L7" i="12"/>
  <c r="M7" i="12" s="1"/>
  <c r="O5" i="15"/>
  <c r="L15" i="12"/>
  <c r="M15" i="12" s="1"/>
  <c r="O4" i="15"/>
  <c r="M6" i="15"/>
  <c r="L6" i="12"/>
  <c r="M6" i="12" s="1"/>
  <c r="O13" i="14"/>
  <c r="Q13" i="14"/>
  <c r="O12" i="14"/>
  <c r="Q12" i="14"/>
  <c r="O11" i="14"/>
  <c r="O10" i="14"/>
  <c r="O9" i="14"/>
  <c r="L14" i="12"/>
  <c r="M14" i="12" s="1"/>
  <c r="O8" i="14"/>
  <c r="O7" i="14"/>
  <c r="O6" i="14"/>
  <c r="O5" i="14"/>
  <c r="O4" i="14"/>
  <c r="M14" i="14"/>
  <c r="L5" i="12"/>
  <c r="M5" i="12" s="1"/>
  <c r="O63" i="13"/>
  <c r="Q63" i="13"/>
  <c r="R63" i="13"/>
  <c r="T63" i="13" s="1"/>
  <c r="O62" i="13"/>
  <c r="Q62" i="13"/>
  <c r="R62" i="13"/>
  <c r="T62" i="13" s="1"/>
  <c r="O61" i="13"/>
  <c r="Q61" i="13"/>
  <c r="R61" i="13"/>
  <c r="T61" i="13" s="1"/>
  <c r="O60" i="13"/>
  <c r="Q60" i="13"/>
  <c r="O59" i="13"/>
  <c r="Q59" i="13"/>
  <c r="R59" i="13"/>
  <c r="T59" i="13" s="1"/>
  <c r="O58" i="13"/>
  <c r="Q58" i="13"/>
  <c r="R58" i="13"/>
  <c r="T58" i="13" s="1"/>
  <c r="O57" i="13"/>
  <c r="Q57" i="13"/>
  <c r="R57" i="13"/>
  <c r="T57" i="13" s="1"/>
  <c r="O56" i="13"/>
  <c r="Q56" i="13"/>
  <c r="R56" i="13"/>
  <c r="T56" i="13" s="1"/>
  <c r="O55" i="13"/>
  <c r="Q55" i="13"/>
  <c r="R55" i="13"/>
  <c r="T55" i="13" s="1"/>
  <c r="O54" i="13"/>
  <c r="Q54" i="13"/>
  <c r="O53" i="13"/>
  <c r="Q53" i="13"/>
  <c r="R53" i="13"/>
  <c r="T53" i="13" s="1"/>
  <c r="O52" i="13"/>
  <c r="Q52" i="13"/>
  <c r="R52" i="13"/>
  <c r="T52" i="13" s="1"/>
  <c r="O51" i="13"/>
  <c r="Q51" i="13"/>
  <c r="R51" i="13"/>
  <c r="T51" i="13" s="1"/>
  <c r="O50" i="13"/>
  <c r="O49" i="13"/>
  <c r="Q49" i="13"/>
  <c r="R49" i="13"/>
  <c r="T49" i="13" s="1"/>
  <c r="O48" i="13"/>
  <c r="Q48" i="13"/>
  <c r="O47" i="13"/>
  <c r="Q47" i="13"/>
  <c r="R47" i="13"/>
  <c r="T47" i="13" s="1"/>
  <c r="O46" i="13"/>
  <c r="O45" i="13"/>
  <c r="O44" i="13"/>
  <c r="O43" i="13"/>
  <c r="Q43" i="13"/>
  <c r="O42" i="13"/>
  <c r="Q42" i="13"/>
  <c r="O41" i="13"/>
  <c r="Q41" i="13"/>
  <c r="R41" i="13"/>
  <c r="T41" i="13" s="1"/>
  <c r="O40" i="13"/>
  <c r="Q40" i="13"/>
  <c r="R40" i="13"/>
  <c r="T40" i="13" s="1"/>
  <c r="O39" i="13"/>
  <c r="Q39" i="13"/>
  <c r="O38" i="13"/>
  <c r="Q38" i="13"/>
  <c r="O37" i="13"/>
  <c r="O36" i="13"/>
  <c r="Q36" i="13"/>
  <c r="R36" i="13"/>
  <c r="T36" i="13" s="1"/>
  <c r="O35" i="13"/>
  <c r="O34" i="13"/>
  <c r="L13" i="12"/>
  <c r="M13" i="12" s="1"/>
  <c r="O33" i="13"/>
  <c r="Q33" i="13"/>
  <c r="O32" i="13"/>
  <c r="Q32" i="13"/>
  <c r="R32" i="13"/>
  <c r="T32" i="13" s="1"/>
  <c r="O31" i="13"/>
  <c r="Q31" i="13"/>
  <c r="R31" i="13"/>
  <c r="T31" i="13" s="1"/>
  <c r="O30" i="13"/>
  <c r="O29" i="13"/>
  <c r="Q29" i="13"/>
  <c r="R29" i="13"/>
  <c r="T29" i="13" s="1"/>
  <c r="O28" i="13"/>
  <c r="O27" i="13"/>
  <c r="Q27" i="13"/>
  <c r="O26" i="13"/>
  <c r="Q26" i="13"/>
  <c r="R26" i="13"/>
  <c r="T26" i="13" s="1"/>
  <c r="O25" i="13"/>
  <c r="Q25" i="13"/>
  <c r="R25" i="13"/>
  <c r="T25" i="13" s="1"/>
  <c r="O24" i="13"/>
  <c r="O23" i="13"/>
  <c r="Q23" i="13"/>
  <c r="R23" i="13"/>
  <c r="T23" i="13" s="1"/>
  <c r="O22" i="13"/>
  <c r="O21" i="13"/>
  <c r="O20" i="13"/>
  <c r="O19" i="13"/>
  <c r="Q19" i="13"/>
  <c r="R19" i="13"/>
  <c r="T19" i="13" s="1"/>
  <c r="O18" i="13"/>
  <c r="Q18" i="13"/>
  <c r="O17" i="13"/>
  <c r="Q17" i="13"/>
  <c r="O16" i="13"/>
  <c r="Q16" i="13"/>
  <c r="R16" i="13"/>
  <c r="T16" i="13" s="1"/>
  <c r="O15" i="13"/>
  <c r="Q15" i="13"/>
  <c r="R15" i="13"/>
  <c r="T15" i="13" s="1"/>
  <c r="O14" i="13"/>
  <c r="O13" i="13"/>
  <c r="O12" i="13"/>
  <c r="Q12" i="13"/>
  <c r="R12" i="13"/>
  <c r="T12" i="13" s="1"/>
  <c r="O11" i="13"/>
  <c r="O10" i="13"/>
  <c r="O9" i="13"/>
  <c r="Q9" i="13"/>
  <c r="O8" i="13"/>
  <c r="Q8" i="13"/>
  <c r="R8" i="13"/>
  <c r="T8" i="13" s="1"/>
  <c r="O7" i="13"/>
  <c r="Q7" i="13"/>
  <c r="O6" i="13"/>
  <c r="Q6" i="13"/>
  <c r="O5" i="13"/>
  <c r="Q5" i="13"/>
  <c r="R5" i="13"/>
  <c r="T5" i="13" s="1"/>
  <c r="O4" i="13"/>
  <c r="M64" i="13"/>
  <c r="L4" i="12"/>
  <c r="M4" i="12" s="1"/>
  <c r="O400" i="9"/>
  <c r="Q400" i="9"/>
  <c r="O341" i="9"/>
  <c r="Q341" i="9"/>
  <c r="O340" i="9"/>
  <c r="O339" i="9"/>
  <c r="O338" i="9"/>
  <c r="Q338" i="9"/>
  <c r="R338" i="9"/>
  <c r="T338" i="9" s="1"/>
  <c r="O337" i="9"/>
  <c r="Q337" i="9"/>
  <c r="R337" i="9"/>
  <c r="T337" i="9" s="1"/>
  <c r="O336" i="9"/>
  <c r="Q336" i="9"/>
  <c r="R336" i="9"/>
  <c r="T336" i="9" s="1"/>
  <c r="O333" i="9"/>
  <c r="Q333" i="9"/>
  <c r="O332" i="9"/>
  <c r="Q332" i="9"/>
  <c r="R332" i="9"/>
  <c r="T332" i="9" s="1"/>
  <c r="O331" i="9"/>
  <c r="Q331" i="9"/>
  <c r="O330" i="9"/>
  <c r="Q330" i="9"/>
  <c r="R330" i="9"/>
  <c r="T330" i="9" s="1"/>
  <c r="O315" i="9"/>
  <c r="O312" i="9"/>
  <c r="Q312" i="9"/>
  <c r="R312" i="9"/>
  <c r="T312" i="9" s="1"/>
  <c r="O311" i="9"/>
  <c r="Q311" i="9"/>
  <c r="R311" i="9"/>
  <c r="T311" i="9" s="1"/>
  <c r="O310" i="9"/>
  <c r="Q310" i="9"/>
  <c r="R310" i="9"/>
  <c r="T310" i="9" s="1"/>
  <c r="O309" i="9"/>
  <c r="Q309" i="9"/>
  <c r="R309" i="9"/>
  <c r="T309" i="9" s="1"/>
  <c r="O135" i="9"/>
  <c r="Q135" i="9"/>
  <c r="R135" i="9"/>
  <c r="T135" i="9" s="1"/>
  <c r="O134" i="9"/>
  <c r="Q134" i="9"/>
  <c r="R134" i="9"/>
  <c r="T134" i="9" s="1"/>
  <c r="O133" i="9"/>
  <c r="Q133" i="9"/>
  <c r="R133" i="9"/>
  <c r="T133" i="9" s="1"/>
  <c r="O132" i="9"/>
  <c r="Q132" i="9"/>
  <c r="O131" i="9"/>
  <c r="Q131" i="9"/>
  <c r="R131" i="9"/>
  <c r="T131" i="9" s="1"/>
  <c r="O130" i="9"/>
  <c r="Q130" i="9"/>
  <c r="R130" i="9"/>
  <c r="T130" i="9" s="1"/>
  <c r="O72" i="9"/>
  <c r="O71" i="9"/>
  <c r="O70" i="9"/>
  <c r="Q70" i="9"/>
  <c r="R70" i="9"/>
  <c r="T70" i="9" s="1"/>
  <c r="O69" i="9"/>
  <c r="Q69" i="9"/>
  <c r="R69" i="9"/>
  <c r="T69" i="9" s="1"/>
  <c r="O67" i="9"/>
  <c r="Q67" i="9"/>
  <c r="O66" i="9"/>
  <c r="Q66" i="9"/>
  <c r="R66" i="9"/>
  <c r="T66" i="9" s="1"/>
  <c r="O63" i="9"/>
  <c r="Q63" i="9"/>
  <c r="O62" i="9"/>
  <c r="Q62" i="9"/>
  <c r="R62" i="9"/>
  <c r="T62" i="9" s="1"/>
  <c r="O61" i="9"/>
  <c r="Q61" i="9"/>
  <c r="O60" i="9"/>
  <c r="L88" i="1"/>
  <c r="E85" i="1"/>
  <c r="L85" i="1" s="1"/>
  <c r="O18" i="9"/>
  <c r="Q18" i="9"/>
  <c r="R18" i="9"/>
  <c r="T18" i="9" s="1"/>
  <c r="O17" i="9"/>
  <c r="Q17" i="9"/>
  <c r="H175" i="1"/>
  <c r="H178" i="1"/>
  <c r="G175" i="1"/>
  <c r="G178" i="1"/>
  <c r="F14" i="2"/>
  <c r="K14" i="2"/>
  <c r="L37" i="1"/>
  <c r="E34" i="1"/>
  <c r="L34" i="1" s="1"/>
  <c r="Q3" i="65"/>
  <c r="Q2" i="65"/>
  <c r="Q5" i="64"/>
  <c r="Q4" i="64"/>
  <c r="Q3" i="64"/>
  <c r="Q2" i="64"/>
  <c r="Q3" i="63"/>
  <c r="Q2" i="63"/>
  <c r="Q11" i="61"/>
  <c r="Q10" i="61"/>
  <c r="Q5" i="61"/>
  <c r="Q4" i="61"/>
  <c r="Q5" i="59"/>
  <c r="Q4" i="59"/>
  <c r="Q3" i="59"/>
  <c r="Q2" i="59"/>
  <c r="Q303" i="57"/>
  <c r="R190" i="51"/>
  <c r="R125" i="51"/>
  <c r="R119" i="51"/>
  <c r="Q14" i="48"/>
  <c r="R14" i="48" s="1"/>
  <c r="T14" i="48" s="1"/>
  <c r="Q8" i="47"/>
  <c r="Q9" i="46"/>
  <c r="Q8" i="46"/>
  <c r="Q4" i="46"/>
  <c r="Q2" i="46"/>
  <c r="Q110" i="45"/>
  <c r="Q109" i="45"/>
  <c r="Q108" i="45"/>
  <c r="Q106" i="45"/>
  <c r="Q103" i="45"/>
  <c r="Q102" i="45"/>
  <c r="Q100" i="45"/>
  <c r="Q98" i="45"/>
  <c r="Q96" i="45"/>
  <c r="Q95" i="45"/>
  <c r="Q93" i="45"/>
  <c r="Q91" i="45"/>
  <c r="Q89" i="45"/>
  <c r="R87" i="45"/>
  <c r="T87" i="45" s="1"/>
  <c r="Q86" i="45"/>
  <c r="Q84" i="45"/>
  <c r="R84" i="45" s="1"/>
  <c r="T84" i="45" s="1"/>
  <c r="Q82" i="45"/>
  <c r="R82" i="45" s="1"/>
  <c r="T82" i="45" s="1"/>
  <c r="Q79" i="45"/>
  <c r="Q77" i="45"/>
  <c r="Q75" i="45"/>
  <c r="Q74" i="45"/>
  <c r="Q73" i="45"/>
  <c r="Q71" i="45"/>
  <c r="Q69" i="45"/>
  <c r="Q67" i="45"/>
  <c r="Q60" i="45"/>
  <c r="R60" i="45" s="1"/>
  <c r="T60" i="45" s="1"/>
  <c r="Q55" i="45"/>
  <c r="R55" i="45" s="1"/>
  <c r="T55" i="45" s="1"/>
  <c r="Q51" i="45"/>
  <c r="Q48" i="45"/>
  <c r="Q40" i="45"/>
  <c r="Q39" i="45"/>
  <c r="Q36" i="45"/>
  <c r="R36" i="45" s="1"/>
  <c r="T36" i="45" s="1"/>
  <c r="Q34" i="45"/>
  <c r="Q33" i="45"/>
  <c r="Q32" i="45"/>
  <c r="R32" i="45" s="1"/>
  <c r="T32" i="45" s="1"/>
  <c r="Q31" i="45"/>
  <c r="Q27" i="45"/>
  <c r="Q25" i="45"/>
  <c r="R25" i="45" s="1"/>
  <c r="T25" i="45" s="1"/>
  <c r="Q23" i="45"/>
  <c r="Q20" i="45"/>
  <c r="R20" i="45" s="1"/>
  <c r="T20" i="45" s="1"/>
  <c r="Q19" i="45"/>
  <c r="Q17" i="45"/>
  <c r="Q15" i="45"/>
  <c r="Q12" i="45"/>
  <c r="Q5" i="26"/>
  <c r="Q288" i="57"/>
  <c r="Q273" i="57"/>
  <c r="Q258" i="57"/>
  <c r="Q49" i="30"/>
  <c r="Q43" i="30"/>
  <c r="Q41" i="30"/>
  <c r="Q39" i="30"/>
  <c r="R37" i="30"/>
  <c r="T37" i="30" s="1"/>
  <c r="R28" i="30"/>
  <c r="T28" i="30" s="1"/>
  <c r="Q6" i="23"/>
  <c r="R6" i="23" s="1"/>
  <c r="T6" i="23" s="1"/>
  <c r="Q5" i="23"/>
  <c r="Q4" i="23"/>
  <c r="Q3" i="23"/>
  <c r="Q4" i="22"/>
  <c r="Q45" i="21"/>
  <c r="Q41" i="21"/>
  <c r="Q38" i="21"/>
  <c r="Q34" i="21"/>
  <c r="Q30" i="21"/>
  <c r="Q29" i="21"/>
  <c r="Q27" i="21"/>
  <c r="Q25" i="21"/>
  <c r="Q24" i="21"/>
  <c r="Q22" i="21"/>
  <c r="Q20" i="21"/>
  <c r="Q18" i="21"/>
  <c r="Q15" i="21"/>
  <c r="Q13" i="21"/>
  <c r="Q11" i="21"/>
  <c r="Q9" i="21"/>
  <c r="Q7" i="21"/>
  <c r="Q3" i="21"/>
  <c r="Q37" i="20"/>
  <c r="Q35" i="20"/>
  <c r="Q33" i="20"/>
  <c r="Q32" i="20"/>
  <c r="Q30" i="20"/>
  <c r="Q29" i="20"/>
  <c r="Q21" i="20"/>
  <c r="Q20" i="20"/>
  <c r="Q19" i="20"/>
  <c r="Q18" i="20"/>
  <c r="Q17" i="20"/>
  <c r="Q16" i="20"/>
  <c r="Q15" i="20"/>
  <c r="Q14" i="20"/>
  <c r="Q13" i="20"/>
  <c r="Q12" i="20"/>
  <c r="Q11" i="20"/>
  <c r="Q10" i="20"/>
  <c r="Q7" i="20"/>
  <c r="Q2" i="12"/>
  <c r="R2" i="12" s="1"/>
  <c r="T2" i="12" s="1"/>
  <c r="Q6" i="11"/>
  <c r="Q573" i="9"/>
  <c r="R571" i="9"/>
  <c r="T571" i="9" s="1"/>
  <c r="Q568" i="9"/>
  <c r="Q562" i="9"/>
  <c r="Q536" i="9"/>
  <c r="Q27" i="57"/>
  <c r="Q12" i="57"/>
  <c r="Q44" i="56"/>
  <c r="Q43" i="56"/>
  <c r="Q42" i="56"/>
  <c r="Q41" i="56"/>
  <c r="Q40" i="56"/>
  <c r="Q39" i="56"/>
  <c r="Q37" i="56"/>
  <c r="Q36" i="56"/>
  <c r="Q35" i="56"/>
  <c r="Q32" i="56"/>
  <c r="Q31" i="56"/>
  <c r="Q30" i="56"/>
  <c r="Q29" i="56"/>
  <c r="Q28" i="56"/>
  <c r="Q26" i="56"/>
  <c r="Q25" i="56"/>
  <c r="Q24" i="56"/>
  <c r="Q23" i="56"/>
  <c r="Q22" i="56"/>
  <c r="Q20" i="56"/>
  <c r="Q19" i="56"/>
  <c r="Q18" i="56"/>
  <c r="Q17" i="56"/>
  <c r="Q16" i="56"/>
  <c r="Q15" i="56"/>
  <c r="Q14" i="56"/>
  <c r="Q13" i="56"/>
  <c r="Q12" i="56"/>
  <c r="Q11" i="56"/>
  <c r="Q9" i="56"/>
  <c r="Q8" i="56"/>
  <c r="Q7" i="56"/>
  <c r="Q6" i="56"/>
  <c r="Q5" i="56"/>
  <c r="Q4" i="56"/>
  <c r="Q3" i="56"/>
  <c r="R297" i="54"/>
  <c r="R296" i="54"/>
  <c r="R293" i="54"/>
  <c r="R292" i="54"/>
  <c r="R291" i="54"/>
  <c r="R290" i="54"/>
  <c r="R289" i="54"/>
  <c r="R288" i="54"/>
  <c r="S288" i="54" s="1"/>
  <c r="U288" i="54" s="1"/>
  <c r="R287" i="54"/>
  <c r="R285" i="54"/>
  <c r="R283" i="54"/>
  <c r="R464" i="9"/>
  <c r="T464" i="9" s="1"/>
  <c r="Q460" i="9"/>
  <c r="R423" i="9"/>
  <c r="T423" i="9" s="1"/>
  <c r="Q415" i="9"/>
  <c r="Q414" i="9"/>
  <c r="Q376" i="9"/>
  <c r="Q372" i="9"/>
  <c r="Q368" i="9"/>
  <c r="Q57" i="57"/>
  <c r="Q42" i="57"/>
  <c r="R80" i="54"/>
  <c r="R78" i="54"/>
  <c r="R77" i="54"/>
  <c r="R74" i="54"/>
  <c r="R70" i="54"/>
  <c r="R68" i="54"/>
  <c r="R64" i="54"/>
  <c r="R63" i="54"/>
  <c r="R60" i="54"/>
  <c r="R59" i="54"/>
  <c r="R57" i="54"/>
  <c r="R56" i="54"/>
  <c r="R245" i="51"/>
  <c r="R164" i="51"/>
  <c r="R163" i="51"/>
  <c r="R126" i="51"/>
  <c r="R89" i="51"/>
  <c r="Q82" i="30"/>
  <c r="R81" i="30"/>
  <c r="T81" i="30" s="1"/>
  <c r="Q57" i="30"/>
  <c r="R56" i="30"/>
  <c r="T56" i="30" s="1"/>
  <c r="Q54" i="30"/>
  <c r="Q53" i="30"/>
  <c r="Q3" i="22"/>
  <c r="R3" i="22" s="1"/>
  <c r="Q43" i="21"/>
  <c r="Q39" i="21"/>
  <c r="Q36" i="21"/>
  <c r="Q5" i="21"/>
  <c r="Q9" i="20"/>
  <c r="Q8" i="20"/>
  <c r="Q556" i="9"/>
  <c r="Q554" i="9"/>
  <c r="Q545" i="9"/>
  <c r="Q543" i="9"/>
  <c r="Q46" i="56"/>
  <c r="Q45" i="56"/>
  <c r="Q38" i="56"/>
  <c r="Q34" i="56"/>
  <c r="Q33" i="56"/>
  <c r="Q27" i="56"/>
  <c r="Q21" i="56"/>
  <c r="Q10" i="56"/>
  <c r="R299" i="54"/>
  <c r="R298" i="54"/>
  <c r="R295" i="54"/>
  <c r="R284" i="54"/>
  <c r="R282" i="54"/>
  <c r="R281" i="54"/>
  <c r="R280" i="54"/>
  <c r="R279" i="54"/>
  <c r="R278" i="54"/>
  <c r="R277" i="54"/>
  <c r="R276" i="54"/>
  <c r="R275" i="54"/>
  <c r="R274" i="54"/>
  <c r="R273" i="54"/>
  <c r="R272" i="54"/>
  <c r="R271" i="54"/>
  <c r="R270" i="54"/>
  <c r="R269" i="54"/>
  <c r="R268" i="54"/>
  <c r="R267" i="54"/>
  <c r="R266" i="54"/>
  <c r="R265" i="54"/>
  <c r="R264" i="54"/>
  <c r="R263" i="54"/>
  <c r="R262" i="54"/>
  <c r="R261" i="54"/>
  <c r="R260" i="54"/>
  <c r="R259" i="54"/>
  <c r="R258" i="54"/>
  <c r="R256" i="54"/>
  <c r="R255" i="54"/>
  <c r="R254" i="54"/>
  <c r="R253" i="54"/>
  <c r="R252" i="54"/>
  <c r="R251" i="54"/>
  <c r="R250" i="54"/>
  <c r="R249" i="54"/>
  <c r="R248" i="54"/>
  <c r="R247" i="54"/>
  <c r="R246" i="54"/>
  <c r="R245" i="54"/>
  <c r="R244" i="54"/>
  <c r="R243" i="54"/>
  <c r="R242" i="54"/>
  <c r="R241" i="54"/>
  <c r="R240" i="54"/>
  <c r="R239" i="54"/>
  <c r="R238" i="54"/>
  <c r="R237" i="54"/>
  <c r="R236" i="54"/>
  <c r="R235" i="54"/>
  <c r="R234" i="54"/>
  <c r="R233" i="54"/>
  <c r="R232" i="54"/>
  <c r="R231" i="54"/>
  <c r="R230" i="54"/>
  <c r="R229" i="54"/>
  <c r="R228" i="54"/>
  <c r="R227" i="54"/>
  <c r="R226" i="54"/>
  <c r="R225" i="54"/>
  <c r="R224" i="54"/>
  <c r="R223" i="54"/>
  <c r="R222" i="54"/>
  <c r="R221" i="54"/>
  <c r="R220" i="54"/>
  <c r="R219" i="54"/>
  <c r="R218" i="54"/>
  <c r="R217" i="54"/>
  <c r="R216" i="54"/>
  <c r="R214" i="54"/>
  <c r="R213" i="54"/>
  <c r="R212" i="54"/>
  <c r="R211" i="54"/>
  <c r="R210" i="54"/>
  <c r="R209" i="54"/>
  <c r="R208" i="54"/>
  <c r="R207" i="54"/>
  <c r="R206" i="54"/>
  <c r="R205" i="54"/>
  <c r="R204" i="54"/>
  <c r="R203" i="54"/>
  <c r="R202" i="54"/>
  <c r="R201" i="54"/>
  <c r="R200" i="54"/>
  <c r="R199" i="54"/>
  <c r="R198" i="54"/>
  <c r="R197" i="54"/>
  <c r="R196" i="54"/>
  <c r="R195" i="54"/>
  <c r="R194" i="54"/>
  <c r="R193" i="54"/>
  <c r="R192" i="54"/>
  <c r="R191" i="54"/>
  <c r="R190" i="54"/>
  <c r="R189" i="54"/>
  <c r="R188" i="54"/>
  <c r="R187" i="54"/>
  <c r="R186" i="54"/>
  <c r="R185" i="54"/>
  <c r="R184" i="54"/>
  <c r="R183" i="54"/>
  <c r="R182" i="54"/>
  <c r="R181" i="54"/>
  <c r="R179" i="54"/>
  <c r="R178" i="54"/>
  <c r="R177" i="54"/>
  <c r="R176" i="54"/>
  <c r="R175" i="54"/>
  <c r="R174" i="54"/>
  <c r="R173" i="54"/>
  <c r="R172" i="54"/>
  <c r="R171" i="54"/>
  <c r="R170" i="54"/>
  <c r="R169" i="54"/>
  <c r="R168" i="54"/>
  <c r="R167" i="54"/>
  <c r="R166" i="54"/>
  <c r="R165" i="54"/>
  <c r="R164" i="54"/>
  <c r="R163" i="54"/>
  <c r="R162" i="54"/>
  <c r="R161" i="54"/>
  <c r="R160" i="54"/>
  <c r="R159" i="54"/>
  <c r="R158" i="54"/>
  <c r="R157" i="54"/>
  <c r="R156" i="54"/>
  <c r="R155" i="54"/>
  <c r="R154" i="54"/>
  <c r="R153" i="54"/>
  <c r="R152" i="54"/>
  <c r="R151" i="54"/>
  <c r="R150" i="54"/>
  <c r="R149" i="54"/>
  <c r="R148" i="54"/>
  <c r="R147" i="54"/>
  <c r="R146" i="54"/>
  <c r="R144" i="54"/>
  <c r="R143" i="54"/>
  <c r="R142" i="54"/>
  <c r="R141" i="54"/>
  <c r="R140" i="54"/>
  <c r="R139" i="54"/>
  <c r="R138" i="54"/>
  <c r="R137" i="54"/>
  <c r="R136" i="54"/>
  <c r="R135" i="54"/>
  <c r="R134" i="54"/>
  <c r="R133" i="54"/>
  <c r="R132" i="54"/>
  <c r="R131" i="54"/>
  <c r="R130" i="54"/>
  <c r="R129" i="54"/>
  <c r="R128" i="54"/>
  <c r="R127" i="54"/>
  <c r="R126" i="54"/>
  <c r="R125" i="54"/>
  <c r="R124" i="54"/>
  <c r="R123" i="54"/>
  <c r="R122" i="54"/>
  <c r="R121" i="54"/>
  <c r="R120" i="54"/>
  <c r="R119" i="54"/>
  <c r="R118" i="54"/>
  <c r="R117" i="54"/>
  <c r="R116" i="54"/>
  <c r="R115" i="54"/>
  <c r="R114" i="54"/>
  <c r="R113" i="54"/>
  <c r="R112" i="54"/>
  <c r="R111" i="54"/>
  <c r="R110" i="54"/>
  <c r="R109" i="54"/>
  <c r="R107" i="54"/>
  <c r="R106" i="54"/>
  <c r="R105" i="54"/>
  <c r="R104" i="54"/>
  <c r="R103" i="54"/>
  <c r="R102" i="54"/>
  <c r="R101" i="54"/>
  <c r="R100" i="54"/>
  <c r="R99" i="54"/>
  <c r="R98" i="54"/>
  <c r="R97" i="54"/>
  <c r="R96" i="54"/>
  <c r="R95" i="54"/>
  <c r="R94" i="54"/>
  <c r="R93" i="54"/>
  <c r="R92" i="54"/>
  <c r="R91" i="54"/>
  <c r="R90" i="54"/>
  <c r="R89" i="54"/>
  <c r="R88" i="54"/>
  <c r="R87" i="54"/>
  <c r="R86" i="54"/>
  <c r="R85" i="54"/>
  <c r="R84" i="54"/>
  <c r="R83" i="54"/>
  <c r="R82" i="54"/>
  <c r="R81" i="54"/>
  <c r="R79" i="54"/>
  <c r="R76" i="54"/>
  <c r="R75" i="54"/>
  <c r="R73" i="54"/>
  <c r="R72" i="54"/>
  <c r="R69" i="54"/>
  <c r="R66" i="54"/>
  <c r="R65" i="54"/>
  <c r="R62" i="54"/>
  <c r="R61" i="54"/>
  <c r="R58" i="54"/>
  <c r="R55" i="54"/>
  <c r="R54" i="54"/>
  <c r="R53" i="54"/>
  <c r="Q373" i="9"/>
  <c r="R52" i="54"/>
  <c r="S52" i="54" s="1"/>
  <c r="U52" i="54" s="1"/>
  <c r="R51" i="54"/>
  <c r="R50" i="54"/>
  <c r="R49" i="54"/>
  <c r="R48" i="54"/>
  <c r="R250" i="51"/>
  <c r="R249" i="51"/>
  <c r="S248" i="51"/>
  <c r="U248" i="51" s="1"/>
  <c r="R218" i="51"/>
  <c r="R217" i="51"/>
  <c r="R127" i="51"/>
  <c r="S127" i="51" s="1"/>
  <c r="U127" i="51" s="1"/>
  <c r="R124" i="51"/>
  <c r="R123" i="51"/>
  <c r="R90" i="51"/>
  <c r="Q19" i="48"/>
  <c r="Q17" i="48"/>
  <c r="Q15" i="48"/>
  <c r="Q12" i="48"/>
  <c r="Q7" i="48"/>
  <c r="R7" i="48" s="1"/>
  <c r="T7" i="48" s="1"/>
  <c r="Q5" i="48"/>
  <c r="R5" i="48" s="1"/>
  <c r="T5" i="48" s="1"/>
  <c r="Q4" i="48"/>
  <c r="Q9" i="47"/>
  <c r="Q64" i="45"/>
  <c r="Q63" i="45"/>
  <c r="Q61" i="45"/>
  <c r="R61" i="45" s="1"/>
  <c r="T61" i="45" s="1"/>
  <c r="Q57" i="45"/>
  <c r="Q56" i="45"/>
  <c r="Q54" i="45"/>
  <c r="Q50" i="45"/>
  <c r="R50" i="45" s="1"/>
  <c r="T50" i="45" s="1"/>
  <c r="Q46" i="45"/>
  <c r="R46" i="45" s="1"/>
  <c r="T46" i="45" s="1"/>
  <c r="Q44" i="45"/>
  <c r="Q41" i="45"/>
  <c r="Q37" i="45"/>
  <c r="R37" i="45" s="1"/>
  <c r="T37" i="45" s="1"/>
  <c r="Q28" i="45"/>
  <c r="R28" i="45" s="1"/>
  <c r="T28" i="45" s="1"/>
  <c r="Q24" i="45"/>
  <c r="R24" i="45" s="1"/>
  <c r="T24" i="45" s="1"/>
  <c r="Q22" i="45"/>
  <c r="Q16" i="45"/>
  <c r="Q11" i="45"/>
  <c r="Q9" i="45"/>
  <c r="R9" i="45" s="1"/>
  <c r="T9" i="45" s="1"/>
  <c r="Q4" i="45"/>
  <c r="R4" i="45" s="1"/>
  <c r="T4" i="45" s="1"/>
  <c r="Q2" i="45"/>
  <c r="Q83" i="30"/>
  <c r="R83" i="30" s="1"/>
  <c r="T83" i="30" s="1"/>
  <c r="Q80" i="30"/>
  <c r="R80" i="30" s="1"/>
  <c r="T80" i="30" s="1"/>
  <c r="Q78" i="30"/>
  <c r="Q74" i="30"/>
  <c r="Q73" i="30"/>
  <c r="R73" i="30" s="1"/>
  <c r="T73" i="30" s="1"/>
  <c r="Q71" i="30"/>
  <c r="Q68" i="30"/>
  <c r="Q61" i="30"/>
  <c r="Q52" i="30"/>
  <c r="Q48" i="30"/>
  <c r="Q45" i="30"/>
  <c r="Q42" i="30"/>
  <c r="Q38" i="30"/>
  <c r="R38" i="30" s="1"/>
  <c r="T38" i="30" s="1"/>
  <c r="R36" i="30"/>
  <c r="T36" i="30" s="1"/>
  <c r="Q33" i="30"/>
  <c r="Q32" i="30"/>
  <c r="R32" i="30" s="1"/>
  <c r="T32" i="30" s="1"/>
  <c r="Q31" i="30"/>
  <c r="Q25" i="30"/>
  <c r="R25" i="30" s="1"/>
  <c r="T25" i="30" s="1"/>
  <c r="Q23" i="30"/>
  <c r="Q20" i="30"/>
  <c r="R20" i="30" s="1"/>
  <c r="T20" i="30" s="1"/>
  <c r="Q14" i="30"/>
  <c r="R14" i="30" s="1"/>
  <c r="T14" i="30" s="1"/>
  <c r="Q7" i="30"/>
  <c r="R7" i="30" s="1"/>
  <c r="T7" i="30" s="1"/>
  <c r="Q6" i="30"/>
  <c r="R6" i="30" s="1"/>
  <c r="T6" i="30" s="1"/>
  <c r="R5" i="30"/>
  <c r="T5" i="30" s="1"/>
  <c r="Q3" i="27"/>
  <c r="Q6" i="26"/>
  <c r="Q3" i="26"/>
  <c r="Q4" i="25"/>
  <c r="Q3" i="25"/>
  <c r="Q3" i="12"/>
  <c r="Q5" i="11"/>
  <c r="Q4" i="11"/>
  <c r="Q3" i="11"/>
  <c r="Q2" i="11"/>
  <c r="Q574" i="9"/>
  <c r="Q572" i="9"/>
  <c r="Q570" i="9"/>
  <c r="Q569" i="9"/>
  <c r="Q567" i="9"/>
  <c r="Q565" i="9"/>
  <c r="Q549" i="9"/>
  <c r="Q548" i="9"/>
  <c r="Q547" i="9"/>
  <c r="R547" i="9" s="1"/>
  <c r="T547" i="9" s="1"/>
  <c r="Q534" i="9"/>
  <c r="Q533" i="9"/>
  <c r="Q532" i="9"/>
  <c r="Q525" i="9"/>
  <c r="Q522" i="9"/>
  <c r="R522" i="9" s="1"/>
  <c r="T522" i="9" s="1"/>
  <c r="Q521" i="9"/>
  <c r="Q518" i="9"/>
  <c r="Q505" i="9"/>
  <c r="Q502" i="9"/>
  <c r="Q499" i="9"/>
  <c r="Q498" i="9"/>
  <c r="Q495" i="9"/>
  <c r="Q482" i="9"/>
  <c r="Q476" i="9"/>
  <c r="Q475" i="9"/>
  <c r="Q472" i="9"/>
  <c r="R472" i="9" s="1"/>
  <c r="T472" i="9" s="1"/>
  <c r="Q469" i="9"/>
  <c r="Q458" i="9"/>
  <c r="Q456" i="9"/>
  <c r="R452" i="9"/>
  <c r="T452" i="9" s="1"/>
  <c r="Q451" i="9"/>
  <c r="Q446" i="9"/>
  <c r="Q445" i="9"/>
  <c r="Q440" i="9"/>
  <c r="Q438" i="9"/>
  <c r="Q436" i="9"/>
  <c r="R426" i="9"/>
  <c r="T426" i="9" s="1"/>
  <c r="Q424" i="9"/>
  <c r="R424" i="9" s="1"/>
  <c r="T424" i="9" s="1"/>
  <c r="Q416" i="9"/>
  <c r="R416" i="9" s="1"/>
  <c r="T416" i="9" s="1"/>
  <c r="Q406" i="9"/>
  <c r="R406" i="9" s="1"/>
  <c r="T406" i="9" s="1"/>
  <c r="Q404" i="9"/>
  <c r="Q403" i="9"/>
  <c r="Q402" i="9"/>
  <c r="Q391" i="9"/>
  <c r="Q390" i="9"/>
  <c r="Q387" i="9"/>
  <c r="Q386" i="9"/>
  <c r="Q384" i="9"/>
  <c r="Q382" i="9"/>
  <c r="Q380" i="9"/>
  <c r="Q379" i="9"/>
  <c r="Q378" i="9"/>
  <c r="Q375" i="9"/>
  <c r="R47" i="54"/>
  <c r="R46" i="54"/>
  <c r="R45" i="54"/>
  <c r="R44" i="54"/>
  <c r="R43" i="54"/>
  <c r="R42" i="54"/>
  <c r="R41" i="54"/>
  <c r="R40" i="54"/>
  <c r="R39" i="54"/>
  <c r="R38" i="54"/>
  <c r="R37" i="54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18" i="54"/>
  <c r="R17" i="54"/>
  <c r="R16" i="54"/>
  <c r="R15" i="54"/>
  <c r="R14" i="54"/>
  <c r="R13" i="54"/>
  <c r="R12" i="54"/>
  <c r="R11" i="54"/>
  <c r="R10" i="54"/>
  <c r="R9" i="54"/>
  <c r="R8" i="54"/>
  <c r="R7" i="54"/>
  <c r="R6" i="54"/>
  <c r="R5" i="54"/>
  <c r="R4" i="54"/>
  <c r="R3" i="54"/>
  <c r="R2" i="54"/>
  <c r="N10" i="52"/>
  <c r="F10" i="52"/>
  <c r="O9" i="52"/>
  <c r="G9" i="52"/>
  <c r="R257" i="51"/>
  <c r="R256" i="51"/>
  <c r="Q57" i="44"/>
  <c r="Q48" i="44"/>
  <c r="Q47" i="44"/>
  <c r="Q39" i="44"/>
  <c r="Q38" i="44"/>
  <c r="Q33" i="44"/>
  <c r="Q29" i="44"/>
  <c r="Q25" i="44"/>
  <c r="Q24" i="44"/>
  <c r="Q15" i="44"/>
  <c r="Q7" i="44"/>
  <c r="Q207" i="43"/>
  <c r="Q206" i="43"/>
  <c r="Q204" i="43"/>
  <c r="Q203" i="43"/>
  <c r="Q202" i="43"/>
  <c r="Q199" i="43"/>
  <c r="Q197" i="43"/>
  <c r="Q196" i="43"/>
  <c r="Q193" i="43"/>
  <c r="Q192" i="43"/>
  <c r="Q190" i="43"/>
  <c r="Q491" i="9"/>
  <c r="Q489" i="9"/>
  <c r="Q486" i="9"/>
  <c r="R484" i="9"/>
  <c r="T484" i="9" s="1"/>
  <c r="Q481" i="9"/>
  <c r="Q480" i="9"/>
  <c r="Q450" i="9"/>
  <c r="Q435" i="9"/>
  <c r="Q408" i="9"/>
  <c r="Q407" i="9"/>
  <c r="Q369" i="9"/>
  <c r="Q367" i="9"/>
  <c r="R255" i="51"/>
  <c r="R254" i="51"/>
  <c r="R253" i="51"/>
  <c r="R252" i="51"/>
  <c r="R251" i="51"/>
  <c r="R247" i="51"/>
  <c r="R246" i="51"/>
  <c r="R244" i="51"/>
  <c r="R128" i="51"/>
  <c r="R122" i="51"/>
  <c r="R120" i="51"/>
  <c r="Q22" i="48"/>
  <c r="Q21" i="48"/>
  <c r="Q20" i="48"/>
  <c r="Q9" i="48"/>
  <c r="Q6" i="48"/>
  <c r="O35" i="48"/>
  <c r="Q61" i="46"/>
  <c r="Q60" i="46"/>
  <c r="Q59" i="46"/>
  <c r="Q58" i="46"/>
  <c r="Q57" i="46"/>
  <c r="Q56" i="46"/>
  <c r="Q55" i="46"/>
  <c r="Q54" i="46"/>
  <c r="Q53" i="46"/>
  <c r="Q52" i="46"/>
  <c r="Q51" i="46"/>
  <c r="Q50" i="46"/>
  <c r="Q49" i="46"/>
  <c r="Q48" i="46"/>
  <c r="Q47" i="46"/>
  <c r="Q46" i="46"/>
  <c r="Q45" i="46"/>
  <c r="Q44" i="46"/>
  <c r="Q43" i="46"/>
  <c r="Q42" i="46"/>
  <c r="Q41" i="46"/>
  <c r="Q40" i="46"/>
  <c r="Q39" i="46"/>
  <c r="Q38" i="46"/>
  <c r="Q37" i="46"/>
  <c r="Q36" i="46"/>
  <c r="Q35" i="46"/>
  <c r="Q34" i="46"/>
  <c r="Q33" i="46"/>
  <c r="Q32" i="46"/>
  <c r="Q31" i="46"/>
  <c r="Q30" i="46"/>
  <c r="Q29" i="46"/>
  <c r="Q28" i="46"/>
  <c r="Q27" i="46"/>
  <c r="Q26" i="46"/>
  <c r="Q25" i="46"/>
  <c r="Q24" i="46"/>
  <c r="Q23" i="46"/>
  <c r="Q22" i="46"/>
  <c r="Q21" i="46"/>
  <c r="Q20" i="46"/>
  <c r="Q19" i="46"/>
  <c r="Q18" i="46"/>
  <c r="Q17" i="46"/>
  <c r="Q16" i="46"/>
  <c r="Q15" i="46"/>
  <c r="Q14" i="46"/>
  <c r="Q13" i="46"/>
  <c r="Q12" i="46"/>
  <c r="Q11" i="46"/>
  <c r="Q10" i="46"/>
  <c r="R10" i="46" s="1"/>
  <c r="T10" i="46" s="1"/>
  <c r="Q7" i="46"/>
  <c r="Q6" i="46"/>
  <c r="Q5" i="46"/>
  <c r="Q3" i="46"/>
  <c r="Q113" i="45"/>
  <c r="Q112" i="45"/>
  <c r="Q111" i="45"/>
  <c r="Q107" i="45"/>
  <c r="Q105" i="45"/>
  <c r="Q104" i="45"/>
  <c r="Q101" i="45"/>
  <c r="Q99" i="45"/>
  <c r="Q97" i="45"/>
  <c r="Q94" i="45"/>
  <c r="Q92" i="45"/>
  <c r="Q90" i="45"/>
  <c r="Q88" i="45"/>
  <c r="Q85" i="45"/>
  <c r="Q81" i="45"/>
  <c r="R81" i="45" s="1"/>
  <c r="T81" i="45" s="1"/>
  <c r="Q78" i="45"/>
  <c r="Q76" i="45"/>
  <c r="Q72" i="45"/>
  <c r="R72" i="45" s="1"/>
  <c r="T72" i="45" s="1"/>
  <c r="Q70" i="45"/>
  <c r="Q68" i="45"/>
  <c r="Q59" i="45"/>
  <c r="Q47" i="45"/>
  <c r="Q38" i="45"/>
  <c r="Q30" i="45"/>
  <c r="Q29" i="45"/>
  <c r="Q21" i="45"/>
  <c r="Q18" i="45"/>
  <c r="Q13" i="45"/>
  <c r="Q10" i="45"/>
  <c r="Q5" i="45"/>
  <c r="Q79" i="30"/>
  <c r="Q72" i="30"/>
  <c r="Q69" i="30"/>
  <c r="R67" i="30"/>
  <c r="T67" i="30" s="1"/>
  <c r="Q66" i="30"/>
  <c r="Q64" i="30"/>
  <c r="R64" i="30" s="1"/>
  <c r="T64" i="30" s="1"/>
  <c r="Q63" i="30"/>
  <c r="R60" i="30"/>
  <c r="T60" i="30" s="1"/>
  <c r="Q55" i="30"/>
  <c r="Q51" i="30"/>
  <c r="Q50" i="30"/>
  <c r="Q47" i="30"/>
  <c r="R47" i="30" s="1"/>
  <c r="T47" i="30" s="1"/>
  <c r="Q46" i="30"/>
  <c r="Q40" i="30"/>
  <c r="R40" i="30" s="1"/>
  <c r="T40" i="30" s="1"/>
  <c r="Q35" i="30"/>
  <c r="R35" i="30" s="1"/>
  <c r="T35" i="30" s="1"/>
  <c r="Q29" i="30"/>
  <c r="R29" i="30" s="1"/>
  <c r="T29" i="30" s="1"/>
  <c r="Q24" i="30"/>
  <c r="Q21" i="30"/>
  <c r="Q19" i="30"/>
  <c r="Q12" i="30"/>
  <c r="Q11" i="30"/>
  <c r="Q9" i="30"/>
  <c r="Q4" i="30"/>
  <c r="Q3" i="30"/>
  <c r="Q2" i="28"/>
  <c r="Q4" i="27"/>
  <c r="Q4" i="26"/>
  <c r="R4" i="26" s="1"/>
  <c r="T4" i="26" s="1"/>
  <c r="Q564" i="9"/>
  <c r="Q560" i="9"/>
  <c r="Q552" i="9"/>
  <c r="Q542" i="9"/>
  <c r="Q541" i="9"/>
  <c r="Q540" i="9"/>
  <c r="Q535" i="9"/>
  <c r="R535" i="9" s="1"/>
  <c r="T535" i="9" s="1"/>
  <c r="Q531" i="9"/>
  <c r="Q528" i="9"/>
  <c r="Q523" i="9"/>
  <c r="Q513" i="9"/>
  <c r="Q507" i="9"/>
  <c r="Q504" i="9"/>
  <c r="Q501" i="9"/>
  <c r="Q500" i="9"/>
  <c r="Q497" i="9"/>
  <c r="Q494" i="9"/>
  <c r="Q492" i="9"/>
  <c r="Q490" i="9"/>
  <c r="Q488" i="9"/>
  <c r="Q487" i="9"/>
  <c r="R485" i="9"/>
  <c r="T485" i="9" s="1"/>
  <c r="R483" i="9"/>
  <c r="T483" i="9" s="1"/>
  <c r="Q479" i="9"/>
  <c r="Q478" i="9"/>
  <c r="Q477" i="9"/>
  <c r="Q467" i="9"/>
  <c r="R466" i="9"/>
  <c r="T466" i="9" s="1"/>
  <c r="Q462" i="9"/>
  <c r="Q461" i="9"/>
  <c r="Q459" i="9"/>
  <c r="Q441" i="9"/>
  <c r="Q439" i="9"/>
  <c r="Q434" i="9"/>
  <c r="Q72" i="44"/>
  <c r="Q71" i="44"/>
  <c r="Q70" i="44"/>
  <c r="Q69" i="44"/>
  <c r="Q68" i="44"/>
  <c r="Q67" i="44"/>
  <c r="Q65" i="44"/>
  <c r="Q64" i="44"/>
  <c r="Q63" i="44"/>
  <c r="Q61" i="44"/>
  <c r="Q58" i="44"/>
  <c r="Q56" i="44"/>
  <c r="Q49" i="44"/>
  <c r="Q44" i="44"/>
  <c r="Q40" i="44"/>
  <c r="Q37" i="44"/>
  <c r="Q36" i="44"/>
  <c r="Q31" i="44"/>
  <c r="Q30" i="44"/>
  <c r="Q28" i="44"/>
  <c r="Q26" i="44"/>
  <c r="Q23" i="44"/>
  <c r="Q22" i="44"/>
  <c r="Q21" i="44"/>
  <c r="Q19" i="44"/>
  <c r="Q18" i="44"/>
  <c r="Q17" i="44"/>
  <c r="Q16" i="44"/>
  <c r="Q14" i="44"/>
  <c r="Q13" i="44"/>
  <c r="Q11" i="44"/>
  <c r="Q10" i="44"/>
  <c r="Q9" i="44"/>
  <c r="Q5" i="44"/>
  <c r="Q4" i="44"/>
  <c r="Q2" i="44"/>
  <c r="Q200" i="43"/>
  <c r="Q198" i="43"/>
  <c r="Q194" i="43"/>
  <c r="Q191" i="43"/>
  <c r="Q506" i="9"/>
  <c r="Q503" i="9"/>
  <c r="Q493" i="9"/>
  <c r="Q453" i="9"/>
  <c r="Q409" i="9"/>
  <c r="Q371" i="9"/>
  <c r="Q370" i="9"/>
  <c r="Q366" i="9"/>
  <c r="Q431" i="9"/>
  <c r="Q430" i="9"/>
  <c r="Q429" i="9"/>
  <c r="Q427" i="9"/>
  <c r="Q419" i="9"/>
  <c r="Q418" i="9"/>
  <c r="Q417" i="9"/>
  <c r="Q411" i="9"/>
  <c r="Q410" i="9"/>
  <c r="Q395" i="9"/>
  <c r="Q394" i="9"/>
  <c r="Q393" i="9"/>
  <c r="Q392" i="9"/>
  <c r="Q389" i="9"/>
  <c r="Q388" i="9"/>
  <c r="Q385" i="9"/>
  <c r="Q383" i="9"/>
  <c r="R63" i="51"/>
  <c r="R62" i="51"/>
  <c r="R36" i="51"/>
  <c r="R35" i="51"/>
  <c r="Q10" i="50"/>
  <c r="Q9" i="50"/>
  <c r="Q8" i="50"/>
  <c r="Q7" i="50"/>
  <c r="Q6" i="50"/>
  <c r="Q5" i="50"/>
  <c r="Q4" i="50"/>
  <c r="Q3" i="50"/>
  <c r="Q6" i="49"/>
  <c r="Q5" i="49"/>
  <c r="Q4" i="49"/>
  <c r="Q3" i="49"/>
  <c r="Q7" i="49" s="1"/>
  <c r="Q34" i="48"/>
  <c r="Q33" i="48"/>
  <c r="Q32" i="48"/>
  <c r="Q31" i="48"/>
  <c r="Q30" i="48"/>
  <c r="Q29" i="48"/>
  <c r="Q28" i="48"/>
  <c r="Q27" i="48"/>
  <c r="Q26" i="48"/>
  <c r="Q25" i="48"/>
  <c r="Q24" i="48"/>
  <c r="Q79" i="44"/>
  <c r="Q78" i="44"/>
  <c r="Q77" i="44"/>
  <c r="Q76" i="44"/>
  <c r="Q75" i="44"/>
  <c r="Q74" i="44"/>
  <c r="Q73" i="44"/>
  <c r="Q66" i="44"/>
  <c r="Q62" i="44"/>
  <c r="Q60" i="44"/>
  <c r="Q59" i="44"/>
  <c r="Q46" i="44"/>
  <c r="Q45" i="44"/>
  <c r="Q43" i="44"/>
  <c r="Q42" i="44"/>
  <c r="Q41" i="44"/>
  <c r="Q35" i="44"/>
  <c r="Q34" i="44"/>
  <c r="Q32" i="44"/>
  <c r="Q20" i="44"/>
  <c r="Q8" i="44"/>
  <c r="Q3" i="44"/>
  <c r="Q205" i="43"/>
  <c r="Q201" i="43"/>
  <c r="Q195" i="43"/>
  <c r="Q189" i="43"/>
  <c r="Q188" i="43"/>
  <c r="R188" i="43" s="1"/>
  <c r="T188" i="43" s="1"/>
  <c r="Q187" i="43"/>
  <c r="Q186" i="43"/>
  <c r="Q185" i="43"/>
  <c r="Q184" i="43"/>
  <c r="Q183" i="43"/>
  <c r="Q182" i="43"/>
  <c r="Q181" i="43"/>
  <c r="Q180" i="43"/>
  <c r="Q179" i="43"/>
  <c r="Q178" i="43"/>
  <c r="Q177" i="43"/>
  <c r="Q176" i="43"/>
  <c r="Q175" i="43"/>
  <c r="Q174" i="43"/>
  <c r="Q173" i="43"/>
  <c r="Q172" i="43"/>
  <c r="Q171" i="43"/>
  <c r="Q170" i="43"/>
  <c r="Q169" i="43"/>
  <c r="Q168" i="43"/>
  <c r="Q167" i="43"/>
  <c r="Q166" i="43"/>
  <c r="Q165" i="43"/>
  <c r="Q164" i="43"/>
  <c r="Q163" i="43"/>
  <c r="Q162" i="43"/>
  <c r="Q161" i="43"/>
  <c r="Q160" i="43"/>
  <c r="Q159" i="43"/>
  <c r="Q158" i="43"/>
  <c r="Q157" i="43"/>
  <c r="Q156" i="43"/>
  <c r="Q155" i="43"/>
  <c r="Q154" i="43"/>
  <c r="Q153" i="43"/>
  <c r="Q152" i="43"/>
  <c r="Q151" i="43"/>
  <c r="Q150" i="43"/>
  <c r="Q149" i="43"/>
  <c r="Q148" i="43"/>
  <c r="Q147" i="43"/>
  <c r="Q146" i="43"/>
  <c r="Q145" i="43"/>
  <c r="Q144" i="43"/>
  <c r="Q143" i="43"/>
  <c r="Q142" i="43"/>
  <c r="Q141" i="43"/>
  <c r="Q140" i="43"/>
  <c r="Q139" i="43"/>
  <c r="Q138" i="43"/>
  <c r="Q137" i="43"/>
  <c r="Q136" i="43"/>
  <c r="Q135" i="43"/>
  <c r="Q134" i="43"/>
  <c r="Q133" i="43"/>
  <c r="Q132" i="43"/>
  <c r="Q131" i="43"/>
  <c r="Q130" i="43"/>
  <c r="Q129" i="43"/>
  <c r="Q128" i="43"/>
  <c r="Q127" i="43"/>
  <c r="Q126" i="43"/>
  <c r="Q125" i="43"/>
  <c r="Q124" i="43"/>
  <c r="Q123" i="43"/>
  <c r="Q122" i="43"/>
  <c r="Q121" i="43"/>
  <c r="Q120" i="43"/>
  <c r="Q119" i="43"/>
  <c r="Q118" i="43"/>
  <c r="Q117" i="43"/>
  <c r="Q116" i="43"/>
  <c r="Q115" i="43"/>
  <c r="Q114" i="43"/>
  <c r="Q113" i="43"/>
  <c r="Q112" i="43"/>
  <c r="Q111" i="43"/>
  <c r="Q110" i="43"/>
  <c r="Q109" i="43"/>
  <c r="Q108" i="43"/>
  <c r="Q107" i="43"/>
  <c r="Q106" i="43"/>
  <c r="Q105" i="43"/>
  <c r="Q104" i="43"/>
  <c r="Q103" i="43"/>
  <c r="Q102" i="43"/>
  <c r="Q101" i="43"/>
  <c r="Q100" i="43"/>
  <c r="Q99" i="43"/>
  <c r="Q98" i="43"/>
  <c r="Q97" i="43"/>
  <c r="Q96" i="43"/>
  <c r="Q95" i="43"/>
  <c r="Q94" i="43"/>
  <c r="Q93" i="43"/>
  <c r="Q92" i="43"/>
  <c r="Q91" i="43"/>
  <c r="Q90" i="43"/>
  <c r="Q89" i="43"/>
  <c r="Q88" i="43"/>
  <c r="Q87" i="43"/>
  <c r="Q86" i="43"/>
  <c r="Q85" i="43"/>
  <c r="Q84" i="43"/>
  <c r="Q83" i="43"/>
  <c r="Q82" i="43"/>
  <c r="Q81" i="43"/>
  <c r="Q80" i="43"/>
  <c r="Q79" i="43"/>
  <c r="Q78" i="43"/>
  <c r="Q77" i="43"/>
  <c r="Q76" i="43"/>
  <c r="Q75" i="43"/>
  <c r="Q74" i="43"/>
  <c r="Q73" i="43"/>
  <c r="Q72" i="43"/>
  <c r="Q71" i="43"/>
  <c r="Q70" i="43"/>
  <c r="Q69" i="43"/>
  <c r="Q68" i="43"/>
  <c r="Q67" i="43"/>
  <c r="Q66" i="43"/>
  <c r="Q65" i="43"/>
  <c r="Q64" i="43"/>
  <c r="Q63" i="43"/>
  <c r="Q62" i="43"/>
  <c r="Q61" i="43"/>
  <c r="Q60" i="43"/>
  <c r="Q59" i="43"/>
  <c r="Q58" i="43"/>
  <c r="Q57" i="43"/>
  <c r="Q56" i="43"/>
  <c r="Q55" i="43"/>
  <c r="Q54" i="43"/>
  <c r="Q53" i="43"/>
  <c r="Q52" i="43"/>
  <c r="Q51" i="43"/>
  <c r="Q50" i="43"/>
  <c r="Q49" i="43"/>
  <c r="Q48" i="43"/>
  <c r="Q47" i="43"/>
  <c r="Q46" i="43"/>
  <c r="Q45" i="43"/>
  <c r="Q44" i="43"/>
  <c r="Q43" i="43"/>
  <c r="Q42" i="43"/>
  <c r="Q41" i="43"/>
  <c r="Q40" i="43"/>
  <c r="Q39" i="43"/>
  <c r="Q38" i="43"/>
  <c r="Q37" i="43"/>
  <c r="Q36" i="43"/>
  <c r="Q35" i="43"/>
  <c r="Q34" i="43"/>
  <c r="Q33" i="43"/>
  <c r="Q32" i="43"/>
  <c r="Q31" i="43"/>
  <c r="Q30" i="43"/>
  <c r="Q29" i="43"/>
  <c r="Q28" i="43"/>
  <c r="Q27" i="43"/>
  <c r="Q26" i="43"/>
  <c r="Q25" i="43"/>
  <c r="Q24" i="43"/>
  <c r="Q23" i="43"/>
  <c r="Q22" i="43"/>
  <c r="Q21" i="43"/>
  <c r="Q20" i="43"/>
  <c r="Q19" i="43"/>
  <c r="Q18" i="43"/>
  <c r="Q17" i="43"/>
  <c r="Q16" i="43"/>
  <c r="Q15" i="43"/>
  <c r="Q14" i="43"/>
  <c r="Q13" i="43"/>
  <c r="Q12" i="43"/>
  <c r="Q11" i="43"/>
  <c r="Q10" i="43"/>
  <c r="Q9" i="43"/>
  <c r="Q8" i="43"/>
  <c r="Q7" i="43"/>
  <c r="Q6" i="43"/>
  <c r="Q5" i="43"/>
  <c r="Q4" i="43"/>
  <c r="Q3" i="43"/>
  <c r="Q2" i="43"/>
  <c r="Q19" i="42"/>
  <c r="Q18" i="42"/>
  <c r="Q17" i="42"/>
  <c r="Q16" i="42"/>
  <c r="Q15" i="42"/>
  <c r="Q14" i="42"/>
  <c r="Q13" i="42"/>
  <c r="Q12" i="42"/>
  <c r="Q11" i="42"/>
  <c r="R10" i="42"/>
  <c r="T10" i="42" s="1"/>
  <c r="Q48" i="21"/>
  <c r="Q47" i="21"/>
  <c r="Q44" i="21"/>
  <c r="Q42" i="21"/>
  <c r="Q40" i="21"/>
  <c r="Q37" i="21"/>
  <c r="Q35" i="21"/>
  <c r="Q33" i="21"/>
  <c r="Q12" i="12"/>
  <c r="Q557" i="9"/>
  <c r="Q510" i="9"/>
  <c r="Q31" i="21"/>
  <c r="Q28" i="21"/>
  <c r="Q26" i="21"/>
  <c r="Q23" i="21"/>
  <c r="Q21" i="21"/>
  <c r="Q19" i="21"/>
  <c r="Q17" i="21"/>
  <c r="Q16" i="21"/>
  <c r="Q14" i="21"/>
  <c r="Q12" i="21"/>
  <c r="Q10" i="21"/>
  <c r="Q8" i="21"/>
  <c r="Q6" i="21"/>
  <c r="Q4" i="21"/>
  <c r="Q41" i="20"/>
  <c r="Q39" i="20"/>
  <c r="Q38" i="20"/>
  <c r="Q36" i="20"/>
  <c r="Q34" i="20"/>
  <c r="Q31" i="20"/>
  <c r="Q28" i="20"/>
  <c r="R28" i="20" s="1"/>
  <c r="T28" i="20" s="1"/>
  <c r="Q27" i="20"/>
  <c r="O24" i="20"/>
  <c r="Q9" i="42"/>
  <c r="Q8" i="42"/>
  <c r="Q7" i="42"/>
  <c r="Q6" i="42"/>
  <c r="Q5" i="42"/>
  <c r="Q4" i="42"/>
  <c r="Q3" i="42"/>
  <c r="Q2" i="42"/>
  <c r="Q9" i="41"/>
  <c r="Q8" i="41"/>
  <c r="Q7" i="41"/>
  <c r="Q6" i="41"/>
  <c r="Q5" i="41"/>
  <c r="Q4" i="41"/>
  <c r="Q3" i="41"/>
  <c r="Q2" i="41"/>
  <c r="Q3" i="40"/>
  <c r="Q2" i="40"/>
  <c r="Q9" i="39"/>
  <c r="Q8" i="39"/>
  <c r="Q7" i="39"/>
  <c r="Q6" i="39"/>
  <c r="Q5" i="39"/>
  <c r="Q4" i="39"/>
  <c r="Q3" i="39"/>
  <c r="Q2" i="39"/>
  <c r="Q9" i="38"/>
  <c r="Q8" i="38"/>
  <c r="Q7" i="38"/>
  <c r="Q6" i="38"/>
  <c r="Q5" i="38"/>
  <c r="Q4" i="38"/>
  <c r="Q3" i="38"/>
  <c r="Q2" i="38"/>
  <c r="Q7" i="37"/>
  <c r="Q6" i="37"/>
  <c r="Q5" i="37"/>
  <c r="Q4" i="37"/>
  <c r="Q3" i="37"/>
  <c r="Q2" i="37"/>
  <c r="Q22" i="36"/>
  <c r="Q21" i="36"/>
  <c r="Q20" i="36"/>
  <c r="Q19" i="36"/>
  <c r="Q18" i="36"/>
  <c r="Q17" i="36"/>
  <c r="Q16" i="36"/>
  <c r="Q15" i="36"/>
  <c r="Q14" i="36"/>
  <c r="Q13" i="36"/>
  <c r="Q12" i="36"/>
  <c r="Q11" i="36"/>
  <c r="Q10" i="36"/>
  <c r="Q9" i="36"/>
  <c r="Q8" i="36"/>
  <c r="Q7" i="36"/>
  <c r="Q6" i="36"/>
  <c r="Q5" i="36"/>
  <c r="Q4" i="36"/>
  <c r="Q3" i="36"/>
  <c r="Q2" i="36"/>
  <c r="Q13" i="32"/>
  <c r="Q12" i="32"/>
  <c r="Q11" i="32"/>
  <c r="Q10" i="32"/>
  <c r="Q9" i="32"/>
  <c r="Q8" i="32"/>
  <c r="Q7" i="32"/>
  <c r="Q6" i="32"/>
  <c r="Q5" i="32"/>
  <c r="Q4" i="32"/>
  <c r="Q3" i="32"/>
  <c r="Q2" i="32"/>
  <c r="Q59" i="30"/>
  <c r="Q22" i="30"/>
  <c r="Q16" i="30"/>
  <c r="Q13" i="30"/>
  <c r="Q11" i="12"/>
  <c r="Q511" i="9"/>
  <c r="Q365" i="9"/>
  <c r="R365" i="9" s="1"/>
  <c r="T365" i="9" s="1"/>
  <c r="Q364" i="9"/>
  <c r="Q363" i="9"/>
  <c r="Q362" i="9"/>
  <c r="Q361" i="9"/>
  <c r="Q360" i="9"/>
  <c r="Q359" i="9"/>
  <c r="Q358" i="9"/>
  <c r="Q357" i="9"/>
  <c r="Q356" i="9"/>
  <c r="Q355" i="9"/>
  <c r="Q354" i="9"/>
  <c r="Q353" i="9"/>
  <c r="Q352" i="9"/>
  <c r="Q351" i="9"/>
  <c r="Q350" i="9"/>
  <c r="Q349" i="9"/>
  <c r="Q348" i="9"/>
  <c r="Q347" i="9"/>
  <c r="Q346" i="9"/>
  <c r="Q345" i="9"/>
  <c r="Q344" i="9"/>
  <c r="Q343" i="9"/>
  <c r="Q342" i="9"/>
  <c r="Q335" i="9"/>
  <c r="Q334" i="9"/>
  <c r="Q329" i="9"/>
  <c r="Q328" i="9"/>
  <c r="Q327" i="9"/>
  <c r="Q326" i="9"/>
  <c r="Q325" i="9"/>
  <c r="Q324" i="9"/>
  <c r="Q323" i="9"/>
  <c r="Q322" i="9"/>
  <c r="Q321" i="9"/>
  <c r="Q320" i="9"/>
  <c r="Q319" i="9"/>
  <c r="Q318" i="9"/>
  <c r="Q317" i="9"/>
  <c r="Q316" i="9"/>
  <c r="Q314" i="9"/>
  <c r="Q313" i="9"/>
  <c r="Q308" i="9"/>
  <c r="Q307" i="9"/>
  <c r="Q306" i="9"/>
  <c r="Q305" i="9"/>
  <c r="Q304" i="9"/>
  <c r="Q303" i="9"/>
  <c r="Q302" i="9"/>
  <c r="Q301" i="9"/>
  <c r="Q300" i="9"/>
  <c r="Q299" i="9"/>
  <c r="Q298" i="9"/>
  <c r="Q297" i="9"/>
  <c r="Q296" i="9"/>
  <c r="Q295" i="9"/>
  <c r="Q294" i="9"/>
  <c r="Q293" i="9"/>
  <c r="Q292" i="9"/>
  <c r="Q291" i="9"/>
  <c r="Q290" i="9"/>
  <c r="Q289" i="9"/>
  <c r="Q288" i="9"/>
  <c r="Q287" i="9"/>
  <c r="Q286" i="9"/>
  <c r="Q285" i="9"/>
  <c r="Q284" i="9"/>
  <c r="Q283" i="9"/>
  <c r="Q282" i="9"/>
  <c r="Q281" i="9"/>
  <c r="Q280" i="9"/>
  <c r="Q279" i="9"/>
  <c r="Q278" i="9"/>
  <c r="Q277" i="9"/>
  <c r="Q276" i="9"/>
  <c r="Q275" i="9"/>
  <c r="Q274" i="9"/>
  <c r="Q273" i="9"/>
  <c r="Q272" i="9"/>
  <c r="Q271" i="9"/>
  <c r="Q270" i="9"/>
  <c r="Q269" i="9"/>
  <c r="Q268" i="9"/>
  <c r="Q267" i="9"/>
  <c r="Q266" i="9"/>
  <c r="Q265" i="9"/>
  <c r="Q264" i="9"/>
  <c r="Q263" i="9"/>
  <c r="Q262" i="9"/>
  <c r="Q261" i="9"/>
  <c r="Q260" i="9"/>
  <c r="Q259" i="9"/>
  <c r="Q258" i="9"/>
  <c r="Q257" i="9"/>
  <c r="Q256" i="9"/>
  <c r="Q255" i="9"/>
  <c r="Q254" i="9"/>
  <c r="Q253" i="9"/>
  <c r="Q252" i="9"/>
  <c r="Q251" i="9"/>
  <c r="Q250" i="9"/>
  <c r="Q249" i="9"/>
  <c r="Q248" i="9"/>
  <c r="Q247" i="9"/>
  <c r="Q246" i="9"/>
  <c r="Q245" i="9"/>
  <c r="Q244" i="9"/>
  <c r="Q243" i="9"/>
  <c r="Q242" i="9"/>
  <c r="Q241" i="9"/>
  <c r="Q240" i="9"/>
  <c r="Q239" i="9"/>
  <c r="Q238" i="9"/>
  <c r="Q237" i="9"/>
  <c r="Q236" i="9"/>
  <c r="Q235" i="9"/>
  <c r="Q234" i="9"/>
  <c r="Q233" i="9"/>
  <c r="Q232" i="9"/>
  <c r="Q231" i="9"/>
  <c r="Q230" i="9"/>
  <c r="Q229" i="9"/>
  <c r="Q228" i="9"/>
  <c r="Q227" i="9"/>
  <c r="Q226" i="9"/>
  <c r="Q225" i="9"/>
  <c r="Q224" i="9"/>
  <c r="Q223" i="9"/>
  <c r="Q222" i="9"/>
  <c r="Q221" i="9"/>
  <c r="Q220" i="9"/>
  <c r="Q219" i="9"/>
  <c r="Q218" i="9"/>
  <c r="Q217" i="9"/>
  <c r="Q216" i="9"/>
  <c r="Q215" i="9"/>
  <c r="Q214" i="9"/>
  <c r="Q213" i="9"/>
  <c r="Q212" i="9"/>
  <c r="Q211" i="9"/>
  <c r="Q210" i="9"/>
  <c r="Q209" i="9"/>
  <c r="Q208" i="9"/>
  <c r="Q207" i="9"/>
  <c r="Q206" i="9"/>
  <c r="Q205" i="9"/>
  <c r="Q204" i="9"/>
  <c r="Q203" i="9"/>
  <c r="Q202" i="9"/>
  <c r="Q201" i="9"/>
  <c r="Q200" i="9"/>
  <c r="Q199" i="9"/>
  <c r="Q198" i="9"/>
  <c r="Q197" i="9"/>
  <c r="Q196" i="9"/>
  <c r="Q195" i="9"/>
  <c r="Q194" i="9"/>
  <c r="Q193" i="9"/>
  <c r="Q192" i="9"/>
  <c r="Q191" i="9"/>
  <c r="Q190" i="9"/>
  <c r="Q189" i="9"/>
  <c r="Q188" i="9"/>
  <c r="Q187" i="9"/>
  <c r="Q186" i="9"/>
  <c r="Q185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59" i="9"/>
  <c r="Q158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13" i="9"/>
  <c r="Q112" i="9"/>
  <c r="Q110" i="9"/>
  <c r="Q109" i="9"/>
  <c r="Q108" i="9"/>
  <c r="Q107" i="9"/>
  <c r="Q106" i="9"/>
  <c r="Q105" i="9"/>
  <c r="Q104" i="9"/>
  <c r="Q103" i="9"/>
  <c r="Q101" i="9"/>
  <c r="Q100" i="9"/>
  <c r="Q99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3" i="9"/>
  <c r="Q82" i="9"/>
  <c r="Q81" i="9"/>
  <c r="Q80" i="9"/>
  <c r="Q79" i="9"/>
  <c r="Q78" i="9"/>
  <c r="Q77" i="9"/>
  <c r="Q75" i="9"/>
  <c r="Q74" i="9"/>
  <c r="Q73" i="9"/>
  <c r="Q68" i="9"/>
  <c r="Q65" i="9"/>
  <c r="Q64" i="9"/>
  <c r="Q57" i="9"/>
  <c r="Q56" i="9"/>
  <c r="Q54" i="9"/>
  <c r="Q53" i="9"/>
  <c r="Q51" i="9"/>
  <c r="Q49" i="9"/>
  <c r="Q47" i="9"/>
  <c r="Q45" i="9"/>
  <c r="Q42" i="9"/>
  <c r="Q41" i="9"/>
  <c r="Q40" i="9"/>
  <c r="Q38" i="9"/>
  <c r="Q37" i="9"/>
  <c r="Q36" i="9"/>
  <c r="Q35" i="9"/>
  <c r="Q34" i="9"/>
  <c r="Q33" i="9"/>
  <c r="Q32" i="9"/>
  <c r="R32" i="9" s="1"/>
  <c r="T32" i="9" s="1"/>
  <c r="Q31" i="9"/>
  <c r="F60" i="1"/>
  <c r="Q29" i="9"/>
  <c r="Q28" i="9"/>
  <c r="Q27" i="9"/>
  <c r="Q25" i="9"/>
  <c r="Q24" i="9"/>
  <c r="Q21" i="9"/>
  <c r="Q19" i="9"/>
  <c r="Q16" i="9"/>
  <c r="Q15" i="9"/>
  <c r="Q14" i="9"/>
  <c r="Q13" i="9"/>
  <c r="Q10" i="9"/>
  <c r="Q9" i="9"/>
  <c r="Q8" i="9"/>
  <c r="Q7" i="9"/>
  <c r="Q6" i="9"/>
  <c r="Q5" i="9"/>
  <c r="F172" i="1"/>
  <c r="E172" i="1"/>
  <c r="L42" i="1"/>
  <c r="L27" i="1"/>
  <c r="Q141" i="9"/>
  <c r="Q140" i="9"/>
  <c r="Q139" i="9"/>
  <c r="Q138" i="9"/>
  <c r="Q137" i="9"/>
  <c r="Q136" i="9"/>
  <c r="Q129" i="9"/>
  <c r="Q128" i="9"/>
  <c r="Q127" i="9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R113" i="9"/>
  <c r="T113" i="9" s="1"/>
  <c r="R107" i="9"/>
  <c r="T107" i="9" s="1"/>
  <c r="R106" i="9"/>
  <c r="T106" i="9" s="1"/>
  <c r="R105" i="9"/>
  <c r="T105" i="9" s="1"/>
  <c r="R104" i="9"/>
  <c r="T104" i="9" s="1"/>
  <c r="R103" i="9"/>
  <c r="T103" i="9" s="1"/>
  <c r="Q102" i="9"/>
  <c r="Q98" i="9"/>
  <c r="R96" i="9"/>
  <c r="T96" i="9" s="1"/>
  <c r="R94" i="9"/>
  <c r="T94" i="9" s="1"/>
  <c r="R91" i="9"/>
  <c r="T91" i="9" s="1"/>
  <c r="R90" i="9"/>
  <c r="T90" i="9" s="1"/>
  <c r="R88" i="9"/>
  <c r="T88" i="9" s="1"/>
  <c r="R87" i="9"/>
  <c r="T87" i="9" s="1"/>
  <c r="R86" i="9"/>
  <c r="T86" i="9" s="1"/>
  <c r="Q84" i="9"/>
  <c r="R82" i="9"/>
  <c r="T82" i="9" s="1"/>
  <c r="R80" i="9"/>
  <c r="T80" i="9" s="1"/>
  <c r="R78" i="9"/>
  <c r="T78" i="9" s="1"/>
  <c r="Q76" i="9"/>
  <c r="R74" i="9"/>
  <c r="T74" i="9" s="1"/>
  <c r="R64" i="9"/>
  <c r="T64" i="9" s="1"/>
  <c r="Q59" i="9"/>
  <c r="Q58" i="9"/>
  <c r="R56" i="9"/>
  <c r="T56" i="9" s="1"/>
  <c r="Q55" i="9"/>
  <c r="R54" i="9"/>
  <c r="T54" i="9" s="1"/>
  <c r="R53" i="9"/>
  <c r="T53" i="9" s="1"/>
  <c r="Q52" i="9"/>
  <c r="R51" i="9"/>
  <c r="T51" i="9" s="1"/>
  <c r="Q50" i="9"/>
  <c r="Q48" i="9"/>
  <c r="Q46" i="9"/>
  <c r="Q44" i="9"/>
  <c r="Q43" i="9"/>
  <c r="R42" i="9"/>
  <c r="T42" i="9" s="1"/>
  <c r="R41" i="9"/>
  <c r="T41" i="9" s="1"/>
  <c r="R40" i="9"/>
  <c r="T40" i="9" s="1"/>
  <c r="Q39" i="9"/>
  <c r="R37" i="9"/>
  <c r="T37" i="9" s="1"/>
  <c r="R36" i="9"/>
  <c r="T36" i="9" s="1"/>
  <c r="R34" i="9"/>
  <c r="T34" i="9" s="1"/>
  <c r="R29" i="9"/>
  <c r="T29" i="9" s="1"/>
  <c r="C75" i="7" s="1"/>
  <c r="R28" i="9"/>
  <c r="T28" i="9" s="1"/>
  <c r="R27" i="9"/>
  <c r="T27" i="9" s="1"/>
  <c r="Q26" i="9"/>
  <c r="R24" i="9"/>
  <c r="T24" i="9" s="1"/>
  <c r="Q23" i="9"/>
  <c r="Q22" i="9"/>
  <c r="R21" i="9"/>
  <c r="T21" i="9" s="1"/>
  <c r="Q20" i="9"/>
  <c r="R19" i="9"/>
  <c r="T19" i="9" s="1"/>
  <c r="R15" i="9"/>
  <c r="T15" i="9" s="1"/>
  <c r="R13" i="9"/>
  <c r="T13" i="9" s="1"/>
  <c r="Q12" i="9"/>
  <c r="Q11" i="9"/>
  <c r="R9" i="9"/>
  <c r="T9" i="9" s="1"/>
  <c r="R7" i="9"/>
  <c r="T7" i="9" s="1"/>
  <c r="R6" i="9"/>
  <c r="T6" i="9" s="1"/>
  <c r="R73" i="51" l="1"/>
  <c r="R5" i="24"/>
  <c r="T5" i="24" s="1"/>
  <c r="Q340" i="9"/>
  <c r="R340" i="9"/>
  <c r="T340" i="9" s="1"/>
  <c r="R146" i="57"/>
  <c r="T146" i="57" s="1"/>
  <c r="Q138" i="57"/>
  <c r="R135" i="57"/>
  <c r="T135" i="57" s="1"/>
  <c r="R122" i="57"/>
  <c r="T122" i="57" s="1"/>
  <c r="R257" i="54"/>
  <c r="R264" i="57"/>
  <c r="T264" i="57" s="1"/>
  <c r="R256" i="57"/>
  <c r="T256" i="57" s="1"/>
  <c r="R247" i="57"/>
  <c r="T247" i="57" s="1"/>
  <c r="Q217" i="57"/>
  <c r="Q214" i="57"/>
  <c r="R214" i="57" s="1"/>
  <c r="T214" i="57" s="1"/>
  <c r="R212" i="57"/>
  <c r="T212" i="57" s="1"/>
  <c r="Q210" i="57"/>
  <c r="Q199" i="57"/>
  <c r="R199" i="57" s="1"/>
  <c r="T199" i="57" s="1"/>
  <c r="Q198" i="57"/>
  <c r="R198" i="57" s="1"/>
  <c r="T198" i="57" s="1"/>
  <c r="Q195" i="57"/>
  <c r="Q193" i="57"/>
  <c r="R193" i="57"/>
  <c r="T193" i="57" s="1"/>
  <c r="Q184" i="57"/>
  <c r="R144" i="57"/>
  <c r="T144" i="57" s="1"/>
  <c r="Q143" i="57"/>
  <c r="Q141" i="57"/>
  <c r="Q132" i="57"/>
  <c r="R128" i="57"/>
  <c r="T128" i="57" s="1"/>
  <c r="Q576" i="9"/>
  <c r="Q37" i="13"/>
  <c r="R37" i="13" s="1"/>
  <c r="T37" i="13" s="1"/>
  <c r="R48" i="13"/>
  <c r="T48" i="13" s="1"/>
  <c r="Q46" i="13"/>
  <c r="R46" i="13"/>
  <c r="T46" i="13" s="1"/>
  <c r="Q45" i="13"/>
  <c r="R45" i="13" s="1"/>
  <c r="T45" i="13" s="1"/>
  <c r="Q44" i="13"/>
  <c r="R44" i="13"/>
  <c r="T44" i="13" s="1"/>
  <c r="R43" i="13"/>
  <c r="T43" i="13" s="1"/>
  <c r="R42" i="13"/>
  <c r="T42" i="13" s="1"/>
  <c r="R38" i="13"/>
  <c r="T38" i="13" s="1"/>
  <c r="Q35" i="13"/>
  <c r="R35" i="13" s="1"/>
  <c r="T35" i="13" s="1"/>
  <c r="Q34" i="13"/>
  <c r="Q13" i="50"/>
  <c r="R410" i="9"/>
  <c r="T410" i="9" s="1"/>
  <c r="R180" i="54"/>
  <c r="Q434" i="57"/>
  <c r="R236" i="51"/>
  <c r="R231" i="51"/>
  <c r="R159" i="51"/>
  <c r="Q25" i="57"/>
  <c r="Q17" i="57"/>
  <c r="Q4" i="19"/>
  <c r="R290" i="57"/>
  <c r="T290" i="57" s="1"/>
  <c r="Q82" i="57"/>
  <c r="Q68" i="57"/>
  <c r="R66" i="57"/>
  <c r="T66" i="57" s="1"/>
  <c r="Q63" i="57"/>
  <c r="R63" i="57" s="1"/>
  <c r="T63" i="57" s="1"/>
  <c r="Q60" i="57"/>
  <c r="Q46" i="57"/>
  <c r="Q5" i="20"/>
  <c r="R26" i="57"/>
  <c r="T26" i="57" s="1"/>
  <c r="Q2" i="57"/>
  <c r="R209" i="51"/>
  <c r="R215" i="51"/>
  <c r="S215" i="51" s="1"/>
  <c r="U215" i="51" s="1"/>
  <c r="H18" i="52"/>
  <c r="G19" i="52"/>
  <c r="R425" i="9"/>
  <c r="T425" i="9" s="1"/>
  <c r="R405" i="9"/>
  <c r="T405" i="9" s="1"/>
  <c r="R45" i="45"/>
  <c r="T45" i="45" s="1"/>
  <c r="R43" i="45"/>
  <c r="T43" i="45" s="1"/>
  <c r="R77" i="30"/>
  <c r="T77" i="30" s="1"/>
  <c r="R70" i="30"/>
  <c r="T70" i="30" s="1"/>
  <c r="R26" i="30"/>
  <c r="T26" i="30" s="1"/>
  <c r="R559" i="9"/>
  <c r="T559" i="9" s="1"/>
  <c r="R558" i="9"/>
  <c r="T558" i="9" s="1"/>
  <c r="R553" i="9"/>
  <c r="T553" i="9" s="1"/>
  <c r="R551" i="9"/>
  <c r="T551" i="9" s="1"/>
  <c r="R527" i="9"/>
  <c r="T527" i="9" s="1"/>
  <c r="R517" i="9"/>
  <c r="T517" i="9" s="1"/>
  <c r="R512" i="9"/>
  <c r="T512" i="9" s="1"/>
  <c r="R473" i="9"/>
  <c r="T473" i="9" s="1"/>
  <c r="R468" i="9"/>
  <c r="T468" i="9" s="1"/>
  <c r="R457" i="9"/>
  <c r="T457" i="9" s="1"/>
  <c r="R455" i="9"/>
  <c r="T455" i="9" s="1"/>
  <c r="R454" i="9"/>
  <c r="T454" i="9" s="1"/>
  <c r="R448" i="9"/>
  <c r="T448" i="9" s="1"/>
  <c r="R443" i="9"/>
  <c r="T443" i="9" s="1"/>
  <c r="R442" i="9"/>
  <c r="T442" i="9" s="1"/>
  <c r="R437" i="9"/>
  <c r="T437" i="9" s="1"/>
  <c r="R432" i="9"/>
  <c r="T432" i="9" s="1"/>
  <c r="Q484" i="57"/>
  <c r="R484" i="57" s="1"/>
  <c r="T484" i="57" s="1"/>
  <c r="Q479" i="57"/>
  <c r="R475" i="57"/>
  <c r="T475" i="57" s="1"/>
  <c r="Q490" i="57"/>
  <c r="R490" i="57" s="1"/>
  <c r="T490" i="57" s="1"/>
  <c r="Q485" i="57"/>
  <c r="Q481" i="57"/>
  <c r="R481" i="57" s="1"/>
  <c r="T481" i="57" s="1"/>
  <c r="Q477" i="57"/>
  <c r="Q468" i="57"/>
  <c r="Q441" i="57"/>
  <c r="R150" i="51"/>
  <c r="Q82" i="44"/>
  <c r="Q401" i="9"/>
  <c r="R401" i="9"/>
  <c r="T401" i="9" s="1"/>
  <c r="Q10" i="17"/>
  <c r="R289" i="57"/>
  <c r="T289" i="57" s="1"/>
  <c r="Q116" i="57"/>
  <c r="R116" i="57"/>
  <c r="T116" i="57" s="1"/>
  <c r="H19" i="52"/>
  <c r="Q13" i="13"/>
  <c r="R13" i="13"/>
  <c r="T13" i="13" s="1"/>
  <c r="S67" i="54"/>
  <c r="U67" i="54" s="1"/>
  <c r="R543" i="9"/>
  <c r="T543" i="9" s="1"/>
  <c r="R409" i="9"/>
  <c r="T409" i="9" s="1"/>
  <c r="R556" i="9"/>
  <c r="T556" i="9" s="1"/>
  <c r="R483" i="57"/>
  <c r="T483" i="57" s="1"/>
  <c r="R479" i="57"/>
  <c r="T479" i="57" s="1"/>
  <c r="R470" i="57"/>
  <c r="T470" i="57" s="1"/>
  <c r="R468" i="57"/>
  <c r="T468" i="57" s="1"/>
  <c r="Q452" i="57"/>
  <c r="Q451" i="57"/>
  <c r="Q445" i="57"/>
  <c r="R445" i="57" s="1"/>
  <c r="T445" i="57" s="1"/>
  <c r="Q436" i="57"/>
  <c r="R202" i="57"/>
  <c r="T202" i="57" s="1"/>
  <c r="R201" i="57"/>
  <c r="T201" i="57" s="1"/>
  <c r="R200" i="57"/>
  <c r="T200" i="57" s="1"/>
  <c r="Q197" i="57"/>
  <c r="R197" i="57" s="1"/>
  <c r="T197" i="57" s="1"/>
  <c r="R182" i="57"/>
  <c r="T182" i="57" s="1"/>
  <c r="R180" i="57"/>
  <c r="T180" i="57" s="1"/>
  <c r="Q173" i="57"/>
  <c r="R173" i="57" s="1"/>
  <c r="T173" i="57" s="1"/>
  <c r="R167" i="57"/>
  <c r="T167" i="57" s="1"/>
  <c r="Q164" i="57"/>
  <c r="R155" i="57"/>
  <c r="T155" i="57" s="1"/>
  <c r="Q150" i="57"/>
  <c r="Q137" i="57"/>
  <c r="R137" i="57" s="1"/>
  <c r="T137" i="57" s="1"/>
  <c r="Q133" i="57"/>
  <c r="R133" i="57" s="1"/>
  <c r="T133" i="57" s="1"/>
  <c r="R132" i="57"/>
  <c r="T132" i="57" s="1"/>
  <c r="R193" i="51"/>
  <c r="S193" i="51" s="1"/>
  <c r="U193" i="51" s="1"/>
  <c r="S177" i="51"/>
  <c r="U177" i="51" s="1"/>
  <c r="R155" i="51"/>
  <c r="Q21" i="57"/>
  <c r="R21" i="57" s="1"/>
  <c r="T21" i="57" s="1"/>
  <c r="Q15" i="57"/>
  <c r="R294" i="54"/>
  <c r="R203" i="51"/>
  <c r="R196" i="51"/>
  <c r="R108" i="51"/>
  <c r="S108" i="51" s="1"/>
  <c r="U108" i="51" s="1"/>
  <c r="Q41" i="34"/>
  <c r="Q206" i="57"/>
  <c r="R206" i="57" s="1"/>
  <c r="T206" i="57" s="1"/>
  <c r="Q170" i="57"/>
  <c r="R170" i="57" s="1"/>
  <c r="T170" i="57" s="1"/>
  <c r="Q169" i="57"/>
  <c r="R147" i="57"/>
  <c r="T147" i="57" s="1"/>
  <c r="Q142" i="57"/>
  <c r="R142" i="57" s="1"/>
  <c r="T142" i="57" s="1"/>
  <c r="Q140" i="57"/>
  <c r="R140" i="57" s="1"/>
  <c r="T140" i="57" s="1"/>
  <c r="R139" i="57"/>
  <c r="T139" i="57" s="1"/>
  <c r="Q136" i="57"/>
  <c r="R134" i="57"/>
  <c r="T134" i="57" s="1"/>
  <c r="Q4" i="47"/>
  <c r="R5" i="20"/>
  <c r="T5" i="20" s="1"/>
  <c r="Q13" i="57"/>
  <c r="R221" i="51"/>
  <c r="S197" i="51"/>
  <c r="U197" i="51" s="1"/>
  <c r="R10" i="51"/>
  <c r="R577" i="9"/>
  <c r="T577" i="9" s="1"/>
  <c r="R180" i="51"/>
  <c r="Q9" i="34"/>
  <c r="R421" i="9"/>
  <c r="T421" i="9" s="1"/>
  <c r="R412" i="9"/>
  <c r="T412" i="9" s="1"/>
  <c r="R478" i="57"/>
  <c r="T478" i="57" s="1"/>
  <c r="Q463" i="57"/>
  <c r="Q440" i="57"/>
  <c r="R440" i="57" s="1"/>
  <c r="T440" i="57" s="1"/>
  <c r="Q36" i="34"/>
  <c r="Q396" i="9"/>
  <c r="R434" i="57"/>
  <c r="T434" i="57" s="1"/>
  <c r="R341" i="57"/>
  <c r="T341" i="57" s="1"/>
  <c r="Q286" i="57"/>
  <c r="R286" i="57"/>
  <c r="T286" i="57" s="1"/>
  <c r="R71" i="54"/>
  <c r="R144" i="51"/>
  <c r="S144" i="51" s="1"/>
  <c r="U144" i="51" s="1"/>
  <c r="R205" i="51"/>
  <c r="Q23" i="34"/>
  <c r="R33" i="13"/>
  <c r="T33" i="13" s="1"/>
  <c r="R422" i="9"/>
  <c r="T422" i="9" s="1"/>
  <c r="R130" i="57"/>
  <c r="T130" i="57" s="1"/>
  <c r="Q129" i="57"/>
  <c r="R129" i="57" s="1"/>
  <c r="T129" i="57" s="1"/>
  <c r="Q126" i="57"/>
  <c r="R126" i="57" s="1"/>
  <c r="T126" i="57" s="1"/>
  <c r="Q124" i="57"/>
  <c r="R124" i="57" s="1"/>
  <c r="T124" i="57" s="1"/>
  <c r="Q123" i="57"/>
  <c r="Q131" i="57"/>
  <c r="R131" i="57" s="1"/>
  <c r="T131" i="57" s="1"/>
  <c r="Q125" i="57"/>
  <c r="R125" i="57" s="1"/>
  <c r="T125" i="57" s="1"/>
  <c r="R67" i="9"/>
  <c r="T67" i="9" s="1"/>
  <c r="R63" i="9"/>
  <c r="T63" i="9" s="1"/>
  <c r="R61" i="9"/>
  <c r="T61" i="9" s="1"/>
  <c r="R123" i="57"/>
  <c r="T123" i="57" s="1"/>
  <c r="Q30" i="13"/>
  <c r="R30" i="13"/>
  <c r="T30" i="13" s="1"/>
  <c r="R524" i="9"/>
  <c r="T524" i="9" s="1"/>
  <c r="R11" i="48"/>
  <c r="T11" i="48" s="1"/>
  <c r="R53" i="45"/>
  <c r="T53" i="45" s="1"/>
  <c r="Q447" i="57"/>
  <c r="Q442" i="57"/>
  <c r="Q421" i="57"/>
  <c r="Q9" i="17"/>
  <c r="Q5" i="16"/>
  <c r="R5" i="16" s="1"/>
  <c r="T5" i="16" s="1"/>
  <c r="R4" i="44"/>
  <c r="T4" i="44" s="1"/>
  <c r="R9" i="17"/>
  <c r="T9" i="17" s="1"/>
  <c r="Q2" i="60"/>
  <c r="R2" i="60" s="1"/>
  <c r="T2" i="60" s="1"/>
  <c r="G25" i="58"/>
  <c r="R489" i="57"/>
  <c r="T489" i="57" s="1"/>
  <c r="R482" i="57"/>
  <c r="T482" i="57" s="1"/>
  <c r="Q480" i="57"/>
  <c r="R480" i="57" s="1"/>
  <c r="T480" i="57" s="1"/>
  <c r="Q464" i="57"/>
  <c r="R459" i="57"/>
  <c r="T459" i="57" s="1"/>
  <c r="R91" i="51"/>
  <c r="Q294" i="57"/>
  <c r="Q444" i="57"/>
  <c r="Q293" i="57"/>
  <c r="R293" i="57"/>
  <c r="T293" i="57" s="1"/>
  <c r="R31" i="57"/>
  <c r="T31" i="57" s="1"/>
  <c r="Q28" i="57"/>
  <c r="R28" i="57" s="1"/>
  <c r="T28" i="57" s="1"/>
  <c r="R39" i="13"/>
  <c r="T39" i="13" s="1"/>
  <c r="R14" i="44"/>
  <c r="T14" i="44" s="1"/>
  <c r="R13" i="44"/>
  <c r="T13" i="44" s="1"/>
  <c r="Q5" i="62"/>
  <c r="R5" i="62"/>
  <c r="T5" i="62" s="1"/>
  <c r="Q9" i="61"/>
  <c r="R9" i="61" s="1"/>
  <c r="T9" i="61" s="1"/>
  <c r="R5" i="60"/>
  <c r="T5" i="60" s="1"/>
  <c r="Q515" i="57"/>
  <c r="R515" i="57" s="1"/>
  <c r="T515" i="57" s="1"/>
  <c r="Q500" i="57"/>
  <c r="R500" i="57" s="1"/>
  <c r="T500" i="57" s="1"/>
  <c r="Q498" i="57"/>
  <c r="R498" i="57" s="1"/>
  <c r="T498" i="57" s="1"/>
  <c r="R488" i="57"/>
  <c r="T488" i="57" s="1"/>
  <c r="R485" i="57"/>
  <c r="T485" i="57" s="1"/>
  <c r="R477" i="57"/>
  <c r="T477" i="57" s="1"/>
  <c r="S100" i="51"/>
  <c r="U100" i="51" s="1"/>
  <c r="R294" i="57"/>
  <c r="T294" i="57" s="1"/>
  <c r="Q29" i="34"/>
  <c r="R29" i="34" s="1"/>
  <c r="T29" i="34" s="1"/>
  <c r="Q26" i="34"/>
  <c r="R26" i="34" s="1"/>
  <c r="T26" i="34" s="1"/>
  <c r="Q14" i="32"/>
  <c r="R58" i="30"/>
  <c r="T58" i="30" s="1"/>
  <c r="R142" i="9"/>
  <c r="T142" i="9" s="1"/>
  <c r="R111" i="9"/>
  <c r="T111" i="9" s="1"/>
  <c r="R30" i="9"/>
  <c r="T30" i="9" s="1"/>
  <c r="Q504" i="57"/>
  <c r="Q497" i="57"/>
  <c r="R497" i="57" s="1"/>
  <c r="T497" i="57" s="1"/>
  <c r="Q495" i="57"/>
  <c r="R495" i="57" s="1"/>
  <c r="T495" i="57" s="1"/>
  <c r="Q493" i="57"/>
  <c r="R493" i="57" s="1"/>
  <c r="T493" i="57" s="1"/>
  <c r="Q487" i="57"/>
  <c r="R487" i="57" s="1"/>
  <c r="T487" i="57" s="1"/>
  <c r="Q471" i="57"/>
  <c r="Q460" i="57"/>
  <c r="R82" i="51"/>
  <c r="R76" i="51"/>
  <c r="S76" i="51" s="1"/>
  <c r="U76" i="51" s="1"/>
  <c r="Q31" i="34"/>
  <c r="R31" i="34" s="1"/>
  <c r="T31" i="34" s="1"/>
  <c r="Q379" i="57"/>
  <c r="R379" i="57" s="1"/>
  <c r="T379" i="57" s="1"/>
  <c r="Q378" i="57"/>
  <c r="R378" i="57"/>
  <c r="T378" i="57" s="1"/>
  <c r="R376" i="57"/>
  <c r="T376" i="57" s="1"/>
  <c r="Q372" i="57"/>
  <c r="R372" i="57" s="1"/>
  <c r="T372" i="57" s="1"/>
  <c r="Q370" i="57"/>
  <c r="R370" i="57" s="1"/>
  <c r="T370" i="57" s="1"/>
  <c r="Q369" i="57"/>
  <c r="Q362" i="57"/>
  <c r="R361" i="57"/>
  <c r="T361" i="57" s="1"/>
  <c r="Q356" i="57"/>
  <c r="R356" i="57" s="1"/>
  <c r="T356" i="57" s="1"/>
  <c r="Q355" i="57"/>
  <c r="R349" i="57"/>
  <c r="T349" i="57" s="1"/>
  <c r="R345" i="57"/>
  <c r="T345" i="57" s="1"/>
  <c r="Q342" i="57"/>
  <c r="R327" i="57"/>
  <c r="T327" i="57" s="1"/>
  <c r="Q321" i="57"/>
  <c r="R304" i="57"/>
  <c r="T304" i="57" s="1"/>
  <c r="Q299" i="57"/>
  <c r="R298" i="57"/>
  <c r="T298" i="57" s="1"/>
  <c r="R198" i="51"/>
  <c r="R187" i="51"/>
  <c r="R185" i="51"/>
  <c r="R151" i="51"/>
  <c r="R138" i="51"/>
  <c r="Q439" i="57"/>
  <c r="R328" i="57"/>
  <c r="T328" i="57" s="1"/>
  <c r="Q108" i="57"/>
  <c r="R108" i="57" s="1"/>
  <c r="T108" i="57" s="1"/>
  <c r="Q102" i="57"/>
  <c r="R102" i="57"/>
  <c r="T102" i="57" s="1"/>
  <c r="Q100" i="57"/>
  <c r="Q97" i="57"/>
  <c r="Q96" i="57"/>
  <c r="R91" i="57"/>
  <c r="T91" i="57" s="1"/>
  <c r="R87" i="57"/>
  <c r="T87" i="57" s="1"/>
  <c r="Q84" i="57"/>
  <c r="R84" i="57" s="1"/>
  <c r="T84" i="57" s="1"/>
  <c r="R83" i="57"/>
  <c r="T83" i="57" s="1"/>
  <c r="Q80" i="57"/>
  <c r="Q64" i="57"/>
  <c r="R64" i="57"/>
  <c r="T64" i="57" s="1"/>
  <c r="Q34" i="57"/>
  <c r="R242" i="51"/>
  <c r="R223" i="51"/>
  <c r="R213" i="51"/>
  <c r="Q575" i="9"/>
  <c r="Q29" i="57"/>
  <c r="Q24" i="57"/>
  <c r="R24" i="57"/>
  <c r="T24" i="57" s="1"/>
  <c r="Q18" i="57"/>
  <c r="Q4" i="57"/>
  <c r="R70" i="51"/>
  <c r="Q40" i="34"/>
  <c r="R40" i="34" s="1"/>
  <c r="T40" i="34" s="1"/>
  <c r="Q6" i="35"/>
  <c r="R44" i="44"/>
  <c r="T44" i="44" s="1"/>
  <c r="R30" i="44"/>
  <c r="T30" i="44" s="1"/>
  <c r="Q19" i="34"/>
  <c r="Q438" i="57"/>
  <c r="R85" i="51"/>
  <c r="S85" i="51"/>
  <c r="U85" i="51" s="1"/>
  <c r="R138" i="57"/>
  <c r="T138" i="57" s="1"/>
  <c r="Q50" i="13"/>
  <c r="R50" i="13"/>
  <c r="T50" i="13" s="1"/>
  <c r="R8" i="48"/>
  <c r="T8" i="48" s="1"/>
  <c r="R66" i="45"/>
  <c r="T66" i="45" s="1"/>
  <c r="R39" i="34"/>
  <c r="T39" i="34" s="1"/>
  <c r="R10" i="34"/>
  <c r="T10" i="34" s="1"/>
  <c r="R6" i="34"/>
  <c r="T6" i="34" s="1"/>
  <c r="Q443" i="57"/>
  <c r="R443" i="57"/>
  <c r="T443" i="57" s="1"/>
  <c r="R107" i="57"/>
  <c r="T107" i="57" s="1"/>
  <c r="Q106" i="57"/>
  <c r="R106" i="57" s="1"/>
  <c r="T106" i="57" s="1"/>
  <c r="Q104" i="57"/>
  <c r="R103" i="57"/>
  <c r="T103" i="57" s="1"/>
  <c r="Q94" i="57"/>
  <c r="R94" i="57"/>
  <c r="T94" i="57" s="1"/>
  <c r="R93" i="57"/>
  <c r="T93" i="57" s="1"/>
  <c r="R89" i="57"/>
  <c r="T89" i="57" s="1"/>
  <c r="R88" i="57"/>
  <c r="T88" i="57" s="1"/>
  <c r="Q79" i="57"/>
  <c r="R79" i="57"/>
  <c r="T79" i="57" s="1"/>
  <c r="Q78" i="57"/>
  <c r="R78" i="57" s="1"/>
  <c r="T78" i="57" s="1"/>
  <c r="Q77" i="57"/>
  <c r="R77" i="57" s="1"/>
  <c r="T77" i="57" s="1"/>
  <c r="R71" i="57"/>
  <c r="T71" i="57" s="1"/>
  <c r="R58" i="57"/>
  <c r="T58" i="57" s="1"/>
  <c r="R50" i="57"/>
  <c r="T50" i="57" s="1"/>
  <c r="Q33" i="57"/>
  <c r="R33" i="57" s="1"/>
  <c r="T33" i="57" s="1"/>
  <c r="R235" i="51"/>
  <c r="R178" i="51"/>
  <c r="R95" i="51"/>
  <c r="Q6" i="20"/>
  <c r="R30" i="57"/>
  <c r="T30" i="57" s="1"/>
  <c r="Q23" i="57"/>
  <c r="R211" i="51"/>
  <c r="Q3" i="47"/>
  <c r="Q55" i="44"/>
  <c r="Q462" i="57"/>
  <c r="R462" i="57" s="1"/>
  <c r="T462" i="57" s="1"/>
  <c r="Q457" i="57"/>
  <c r="R457" i="57" s="1"/>
  <c r="T457" i="57" s="1"/>
  <c r="Q453" i="57"/>
  <c r="R453" i="57" s="1"/>
  <c r="T453" i="57" s="1"/>
  <c r="Q448" i="57"/>
  <c r="R447" i="9"/>
  <c r="T447" i="9" s="1"/>
  <c r="Q34" i="34"/>
  <c r="R34" i="34" s="1"/>
  <c r="T34" i="34" s="1"/>
  <c r="R33" i="34"/>
  <c r="T33" i="34" s="1"/>
  <c r="Q30" i="34"/>
  <c r="R30" i="34" s="1"/>
  <c r="T30" i="34" s="1"/>
  <c r="R2" i="30"/>
  <c r="Q461" i="57"/>
  <c r="R461" i="57" s="1"/>
  <c r="T461" i="57" s="1"/>
  <c r="Q455" i="57"/>
  <c r="R446" i="57"/>
  <c r="T446" i="57" s="1"/>
  <c r="Q3" i="20"/>
  <c r="Q7" i="34"/>
  <c r="R7" i="34" s="1"/>
  <c r="T7" i="34" s="1"/>
  <c r="Q5" i="34"/>
  <c r="Q15" i="17"/>
  <c r="Q374" i="57"/>
  <c r="R374" i="57" s="1"/>
  <c r="T374" i="57" s="1"/>
  <c r="Q368" i="57"/>
  <c r="R368" i="57" s="1"/>
  <c r="T368" i="57" s="1"/>
  <c r="Q367" i="57"/>
  <c r="R367" i="57"/>
  <c r="T367" i="57" s="1"/>
  <c r="Q366" i="57"/>
  <c r="R366" i="57" s="1"/>
  <c r="T366" i="57" s="1"/>
  <c r="Q365" i="57"/>
  <c r="R365" i="57"/>
  <c r="T365" i="57" s="1"/>
  <c r="R364" i="57"/>
  <c r="T364" i="57" s="1"/>
  <c r="R363" i="57"/>
  <c r="T363" i="57" s="1"/>
  <c r="Q359" i="57"/>
  <c r="R359" i="57" s="1"/>
  <c r="T359" i="57" s="1"/>
  <c r="R358" i="57"/>
  <c r="T358" i="57" s="1"/>
  <c r="R350" i="57"/>
  <c r="T350" i="57" s="1"/>
  <c r="R344" i="57"/>
  <c r="T344" i="57" s="1"/>
  <c r="R343" i="57"/>
  <c r="T343" i="57" s="1"/>
  <c r="R337" i="57"/>
  <c r="T337" i="57" s="1"/>
  <c r="Q329" i="57"/>
  <c r="Q322" i="57"/>
  <c r="R309" i="57"/>
  <c r="T309" i="57" s="1"/>
  <c r="Q308" i="57"/>
  <c r="R305" i="57"/>
  <c r="T305" i="57" s="1"/>
  <c r="R167" i="51"/>
  <c r="R233" i="51"/>
  <c r="R53" i="51"/>
  <c r="R21" i="51"/>
  <c r="Q118" i="57"/>
  <c r="R118" i="57"/>
  <c r="T118" i="57" s="1"/>
  <c r="R72" i="57"/>
  <c r="T72" i="57" s="1"/>
  <c r="R56" i="57"/>
  <c r="T56" i="57" s="1"/>
  <c r="R141" i="57"/>
  <c r="T141" i="57" s="1"/>
  <c r="Q48" i="57"/>
  <c r="Q37" i="34"/>
  <c r="R4" i="20"/>
  <c r="T4" i="20" s="1"/>
  <c r="R17" i="9"/>
  <c r="T17" i="9" s="1"/>
  <c r="Q28" i="34"/>
  <c r="R28" i="34"/>
  <c r="T28" i="34" s="1"/>
  <c r="Q25" i="34"/>
  <c r="R24" i="34"/>
  <c r="T24" i="34" s="1"/>
  <c r="Q433" i="57"/>
  <c r="Q8" i="57"/>
  <c r="R8" i="57" s="1"/>
  <c r="T8" i="57" s="1"/>
  <c r="Q3" i="57"/>
  <c r="R215" i="54"/>
  <c r="R108" i="54"/>
  <c r="R103" i="51"/>
  <c r="R83" i="44"/>
  <c r="T83" i="44" s="1"/>
  <c r="Q5" i="19"/>
  <c r="R5" i="19" s="1"/>
  <c r="T5" i="19" s="1"/>
  <c r="R6" i="57"/>
  <c r="T6" i="57" s="1"/>
  <c r="R145" i="54"/>
  <c r="R239" i="51"/>
  <c r="R226" i="51"/>
  <c r="S204" i="51"/>
  <c r="U204" i="51" s="1"/>
  <c r="Q17" i="34"/>
  <c r="R555" i="9"/>
  <c r="T555" i="9" s="1"/>
  <c r="R544" i="9"/>
  <c r="T544" i="9" s="1"/>
  <c r="R514" i="9"/>
  <c r="T514" i="9" s="1"/>
  <c r="R3" i="23"/>
  <c r="R4" i="22"/>
  <c r="T4" i="22" s="1"/>
  <c r="R30" i="21"/>
  <c r="T30" i="21" s="1"/>
  <c r="R29" i="21"/>
  <c r="T29" i="21" s="1"/>
  <c r="R25" i="21"/>
  <c r="T25" i="21" s="1"/>
  <c r="R20" i="21"/>
  <c r="T20" i="21" s="1"/>
  <c r="R428" i="9"/>
  <c r="T428" i="9" s="1"/>
  <c r="R420" i="9"/>
  <c r="T420" i="9" s="1"/>
  <c r="R413" i="9"/>
  <c r="T413" i="9" s="1"/>
  <c r="R72" i="44"/>
  <c r="T72" i="44" s="1"/>
  <c r="R71" i="44"/>
  <c r="T71" i="44" s="1"/>
  <c r="R69" i="44"/>
  <c r="T69" i="44" s="1"/>
  <c r="R68" i="44"/>
  <c r="T68" i="44" s="1"/>
  <c r="R65" i="44"/>
  <c r="T65" i="44" s="1"/>
  <c r="R64" i="44"/>
  <c r="T64" i="44" s="1"/>
  <c r="R63" i="44"/>
  <c r="T63" i="44" s="1"/>
  <c r="R61" i="44"/>
  <c r="T61" i="44" s="1"/>
  <c r="Q246" i="57"/>
  <c r="R246" i="57" s="1"/>
  <c r="T246" i="57" s="1"/>
  <c r="Q242" i="57"/>
  <c r="R242" i="57" s="1"/>
  <c r="T242" i="57" s="1"/>
  <c r="Q240" i="57"/>
  <c r="Q239" i="57"/>
  <c r="R239" i="57" s="1"/>
  <c r="T239" i="57" s="1"/>
  <c r="R232" i="57"/>
  <c r="T232" i="57" s="1"/>
  <c r="R217" i="57"/>
  <c r="T217" i="57" s="1"/>
  <c r="R216" i="57"/>
  <c r="T216" i="57" s="1"/>
  <c r="R215" i="57"/>
  <c r="T215" i="57" s="1"/>
  <c r="R210" i="57"/>
  <c r="T210" i="57" s="1"/>
  <c r="R209" i="57"/>
  <c r="T209" i="57" s="1"/>
  <c r="Q207" i="57"/>
  <c r="R207" i="57" s="1"/>
  <c r="T207" i="57" s="1"/>
  <c r="Q203" i="57"/>
  <c r="R203" i="57" s="1"/>
  <c r="T203" i="57" s="1"/>
  <c r="R194" i="57"/>
  <c r="T194" i="57" s="1"/>
  <c r="Q188" i="57"/>
  <c r="R188" i="57" s="1"/>
  <c r="T188" i="57" s="1"/>
  <c r="Q177" i="57"/>
  <c r="Q174" i="57"/>
  <c r="R174" i="57" s="1"/>
  <c r="T174" i="57" s="1"/>
  <c r="Q163" i="57"/>
  <c r="R163" i="57" s="1"/>
  <c r="T163" i="57" s="1"/>
  <c r="R162" i="57"/>
  <c r="T162" i="57" s="1"/>
  <c r="Q157" i="57"/>
  <c r="Q152" i="57"/>
  <c r="R52" i="57"/>
  <c r="T52" i="57" s="1"/>
  <c r="R46" i="57"/>
  <c r="T46" i="57" s="1"/>
  <c r="Q38" i="57"/>
  <c r="R38" i="57" s="1"/>
  <c r="T38" i="57" s="1"/>
  <c r="R37" i="57"/>
  <c r="T37" i="57" s="1"/>
  <c r="Q38" i="34"/>
  <c r="Q21" i="17"/>
  <c r="Q17" i="17"/>
  <c r="Q8" i="17"/>
  <c r="R425" i="57"/>
  <c r="T425" i="57" s="1"/>
  <c r="Q259" i="57"/>
  <c r="R259" i="57"/>
  <c r="T259" i="57" s="1"/>
  <c r="R253" i="57"/>
  <c r="T253" i="57" s="1"/>
  <c r="Q251" i="57"/>
  <c r="R251" i="57" s="1"/>
  <c r="T251" i="57" s="1"/>
  <c r="R250" i="57"/>
  <c r="T250" i="57" s="1"/>
  <c r="R248" i="57"/>
  <c r="T248" i="57" s="1"/>
  <c r="R244" i="57"/>
  <c r="T244" i="57" s="1"/>
  <c r="R240" i="57"/>
  <c r="T240" i="57" s="1"/>
  <c r="R235" i="57"/>
  <c r="T235" i="57" s="1"/>
  <c r="Q230" i="57"/>
  <c r="R230" i="57" s="1"/>
  <c r="T230" i="57" s="1"/>
  <c r="Q228" i="57"/>
  <c r="R228" i="57" s="1"/>
  <c r="T228" i="57" s="1"/>
  <c r="R227" i="57"/>
  <c r="T227" i="57" s="1"/>
  <c r="R225" i="57"/>
  <c r="T225" i="57" s="1"/>
  <c r="R224" i="57"/>
  <c r="T224" i="57" s="1"/>
  <c r="Q223" i="57"/>
  <c r="Q220" i="57"/>
  <c r="R220" i="57" s="1"/>
  <c r="T220" i="57" s="1"/>
  <c r="R219" i="57"/>
  <c r="T219" i="57" s="1"/>
  <c r="Q218" i="57"/>
  <c r="Q213" i="57"/>
  <c r="R213" i="57" s="1"/>
  <c r="T213" i="57" s="1"/>
  <c r="Q204" i="57"/>
  <c r="R204" i="57" s="1"/>
  <c r="T204" i="57" s="1"/>
  <c r="R187" i="57"/>
  <c r="T187" i="57" s="1"/>
  <c r="Q183" i="57"/>
  <c r="R181" i="57"/>
  <c r="T181" i="57" s="1"/>
  <c r="Q151" i="57"/>
  <c r="R55" i="57"/>
  <c r="T55" i="57" s="1"/>
  <c r="Q53" i="57"/>
  <c r="R53" i="57" s="1"/>
  <c r="T53" i="57" s="1"/>
  <c r="R40" i="57"/>
  <c r="T40" i="57" s="1"/>
  <c r="R208" i="51"/>
  <c r="S176" i="51"/>
  <c r="U176" i="51" s="1"/>
  <c r="R166" i="51"/>
  <c r="Q32" i="34"/>
  <c r="R32" i="34" s="1"/>
  <c r="T32" i="34" s="1"/>
  <c r="R27" i="34"/>
  <c r="T27" i="34" s="1"/>
  <c r="R22" i="34"/>
  <c r="T22" i="34" s="1"/>
  <c r="Q20" i="34"/>
  <c r="R295" i="57"/>
  <c r="T295" i="57" s="1"/>
  <c r="Q54" i="57"/>
  <c r="S224" i="51"/>
  <c r="U224" i="51" s="1"/>
  <c r="R184" i="51"/>
  <c r="S155" i="51"/>
  <c r="U155" i="51" s="1"/>
  <c r="Q148" i="57"/>
  <c r="R114" i="51"/>
  <c r="Q43" i="34"/>
  <c r="S218" i="51"/>
  <c r="U218" i="51" s="1"/>
  <c r="S124" i="51"/>
  <c r="U124" i="51" s="1"/>
  <c r="R20" i="34"/>
  <c r="T20" i="34" s="1"/>
  <c r="S115" i="51"/>
  <c r="U115" i="51" s="1"/>
  <c r="R99" i="51"/>
  <c r="R22" i="20"/>
  <c r="T22" i="20" s="1"/>
  <c r="Q291" i="57"/>
  <c r="Q44" i="57"/>
  <c r="R44" i="57" s="1"/>
  <c r="T44" i="57" s="1"/>
  <c r="Q41" i="57"/>
  <c r="R41" i="57"/>
  <c r="T41" i="57" s="1"/>
  <c r="Q39" i="57"/>
  <c r="R39" i="57" s="1"/>
  <c r="T39" i="57" s="1"/>
  <c r="S208" i="51"/>
  <c r="U208" i="51" s="1"/>
  <c r="S84" i="51"/>
  <c r="U84" i="51" s="1"/>
  <c r="S294" i="54"/>
  <c r="U294" i="54" s="1"/>
  <c r="S257" i="54"/>
  <c r="U257" i="54" s="1"/>
  <c r="S180" i="54"/>
  <c r="U180" i="54" s="1"/>
  <c r="R158" i="51"/>
  <c r="S158" i="51" s="1"/>
  <c r="U158" i="51" s="1"/>
  <c r="S150" i="51"/>
  <c r="U150" i="51" s="1"/>
  <c r="R88" i="51"/>
  <c r="Q84" i="44"/>
  <c r="R143" i="57"/>
  <c r="T143" i="57" s="1"/>
  <c r="Q45" i="57"/>
  <c r="R45" i="57" s="1"/>
  <c r="T45" i="57" s="1"/>
  <c r="R225" i="51"/>
  <c r="R149" i="51"/>
  <c r="R141" i="51"/>
  <c r="R111" i="51"/>
  <c r="S111" i="51"/>
  <c r="U111" i="51" s="1"/>
  <c r="R106" i="51"/>
  <c r="S106" i="51" s="1"/>
  <c r="U106" i="51" s="1"/>
  <c r="Q7" i="47"/>
  <c r="R2" i="47"/>
  <c r="T2" i="47" s="1"/>
  <c r="Q85" i="44"/>
  <c r="Q26" i="20"/>
  <c r="R462" i="9"/>
  <c r="T462" i="9" s="1"/>
  <c r="R461" i="9"/>
  <c r="T461" i="9" s="1"/>
  <c r="R459" i="9"/>
  <c r="T459" i="9" s="1"/>
  <c r="R357" i="57"/>
  <c r="T357" i="57" s="1"/>
  <c r="R354" i="57"/>
  <c r="T354" i="57" s="1"/>
  <c r="R351" i="57"/>
  <c r="T351" i="57" s="1"/>
  <c r="Q338" i="57"/>
  <c r="R338" i="57" s="1"/>
  <c r="T338" i="57" s="1"/>
  <c r="R336" i="57"/>
  <c r="T336" i="57" s="1"/>
  <c r="Q334" i="57"/>
  <c r="R334" i="57" s="1"/>
  <c r="T334" i="57" s="1"/>
  <c r="Q330" i="57"/>
  <c r="R330" i="57" s="1"/>
  <c r="T330" i="57" s="1"/>
  <c r="R326" i="57"/>
  <c r="T326" i="57" s="1"/>
  <c r="Q325" i="57"/>
  <c r="R325" i="57" s="1"/>
  <c r="T325" i="57" s="1"/>
  <c r="Q324" i="57"/>
  <c r="R324" i="57" s="1"/>
  <c r="T324" i="57" s="1"/>
  <c r="Q323" i="57"/>
  <c r="Q320" i="57"/>
  <c r="Q318" i="57"/>
  <c r="Q316" i="57"/>
  <c r="Q315" i="57"/>
  <c r="R315" i="57" s="1"/>
  <c r="T315" i="57" s="1"/>
  <c r="Q314" i="57"/>
  <c r="Q312" i="57"/>
  <c r="Q310" i="57"/>
  <c r="R307" i="57"/>
  <c r="T307" i="57" s="1"/>
  <c r="R306" i="57"/>
  <c r="T306" i="57" s="1"/>
  <c r="Q301" i="57"/>
  <c r="R301" i="57"/>
  <c r="T301" i="57" s="1"/>
  <c r="R300" i="57"/>
  <c r="T300" i="57" s="1"/>
  <c r="S219" i="51"/>
  <c r="U219" i="51" s="1"/>
  <c r="R186" i="51"/>
  <c r="S186" i="51" s="1"/>
  <c r="U186" i="51" s="1"/>
  <c r="R179" i="51"/>
  <c r="R174" i="51"/>
  <c r="S174" i="51" s="1"/>
  <c r="U174" i="51" s="1"/>
  <c r="R162" i="51"/>
  <c r="R71" i="51"/>
  <c r="R42" i="51"/>
  <c r="R52" i="44"/>
  <c r="T52" i="44" s="1"/>
  <c r="R332" i="57"/>
  <c r="T332" i="57" s="1"/>
  <c r="R331" i="57"/>
  <c r="T331" i="57" s="1"/>
  <c r="S81" i="54"/>
  <c r="U81" i="54" s="1"/>
  <c r="R523" i="9"/>
  <c r="T523" i="9" s="1"/>
  <c r="R189" i="57"/>
  <c r="T189" i="57" s="1"/>
  <c r="Q175" i="57"/>
  <c r="R175" i="57" s="1"/>
  <c r="T175" i="57" s="1"/>
  <c r="Q179" i="57"/>
  <c r="R179" i="57" s="1"/>
  <c r="T179" i="57" s="1"/>
  <c r="Q178" i="57"/>
  <c r="R178" i="57" s="1"/>
  <c r="T178" i="57" s="1"/>
  <c r="Q176" i="57"/>
  <c r="R176" i="57" s="1"/>
  <c r="T176" i="57" s="1"/>
  <c r="Q160" i="57"/>
  <c r="R160" i="57" s="1"/>
  <c r="T160" i="57" s="1"/>
  <c r="Q156" i="57"/>
  <c r="R74" i="51"/>
  <c r="S74" i="51" s="1"/>
  <c r="U74" i="51" s="1"/>
  <c r="S73" i="51"/>
  <c r="U73" i="51" s="1"/>
  <c r="R72" i="51"/>
  <c r="S72" i="51" s="1"/>
  <c r="U72" i="51" s="1"/>
  <c r="S65" i="51"/>
  <c r="U65" i="51" s="1"/>
  <c r="R48" i="51"/>
  <c r="R45" i="51"/>
  <c r="S45" i="51" s="1"/>
  <c r="U45" i="51" s="1"/>
  <c r="R41" i="51"/>
  <c r="S41" i="51" s="1"/>
  <c r="U41" i="51" s="1"/>
  <c r="R28" i="51"/>
  <c r="R87" i="51"/>
  <c r="R66" i="51"/>
  <c r="R64" i="51"/>
  <c r="R61" i="51"/>
  <c r="S61" i="51" s="1"/>
  <c r="U61" i="51" s="1"/>
  <c r="R55" i="51"/>
  <c r="R49" i="51"/>
  <c r="R39" i="51"/>
  <c r="S39" i="51" s="1"/>
  <c r="U39" i="51" s="1"/>
  <c r="R22" i="51"/>
  <c r="S22" i="51" s="1"/>
  <c r="U22" i="51" s="1"/>
  <c r="Q60" i="9"/>
  <c r="Q296" i="57"/>
  <c r="S117" i="51"/>
  <c r="U117" i="51" s="1"/>
  <c r="R52" i="45"/>
  <c r="T52" i="45" s="1"/>
  <c r="R35" i="45"/>
  <c r="T35" i="45" s="1"/>
  <c r="R3" i="45"/>
  <c r="T3" i="45" s="1"/>
  <c r="R566" i="9"/>
  <c r="T566" i="9" s="1"/>
  <c r="R370" i="9"/>
  <c r="T370" i="9" s="1"/>
  <c r="R366" i="9"/>
  <c r="T366" i="9" s="1"/>
  <c r="R429" i="57"/>
  <c r="T429" i="57" s="1"/>
  <c r="Q426" i="57"/>
  <c r="Q418" i="57"/>
  <c r="R418" i="57" s="1"/>
  <c r="T418" i="57" s="1"/>
  <c r="Q14" i="34"/>
  <c r="R14" i="34" s="1"/>
  <c r="T14" i="34" s="1"/>
  <c r="Q12" i="34"/>
  <c r="Q2" i="24"/>
  <c r="R2" i="24" s="1"/>
  <c r="T2" i="24" s="1"/>
  <c r="S129" i="51"/>
  <c r="U129" i="51" s="1"/>
  <c r="R65" i="45"/>
  <c r="T65" i="45" s="1"/>
  <c r="G17" i="52"/>
  <c r="I17" i="52" s="1"/>
  <c r="S118" i="51"/>
  <c r="U118" i="51" s="1"/>
  <c r="Q20" i="17"/>
  <c r="Q19" i="17"/>
  <c r="R19" i="17" s="1"/>
  <c r="T19" i="17" s="1"/>
  <c r="Q16" i="17"/>
  <c r="R16" i="17" s="1"/>
  <c r="T16" i="17" s="1"/>
  <c r="Q13" i="17"/>
  <c r="R13" i="17" s="1"/>
  <c r="T13" i="17" s="1"/>
  <c r="R450" i="57"/>
  <c r="T450" i="57" s="1"/>
  <c r="Q432" i="57"/>
  <c r="R422" i="57"/>
  <c r="T422" i="57" s="1"/>
  <c r="Q11" i="34"/>
  <c r="R11" i="34" s="1"/>
  <c r="T11" i="34" s="1"/>
  <c r="R4" i="18"/>
  <c r="Q18" i="17"/>
  <c r="Q5" i="17"/>
  <c r="Q4" i="17"/>
  <c r="R4" i="17" s="1"/>
  <c r="R333" i="57"/>
  <c r="T333" i="57" s="1"/>
  <c r="R317" i="57"/>
  <c r="T317" i="57" s="1"/>
  <c r="Q311" i="57"/>
  <c r="R311" i="57" s="1"/>
  <c r="T311" i="57" s="1"/>
  <c r="Q302" i="57"/>
  <c r="R302" i="57" s="1"/>
  <c r="T302" i="57" s="1"/>
  <c r="S229" i="51"/>
  <c r="U229" i="51" s="1"/>
  <c r="S222" i="51"/>
  <c r="U222" i="51" s="1"/>
  <c r="R165" i="51"/>
  <c r="S165" i="51" s="1"/>
  <c r="U165" i="51" s="1"/>
  <c r="S152" i="51"/>
  <c r="U152" i="51" s="1"/>
  <c r="Q166" i="57"/>
  <c r="R166" i="57" s="1"/>
  <c r="T166" i="57" s="1"/>
  <c r="Q161" i="57"/>
  <c r="R161" i="57" s="1"/>
  <c r="T161" i="57" s="1"/>
  <c r="R36" i="54"/>
  <c r="S36" i="54" s="1"/>
  <c r="U36" i="54" s="1"/>
  <c r="R234" i="51"/>
  <c r="S234" i="51"/>
  <c r="U234" i="51" s="1"/>
  <c r="R104" i="51"/>
  <c r="R98" i="51"/>
  <c r="S98" i="51" s="1"/>
  <c r="U98" i="51" s="1"/>
  <c r="R81" i="44"/>
  <c r="T81" i="44" s="1"/>
  <c r="R6" i="24"/>
  <c r="T6" i="24" s="1"/>
  <c r="Q397" i="9"/>
  <c r="R397" i="9" s="1"/>
  <c r="T397" i="9" s="1"/>
  <c r="R68" i="51"/>
  <c r="S68" i="51" s="1"/>
  <c r="U68" i="51" s="1"/>
  <c r="R59" i="51"/>
  <c r="R58" i="51"/>
  <c r="S58" i="51" s="1"/>
  <c r="U58" i="51" s="1"/>
  <c r="S46" i="51"/>
  <c r="U46" i="51" s="1"/>
  <c r="R38" i="51"/>
  <c r="S38" i="51"/>
  <c r="U38" i="51" s="1"/>
  <c r="R24" i="51"/>
  <c r="R23" i="51"/>
  <c r="R20" i="51"/>
  <c r="Q51" i="44"/>
  <c r="R346" i="57"/>
  <c r="T346" i="57" s="1"/>
  <c r="S232" i="51"/>
  <c r="U232" i="51" s="1"/>
  <c r="S189" i="51"/>
  <c r="U189" i="51" s="1"/>
  <c r="Q165" i="57"/>
  <c r="R165" i="57" s="1"/>
  <c r="T165" i="57" s="1"/>
  <c r="S93" i="51"/>
  <c r="U93" i="51" s="1"/>
  <c r="R25" i="51"/>
  <c r="Q159" i="57"/>
  <c r="Q11" i="17"/>
  <c r="R11" i="17" s="1"/>
  <c r="T11" i="17" s="1"/>
  <c r="Q72" i="9"/>
  <c r="R72" i="9" s="1"/>
  <c r="T72" i="9" s="1"/>
  <c r="Q71" i="9"/>
  <c r="R71" i="9" s="1"/>
  <c r="T71" i="9" s="1"/>
  <c r="Q5" i="47"/>
  <c r="Q7" i="17"/>
  <c r="R7" i="17" s="1"/>
  <c r="T7" i="17" s="1"/>
  <c r="R42" i="30"/>
  <c r="T42" i="30" s="1"/>
  <c r="R530" i="9"/>
  <c r="T530" i="9" s="1"/>
  <c r="R529" i="9"/>
  <c r="T529" i="9" s="1"/>
  <c r="R526" i="9"/>
  <c r="T526" i="9" s="1"/>
  <c r="R516" i="9"/>
  <c r="T516" i="9" s="1"/>
  <c r="R3" i="26"/>
  <c r="R207" i="43"/>
  <c r="T207" i="43" s="1"/>
  <c r="R204" i="43"/>
  <c r="T204" i="43" s="1"/>
  <c r="R202" i="43"/>
  <c r="T202" i="43" s="1"/>
  <c r="R199" i="43"/>
  <c r="T199" i="43" s="1"/>
  <c r="R197" i="43"/>
  <c r="T197" i="43" s="1"/>
  <c r="R192" i="43"/>
  <c r="T192" i="43" s="1"/>
  <c r="R24" i="30"/>
  <c r="T24" i="30" s="1"/>
  <c r="R542" i="9"/>
  <c r="T542" i="9" s="1"/>
  <c r="R31" i="51"/>
  <c r="R560" i="9"/>
  <c r="T560" i="9" s="1"/>
  <c r="R552" i="9"/>
  <c r="T552" i="9" s="1"/>
  <c r="R510" i="9"/>
  <c r="T510" i="9" s="1"/>
  <c r="R132" i="9"/>
  <c r="T132" i="9" s="1"/>
  <c r="Q196" i="57"/>
  <c r="R196" i="57" s="1"/>
  <c r="T196" i="57" s="1"/>
  <c r="R195" i="57"/>
  <c r="T195" i="57" s="1"/>
  <c r="Q192" i="57"/>
  <c r="R192" i="57" s="1"/>
  <c r="T192" i="57" s="1"/>
  <c r="Q191" i="57"/>
  <c r="R191" i="57" s="1"/>
  <c r="T191" i="57" s="1"/>
  <c r="R190" i="57"/>
  <c r="T190" i="57" s="1"/>
  <c r="Q186" i="57"/>
  <c r="R186" i="57" s="1"/>
  <c r="T186" i="57" s="1"/>
  <c r="R184" i="57"/>
  <c r="T184" i="57" s="1"/>
  <c r="Q172" i="57"/>
  <c r="R172" i="57" s="1"/>
  <c r="T172" i="57" s="1"/>
  <c r="R171" i="57"/>
  <c r="T171" i="57" s="1"/>
  <c r="Q168" i="57"/>
  <c r="R168" i="57" s="1"/>
  <c r="T168" i="57" s="1"/>
  <c r="Q158" i="57"/>
  <c r="R158" i="57" s="1"/>
  <c r="T158" i="57" s="1"/>
  <c r="Q154" i="57"/>
  <c r="R154" i="57" s="1"/>
  <c r="T154" i="57" s="1"/>
  <c r="R153" i="57"/>
  <c r="T153" i="57" s="1"/>
  <c r="R149" i="57"/>
  <c r="T149" i="57" s="1"/>
  <c r="R69" i="51"/>
  <c r="S69" i="51" s="1"/>
  <c r="U69" i="51" s="1"/>
  <c r="R67" i="51"/>
  <c r="S67" i="51" s="1"/>
  <c r="U67" i="51" s="1"/>
  <c r="R57" i="51"/>
  <c r="S57" i="51" s="1"/>
  <c r="U57" i="51" s="1"/>
  <c r="R54" i="51"/>
  <c r="S54" i="51" s="1"/>
  <c r="U54" i="51" s="1"/>
  <c r="R50" i="51"/>
  <c r="S50" i="51" s="1"/>
  <c r="U50" i="51" s="1"/>
  <c r="R43" i="51"/>
  <c r="S43" i="51" s="1"/>
  <c r="U43" i="51" s="1"/>
  <c r="R34" i="51"/>
  <c r="Q54" i="44"/>
  <c r="R54" i="44" s="1"/>
  <c r="T54" i="44" s="1"/>
  <c r="Q10" i="14"/>
  <c r="R10" i="14" s="1"/>
  <c r="T10" i="14" s="1"/>
  <c r="Q8" i="14"/>
  <c r="Q7" i="14"/>
  <c r="R7" i="14" s="1"/>
  <c r="T7" i="14" s="1"/>
  <c r="Q6" i="14"/>
  <c r="R6" i="14"/>
  <c r="T6" i="14" s="1"/>
  <c r="Q5" i="14"/>
  <c r="R5" i="14" s="1"/>
  <c r="T5" i="14" s="1"/>
  <c r="Q4" i="14"/>
  <c r="R4" i="14" s="1"/>
  <c r="R51" i="51"/>
  <c r="S51" i="51" s="1"/>
  <c r="U51" i="51" s="1"/>
  <c r="R32" i="51"/>
  <c r="S32" i="51" s="1"/>
  <c r="U32" i="51" s="1"/>
  <c r="Q28" i="13"/>
  <c r="R27" i="13"/>
  <c r="T27" i="13" s="1"/>
  <c r="Q24" i="13"/>
  <c r="Q22" i="13"/>
  <c r="R22" i="13" s="1"/>
  <c r="T22" i="13" s="1"/>
  <c r="Q21" i="13"/>
  <c r="R21" i="13" s="1"/>
  <c r="T21" i="13" s="1"/>
  <c r="Q20" i="13"/>
  <c r="R20" i="13" s="1"/>
  <c r="T20" i="13" s="1"/>
  <c r="R18" i="13"/>
  <c r="T18" i="13" s="1"/>
  <c r="R17" i="13"/>
  <c r="T17" i="13" s="1"/>
  <c r="Q14" i="13"/>
  <c r="Q11" i="13"/>
  <c r="R11" i="13" s="1"/>
  <c r="T11" i="13" s="1"/>
  <c r="Q10" i="13"/>
  <c r="R10" i="13"/>
  <c r="T10" i="13" s="1"/>
  <c r="R9" i="13"/>
  <c r="T9" i="13" s="1"/>
  <c r="R6" i="13"/>
  <c r="T6" i="13" s="1"/>
  <c r="R341" i="9"/>
  <c r="T341" i="9" s="1"/>
  <c r="Q339" i="9"/>
  <c r="R339" i="9" s="1"/>
  <c r="T339" i="9" s="1"/>
  <c r="R333" i="9"/>
  <c r="T333" i="9" s="1"/>
  <c r="R331" i="9"/>
  <c r="T331" i="9" s="1"/>
  <c r="R101" i="51"/>
  <c r="S101" i="51" s="1"/>
  <c r="U101" i="51" s="1"/>
  <c r="Q2" i="20"/>
  <c r="R2" i="20" s="1"/>
  <c r="T2" i="20" s="1"/>
  <c r="R75" i="51"/>
  <c r="S75" i="51" s="1"/>
  <c r="U75" i="51" s="1"/>
  <c r="R60" i="51"/>
  <c r="S60" i="51" s="1"/>
  <c r="U60" i="51" s="1"/>
  <c r="R52" i="51"/>
  <c r="S52" i="51" s="1"/>
  <c r="U52" i="51" s="1"/>
  <c r="R15" i="51"/>
  <c r="S15" i="51" s="1"/>
  <c r="U15" i="51" s="1"/>
  <c r="R13" i="51"/>
  <c r="S13" i="51" s="1"/>
  <c r="U13" i="51" s="1"/>
  <c r="Q53" i="44"/>
  <c r="Q315" i="9"/>
  <c r="R11" i="57"/>
  <c r="T11" i="57" s="1"/>
  <c r="R56" i="51"/>
  <c r="S56" i="51" s="1"/>
  <c r="U56" i="51" s="1"/>
  <c r="R37" i="51"/>
  <c r="R27" i="51"/>
  <c r="S27" i="51" s="1"/>
  <c r="U27" i="51" s="1"/>
  <c r="Q4" i="35"/>
  <c r="Q42" i="34"/>
  <c r="R42" i="34" s="1"/>
  <c r="T42" i="34" s="1"/>
  <c r="Q6" i="17"/>
  <c r="R6" i="17" s="1"/>
  <c r="T6" i="17" s="1"/>
  <c r="R13" i="14"/>
  <c r="T13" i="14" s="1"/>
  <c r="R12" i="14"/>
  <c r="T12" i="14" s="1"/>
  <c r="Q11" i="14"/>
  <c r="Q35" i="34"/>
  <c r="R35" i="34"/>
  <c r="T35" i="34" s="1"/>
  <c r="Q4" i="13"/>
  <c r="R4" i="13" s="1"/>
  <c r="S128" i="51"/>
  <c r="U128" i="51" s="1"/>
  <c r="S122" i="51"/>
  <c r="U122" i="51" s="1"/>
  <c r="S120" i="51"/>
  <c r="U120" i="51" s="1"/>
  <c r="R20" i="48"/>
  <c r="T20" i="48" s="1"/>
  <c r="R6" i="48"/>
  <c r="T6" i="48" s="1"/>
  <c r="R9" i="47"/>
  <c r="T9" i="47" s="1"/>
  <c r="R10" i="45"/>
  <c r="T10" i="45" s="1"/>
  <c r="R2" i="45"/>
  <c r="T2" i="45" s="1"/>
  <c r="R46" i="30"/>
  <c r="T46" i="30" s="1"/>
  <c r="R33" i="30"/>
  <c r="T33" i="30" s="1"/>
  <c r="R3" i="12"/>
  <c r="T3" i="12" s="1"/>
  <c r="R525" i="9"/>
  <c r="T525" i="9" s="1"/>
  <c r="R480" i="9"/>
  <c r="T480" i="9" s="1"/>
  <c r="R402" i="9"/>
  <c r="T402" i="9" s="1"/>
  <c r="R380" i="9"/>
  <c r="T380" i="9" s="1"/>
  <c r="R369" i="9"/>
  <c r="T369" i="9" s="1"/>
  <c r="R9" i="48"/>
  <c r="T9" i="48" s="1"/>
  <c r="R30" i="45"/>
  <c r="T30" i="45" s="1"/>
  <c r="R55" i="30"/>
  <c r="T55" i="30" s="1"/>
  <c r="Q50" i="44"/>
  <c r="Q12" i="17"/>
  <c r="R458" i="9"/>
  <c r="T458" i="9" s="1"/>
  <c r="R456" i="9"/>
  <c r="T456" i="9" s="1"/>
  <c r="R445" i="9"/>
  <c r="T445" i="9" s="1"/>
  <c r="R440" i="9"/>
  <c r="T440" i="9" s="1"/>
  <c r="R438" i="9"/>
  <c r="T438" i="9" s="1"/>
  <c r="R436" i="9"/>
  <c r="T436" i="9" s="1"/>
  <c r="R378" i="9"/>
  <c r="T378" i="9" s="1"/>
  <c r="R57" i="44"/>
  <c r="T57" i="44" s="1"/>
  <c r="R24" i="44"/>
  <c r="T24" i="44" s="1"/>
  <c r="R15" i="44"/>
  <c r="T15" i="44" s="1"/>
  <c r="R190" i="43"/>
  <c r="T190" i="43" s="1"/>
  <c r="R4" i="16"/>
  <c r="Q5" i="15"/>
  <c r="R60" i="13"/>
  <c r="T60" i="13" s="1"/>
  <c r="R54" i="13"/>
  <c r="T54" i="13" s="1"/>
  <c r="R7" i="13"/>
  <c r="T7" i="13" s="1"/>
  <c r="R541" i="9"/>
  <c r="T541" i="9" s="1"/>
  <c r="R531" i="9"/>
  <c r="T531" i="9" s="1"/>
  <c r="R528" i="9"/>
  <c r="T528" i="9" s="1"/>
  <c r="R507" i="9"/>
  <c r="T507" i="9" s="1"/>
  <c r="R74" i="30"/>
  <c r="T74" i="30" s="1"/>
  <c r="R12" i="12"/>
  <c r="T12" i="12" s="1"/>
  <c r="R19" i="1" s="1"/>
  <c r="R557" i="9"/>
  <c r="T557" i="9" s="1"/>
  <c r="R554" i="9"/>
  <c r="T554" i="9" s="1"/>
  <c r="R545" i="9"/>
  <c r="T545" i="9" s="1"/>
  <c r="R518" i="9"/>
  <c r="T518" i="9" s="1"/>
  <c r="R6" i="45"/>
  <c r="T6" i="45" s="1"/>
  <c r="R413" i="57"/>
  <c r="T413" i="57" s="1"/>
  <c r="Q278" i="57"/>
  <c r="R112" i="57"/>
  <c r="T112" i="57" s="1"/>
  <c r="Q101" i="57"/>
  <c r="R99" i="57"/>
  <c r="T99" i="57" s="1"/>
  <c r="R98" i="57"/>
  <c r="T98" i="57" s="1"/>
  <c r="Q85" i="57"/>
  <c r="R85" i="57" s="1"/>
  <c r="T85" i="57" s="1"/>
  <c r="R81" i="57"/>
  <c r="T81" i="57" s="1"/>
  <c r="R74" i="57"/>
  <c r="T74" i="57" s="1"/>
  <c r="Q69" i="57"/>
  <c r="R69" i="57" s="1"/>
  <c r="T69" i="57" s="1"/>
  <c r="Q67" i="57"/>
  <c r="R67" i="57"/>
  <c r="T67" i="57" s="1"/>
  <c r="R59" i="57"/>
  <c r="T59" i="57" s="1"/>
  <c r="Q43" i="57"/>
  <c r="R43" i="57"/>
  <c r="T43" i="57" s="1"/>
  <c r="Q36" i="57"/>
  <c r="R36" i="57" s="1"/>
  <c r="T36" i="57" s="1"/>
  <c r="R237" i="51"/>
  <c r="R228" i="51"/>
  <c r="R227" i="51"/>
  <c r="S227" i="51"/>
  <c r="U227" i="51" s="1"/>
  <c r="R188" i="51"/>
  <c r="R140" i="51"/>
  <c r="S140" i="51"/>
  <c r="U140" i="51" s="1"/>
  <c r="R96" i="51"/>
  <c r="R83" i="51"/>
  <c r="R77" i="51"/>
  <c r="R32" i="57"/>
  <c r="T32" i="57" s="1"/>
  <c r="Q20" i="57"/>
  <c r="R20" i="57" s="1"/>
  <c r="T20" i="57" s="1"/>
  <c r="Q19" i="57"/>
  <c r="R16" i="57"/>
  <c r="T16" i="57" s="1"/>
  <c r="Q14" i="57"/>
  <c r="Q10" i="57"/>
  <c r="R10" i="57" s="1"/>
  <c r="T10" i="57" s="1"/>
  <c r="Q9" i="57"/>
  <c r="R9" i="57"/>
  <c r="T9" i="57" s="1"/>
  <c r="S44" i="51"/>
  <c r="U44" i="51" s="1"/>
  <c r="R33" i="51"/>
  <c r="S33" i="51"/>
  <c r="U33" i="51" s="1"/>
  <c r="R26" i="51"/>
  <c r="S26" i="51" s="1"/>
  <c r="U26" i="51" s="1"/>
  <c r="R17" i="51"/>
  <c r="S17" i="51" s="1"/>
  <c r="U17" i="51" s="1"/>
  <c r="R11" i="51"/>
  <c r="Q9" i="14"/>
  <c r="R9" i="14"/>
  <c r="T9" i="14" s="1"/>
  <c r="R35" i="57"/>
  <c r="T35" i="57" s="1"/>
  <c r="Q7" i="57"/>
  <c r="R47" i="51"/>
  <c r="R40" i="51"/>
  <c r="R30" i="51"/>
  <c r="S30" i="51"/>
  <c r="U30" i="51" s="1"/>
  <c r="R29" i="51"/>
  <c r="S29" i="51" s="1"/>
  <c r="U29" i="51" s="1"/>
  <c r="R14" i="51"/>
  <c r="Q5" i="35"/>
  <c r="R5" i="35"/>
  <c r="T5" i="35" s="1"/>
  <c r="R10" i="48"/>
  <c r="T10" i="48" s="1"/>
  <c r="R83" i="45"/>
  <c r="T83" i="45" s="1"/>
  <c r="R80" i="45"/>
  <c r="T80" i="45" s="1"/>
  <c r="R42" i="45"/>
  <c r="T42" i="45" s="1"/>
  <c r="R12" i="45"/>
  <c r="T12" i="45" s="1"/>
  <c r="R46" i="21"/>
  <c r="T46" i="21" s="1"/>
  <c r="R22" i="21"/>
  <c r="T22" i="21" s="1"/>
  <c r="R5" i="21"/>
  <c r="T5" i="21" s="1"/>
  <c r="R40" i="20"/>
  <c r="T40" i="20" s="1"/>
  <c r="R9" i="20"/>
  <c r="T9" i="20" s="1"/>
  <c r="R8" i="20"/>
  <c r="T8" i="20" s="1"/>
  <c r="R563" i="9"/>
  <c r="T563" i="9" s="1"/>
  <c r="R38" i="56"/>
  <c r="T38" i="56" s="1"/>
  <c r="R34" i="56"/>
  <c r="T34" i="56" s="1"/>
  <c r="R33" i="56"/>
  <c r="T33" i="56" s="1"/>
  <c r="R27" i="56"/>
  <c r="T27" i="56" s="1"/>
  <c r="R21" i="56"/>
  <c r="T21" i="56" s="1"/>
  <c r="R10" i="56"/>
  <c r="T10" i="56" s="1"/>
  <c r="Q47" i="56"/>
  <c r="S299" i="54"/>
  <c r="U299" i="54" s="1"/>
  <c r="S298" i="54"/>
  <c r="U298" i="54" s="1"/>
  <c r="S295" i="54"/>
  <c r="U295" i="54" s="1"/>
  <c r="S286" i="54"/>
  <c r="U286" i="54" s="1"/>
  <c r="S284" i="54"/>
  <c r="U284" i="54" s="1"/>
  <c r="S63" i="54"/>
  <c r="U63" i="54" s="1"/>
  <c r="R3" i="48"/>
  <c r="R32" i="21"/>
  <c r="T32" i="21" s="1"/>
  <c r="R122" i="9"/>
  <c r="T122" i="9" s="1"/>
  <c r="Q469" i="57"/>
  <c r="R469" i="57" s="1"/>
  <c r="T469" i="57" s="1"/>
  <c r="Q458" i="57"/>
  <c r="R458" i="57" s="1"/>
  <c r="T458" i="57" s="1"/>
  <c r="Q456" i="57"/>
  <c r="R456" i="57" s="1"/>
  <c r="T456" i="57" s="1"/>
  <c r="Q454" i="57"/>
  <c r="Q449" i="57"/>
  <c r="R449" i="57" s="1"/>
  <c r="T449" i="57" s="1"/>
  <c r="Q430" i="57"/>
  <c r="R430" i="57" s="1"/>
  <c r="T430" i="57" s="1"/>
  <c r="R428" i="57"/>
  <c r="T428" i="57" s="1"/>
  <c r="R420" i="57"/>
  <c r="T420" i="57" s="1"/>
  <c r="R13" i="48"/>
  <c r="T13" i="48" s="1"/>
  <c r="R62" i="45"/>
  <c r="T62" i="45" s="1"/>
  <c r="R26" i="45"/>
  <c r="T26" i="45" s="1"/>
  <c r="R21" i="45"/>
  <c r="T21" i="45" s="1"/>
  <c r="R13" i="45"/>
  <c r="T13" i="45" s="1"/>
  <c r="R8" i="45"/>
  <c r="T8" i="45" s="1"/>
  <c r="R7" i="45"/>
  <c r="T7" i="45" s="1"/>
  <c r="R76" i="30"/>
  <c r="T76" i="30" s="1"/>
  <c r="R65" i="30"/>
  <c r="T65" i="30" s="1"/>
  <c r="R44" i="30"/>
  <c r="T44" i="30" s="1"/>
  <c r="R34" i="30"/>
  <c r="T34" i="30" s="1"/>
  <c r="R15" i="30"/>
  <c r="T15" i="30" s="1"/>
  <c r="R10" i="30"/>
  <c r="T10" i="30" s="1"/>
  <c r="R3" i="30"/>
  <c r="T3" i="30" s="1"/>
  <c r="R550" i="9"/>
  <c r="T550" i="9" s="1"/>
  <c r="R546" i="9"/>
  <c r="T546" i="9" s="1"/>
  <c r="R539" i="9"/>
  <c r="T539" i="9" s="1"/>
  <c r="R538" i="9"/>
  <c r="T538" i="9" s="1"/>
  <c r="R537" i="9"/>
  <c r="T537" i="9" s="1"/>
  <c r="R520" i="9"/>
  <c r="T520" i="9" s="1"/>
  <c r="R519" i="9"/>
  <c r="T519" i="9" s="1"/>
  <c r="R515" i="9"/>
  <c r="T515" i="9" s="1"/>
  <c r="R508" i="9"/>
  <c r="T508" i="9" s="1"/>
  <c r="R470" i="9"/>
  <c r="T470" i="9" s="1"/>
  <c r="R463" i="9"/>
  <c r="T463" i="9" s="1"/>
  <c r="R449" i="9"/>
  <c r="T449" i="9" s="1"/>
  <c r="R444" i="9"/>
  <c r="T444" i="9" s="1"/>
  <c r="R433" i="9"/>
  <c r="T433" i="9" s="1"/>
  <c r="R58" i="44"/>
  <c r="T58" i="44" s="1"/>
  <c r="R56" i="44"/>
  <c r="T56" i="44" s="1"/>
  <c r="R40" i="44"/>
  <c r="T40" i="44" s="1"/>
  <c r="R37" i="44"/>
  <c r="T37" i="44" s="1"/>
  <c r="R22" i="44"/>
  <c r="T22" i="44" s="1"/>
  <c r="R19" i="44"/>
  <c r="T19" i="44" s="1"/>
  <c r="R18" i="44"/>
  <c r="T18" i="44" s="1"/>
  <c r="R17" i="44"/>
  <c r="T17" i="44" s="1"/>
  <c r="R11" i="44"/>
  <c r="T11" i="44" s="1"/>
  <c r="R10" i="44"/>
  <c r="T10" i="44" s="1"/>
  <c r="R5" i="44"/>
  <c r="T5" i="44" s="1"/>
  <c r="R2" i="44"/>
  <c r="T2" i="44" s="1"/>
  <c r="R191" i="43"/>
  <c r="T191" i="43" s="1"/>
  <c r="R496" i="9"/>
  <c r="T496" i="9" s="1"/>
  <c r="R493" i="9"/>
  <c r="T493" i="9" s="1"/>
  <c r="R467" i="9"/>
  <c r="T467" i="9" s="1"/>
  <c r="R441" i="9"/>
  <c r="T441" i="9" s="1"/>
  <c r="R434" i="9"/>
  <c r="T434" i="9" s="1"/>
  <c r="Q399" i="9"/>
  <c r="R377" i="9"/>
  <c r="T377" i="9" s="1"/>
  <c r="R374" i="9"/>
  <c r="T374" i="9" s="1"/>
  <c r="S191" i="51"/>
  <c r="U191" i="51" s="1"/>
  <c r="R58" i="45"/>
  <c r="T58" i="45" s="1"/>
  <c r="R75" i="30"/>
  <c r="T75" i="30" s="1"/>
  <c r="R18" i="30"/>
  <c r="T18" i="30" s="1"/>
  <c r="R17" i="30"/>
  <c r="T17" i="30" s="1"/>
  <c r="R561" i="9"/>
  <c r="T561" i="9" s="1"/>
  <c r="R509" i="9"/>
  <c r="T509" i="9" s="1"/>
  <c r="R474" i="9"/>
  <c r="T474" i="9" s="1"/>
  <c r="R27" i="44"/>
  <c r="T27" i="44" s="1"/>
  <c r="R12" i="44"/>
  <c r="T12" i="44" s="1"/>
  <c r="R6" i="44"/>
  <c r="T6" i="44" s="1"/>
  <c r="R381" i="9"/>
  <c r="T381" i="9" s="1"/>
  <c r="Q23" i="20"/>
  <c r="R321" i="9"/>
  <c r="T321" i="9" s="1"/>
  <c r="R31" i="9"/>
  <c r="T31" i="9" s="1"/>
  <c r="R127" i="9"/>
  <c r="T127" i="9" s="1"/>
  <c r="Q474" i="57"/>
  <c r="R474" i="57" s="1"/>
  <c r="T474" i="57" s="1"/>
  <c r="Q472" i="57"/>
  <c r="Q467" i="57"/>
  <c r="R467" i="57" s="1"/>
  <c r="T467" i="57" s="1"/>
  <c r="Q465" i="57"/>
  <c r="R465" i="57" s="1"/>
  <c r="T465" i="57" s="1"/>
  <c r="Q437" i="57"/>
  <c r="R437" i="57" s="1"/>
  <c r="T437" i="57" s="1"/>
  <c r="Q435" i="57"/>
  <c r="R435" i="57" s="1"/>
  <c r="T435" i="57" s="1"/>
  <c r="R412" i="57"/>
  <c r="T412" i="57" s="1"/>
  <c r="R409" i="57"/>
  <c r="T409" i="57" s="1"/>
  <c r="R119" i="9"/>
  <c r="T119" i="9" s="1"/>
  <c r="Q424" i="57"/>
  <c r="R424" i="57" s="1"/>
  <c r="T424" i="57" s="1"/>
  <c r="Q416" i="57"/>
  <c r="R416" i="57" s="1"/>
  <c r="T416" i="57" s="1"/>
  <c r="R427" i="57"/>
  <c r="T427" i="57" s="1"/>
  <c r="R415" i="57"/>
  <c r="T415" i="57" s="1"/>
  <c r="Q4" i="15"/>
  <c r="R4" i="15" s="1"/>
  <c r="P159" i="1"/>
  <c r="P160" i="1" s="1"/>
  <c r="G24" i="3"/>
  <c r="I154" i="1"/>
  <c r="P154" i="1"/>
  <c r="S154" i="1"/>
  <c r="I155" i="1"/>
  <c r="P155" i="1"/>
  <c r="S155" i="1"/>
  <c r="I150" i="1"/>
  <c r="P150" i="1"/>
  <c r="S150" i="1"/>
  <c r="O2" i="55"/>
  <c r="O3" i="55"/>
  <c r="O4" i="55"/>
  <c r="O5" i="55"/>
  <c r="O6" i="55"/>
  <c r="O7" i="55"/>
  <c r="O8" i="55"/>
  <c r="Q8" i="55"/>
  <c r="O9" i="55"/>
  <c r="O19" i="12"/>
  <c r="Q19" i="12"/>
  <c r="O10" i="12"/>
  <c r="O18" i="12"/>
  <c r="O7" i="33"/>
  <c r="O4" i="33"/>
  <c r="O6" i="33"/>
  <c r="R45" i="34"/>
  <c r="L2" i="33"/>
  <c r="M2" i="33" s="1"/>
  <c r="R46" i="34"/>
  <c r="L5" i="33"/>
  <c r="M5" i="33" s="1"/>
  <c r="O3" i="33"/>
  <c r="O9" i="12"/>
  <c r="O17" i="12"/>
  <c r="O8" i="12"/>
  <c r="O16" i="12"/>
  <c r="O7" i="12"/>
  <c r="O15" i="12"/>
  <c r="O6" i="12"/>
  <c r="O14" i="12"/>
  <c r="O5" i="12"/>
  <c r="O13" i="12"/>
  <c r="O4" i="12"/>
  <c r="H179" i="1"/>
  <c r="H181" i="1" s="1"/>
  <c r="H180" i="1"/>
  <c r="H182" i="1" s="1"/>
  <c r="H183" i="1"/>
  <c r="G179" i="1"/>
  <c r="G181" i="1" s="1"/>
  <c r="G180" i="1"/>
  <c r="G182" i="1" s="1"/>
  <c r="G183" i="1"/>
  <c r="F16" i="2"/>
  <c r="F17" i="2"/>
  <c r="F25" i="2" s="1"/>
  <c r="F18" i="2"/>
  <c r="F26" i="2" s="1"/>
  <c r="F19" i="2"/>
  <c r="F27" i="2" s="1"/>
  <c r="F22" i="2"/>
  <c r="K16" i="2"/>
  <c r="K17" i="2"/>
  <c r="K25" i="2" s="1"/>
  <c r="K18" i="2"/>
  <c r="K26" i="2" s="1"/>
  <c r="K19" i="2"/>
  <c r="K27" i="2" s="1"/>
  <c r="K22" i="2"/>
  <c r="S18" i="1"/>
  <c r="T3" i="22"/>
  <c r="O11" i="52"/>
  <c r="N12" i="52"/>
  <c r="G11" i="52"/>
  <c r="F12" i="52"/>
  <c r="J14" i="2"/>
  <c r="E14" i="2"/>
  <c r="F178" i="1"/>
  <c r="F175" i="1"/>
  <c r="I14" i="2"/>
  <c r="D14" i="2"/>
  <c r="E178" i="1"/>
  <c r="E175" i="1"/>
  <c r="H75" i="7"/>
  <c r="M75" i="7"/>
  <c r="S230" i="51"/>
  <c r="U230" i="51" s="1"/>
  <c r="R206" i="51"/>
  <c r="S206" i="51" s="1"/>
  <c r="U206" i="51" s="1"/>
  <c r="R143" i="51"/>
  <c r="S143" i="51" s="1"/>
  <c r="U143" i="51" s="1"/>
  <c r="R102" i="51"/>
  <c r="S102" i="51" s="1"/>
  <c r="U102" i="51" s="1"/>
  <c r="R94" i="51"/>
  <c r="R573" i="9"/>
  <c r="T573" i="9" s="1"/>
  <c r="R31" i="56"/>
  <c r="T31" i="56" s="1"/>
  <c r="R18" i="56"/>
  <c r="T18" i="56" s="1"/>
  <c r="R13" i="56"/>
  <c r="T13" i="56" s="1"/>
  <c r="S297" i="54"/>
  <c r="U297" i="54" s="1"/>
  <c r="S296" i="54"/>
  <c r="U296" i="54" s="1"/>
  <c r="S292" i="54"/>
  <c r="U292" i="54" s="1"/>
  <c r="R368" i="9"/>
  <c r="T368" i="9" s="1"/>
  <c r="S78" i="54"/>
  <c r="U78" i="54" s="1"/>
  <c r="S245" i="51"/>
  <c r="U245" i="51" s="1"/>
  <c r="R220" i="51"/>
  <c r="R210" i="51"/>
  <c r="S201" i="51"/>
  <c r="U201" i="51" s="1"/>
  <c r="S172" i="51"/>
  <c r="U172" i="51" s="1"/>
  <c r="R161" i="51"/>
  <c r="R157" i="51"/>
  <c r="S157" i="51" s="1"/>
  <c r="U157" i="51" s="1"/>
  <c r="R142" i="51"/>
  <c r="S142" i="51" s="1"/>
  <c r="U142" i="51" s="1"/>
  <c r="R139" i="51"/>
  <c r="S139" i="51" s="1"/>
  <c r="U139" i="51" s="1"/>
  <c r="R107" i="51"/>
  <c r="S107" i="51" s="1"/>
  <c r="U107" i="51" s="1"/>
  <c r="R92" i="51"/>
  <c r="S92" i="51" s="1"/>
  <c r="U92" i="51" s="1"/>
  <c r="R86" i="51"/>
  <c r="S86" i="51" s="1"/>
  <c r="U86" i="51" s="1"/>
  <c r="Q80" i="44"/>
  <c r="Q2" i="31"/>
  <c r="R243" i="51"/>
  <c r="S243" i="51" s="1"/>
  <c r="U243" i="51" s="1"/>
  <c r="R241" i="51"/>
  <c r="S241" i="51" s="1"/>
  <c r="U241" i="51" s="1"/>
  <c r="S238" i="51"/>
  <c r="U238" i="51" s="1"/>
  <c r="R202" i="51"/>
  <c r="S202" i="51" s="1"/>
  <c r="U202" i="51" s="1"/>
  <c r="R183" i="51"/>
  <c r="R175" i="51"/>
  <c r="R169" i="51"/>
  <c r="S169" i="51" s="1"/>
  <c r="U169" i="51" s="1"/>
  <c r="R79" i="51"/>
  <c r="Q6" i="47"/>
  <c r="R6" i="47" s="1"/>
  <c r="T6" i="47" s="1"/>
  <c r="Q5" i="18"/>
  <c r="R5" i="18" s="1"/>
  <c r="T5" i="18" s="1"/>
  <c r="R16" i="51"/>
  <c r="S16" i="51" s="1"/>
  <c r="U16" i="51" s="1"/>
  <c r="R216" i="51"/>
  <c r="S216" i="51" s="1"/>
  <c r="U216" i="51" s="1"/>
  <c r="R212" i="51"/>
  <c r="S212" i="51"/>
  <c r="U212" i="51" s="1"/>
  <c r="R207" i="51"/>
  <c r="S207" i="51"/>
  <c r="U207" i="51" s="1"/>
  <c r="R195" i="51"/>
  <c r="S195" i="51" s="1"/>
  <c r="U195" i="51" s="1"/>
  <c r="R194" i="51"/>
  <c r="S194" i="51" s="1"/>
  <c r="U194" i="51" s="1"/>
  <c r="R192" i="51"/>
  <c r="S192" i="51" s="1"/>
  <c r="U192" i="51" s="1"/>
  <c r="S171" i="51"/>
  <c r="U171" i="51" s="1"/>
  <c r="S156" i="51"/>
  <c r="U156" i="51" s="1"/>
  <c r="R153" i="51"/>
  <c r="S153" i="51" s="1"/>
  <c r="U153" i="51" s="1"/>
  <c r="R147" i="51"/>
  <c r="S147" i="51" s="1"/>
  <c r="U147" i="51" s="1"/>
  <c r="R145" i="51"/>
  <c r="R113" i="51"/>
  <c r="S113" i="51" s="1"/>
  <c r="U113" i="51" s="1"/>
  <c r="R80" i="51"/>
  <c r="R78" i="51"/>
  <c r="S78" i="51" s="1"/>
  <c r="U78" i="51" s="1"/>
  <c r="R25" i="20"/>
  <c r="T25" i="20" s="1"/>
  <c r="R240" i="51"/>
  <c r="S240" i="51" s="1"/>
  <c r="U240" i="51" s="1"/>
  <c r="R200" i="51"/>
  <c r="R182" i="51"/>
  <c r="S182" i="51" s="1"/>
  <c r="U182" i="51" s="1"/>
  <c r="R181" i="51"/>
  <c r="R146" i="51"/>
  <c r="R112" i="51"/>
  <c r="S112" i="51" s="1"/>
  <c r="U112" i="51" s="1"/>
  <c r="R109" i="51"/>
  <c r="R109" i="45"/>
  <c r="T109" i="45" s="1"/>
  <c r="R106" i="45"/>
  <c r="T106" i="45" s="1"/>
  <c r="R95" i="45"/>
  <c r="T95" i="45" s="1"/>
  <c r="R93" i="45"/>
  <c r="T93" i="45" s="1"/>
  <c r="R86" i="45"/>
  <c r="T86" i="45" s="1"/>
  <c r="R69" i="45"/>
  <c r="T69" i="45" s="1"/>
  <c r="R36" i="21"/>
  <c r="T36" i="21" s="1"/>
  <c r="R34" i="21"/>
  <c r="T34" i="21" s="1"/>
  <c r="R32" i="20"/>
  <c r="T32" i="20" s="1"/>
  <c r="R21" i="20"/>
  <c r="T21" i="20" s="1"/>
  <c r="R37" i="56"/>
  <c r="T37" i="56" s="1"/>
  <c r="R36" i="56"/>
  <c r="T36" i="56" s="1"/>
  <c r="R35" i="56"/>
  <c r="T35" i="56" s="1"/>
  <c r="R25" i="56"/>
  <c r="T25" i="56" s="1"/>
  <c r="R22" i="56"/>
  <c r="T22" i="56" s="1"/>
  <c r="R17" i="56"/>
  <c r="T17" i="56" s="1"/>
  <c r="R3" i="56"/>
  <c r="S59" i="54"/>
  <c r="U59" i="54" s="1"/>
  <c r="S57" i="54"/>
  <c r="U57" i="54" s="1"/>
  <c r="S89" i="51"/>
  <c r="U89" i="51" s="1"/>
  <c r="R398" i="9"/>
  <c r="T398" i="9" s="1"/>
  <c r="I20" i="52"/>
  <c r="R214" i="51"/>
  <c r="R199" i="51"/>
  <c r="R173" i="51"/>
  <c r="S168" i="51"/>
  <c r="U168" i="51" s="1"/>
  <c r="S160" i="51"/>
  <c r="U160" i="51" s="1"/>
  <c r="S154" i="51"/>
  <c r="U154" i="51" s="1"/>
  <c r="R148" i="51"/>
  <c r="R105" i="51"/>
  <c r="R97" i="51"/>
  <c r="R81" i="51"/>
  <c r="Q2" i="29"/>
  <c r="R19" i="51"/>
  <c r="S19" i="51"/>
  <c r="U19" i="51" s="1"/>
  <c r="R18" i="51"/>
  <c r="S18" i="51" s="1"/>
  <c r="U18" i="51" s="1"/>
  <c r="R12" i="51"/>
  <c r="S12" i="51" s="1"/>
  <c r="U12" i="51" s="1"/>
  <c r="Q3" i="29"/>
  <c r="R3" i="29" s="1"/>
  <c r="T3" i="29" s="1"/>
  <c r="Q7" i="35"/>
  <c r="R7" i="35" s="1"/>
  <c r="T7" i="35" s="1"/>
  <c r="Q21" i="34"/>
  <c r="Q18" i="34"/>
  <c r="R18" i="34" s="1"/>
  <c r="T18" i="34" s="1"/>
  <c r="Q13" i="34"/>
  <c r="R13" i="34"/>
  <c r="T13" i="34" s="1"/>
  <c r="Q8" i="34"/>
  <c r="R8" i="34" s="1"/>
  <c r="T8" i="34" s="1"/>
  <c r="Q4" i="34"/>
  <c r="R4" i="34"/>
  <c r="R34" i="13"/>
  <c r="T34" i="13" s="1"/>
  <c r="R400" i="9"/>
  <c r="T400" i="9" s="1"/>
  <c r="R3" i="65"/>
  <c r="T3" i="65" s="1"/>
  <c r="R2" i="65"/>
  <c r="T2" i="65" s="1"/>
  <c r="R5" i="59"/>
  <c r="T5" i="59" s="1"/>
  <c r="R4" i="59"/>
  <c r="T4" i="59" s="1"/>
  <c r="R3" i="59"/>
  <c r="T3" i="59" s="1"/>
  <c r="R2" i="59"/>
  <c r="T2" i="59" s="1"/>
  <c r="R303" i="57"/>
  <c r="T303" i="57" s="1"/>
  <c r="S163" i="51"/>
  <c r="U163" i="51" s="1"/>
  <c r="R8" i="46"/>
  <c r="T8" i="46" s="1"/>
  <c r="R2" i="46"/>
  <c r="T2" i="46" s="1"/>
  <c r="R110" i="45"/>
  <c r="T110" i="45" s="1"/>
  <c r="R102" i="45"/>
  <c r="T102" i="45" s="1"/>
  <c r="R96" i="45"/>
  <c r="T96" i="45" s="1"/>
  <c r="R288" i="57"/>
  <c r="T288" i="57" s="1"/>
  <c r="R273" i="57"/>
  <c r="T273" i="57" s="1"/>
  <c r="R5" i="23"/>
  <c r="T5" i="23" s="1"/>
  <c r="R4" i="23"/>
  <c r="T4" i="23" s="1"/>
  <c r="R24" i="21"/>
  <c r="T24" i="21" s="1"/>
  <c r="R7" i="21"/>
  <c r="T7" i="21" s="1"/>
  <c r="R3" i="21"/>
  <c r="R12" i="20"/>
  <c r="T12" i="20" s="1"/>
  <c r="R6" i="11"/>
  <c r="T6" i="11" s="1"/>
  <c r="R562" i="9"/>
  <c r="T562" i="9" s="1"/>
  <c r="R20" i="56"/>
  <c r="T20" i="56" s="1"/>
  <c r="R15" i="56"/>
  <c r="T15" i="56" s="1"/>
  <c r="R12" i="56"/>
  <c r="T12" i="56" s="1"/>
  <c r="S285" i="54"/>
  <c r="U285" i="54" s="1"/>
  <c r="S283" i="54"/>
  <c r="U283" i="54" s="1"/>
  <c r="R415" i="9"/>
  <c r="T415" i="9" s="1"/>
  <c r="R376" i="9"/>
  <c r="T376" i="9" s="1"/>
  <c r="R42" i="57"/>
  <c r="T42" i="57" s="1"/>
  <c r="S77" i="54"/>
  <c r="U77" i="54" s="1"/>
  <c r="S68" i="54"/>
  <c r="U68" i="54" s="1"/>
  <c r="S60" i="54"/>
  <c r="U60" i="54" s="1"/>
  <c r="S56" i="54"/>
  <c r="U56" i="54" s="1"/>
  <c r="R15" i="21"/>
  <c r="T15" i="21" s="1"/>
  <c r="R13" i="21"/>
  <c r="T13" i="21" s="1"/>
  <c r="R11" i="21"/>
  <c r="T11" i="21" s="1"/>
  <c r="R9" i="21"/>
  <c r="T9" i="21" s="1"/>
  <c r="R33" i="20"/>
  <c r="T33" i="20" s="1"/>
  <c r="R30" i="20"/>
  <c r="T30" i="20" s="1"/>
  <c r="R29" i="20"/>
  <c r="T29" i="20" s="1"/>
  <c r="R17" i="20"/>
  <c r="T17" i="20" s="1"/>
  <c r="R16" i="20"/>
  <c r="T16" i="20" s="1"/>
  <c r="R15" i="20"/>
  <c r="T15" i="20" s="1"/>
  <c r="R14" i="20"/>
  <c r="T14" i="20" s="1"/>
  <c r="R13" i="20"/>
  <c r="T13" i="20" s="1"/>
  <c r="R11" i="20"/>
  <c r="T11" i="20" s="1"/>
  <c r="R10" i="20"/>
  <c r="T10" i="20" s="1"/>
  <c r="R7" i="20"/>
  <c r="T7" i="20" s="1"/>
  <c r="R27" i="57"/>
  <c r="T27" i="57" s="1"/>
  <c r="R12" i="57"/>
  <c r="T12" i="57" s="1"/>
  <c r="R46" i="56"/>
  <c r="T46" i="56" s="1"/>
  <c r="R45" i="56"/>
  <c r="T45" i="56" s="1"/>
  <c r="R42" i="56"/>
  <c r="T42" i="56" s="1"/>
  <c r="R41" i="56"/>
  <c r="T41" i="56" s="1"/>
  <c r="R40" i="56"/>
  <c r="T40" i="56" s="1"/>
  <c r="R39" i="56"/>
  <c r="T39" i="56" s="1"/>
  <c r="R32" i="56"/>
  <c r="T32" i="56" s="1"/>
  <c r="R30" i="56"/>
  <c r="T30" i="56" s="1"/>
  <c r="R29" i="56"/>
  <c r="T29" i="56" s="1"/>
  <c r="R28" i="56"/>
  <c r="T28" i="56" s="1"/>
  <c r="R26" i="56"/>
  <c r="T26" i="56" s="1"/>
  <c r="R24" i="56"/>
  <c r="T24" i="56" s="1"/>
  <c r="R23" i="56"/>
  <c r="T23" i="56" s="1"/>
  <c r="R19" i="56"/>
  <c r="T19" i="56" s="1"/>
  <c r="R16" i="56"/>
  <c r="T16" i="56" s="1"/>
  <c r="R14" i="56"/>
  <c r="T14" i="56" s="1"/>
  <c r="R11" i="56"/>
  <c r="T11" i="56" s="1"/>
  <c r="R8" i="56"/>
  <c r="T8" i="56" s="1"/>
  <c r="R7" i="56"/>
  <c r="T7" i="56" s="1"/>
  <c r="R6" i="56"/>
  <c r="T6" i="56" s="1"/>
  <c r="R5" i="56"/>
  <c r="T5" i="56" s="1"/>
  <c r="R4" i="56"/>
  <c r="T4" i="56" s="1"/>
  <c r="S293" i="54"/>
  <c r="U293" i="54" s="1"/>
  <c r="S291" i="54"/>
  <c r="U291" i="54" s="1"/>
  <c r="S290" i="54"/>
  <c r="U290" i="54" s="1"/>
  <c r="S289" i="54"/>
  <c r="U289" i="54" s="1"/>
  <c r="R367" i="9"/>
  <c r="T367" i="9" s="1"/>
  <c r="S282" i="54"/>
  <c r="U282" i="54" s="1"/>
  <c r="S281" i="54"/>
  <c r="U281" i="54" s="1"/>
  <c r="S280" i="54"/>
  <c r="U280" i="54" s="1"/>
  <c r="S279" i="54"/>
  <c r="U279" i="54" s="1"/>
  <c r="S278" i="54"/>
  <c r="U278" i="54" s="1"/>
  <c r="S277" i="54"/>
  <c r="U277" i="54" s="1"/>
  <c r="S276" i="54"/>
  <c r="U276" i="54" s="1"/>
  <c r="S275" i="54"/>
  <c r="U275" i="54" s="1"/>
  <c r="S274" i="54"/>
  <c r="U274" i="54" s="1"/>
  <c r="S273" i="54"/>
  <c r="U273" i="54" s="1"/>
  <c r="S272" i="54"/>
  <c r="U272" i="54" s="1"/>
  <c r="S271" i="54"/>
  <c r="U271" i="54" s="1"/>
  <c r="S270" i="54"/>
  <c r="U270" i="54" s="1"/>
  <c r="S269" i="54"/>
  <c r="U269" i="54" s="1"/>
  <c r="S268" i="54"/>
  <c r="U268" i="54" s="1"/>
  <c r="S267" i="54"/>
  <c r="U267" i="54" s="1"/>
  <c r="S266" i="54"/>
  <c r="U266" i="54" s="1"/>
  <c r="S265" i="54"/>
  <c r="U265" i="54" s="1"/>
  <c r="S264" i="54"/>
  <c r="U264" i="54" s="1"/>
  <c r="S263" i="54"/>
  <c r="U263" i="54" s="1"/>
  <c r="S262" i="54"/>
  <c r="U262" i="54" s="1"/>
  <c r="S261" i="54"/>
  <c r="U261" i="54" s="1"/>
  <c r="S260" i="54"/>
  <c r="U260" i="54" s="1"/>
  <c r="S259" i="54"/>
  <c r="U259" i="54" s="1"/>
  <c r="S258" i="54"/>
  <c r="U258" i="54" s="1"/>
  <c r="S256" i="54"/>
  <c r="U256" i="54" s="1"/>
  <c r="S255" i="54"/>
  <c r="U255" i="54" s="1"/>
  <c r="S254" i="54"/>
  <c r="U254" i="54" s="1"/>
  <c r="S253" i="54"/>
  <c r="U253" i="54" s="1"/>
  <c r="S252" i="54"/>
  <c r="U252" i="54" s="1"/>
  <c r="S251" i="54"/>
  <c r="U251" i="54" s="1"/>
  <c r="S250" i="54"/>
  <c r="U250" i="54" s="1"/>
  <c r="S249" i="54"/>
  <c r="U249" i="54" s="1"/>
  <c r="S248" i="54"/>
  <c r="U248" i="54" s="1"/>
  <c r="S247" i="54"/>
  <c r="U247" i="54" s="1"/>
  <c r="S246" i="54"/>
  <c r="U246" i="54" s="1"/>
  <c r="S245" i="54"/>
  <c r="U245" i="54" s="1"/>
  <c r="S244" i="54"/>
  <c r="U244" i="54" s="1"/>
  <c r="S243" i="54"/>
  <c r="U243" i="54" s="1"/>
  <c r="S242" i="54"/>
  <c r="U242" i="54" s="1"/>
  <c r="S241" i="54"/>
  <c r="U241" i="54" s="1"/>
  <c r="S240" i="54"/>
  <c r="U240" i="54" s="1"/>
  <c r="S239" i="54"/>
  <c r="U239" i="54" s="1"/>
  <c r="S238" i="54"/>
  <c r="U238" i="54" s="1"/>
  <c r="S237" i="54"/>
  <c r="U237" i="54" s="1"/>
  <c r="S236" i="54"/>
  <c r="U236" i="54" s="1"/>
  <c r="S235" i="54"/>
  <c r="U235" i="54" s="1"/>
  <c r="S234" i="54"/>
  <c r="U234" i="54" s="1"/>
  <c r="S233" i="54"/>
  <c r="U233" i="54" s="1"/>
  <c r="S232" i="54"/>
  <c r="U232" i="54" s="1"/>
  <c r="S231" i="54"/>
  <c r="U231" i="54" s="1"/>
  <c r="S230" i="54"/>
  <c r="U230" i="54" s="1"/>
  <c r="S229" i="54"/>
  <c r="U229" i="54" s="1"/>
  <c r="S228" i="54"/>
  <c r="U228" i="54" s="1"/>
  <c r="S227" i="54"/>
  <c r="U227" i="54" s="1"/>
  <c r="S226" i="54"/>
  <c r="U226" i="54" s="1"/>
  <c r="S225" i="54"/>
  <c r="U225" i="54" s="1"/>
  <c r="S224" i="54"/>
  <c r="U224" i="54" s="1"/>
  <c r="S223" i="54"/>
  <c r="U223" i="54" s="1"/>
  <c r="S222" i="54"/>
  <c r="U222" i="54" s="1"/>
  <c r="S221" i="54"/>
  <c r="U221" i="54" s="1"/>
  <c r="S220" i="54"/>
  <c r="U220" i="54" s="1"/>
  <c r="S219" i="54"/>
  <c r="U219" i="54" s="1"/>
  <c r="S218" i="54"/>
  <c r="U218" i="54" s="1"/>
  <c r="S217" i="54"/>
  <c r="U217" i="54" s="1"/>
  <c r="S216" i="54"/>
  <c r="U216" i="54" s="1"/>
  <c r="S214" i="54"/>
  <c r="U214" i="54" s="1"/>
  <c r="S213" i="54"/>
  <c r="U213" i="54" s="1"/>
  <c r="S212" i="54"/>
  <c r="U212" i="54" s="1"/>
  <c r="S211" i="54"/>
  <c r="U211" i="54" s="1"/>
  <c r="S210" i="54"/>
  <c r="U210" i="54" s="1"/>
  <c r="S209" i="54"/>
  <c r="U209" i="54" s="1"/>
  <c r="S208" i="54"/>
  <c r="U208" i="54" s="1"/>
  <c r="S207" i="54"/>
  <c r="U207" i="54" s="1"/>
  <c r="S206" i="54"/>
  <c r="U206" i="54" s="1"/>
  <c r="S205" i="54"/>
  <c r="U205" i="54" s="1"/>
  <c r="S204" i="54"/>
  <c r="U204" i="54" s="1"/>
  <c r="S203" i="54"/>
  <c r="U203" i="54" s="1"/>
  <c r="S202" i="54"/>
  <c r="U202" i="54" s="1"/>
  <c r="S201" i="54"/>
  <c r="U201" i="54" s="1"/>
  <c r="S200" i="54"/>
  <c r="U200" i="54" s="1"/>
  <c r="S199" i="54"/>
  <c r="U199" i="54" s="1"/>
  <c r="S198" i="54"/>
  <c r="U198" i="54" s="1"/>
  <c r="S197" i="54"/>
  <c r="U197" i="54" s="1"/>
  <c r="S196" i="54"/>
  <c r="U196" i="54" s="1"/>
  <c r="S195" i="54"/>
  <c r="U195" i="54" s="1"/>
  <c r="S194" i="54"/>
  <c r="U194" i="54" s="1"/>
  <c r="S193" i="54"/>
  <c r="U193" i="54" s="1"/>
  <c r="S192" i="54"/>
  <c r="U192" i="54" s="1"/>
  <c r="S191" i="54"/>
  <c r="U191" i="54" s="1"/>
  <c r="S190" i="54"/>
  <c r="U190" i="54" s="1"/>
  <c r="S189" i="54"/>
  <c r="U189" i="54" s="1"/>
  <c r="S188" i="54"/>
  <c r="U188" i="54" s="1"/>
  <c r="S187" i="54"/>
  <c r="U187" i="54" s="1"/>
  <c r="S186" i="54"/>
  <c r="U186" i="54" s="1"/>
  <c r="S185" i="54"/>
  <c r="U185" i="54" s="1"/>
  <c r="S184" i="54"/>
  <c r="U184" i="54" s="1"/>
  <c r="S183" i="54"/>
  <c r="U183" i="54" s="1"/>
  <c r="S182" i="54"/>
  <c r="U182" i="54" s="1"/>
  <c r="S181" i="54"/>
  <c r="U181" i="54" s="1"/>
  <c r="S179" i="54"/>
  <c r="U179" i="54" s="1"/>
  <c r="S178" i="54"/>
  <c r="U178" i="54" s="1"/>
  <c r="S177" i="54"/>
  <c r="U177" i="54" s="1"/>
  <c r="S176" i="54"/>
  <c r="U176" i="54" s="1"/>
  <c r="S175" i="54"/>
  <c r="U175" i="54" s="1"/>
  <c r="S174" i="54"/>
  <c r="U174" i="54" s="1"/>
  <c r="S173" i="54"/>
  <c r="U173" i="54" s="1"/>
  <c r="S172" i="54"/>
  <c r="U172" i="54" s="1"/>
  <c r="S171" i="54"/>
  <c r="U171" i="54" s="1"/>
  <c r="S170" i="54"/>
  <c r="U170" i="54" s="1"/>
  <c r="S169" i="54"/>
  <c r="U169" i="54" s="1"/>
  <c r="S168" i="54"/>
  <c r="U168" i="54" s="1"/>
  <c r="S167" i="54"/>
  <c r="U167" i="54" s="1"/>
  <c r="S166" i="54"/>
  <c r="U166" i="54" s="1"/>
  <c r="S165" i="54"/>
  <c r="U165" i="54" s="1"/>
  <c r="S164" i="54"/>
  <c r="U164" i="54" s="1"/>
  <c r="S163" i="54"/>
  <c r="U163" i="54" s="1"/>
  <c r="S162" i="54"/>
  <c r="U162" i="54" s="1"/>
  <c r="S161" i="54"/>
  <c r="U161" i="54" s="1"/>
  <c r="S160" i="54"/>
  <c r="U160" i="54" s="1"/>
  <c r="S159" i="54"/>
  <c r="U159" i="54" s="1"/>
  <c r="S158" i="54"/>
  <c r="U158" i="54" s="1"/>
  <c r="S157" i="54"/>
  <c r="U157" i="54" s="1"/>
  <c r="S156" i="54"/>
  <c r="U156" i="54" s="1"/>
  <c r="S155" i="54"/>
  <c r="U155" i="54" s="1"/>
  <c r="S154" i="54"/>
  <c r="U154" i="54" s="1"/>
  <c r="S153" i="54"/>
  <c r="U153" i="54" s="1"/>
  <c r="S152" i="54"/>
  <c r="U152" i="54" s="1"/>
  <c r="S151" i="54"/>
  <c r="U151" i="54" s="1"/>
  <c r="S150" i="54"/>
  <c r="U150" i="54" s="1"/>
  <c r="S149" i="54"/>
  <c r="U149" i="54" s="1"/>
  <c r="S148" i="54"/>
  <c r="U148" i="54" s="1"/>
  <c r="S147" i="54"/>
  <c r="U147" i="54" s="1"/>
  <c r="S146" i="54"/>
  <c r="U146" i="54" s="1"/>
  <c r="S144" i="54"/>
  <c r="U144" i="54" s="1"/>
  <c r="S143" i="54"/>
  <c r="U143" i="54" s="1"/>
  <c r="S142" i="54"/>
  <c r="U142" i="54" s="1"/>
  <c r="S141" i="54"/>
  <c r="U141" i="54" s="1"/>
  <c r="S140" i="54"/>
  <c r="U140" i="54" s="1"/>
  <c r="S139" i="54"/>
  <c r="U139" i="54" s="1"/>
  <c r="S138" i="54"/>
  <c r="U138" i="54" s="1"/>
  <c r="S137" i="54"/>
  <c r="U137" i="54" s="1"/>
  <c r="S136" i="54"/>
  <c r="U136" i="54" s="1"/>
  <c r="S135" i="54"/>
  <c r="U135" i="54" s="1"/>
  <c r="S134" i="54"/>
  <c r="U134" i="54" s="1"/>
  <c r="S133" i="54"/>
  <c r="U133" i="54" s="1"/>
  <c r="S132" i="54"/>
  <c r="U132" i="54" s="1"/>
  <c r="S131" i="54"/>
  <c r="U131" i="54" s="1"/>
  <c r="S130" i="54"/>
  <c r="U130" i="54" s="1"/>
  <c r="S129" i="54"/>
  <c r="U129" i="54" s="1"/>
  <c r="S128" i="54"/>
  <c r="U128" i="54" s="1"/>
  <c r="S127" i="54"/>
  <c r="U127" i="54" s="1"/>
  <c r="S126" i="54"/>
  <c r="U126" i="54" s="1"/>
  <c r="S125" i="54"/>
  <c r="U125" i="54" s="1"/>
  <c r="S124" i="54"/>
  <c r="U124" i="54" s="1"/>
  <c r="S123" i="54"/>
  <c r="U123" i="54" s="1"/>
  <c r="S122" i="54"/>
  <c r="U122" i="54" s="1"/>
  <c r="S121" i="54"/>
  <c r="U121" i="54" s="1"/>
  <c r="S120" i="54"/>
  <c r="U120" i="54" s="1"/>
  <c r="S119" i="54"/>
  <c r="U119" i="54" s="1"/>
  <c r="S118" i="54"/>
  <c r="U118" i="54" s="1"/>
  <c r="S117" i="54"/>
  <c r="U117" i="54" s="1"/>
  <c r="S116" i="54"/>
  <c r="U116" i="54" s="1"/>
  <c r="S115" i="54"/>
  <c r="U115" i="54" s="1"/>
  <c r="S114" i="54"/>
  <c r="U114" i="54" s="1"/>
  <c r="S113" i="54"/>
  <c r="U113" i="54" s="1"/>
  <c r="S112" i="54"/>
  <c r="U112" i="54" s="1"/>
  <c r="S111" i="54"/>
  <c r="U111" i="54" s="1"/>
  <c r="S110" i="54"/>
  <c r="U110" i="54" s="1"/>
  <c r="S109" i="54"/>
  <c r="U109" i="54" s="1"/>
  <c r="S107" i="54"/>
  <c r="U107" i="54" s="1"/>
  <c r="S106" i="54"/>
  <c r="U106" i="54" s="1"/>
  <c r="S105" i="54"/>
  <c r="U105" i="54" s="1"/>
  <c r="S104" i="54"/>
  <c r="U104" i="54" s="1"/>
  <c r="S103" i="54"/>
  <c r="U103" i="54" s="1"/>
  <c r="S102" i="54"/>
  <c r="U102" i="54" s="1"/>
  <c r="S101" i="54"/>
  <c r="U101" i="54" s="1"/>
  <c r="S100" i="54"/>
  <c r="U100" i="54" s="1"/>
  <c r="S99" i="54"/>
  <c r="U99" i="54" s="1"/>
  <c r="S98" i="54"/>
  <c r="U98" i="54" s="1"/>
  <c r="S97" i="54"/>
  <c r="U97" i="54" s="1"/>
  <c r="S96" i="54"/>
  <c r="U96" i="54" s="1"/>
  <c r="S95" i="54"/>
  <c r="U95" i="54" s="1"/>
  <c r="S94" i="54"/>
  <c r="U94" i="54" s="1"/>
  <c r="S93" i="54"/>
  <c r="U93" i="54" s="1"/>
  <c r="S92" i="54"/>
  <c r="U92" i="54" s="1"/>
  <c r="S91" i="54"/>
  <c r="U91" i="54" s="1"/>
  <c r="S90" i="54"/>
  <c r="U90" i="54" s="1"/>
  <c r="S89" i="54"/>
  <c r="U89" i="54" s="1"/>
  <c r="S88" i="54"/>
  <c r="U88" i="54" s="1"/>
  <c r="S87" i="54"/>
  <c r="U87" i="54" s="1"/>
  <c r="S86" i="54"/>
  <c r="U86" i="54" s="1"/>
  <c r="S85" i="54"/>
  <c r="U85" i="54" s="1"/>
  <c r="S84" i="54"/>
  <c r="U84" i="54" s="1"/>
  <c r="S83" i="54"/>
  <c r="U83" i="54" s="1"/>
  <c r="S82" i="54"/>
  <c r="U82" i="54" s="1"/>
  <c r="S79" i="54"/>
  <c r="U79" i="54" s="1"/>
  <c r="S76" i="54"/>
  <c r="U76" i="54" s="1"/>
  <c r="S75" i="54"/>
  <c r="U75" i="54" s="1"/>
  <c r="S73" i="54"/>
  <c r="U73" i="54" s="1"/>
  <c r="S72" i="54"/>
  <c r="U72" i="54" s="1"/>
  <c r="S69" i="54"/>
  <c r="U69" i="54" s="1"/>
  <c r="S66" i="54"/>
  <c r="U66" i="54" s="1"/>
  <c r="S65" i="54"/>
  <c r="U65" i="54" s="1"/>
  <c r="S62" i="54"/>
  <c r="U62" i="54" s="1"/>
  <c r="S61" i="54"/>
  <c r="U61" i="54" s="1"/>
  <c r="S58" i="54"/>
  <c r="U58" i="54" s="1"/>
  <c r="S55" i="54"/>
  <c r="U55" i="54" s="1"/>
  <c r="S54" i="54"/>
  <c r="U54" i="54" s="1"/>
  <c r="S53" i="54"/>
  <c r="U53" i="54" s="1"/>
  <c r="S51" i="54"/>
  <c r="U51" i="54" s="1"/>
  <c r="S50" i="54"/>
  <c r="U50" i="54" s="1"/>
  <c r="S49" i="54"/>
  <c r="U49" i="54" s="1"/>
  <c r="S48" i="54"/>
  <c r="U48" i="54" s="1"/>
  <c r="S250" i="51"/>
  <c r="U250" i="51" s="1"/>
  <c r="S249" i="51"/>
  <c r="U249" i="51" s="1"/>
  <c r="S217" i="51"/>
  <c r="U217" i="51" s="1"/>
  <c r="S164" i="51"/>
  <c r="U164" i="51" s="1"/>
  <c r="S126" i="51"/>
  <c r="U126" i="51" s="1"/>
  <c r="S125" i="51"/>
  <c r="U125" i="51" s="1"/>
  <c r="S123" i="51"/>
  <c r="U123" i="51" s="1"/>
  <c r="S90" i="51"/>
  <c r="U90" i="51" s="1"/>
  <c r="R22" i="48"/>
  <c r="T22" i="48" s="1"/>
  <c r="R21" i="48"/>
  <c r="T21" i="48" s="1"/>
  <c r="R19" i="48"/>
  <c r="T19" i="48" s="1"/>
  <c r="R17" i="48"/>
  <c r="T17" i="48" s="1"/>
  <c r="R15" i="48"/>
  <c r="T15" i="48" s="1"/>
  <c r="R12" i="48"/>
  <c r="T12" i="48" s="1"/>
  <c r="Q35" i="48"/>
  <c r="R64" i="45"/>
  <c r="T64" i="45" s="1"/>
  <c r="R63" i="45"/>
  <c r="T63" i="45" s="1"/>
  <c r="R57" i="45"/>
  <c r="T57" i="45" s="1"/>
  <c r="R56" i="45"/>
  <c r="T56" i="45" s="1"/>
  <c r="R54" i="45"/>
  <c r="T54" i="45" s="1"/>
  <c r="R44" i="45"/>
  <c r="T44" i="45" s="1"/>
  <c r="R41" i="45"/>
  <c r="T41" i="45" s="1"/>
  <c r="R33" i="45"/>
  <c r="T33" i="45" s="1"/>
  <c r="R31" i="45"/>
  <c r="T31" i="45" s="1"/>
  <c r="R23" i="45"/>
  <c r="T23" i="45" s="1"/>
  <c r="R22" i="45"/>
  <c r="T22" i="45" s="1"/>
  <c r="R19" i="45"/>
  <c r="T19" i="45" s="1"/>
  <c r="R16" i="45"/>
  <c r="T16" i="45" s="1"/>
  <c r="R23" i="46"/>
  <c r="T23" i="46" s="1"/>
  <c r="R22" i="46"/>
  <c r="T22" i="46" s="1"/>
  <c r="R21" i="46"/>
  <c r="T21" i="46" s="1"/>
  <c r="R17" i="46"/>
  <c r="T17" i="46" s="1"/>
  <c r="R16" i="46"/>
  <c r="T16" i="46" s="1"/>
  <c r="R15" i="46"/>
  <c r="T15" i="46" s="1"/>
  <c r="R14" i="46"/>
  <c r="T14" i="46" s="1"/>
  <c r="R11" i="46"/>
  <c r="T11" i="46" s="1"/>
  <c r="R3" i="46"/>
  <c r="T3" i="46" s="1"/>
  <c r="R107" i="45"/>
  <c r="T107" i="45" s="1"/>
  <c r="R105" i="45"/>
  <c r="T105" i="45" s="1"/>
  <c r="R104" i="45"/>
  <c r="T104" i="45" s="1"/>
  <c r="R101" i="45"/>
  <c r="T101" i="45" s="1"/>
  <c r="R99" i="45"/>
  <c r="T99" i="45" s="1"/>
  <c r="R97" i="45"/>
  <c r="T97" i="45" s="1"/>
  <c r="R94" i="45"/>
  <c r="T94" i="45" s="1"/>
  <c r="R92" i="45"/>
  <c r="T92" i="45" s="1"/>
  <c r="R78" i="45"/>
  <c r="T78" i="45" s="1"/>
  <c r="R76" i="45"/>
  <c r="T76" i="45" s="1"/>
  <c r="R38" i="45"/>
  <c r="T38" i="45" s="1"/>
  <c r="R34" i="45"/>
  <c r="T34" i="45" s="1"/>
  <c r="R23" i="9"/>
  <c r="T23" i="9" s="1"/>
  <c r="R8" i="9"/>
  <c r="T8" i="9" s="1"/>
  <c r="R5" i="9"/>
  <c r="T5" i="9" s="1"/>
  <c r="L172" i="1"/>
  <c r="R139" i="9"/>
  <c r="T139" i="9" s="1"/>
  <c r="R136" i="9"/>
  <c r="T136" i="9" s="1"/>
  <c r="R125" i="9"/>
  <c r="T125" i="9" s="1"/>
  <c r="R123" i="9"/>
  <c r="T123" i="9" s="1"/>
  <c r="R121" i="9"/>
  <c r="T121" i="9" s="1"/>
  <c r="R116" i="9"/>
  <c r="T116" i="9" s="1"/>
  <c r="Q16" i="34"/>
  <c r="R16" i="34" s="1"/>
  <c r="T16" i="34" s="1"/>
  <c r="Q15" i="34"/>
  <c r="R78" i="30"/>
  <c r="T78" i="30" s="1"/>
  <c r="R71" i="30"/>
  <c r="T71" i="30" s="1"/>
  <c r="R68" i="30"/>
  <c r="T68" i="30" s="1"/>
  <c r="R61" i="30"/>
  <c r="T61" i="30" s="1"/>
  <c r="R57" i="30"/>
  <c r="T57" i="30" s="1"/>
  <c r="R54" i="30"/>
  <c r="T54" i="30" s="1"/>
  <c r="R53" i="30"/>
  <c r="T53" i="30" s="1"/>
  <c r="R52" i="30"/>
  <c r="T52" i="30" s="1"/>
  <c r="R48" i="30"/>
  <c r="T48" i="30" s="1"/>
  <c r="R45" i="30"/>
  <c r="T45" i="30" s="1"/>
  <c r="R39" i="30"/>
  <c r="T39" i="30" s="1"/>
  <c r="R31" i="30"/>
  <c r="T31" i="30" s="1"/>
  <c r="R23" i="30"/>
  <c r="T23" i="30" s="1"/>
  <c r="R16" i="30"/>
  <c r="T16" i="30" s="1"/>
  <c r="R9" i="30"/>
  <c r="T9" i="30" s="1"/>
  <c r="R3" i="27"/>
  <c r="R6" i="26"/>
  <c r="T6" i="26" s="1"/>
  <c r="R4" i="25"/>
  <c r="T4" i="25" s="1"/>
  <c r="R3" i="25"/>
  <c r="R5" i="11"/>
  <c r="T5" i="11" s="1"/>
  <c r="R4" i="11"/>
  <c r="T4" i="11" s="1"/>
  <c r="R3" i="11"/>
  <c r="T3" i="11" s="1"/>
  <c r="R2" i="11"/>
  <c r="T2" i="11" s="1"/>
  <c r="R574" i="9"/>
  <c r="T574" i="9" s="1"/>
  <c r="R572" i="9"/>
  <c r="T572" i="9" s="1"/>
  <c r="R570" i="9"/>
  <c r="T570" i="9" s="1"/>
  <c r="R569" i="9"/>
  <c r="T569" i="9" s="1"/>
  <c r="R567" i="9"/>
  <c r="T567" i="9" s="1"/>
  <c r="R549" i="9"/>
  <c r="T549" i="9" s="1"/>
  <c r="R548" i="9"/>
  <c r="T548" i="9" s="1"/>
  <c r="R505" i="9"/>
  <c r="T505" i="9" s="1"/>
  <c r="R502" i="9"/>
  <c r="T502" i="9" s="1"/>
  <c r="R499" i="9"/>
  <c r="T499" i="9" s="1"/>
  <c r="R498" i="9"/>
  <c r="T498" i="9" s="1"/>
  <c r="R495" i="9"/>
  <c r="T495" i="9" s="1"/>
  <c r="R482" i="9"/>
  <c r="T482" i="9" s="1"/>
  <c r="R476" i="9"/>
  <c r="T476" i="9" s="1"/>
  <c r="R475" i="9"/>
  <c r="T475" i="9" s="1"/>
  <c r="R469" i="9"/>
  <c r="T469" i="9" s="1"/>
  <c r="R451" i="9"/>
  <c r="T451" i="9" s="1"/>
  <c r="R446" i="9"/>
  <c r="T446" i="9" s="1"/>
  <c r="R430" i="9"/>
  <c r="T430" i="9" s="1"/>
  <c r="R417" i="9"/>
  <c r="T417" i="9" s="1"/>
  <c r="R404" i="9"/>
  <c r="T404" i="9" s="1"/>
  <c r="R403" i="9"/>
  <c r="T403" i="9" s="1"/>
  <c r="R393" i="9"/>
  <c r="T393" i="9" s="1"/>
  <c r="R391" i="9"/>
  <c r="T391" i="9" s="1"/>
  <c r="R390" i="9"/>
  <c r="T390" i="9" s="1"/>
  <c r="R387" i="9"/>
  <c r="T387" i="9" s="1"/>
  <c r="R386" i="9"/>
  <c r="T386" i="9" s="1"/>
  <c r="R384" i="9"/>
  <c r="T384" i="9" s="1"/>
  <c r="R382" i="9"/>
  <c r="T382" i="9" s="1"/>
  <c r="R379" i="9"/>
  <c r="T379" i="9" s="1"/>
  <c r="R375" i="9"/>
  <c r="T375" i="9" s="1"/>
  <c r="S47" i="54"/>
  <c r="U47" i="54" s="1"/>
  <c r="S46" i="54"/>
  <c r="U46" i="54" s="1"/>
  <c r="S45" i="54"/>
  <c r="U45" i="54" s="1"/>
  <c r="S44" i="54"/>
  <c r="U44" i="54" s="1"/>
  <c r="S43" i="54"/>
  <c r="U43" i="54" s="1"/>
  <c r="S42" i="54"/>
  <c r="U42" i="54" s="1"/>
  <c r="S41" i="54"/>
  <c r="U41" i="54" s="1"/>
  <c r="S40" i="54"/>
  <c r="U40" i="54" s="1"/>
  <c r="S39" i="54"/>
  <c r="U39" i="54" s="1"/>
  <c r="S38" i="54"/>
  <c r="U38" i="54" s="1"/>
  <c r="S37" i="54"/>
  <c r="U37" i="54" s="1"/>
  <c r="S35" i="54"/>
  <c r="U35" i="54" s="1"/>
  <c r="S34" i="54"/>
  <c r="U34" i="54" s="1"/>
  <c r="S33" i="54"/>
  <c r="U33" i="54" s="1"/>
  <c r="S32" i="54"/>
  <c r="U32" i="54" s="1"/>
  <c r="S31" i="54"/>
  <c r="U31" i="54" s="1"/>
  <c r="S30" i="54"/>
  <c r="U30" i="54" s="1"/>
  <c r="S29" i="54"/>
  <c r="U29" i="54" s="1"/>
  <c r="S28" i="54"/>
  <c r="U28" i="54" s="1"/>
  <c r="S27" i="54"/>
  <c r="U27" i="54" s="1"/>
  <c r="S26" i="54"/>
  <c r="U26" i="54" s="1"/>
  <c r="S25" i="54"/>
  <c r="U25" i="54" s="1"/>
  <c r="S24" i="54"/>
  <c r="U24" i="54" s="1"/>
  <c r="S23" i="54"/>
  <c r="U23" i="54" s="1"/>
  <c r="S22" i="54"/>
  <c r="U22" i="54" s="1"/>
  <c r="S21" i="54"/>
  <c r="U21" i="54" s="1"/>
  <c r="S20" i="54"/>
  <c r="U20" i="54" s="1"/>
  <c r="S19" i="54"/>
  <c r="U19" i="54" s="1"/>
  <c r="S18" i="54"/>
  <c r="U18" i="54" s="1"/>
  <c r="S17" i="54"/>
  <c r="U17" i="54" s="1"/>
  <c r="S16" i="54"/>
  <c r="U16" i="54" s="1"/>
  <c r="S15" i="54"/>
  <c r="U15" i="54" s="1"/>
  <c r="S14" i="54"/>
  <c r="U14" i="54" s="1"/>
  <c r="S13" i="54"/>
  <c r="U13" i="54" s="1"/>
  <c r="S12" i="54"/>
  <c r="U12" i="54" s="1"/>
  <c r="S11" i="54"/>
  <c r="U11" i="54" s="1"/>
  <c r="S10" i="54"/>
  <c r="U10" i="54" s="1"/>
  <c r="S9" i="54"/>
  <c r="U9" i="54" s="1"/>
  <c r="S8" i="54"/>
  <c r="U8" i="54" s="1"/>
  <c r="S7" i="54"/>
  <c r="U7" i="54" s="1"/>
  <c r="S6" i="54"/>
  <c r="U6" i="54" s="1"/>
  <c r="S5" i="54"/>
  <c r="U5" i="54" s="1"/>
  <c r="S4" i="54"/>
  <c r="U4" i="54" s="1"/>
  <c r="S3" i="54"/>
  <c r="U3" i="54" s="1"/>
  <c r="S2" i="54"/>
  <c r="U2" i="54" s="1"/>
  <c r="S257" i="51"/>
  <c r="U257" i="51" s="1"/>
  <c r="S256" i="51"/>
  <c r="U256" i="51" s="1"/>
  <c r="R45" i="44"/>
  <c r="T45" i="44" s="1"/>
  <c r="R43" i="44"/>
  <c r="T43" i="44" s="1"/>
  <c r="R39" i="44"/>
  <c r="T39" i="44" s="1"/>
  <c r="R38" i="44"/>
  <c r="T38" i="44" s="1"/>
  <c r="R34" i="44"/>
  <c r="T34" i="44" s="1"/>
  <c r="R33" i="44"/>
  <c r="T33" i="44" s="1"/>
  <c r="R29" i="44"/>
  <c r="T29" i="44" s="1"/>
  <c r="R25" i="44"/>
  <c r="T25" i="44" s="1"/>
  <c r="R20" i="44"/>
  <c r="T20" i="44" s="1"/>
  <c r="R3" i="44"/>
  <c r="T3" i="44" s="1"/>
  <c r="R206" i="43"/>
  <c r="T206" i="43" s="1"/>
  <c r="R201" i="43"/>
  <c r="T201" i="43" s="1"/>
  <c r="R196" i="43"/>
  <c r="T196" i="43" s="1"/>
  <c r="R195" i="43"/>
  <c r="T195" i="43" s="1"/>
  <c r="R193" i="43"/>
  <c r="T193" i="43" s="1"/>
  <c r="R189" i="43"/>
  <c r="T189" i="43" s="1"/>
  <c r="R491" i="9"/>
  <c r="T491" i="9" s="1"/>
  <c r="R486" i="9"/>
  <c r="T486" i="9" s="1"/>
  <c r="R481" i="9"/>
  <c r="T481" i="9" s="1"/>
  <c r="R435" i="9"/>
  <c r="T435" i="9" s="1"/>
  <c r="R372" i="9"/>
  <c r="T372" i="9" s="1"/>
  <c r="S255" i="51"/>
  <c r="U255" i="51" s="1"/>
  <c r="S254" i="51"/>
  <c r="U254" i="51" s="1"/>
  <c r="S253" i="51"/>
  <c r="U253" i="51" s="1"/>
  <c r="S252" i="51"/>
  <c r="U252" i="51" s="1"/>
  <c r="S251" i="51"/>
  <c r="U251" i="51" s="1"/>
  <c r="S247" i="51"/>
  <c r="U247" i="51" s="1"/>
  <c r="S246" i="51"/>
  <c r="U246" i="51" s="1"/>
  <c r="S244" i="51"/>
  <c r="U244" i="51" s="1"/>
  <c r="S190" i="51"/>
  <c r="U190" i="51" s="1"/>
  <c r="S119" i="51"/>
  <c r="U119" i="51" s="1"/>
  <c r="R61" i="46"/>
  <c r="T61" i="46" s="1"/>
  <c r="R60" i="46"/>
  <c r="T60" i="46" s="1"/>
  <c r="R59" i="46"/>
  <c r="T59" i="46" s="1"/>
  <c r="R58" i="46"/>
  <c r="T58" i="46" s="1"/>
  <c r="R57" i="46"/>
  <c r="T57" i="46" s="1"/>
  <c r="R56" i="46"/>
  <c r="T56" i="46" s="1"/>
  <c r="R55" i="46"/>
  <c r="T55" i="46" s="1"/>
  <c r="R54" i="46"/>
  <c r="T54" i="46" s="1"/>
  <c r="R53" i="46"/>
  <c r="T53" i="46" s="1"/>
  <c r="R52" i="46"/>
  <c r="T52" i="46" s="1"/>
  <c r="R51" i="46"/>
  <c r="T51" i="46" s="1"/>
  <c r="R50" i="46"/>
  <c r="T50" i="46" s="1"/>
  <c r="R49" i="46"/>
  <c r="T49" i="46" s="1"/>
  <c r="R48" i="46"/>
  <c r="T48" i="46" s="1"/>
  <c r="R47" i="46"/>
  <c r="T47" i="46" s="1"/>
  <c r="R46" i="46"/>
  <c r="T46" i="46" s="1"/>
  <c r="R45" i="46"/>
  <c r="T45" i="46" s="1"/>
  <c r="R44" i="46"/>
  <c r="T44" i="46" s="1"/>
  <c r="R43" i="46"/>
  <c r="T43" i="46" s="1"/>
  <c r="R42" i="46"/>
  <c r="T42" i="46" s="1"/>
  <c r="R41" i="46"/>
  <c r="T41" i="46" s="1"/>
  <c r="R40" i="46"/>
  <c r="T40" i="46" s="1"/>
  <c r="R39" i="46"/>
  <c r="T39" i="46" s="1"/>
  <c r="R38" i="46"/>
  <c r="T38" i="46" s="1"/>
  <c r="R37" i="46"/>
  <c r="T37" i="46" s="1"/>
  <c r="R36" i="46"/>
  <c r="T36" i="46" s="1"/>
  <c r="R35" i="46"/>
  <c r="T35" i="46" s="1"/>
  <c r="R34" i="46"/>
  <c r="T34" i="46" s="1"/>
  <c r="R33" i="46"/>
  <c r="T33" i="46" s="1"/>
  <c r="R32" i="46"/>
  <c r="T32" i="46" s="1"/>
  <c r="R31" i="46"/>
  <c r="T31" i="46" s="1"/>
  <c r="R30" i="46"/>
  <c r="T30" i="46" s="1"/>
  <c r="R29" i="46"/>
  <c r="T29" i="46" s="1"/>
  <c r="R28" i="46"/>
  <c r="T28" i="46" s="1"/>
  <c r="R27" i="46"/>
  <c r="T27" i="46" s="1"/>
  <c r="R26" i="46"/>
  <c r="T26" i="46" s="1"/>
  <c r="R25" i="46"/>
  <c r="T25" i="46" s="1"/>
  <c r="R24" i="46"/>
  <c r="T24" i="46" s="1"/>
  <c r="R20" i="46"/>
  <c r="T20" i="46" s="1"/>
  <c r="R19" i="46"/>
  <c r="T19" i="46" s="1"/>
  <c r="R18" i="46"/>
  <c r="T18" i="46" s="1"/>
  <c r="R13" i="46"/>
  <c r="T13" i="46" s="1"/>
  <c r="R12" i="46"/>
  <c r="T12" i="46" s="1"/>
  <c r="R9" i="46"/>
  <c r="T9" i="46" s="1"/>
  <c r="R7" i="46"/>
  <c r="T7" i="46" s="1"/>
  <c r="R6" i="46"/>
  <c r="T6" i="46" s="1"/>
  <c r="R5" i="46"/>
  <c r="T5" i="46" s="1"/>
  <c r="R113" i="45"/>
  <c r="T113" i="45" s="1"/>
  <c r="R112" i="45"/>
  <c r="T112" i="45" s="1"/>
  <c r="R111" i="45"/>
  <c r="T111" i="45" s="1"/>
  <c r="R90" i="45"/>
  <c r="T90" i="45" s="1"/>
  <c r="R88" i="45"/>
  <c r="T88" i="45" s="1"/>
  <c r="R85" i="45"/>
  <c r="T85" i="45" s="1"/>
  <c r="R70" i="45"/>
  <c r="T70" i="45" s="1"/>
  <c r="R68" i="45"/>
  <c r="T68" i="45" s="1"/>
  <c r="R59" i="45"/>
  <c r="T59" i="45" s="1"/>
  <c r="R47" i="45"/>
  <c r="T47" i="45" s="1"/>
  <c r="R40" i="45"/>
  <c r="T40" i="45" s="1"/>
  <c r="R138" i="9"/>
  <c r="T138" i="9" s="1"/>
  <c r="R128" i="9"/>
  <c r="T128" i="9" s="1"/>
  <c r="R120" i="9"/>
  <c r="T120" i="9" s="1"/>
  <c r="R114" i="9"/>
  <c r="T114" i="9" s="1"/>
  <c r="R20" i="9"/>
  <c r="T20" i="9" s="1"/>
  <c r="R29" i="45"/>
  <c r="T29" i="45" s="1"/>
  <c r="R18" i="45"/>
  <c r="T18" i="45" s="1"/>
  <c r="R17" i="45"/>
  <c r="T17" i="45" s="1"/>
  <c r="R15" i="45"/>
  <c r="T15" i="45" s="1"/>
  <c r="R11" i="45"/>
  <c r="T11" i="45" s="1"/>
  <c r="R5" i="45"/>
  <c r="T5" i="45" s="1"/>
  <c r="R82" i="30"/>
  <c r="T82" i="30" s="1"/>
  <c r="R79" i="30"/>
  <c r="T79" i="30" s="1"/>
  <c r="R72" i="30"/>
  <c r="T72" i="30" s="1"/>
  <c r="R69" i="30"/>
  <c r="T69" i="30" s="1"/>
  <c r="R66" i="30"/>
  <c r="T66" i="30" s="1"/>
  <c r="R63" i="30"/>
  <c r="T63" i="30" s="1"/>
  <c r="R59" i="30"/>
  <c r="T59" i="30" s="1"/>
  <c r="R51" i="30"/>
  <c r="T51" i="30" s="1"/>
  <c r="R50" i="30"/>
  <c r="T50" i="30" s="1"/>
  <c r="R49" i="30"/>
  <c r="T49" i="30" s="1"/>
  <c r="R43" i="30"/>
  <c r="T43" i="30" s="1"/>
  <c r="R41" i="30"/>
  <c r="T41" i="30" s="1"/>
  <c r="R22" i="30"/>
  <c r="T22" i="30" s="1"/>
  <c r="R21" i="30"/>
  <c r="T21" i="30" s="1"/>
  <c r="R19" i="30"/>
  <c r="T19" i="30" s="1"/>
  <c r="R12" i="30"/>
  <c r="T12" i="30" s="1"/>
  <c r="R11" i="30"/>
  <c r="T11" i="30" s="1"/>
  <c r="R4" i="30"/>
  <c r="T4" i="30" s="1"/>
  <c r="R2" i="28"/>
  <c r="T2" i="28" s="1"/>
  <c r="R4" i="27"/>
  <c r="R5" i="26"/>
  <c r="T5" i="26" s="1"/>
  <c r="R565" i="9"/>
  <c r="T565" i="9" s="1"/>
  <c r="R564" i="9"/>
  <c r="T564" i="9" s="1"/>
  <c r="R540" i="9"/>
  <c r="T540" i="9" s="1"/>
  <c r="R534" i="9"/>
  <c r="T534" i="9" s="1"/>
  <c r="R533" i="9"/>
  <c r="T533" i="9" s="1"/>
  <c r="R532" i="9"/>
  <c r="T532" i="9" s="1"/>
  <c r="R521" i="9"/>
  <c r="T521" i="9" s="1"/>
  <c r="R513" i="9"/>
  <c r="T513" i="9" s="1"/>
  <c r="R504" i="9"/>
  <c r="T504" i="9" s="1"/>
  <c r="R501" i="9"/>
  <c r="T501" i="9" s="1"/>
  <c r="R500" i="9"/>
  <c r="T500" i="9" s="1"/>
  <c r="R497" i="9"/>
  <c r="T497" i="9" s="1"/>
  <c r="R494" i="9"/>
  <c r="T494" i="9" s="1"/>
  <c r="R492" i="9"/>
  <c r="T492" i="9" s="1"/>
  <c r="R490" i="9"/>
  <c r="T490" i="9" s="1"/>
  <c r="R488" i="9"/>
  <c r="T488" i="9" s="1"/>
  <c r="R487" i="9"/>
  <c r="T487" i="9" s="1"/>
  <c r="R479" i="9"/>
  <c r="T479" i="9" s="1"/>
  <c r="R478" i="9"/>
  <c r="T478" i="9" s="1"/>
  <c r="R477" i="9"/>
  <c r="T477" i="9" s="1"/>
  <c r="R460" i="9"/>
  <c r="T460" i="9" s="1"/>
  <c r="R453" i="9"/>
  <c r="T453" i="9" s="1"/>
  <c r="R439" i="9"/>
  <c r="T439" i="9" s="1"/>
  <c r="R73" i="44"/>
  <c r="T73" i="44" s="1"/>
  <c r="R70" i="44"/>
  <c r="T70" i="44" s="1"/>
  <c r="R67" i="44"/>
  <c r="T67" i="44" s="1"/>
  <c r="R66" i="44"/>
  <c r="T66" i="44" s="1"/>
  <c r="R62" i="44"/>
  <c r="T62" i="44" s="1"/>
  <c r="R60" i="44"/>
  <c r="T60" i="44" s="1"/>
  <c r="R59" i="44"/>
  <c r="T59" i="44" s="1"/>
  <c r="R49" i="44"/>
  <c r="T49" i="44" s="1"/>
  <c r="R48" i="44"/>
  <c r="T48" i="44" s="1"/>
  <c r="R47" i="44"/>
  <c r="T47" i="44" s="1"/>
  <c r="R46" i="44"/>
  <c r="T46" i="44" s="1"/>
  <c r="R42" i="44"/>
  <c r="T42" i="44" s="1"/>
  <c r="R41" i="44"/>
  <c r="T41" i="44" s="1"/>
  <c r="R36" i="44"/>
  <c r="T36" i="44" s="1"/>
  <c r="R35" i="44"/>
  <c r="T35" i="44" s="1"/>
  <c r="R32" i="44"/>
  <c r="T32" i="44" s="1"/>
  <c r="R31" i="44"/>
  <c r="T31" i="44" s="1"/>
  <c r="R28" i="44"/>
  <c r="T28" i="44" s="1"/>
  <c r="R26" i="44"/>
  <c r="T26" i="44" s="1"/>
  <c r="R23" i="44"/>
  <c r="T23" i="44" s="1"/>
  <c r="R21" i="44"/>
  <c r="T21" i="44" s="1"/>
  <c r="R16" i="44"/>
  <c r="T16" i="44" s="1"/>
  <c r="R9" i="44"/>
  <c r="T9" i="44" s="1"/>
  <c r="R8" i="44"/>
  <c r="T8" i="44" s="1"/>
  <c r="R7" i="44"/>
  <c r="T7" i="44" s="1"/>
  <c r="R205" i="43"/>
  <c r="T205" i="43" s="1"/>
  <c r="R203" i="43"/>
  <c r="T203" i="43" s="1"/>
  <c r="R200" i="43"/>
  <c r="T200" i="43" s="1"/>
  <c r="R198" i="43"/>
  <c r="T198" i="43" s="1"/>
  <c r="R194" i="43"/>
  <c r="T194" i="43" s="1"/>
  <c r="R506" i="9"/>
  <c r="T506" i="9" s="1"/>
  <c r="R489" i="9"/>
  <c r="T489" i="9" s="1"/>
  <c r="R431" i="9"/>
  <c r="T431" i="9" s="1"/>
  <c r="R418" i="9"/>
  <c r="T418" i="9" s="1"/>
  <c r="R411" i="9"/>
  <c r="T411" i="9" s="1"/>
  <c r="R407" i="9"/>
  <c r="T407" i="9" s="1"/>
  <c r="R373" i="9"/>
  <c r="T373" i="9" s="1"/>
  <c r="R371" i="9"/>
  <c r="T371" i="9" s="1"/>
  <c r="R429" i="9"/>
  <c r="T429" i="9" s="1"/>
  <c r="R427" i="9"/>
  <c r="T427" i="9" s="1"/>
  <c r="R419" i="9"/>
  <c r="T419" i="9" s="1"/>
  <c r="R414" i="9"/>
  <c r="T414" i="9" s="1"/>
  <c r="R408" i="9"/>
  <c r="T408" i="9" s="1"/>
  <c r="R395" i="9"/>
  <c r="T395" i="9" s="1"/>
  <c r="R394" i="9"/>
  <c r="T394" i="9" s="1"/>
  <c r="R392" i="9"/>
  <c r="T392" i="9" s="1"/>
  <c r="R389" i="9"/>
  <c r="T389" i="9" s="1"/>
  <c r="R388" i="9"/>
  <c r="T388" i="9" s="1"/>
  <c r="R385" i="9"/>
  <c r="T385" i="9" s="1"/>
  <c r="R383" i="9"/>
  <c r="T383" i="9" s="1"/>
  <c r="S63" i="51"/>
  <c r="U63" i="51" s="1"/>
  <c r="S62" i="51"/>
  <c r="U62" i="51" s="1"/>
  <c r="S36" i="51"/>
  <c r="U36" i="51" s="1"/>
  <c r="S35" i="51"/>
  <c r="U35" i="51" s="1"/>
  <c r="R10" i="50"/>
  <c r="T10" i="50" s="1"/>
  <c r="R9" i="50"/>
  <c r="T9" i="50" s="1"/>
  <c r="R8" i="50"/>
  <c r="T8" i="50" s="1"/>
  <c r="R7" i="50"/>
  <c r="T7" i="50" s="1"/>
  <c r="R6" i="50"/>
  <c r="T6" i="50" s="1"/>
  <c r="R5" i="50"/>
  <c r="T5" i="50" s="1"/>
  <c r="R4" i="50"/>
  <c r="T4" i="50" s="1"/>
  <c r="R3" i="50"/>
  <c r="R6" i="49"/>
  <c r="T6" i="49" s="1"/>
  <c r="R5" i="49"/>
  <c r="T5" i="49" s="1"/>
  <c r="R4" i="49"/>
  <c r="T4" i="49" s="1"/>
  <c r="R3" i="49"/>
  <c r="R34" i="48"/>
  <c r="T34" i="48" s="1"/>
  <c r="R33" i="48"/>
  <c r="T33" i="48" s="1"/>
  <c r="R32" i="48"/>
  <c r="T32" i="48" s="1"/>
  <c r="R31" i="48"/>
  <c r="T31" i="48" s="1"/>
  <c r="R30" i="48"/>
  <c r="T30" i="48" s="1"/>
  <c r="R29" i="48"/>
  <c r="T29" i="48" s="1"/>
  <c r="R28" i="48"/>
  <c r="T28" i="48" s="1"/>
  <c r="R27" i="48"/>
  <c r="T27" i="48" s="1"/>
  <c r="R26" i="48"/>
  <c r="T26" i="48" s="1"/>
  <c r="R25" i="48"/>
  <c r="T25" i="48" s="1"/>
  <c r="R24" i="48"/>
  <c r="T24" i="48" s="1"/>
  <c r="R4" i="48"/>
  <c r="T4" i="48" s="1"/>
  <c r="R13" i="30"/>
  <c r="T13" i="30" s="1"/>
  <c r="R79" i="44"/>
  <c r="T79" i="44" s="1"/>
  <c r="R78" i="44"/>
  <c r="T78" i="44" s="1"/>
  <c r="R77" i="44"/>
  <c r="T77" i="44" s="1"/>
  <c r="R76" i="44"/>
  <c r="T76" i="44" s="1"/>
  <c r="R75" i="44"/>
  <c r="T75" i="44" s="1"/>
  <c r="R74" i="44"/>
  <c r="T74" i="44" s="1"/>
  <c r="R187" i="43"/>
  <c r="T187" i="43" s="1"/>
  <c r="R186" i="43"/>
  <c r="T186" i="43" s="1"/>
  <c r="R185" i="43"/>
  <c r="T185" i="43" s="1"/>
  <c r="R184" i="43"/>
  <c r="T184" i="43" s="1"/>
  <c r="R183" i="43"/>
  <c r="T183" i="43" s="1"/>
  <c r="R182" i="43"/>
  <c r="T182" i="43" s="1"/>
  <c r="R181" i="43"/>
  <c r="T181" i="43" s="1"/>
  <c r="R180" i="43"/>
  <c r="T180" i="43" s="1"/>
  <c r="R179" i="43"/>
  <c r="T179" i="43" s="1"/>
  <c r="R178" i="43"/>
  <c r="T178" i="43" s="1"/>
  <c r="R177" i="43"/>
  <c r="T177" i="43" s="1"/>
  <c r="R176" i="43"/>
  <c r="T176" i="43" s="1"/>
  <c r="R175" i="43"/>
  <c r="T175" i="43" s="1"/>
  <c r="R174" i="43"/>
  <c r="T174" i="43" s="1"/>
  <c r="R173" i="43"/>
  <c r="T173" i="43" s="1"/>
  <c r="R172" i="43"/>
  <c r="T172" i="43" s="1"/>
  <c r="R171" i="43"/>
  <c r="T171" i="43" s="1"/>
  <c r="R170" i="43"/>
  <c r="T170" i="43" s="1"/>
  <c r="R169" i="43"/>
  <c r="T169" i="43" s="1"/>
  <c r="R168" i="43"/>
  <c r="T168" i="43" s="1"/>
  <c r="R167" i="43"/>
  <c r="T167" i="43" s="1"/>
  <c r="R166" i="43"/>
  <c r="T166" i="43" s="1"/>
  <c r="R165" i="43"/>
  <c r="T165" i="43" s="1"/>
  <c r="R164" i="43"/>
  <c r="T164" i="43" s="1"/>
  <c r="R163" i="43"/>
  <c r="T163" i="43" s="1"/>
  <c r="R162" i="43"/>
  <c r="T162" i="43" s="1"/>
  <c r="R161" i="43"/>
  <c r="T161" i="43" s="1"/>
  <c r="R160" i="43"/>
  <c r="T160" i="43" s="1"/>
  <c r="R159" i="43"/>
  <c r="T159" i="43" s="1"/>
  <c r="R158" i="43"/>
  <c r="T158" i="43" s="1"/>
  <c r="R157" i="43"/>
  <c r="T157" i="43" s="1"/>
  <c r="R156" i="43"/>
  <c r="T156" i="43" s="1"/>
  <c r="R155" i="43"/>
  <c r="T155" i="43" s="1"/>
  <c r="R154" i="43"/>
  <c r="T154" i="43" s="1"/>
  <c r="R153" i="43"/>
  <c r="T153" i="43" s="1"/>
  <c r="R152" i="43"/>
  <c r="T152" i="43" s="1"/>
  <c r="R151" i="43"/>
  <c r="T151" i="43" s="1"/>
  <c r="R150" i="43"/>
  <c r="T150" i="43" s="1"/>
  <c r="R149" i="43"/>
  <c r="T149" i="43" s="1"/>
  <c r="R148" i="43"/>
  <c r="T148" i="43" s="1"/>
  <c r="R147" i="43"/>
  <c r="T147" i="43" s="1"/>
  <c r="R146" i="43"/>
  <c r="T146" i="43" s="1"/>
  <c r="R145" i="43"/>
  <c r="T145" i="43" s="1"/>
  <c r="R144" i="43"/>
  <c r="T144" i="43" s="1"/>
  <c r="R143" i="43"/>
  <c r="T143" i="43" s="1"/>
  <c r="R142" i="43"/>
  <c r="T142" i="43" s="1"/>
  <c r="R141" i="43"/>
  <c r="T141" i="43" s="1"/>
  <c r="R140" i="43"/>
  <c r="T140" i="43" s="1"/>
  <c r="R139" i="43"/>
  <c r="T139" i="43" s="1"/>
  <c r="R138" i="43"/>
  <c r="T138" i="43" s="1"/>
  <c r="R137" i="43"/>
  <c r="T137" i="43" s="1"/>
  <c r="R136" i="43"/>
  <c r="T136" i="43" s="1"/>
  <c r="R135" i="43"/>
  <c r="T135" i="43" s="1"/>
  <c r="R134" i="43"/>
  <c r="T134" i="43" s="1"/>
  <c r="R133" i="43"/>
  <c r="T133" i="43" s="1"/>
  <c r="R364" i="9"/>
  <c r="T364" i="9" s="1"/>
  <c r="R363" i="9"/>
  <c r="T363" i="9" s="1"/>
  <c r="R362" i="9"/>
  <c r="T362" i="9" s="1"/>
  <c r="R361" i="9"/>
  <c r="T361" i="9" s="1"/>
  <c r="R360" i="9"/>
  <c r="T360" i="9" s="1"/>
  <c r="R359" i="9"/>
  <c r="T359" i="9" s="1"/>
  <c r="R358" i="9"/>
  <c r="T358" i="9" s="1"/>
  <c r="R357" i="9"/>
  <c r="T357" i="9" s="1"/>
  <c r="R356" i="9"/>
  <c r="T356" i="9" s="1"/>
  <c r="R355" i="9"/>
  <c r="T355" i="9" s="1"/>
  <c r="R354" i="9"/>
  <c r="T354" i="9" s="1"/>
  <c r="R353" i="9"/>
  <c r="T353" i="9" s="1"/>
  <c r="R352" i="9"/>
  <c r="T352" i="9" s="1"/>
  <c r="R351" i="9"/>
  <c r="T351" i="9" s="1"/>
  <c r="R350" i="9"/>
  <c r="T350" i="9" s="1"/>
  <c r="R349" i="9"/>
  <c r="T349" i="9" s="1"/>
  <c r="R348" i="9"/>
  <c r="T348" i="9" s="1"/>
  <c r="R347" i="9"/>
  <c r="T347" i="9" s="1"/>
  <c r="R346" i="9"/>
  <c r="T346" i="9" s="1"/>
  <c r="R345" i="9"/>
  <c r="T345" i="9" s="1"/>
  <c r="R344" i="9"/>
  <c r="T344" i="9" s="1"/>
  <c r="R343" i="9"/>
  <c r="T343" i="9" s="1"/>
  <c r="R342" i="9"/>
  <c r="T342" i="9" s="1"/>
  <c r="R335" i="9"/>
  <c r="T335" i="9" s="1"/>
  <c r="R334" i="9"/>
  <c r="T334" i="9" s="1"/>
  <c r="R329" i="9"/>
  <c r="T329" i="9" s="1"/>
  <c r="R328" i="9"/>
  <c r="T328" i="9" s="1"/>
  <c r="R327" i="9"/>
  <c r="T327" i="9" s="1"/>
  <c r="R326" i="9"/>
  <c r="T326" i="9" s="1"/>
  <c r="R325" i="9"/>
  <c r="T325" i="9" s="1"/>
  <c r="R324" i="9"/>
  <c r="T324" i="9" s="1"/>
  <c r="R323" i="9"/>
  <c r="T323" i="9" s="1"/>
  <c r="R322" i="9"/>
  <c r="T322" i="9" s="1"/>
  <c r="R26" i="9"/>
  <c r="T26" i="9" s="1"/>
  <c r="R25" i="9"/>
  <c r="T25" i="9" s="1"/>
  <c r="R22" i="9"/>
  <c r="T22" i="9" s="1"/>
  <c r="R16" i="9"/>
  <c r="T16" i="9" s="1"/>
  <c r="R14" i="9"/>
  <c r="T14" i="9" s="1"/>
  <c r="R12" i="9"/>
  <c r="T12" i="9" s="1"/>
  <c r="R11" i="9"/>
  <c r="T11" i="9" s="1"/>
  <c r="R10" i="9"/>
  <c r="T10" i="9" s="1"/>
  <c r="C74" i="7" s="1"/>
  <c r="R141" i="9"/>
  <c r="T141" i="9" s="1"/>
  <c r="R140" i="9"/>
  <c r="T140" i="9" s="1"/>
  <c r="R137" i="9"/>
  <c r="T137" i="9" s="1"/>
  <c r="R129" i="9"/>
  <c r="T129" i="9" s="1"/>
  <c r="R126" i="9"/>
  <c r="T126" i="9" s="1"/>
  <c r="R124" i="9"/>
  <c r="T124" i="9" s="1"/>
  <c r="R118" i="9"/>
  <c r="T118" i="9" s="1"/>
  <c r="R117" i="9"/>
  <c r="T117" i="9" s="1"/>
  <c r="R115" i="9"/>
  <c r="T115" i="9" s="1"/>
  <c r="R5" i="64"/>
  <c r="T5" i="64" s="1"/>
  <c r="R4" i="64"/>
  <c r="T4" i="64" s="1"/>
  <c r="R3" i="64"/>
  <c r="T3" i="64" s="1"/>
  <c r="R2" i="64"/>
  <c r="T2" i="64" s="1"/>
  <c r="R3" i="63"/>
  <c r="T3" i="63" s="1"/>
  <c r="R2" i="63"/>
  <c r="T2" i="63" s="1"/>
  <c r="R11" i="61"/>
  <c r="T11" i="61" s="1"/>
  <c r="R10" i="61"/>
  <c r="T10" i="61" s="1"/>
  <c r="R5" i="61"/>
  <c r="T5" i="61" s="1"/>
  <c r="R4" i="61"/>
  <c r="T4" i="61" s="1"/>
  <c r="R8" i="47"/>
  <c r="T8" i="47" s="1"/>
  <c r="R4" i="46"/>
  <c r="T4" i="46" s="1"/>
  <c r="R108" i="45"/>
  <c r="T108" i="45" s="1"/>
  <c r="R103" i="45"/>
  <c r="T103" i="45" s="1"/>
  <c r="R100" i="45"/>
  <c r="T100" i="45" s="1"/>
  <c r="R98" i="45"/>
  <c r="T98" i="45" s="1"/>
  <c r="R91" i="45"/>
  <c r="T91" i="45" s="1"/>
  <c r="R89" i="45"/>
  <c r="T89" i="45" s="1"/>
  <c r="R79" i="45"/>
  <c r="T79" i="45" s="1"/>
  <c r="R77" i="45"/>
  <c r="T77" i="45" s="1"/>
  <c r="R75" i="45"/>
  <c r="T75" i="45" s="1"/>
  <c r="R74" i="45"/>
  <c r="T74" i="45" s="1"/>
  <c r="R73" i="45"/>
  <c r="T73" i="45" s="1"/>
  <c r="R71" i="45"/>
  <c r="T71" i="45" s="1"/>
  <c r="R67" i="45"/>
  <c r="T67" i="45" s="1"/>
  <c r="R51" i="45"/>
  <c r="T51" i="45" s="1"/>
  <c r="R48" i="45"/>
  <c r="T48" i="45" s="1"/>
  <c r="R39" i="45"/>
  <c r="T39" i="45" s="1"/>
  <c r="R27" i="45"/>
  <c r="T27" i="45" s="1"/>
  <c r="R258" i="57"/>
  <c r="T258" i="57" s="1"/>
  <c r="R45" i="21"/>
  <c r="T45" i="21" s="1"/>
  <c r="R43" i="21"/>
  <c r="T43" i="21" s="1"/>
  <c r="R41" i="21"/>
  <c r="T41" i="21" s="1"/>
  <c r="R39" i="21"/>
  <c r="T39" i="21" s="1"/>
  <c r="R38" i="21"/>
  <c r="T38" i="21" s="1"/>
  <c r="R27" i="21"/>
  <c r="T27" i="21" s="1"/>
  <c r="R18" i="21"/>
  <c r="T18" i="21" s="1"/>
  <c r="R37" i="20"/>
  <c r="T37" i="20" s="1"/>
  <c r="R35" i="20"/>
  <c r="T35" i="20" s="1"/>
  <c r="R20" i="20"/>
  <c r="T20" i="20" s="1"/>
  <c r="R19" i="20"/>
  <c r="T19" i="20" s="1"/>
  <c r="R18" i="20"/>
  <c r="T18" i="20" s="1"/>
  <c r="R568" i="9"/>
  <c r="T568" i="9" s="1"/>
  <c r="R44" i="56"/>
  <c r="T44" i="56" s="1"/>
  <c r="R43" i="56"/>
  <c r="T43" i="56" s="1"/>
  <c r="R9" i="56"/>
  <c r="T9" i="56" s="1"/>
  <c r="S287" i="54"/>
  <c r="U287" i="54" s="1"/>
  <c r="R57" i="57"/>
  <c r="T57" i="57" s="1"/>
  <c r="S80" i="54"/>
  <c r="U80" i="54" s="1"/>
  <c r="S74" i="54"/>
  <c r="U74" i="54" s="1"/>
  <c r="S70" i="54"/>
  <c r="U70" i="54" s="1"/>
  <c r="S64" i="54"/>
  <c r="U64" i="54" s="1"/>
  <c r="R132" i="43"/>
  <c r="T132" i="43" s="1"/>
  <c r="R131" i="43"/>
  <c r="T131" i="43" s="1"/>
  <c r="R130" i="43"/>
  <c r="T130" i="43" s="1"/>
  <c r="R129" i="43"/>
  <c r="T129" i="43" s="1"/>
  <c r="R128" i="43"/>
  <c r="T128" i="43" s="1"/>
  <c r="R127" i="43"/>
  <c r="T127" i="43" s="1"/>
  <c r="R126" i="43"/>
  <c r="T126" i="43" s="1"/>
  <c r="R125" i="43"/>
  <c r="T125" i="43" s="1"/>
  <c r="R124" i="43"/>
  <c r="T124" i="43" s="1"/>
  <c r="R123" i="43"/>
  <c r="T123" i="43" s="1"/>
  <c r="R122" i="43"/>
  <c r="T122" i="43" s="1"/>
  <c r="R121" i="43"/>
  <c r="T121" i="43" s="1"/>
  <c r="R120" i="43"/>
  <c r="T120" i="43" s="1"/>
  <c r="R119" i="43"/>
  <c r="T119" i="43" s="1"/>
  <c r="R118" i="43"/>
  <c r="T118" i="43" s="1"/>
  <c r="R117" i="43"/>
  <c r="T117" i="43" s="1"/>
  <c r="R116" i="43"/>
  <c r="T116" i="43" s="1"/>
  <c r="R115" i="43"/>
  <c r="T115" i="43" s="1"/>
  <c r="R114" i="43"/>
  <c r="T114" i="43" s="1"/>
  <c r="R113" i="43"/>
  <c r="T113" i="43" s="1"/>
  <c r="R112" i="43"/>
  <c r="T112" i="43" s="1"/>
  <c r="R111" i="43"/>
  <c r="T111" i="43" s="1"/>
  <c r="R110" i="43"/>
  <c r="T110" i="43" s="1"/>
  <c r="R109" i="43"/>
  <c r="T109" i="43" s="1"/>
  <c r="R108" i="43"/>
  <c r="T108" i="43" s="1"/>
  <c r="R107" i="43"/>
  <c r="T107" i="43" s="1"/>
  <c r="R106" i="43"/>
  <c r="T106" i="43" s="1"/>
  <c r="R105" i="43"/>
  <c r="T105" i="43" s="1"/>
  <c r="R104" i="43"/>
  <c r="T104" i="43" s="1"/>
  <c r="R103" i="43"/>
  <c r="T103" i="43" s="1"/>
  <c r="R102" i="43"/>
  <c r="T102" i="43" s="1"/>
  <c r="R101" i="43"/>
  <c r="T101" i="43" s="1"/>
  <c r="R100" i="43"/>
  <c r="T100" i="43" s="1"/>
  <c r="R99" i="43"/>
  <c r="T99" i="43" s="1"/>
  <c r="R98" i="43"/>
  <c r="T98" i="43" s="1"/>
  <c r="R97" i="43"/>
  <c r="T97" i="43" s="1"/>
  <c r="R96" i="43"/>
  <c r="T96" i="43" s="1"/>
  <c r="R95" i="43"/>
  <c r="T95" i="43" s="1"/>
  <c r="R94" i="43"/>
  <c r="T94" i="43" s="1"/>
  <c r="R93" i="43"/>
  <c r="T93" i="43" s="1"/>
  <c r="R92" i="43"/>
  <c r="T92" i="43" s="1"/>
  <c r="R91" i="43"/>
  <c r="T91" i="43" s="1"/>
  <c r="R90" i="43"/>
  <c r="T90" i="43" s="1"/>
  <c r="R89" i="43"/>
  <c r="T89" i="43" s="1"/>
  <c r="R88" i="43"/>
  <c r="T88" i="43" s="1"/>
  <c r="R87" i="43"/>
  <c r="T87" i="43" s="1"/>
  <c r="R86" i="43"/>
  <c r="T86" i="43" s="1"/>
  <c r="R85" i="43"/>
  <c r="T85" i="43" s="1"/>
  <c r="R84" i="43"/>
  <c r="T84" i="43" s="1"/>
  <c r="R83" i="43"/>
  <c r="T83" i="43" s="1"/>
  <c r="R82" i="43"/>
  <c r="T82" i="43" s="1"/>
  <c r="R81" i="43"/>
  <c r="T81" i="43" s="1"/>
  <c r="R80" i="43"/>
  <c r="T80" i="43" s="1"/>
  <c r="R79" i="43"/>
  <c r="T79" i="43" s="1"/>
  <c r="R78" i="43"/>
  <c r="T78" i="43" s="1"/>
  <c r="R77" i="43"/>
  <c r="T77" i="43" s="1"/>
  <c r="R76" i="43"/>
  <c r="T76" i="43" s="1"/>
  <c r="R75" i="43"/>
  <c r="T75" i="43" s="1"/>
  <c r="R74" i="43"/>
  <c r="T74" i="43" s="1"/>
  <c r="R73" i="43"/>
  <c r="T73" i="43" s="1"/>
  <c r="R72" i="43"/>
  <c r="T72" i="43" s="1"/>
  <c r="R71" i="43"/>
  <c r="T71" i="43" s="1"/>
  <c r="R70" i="43"/>
  <c r="T70" i="43" s="1"/>
  <c r="R69" i="43"/>
  <c r="T69" i="43" s="1"/>
  <c r="R68" i="43"/>
  <c r="T68" i="43" s="1"/>
  <c r="R67" i="43"/>
  <c r="T67" i="43" s="1"/>
  <c r="R66" i="43"/>
  <c r="T66" i="43" s="1"/>
  <c r="R65" i="43"/>
  <c r="T65" i="43" s="1"/>
  <c r="R64" i="43"/>
  <c r="T64" i="43" s="1"/>
  <c r="R63" i="43"/>
  <c r="T63" i="43" s="1"/>
  <c r="R62" i="43"/>
  <c r="T62" i="43" s="1"/>
  <c r="R61" i="43"/>
  <c r="T61" i="43" s="1"/>
  <c r="R60" i="43"/>
  <c r="T60" i="43" s="1"/>
  <c r="R59" i="43"/>
  <c r="T59" i="43" s="1"/>
  <c r="R58" i="43"/>
  <c r="T58" i="43" s="1"/>
  <c r="R57" i="43"/>
  <c r="T57" i="43" s="1"/>
  <c r="R56" i="43"/>
  <c r="T56" i="43" s="1"/>
  <c r="R55" i="43"/>
  <c r="T55" i="43" s="1"/>
  <c r="R54" i="43"/>
  <c r="T54" i="43" s="1"/>
  <c r="R53" i="43"/>
  <c r="T53" i="43" s="1"/>
  <c r="R52" i="43"/>
  <c r="T52" i="43" s="1"/>
  <c r="R51" i="43"/>
  <c r="T51" i="43" s="1"/>
  <c r="R50" i="43"/>
  <c r="T50" i="43" s="1"/>
  <c r="R49" i="43"/>
  <c r="T49" i="43" s="1"/>
  <c r="R48" i="43"/>
  <c r="T48" i="43" s="1"/>
  <c r="R47" i="43"/>
  <c r="T47" i="43" s="1"/>
  <c r="R46" i="43"/>
  <c r="T46" i="43" s="1"/>
  <c r="R45" i="43"/>
  <c r="T45" i="43" s="1"/>
  <c r="R44" i="43"/>
  <c r="T44" i="43" s="1"/>
  <c r="R43" i="43"/>
  <c r="T43" i="43" s="1"/>
  <c r="R42" i="43"/>
  <c r="T42" i="43" s="1"/>
  <c r="R41" i="43"/>
  <c r="T41" i="43" s="1"/>
  <c r="R40" i="43"/>
  <c r="T40" i="43" s="1"/>
  <c r="R39" i="43"/>
  <c r="T39" i="43" s="1"/>
  <c r="R38" i="43"/>
  <c r="T38" i="43" s="1"/>
  <c r="R37" i="43"/>
  <c r="T37" i="43" s="1"/>
  <c r="R36" i="43"/>
  <c r="T36" i="43" s="1"/>
  <c r="R35" i="43"/>
  <c r="T35" i="43" s="1"/>
  <c r="R34" i="43"/>
  <c r="T34" i="43" s="1"/>
  <c r="R33" i="43"/>
  <c r="T33" i="43" s="1"/>
  <c r="R32" i="43"/>
  <c r="T32" i="43" s="1"/>
  <c r="R31" i="43"/>
  <c r="T31" i="43" s="1"/>
  <c r="R30" i="43"/>
  <c r="T30" i="43" s="1"/>
  <c r="R29" i="43"/>
  <c r="T29" i="43" s="1"/>
  <c r="R28" i="43"/>
  <c r="T28" i="43" s="1"/>
  <c r="R27" i="43"/>
  <c r="T27" i="43" s="1"/>
  <c r="R26" i="43"/>
  <c r="T26" i="43" s="1"/>
  <c r="R25" i="43"/>
  <c r="T25" i="43" s="1"/>
  <c r="R24" i="43"/>
  <c r="T24" i="43" s="1"/>
  <c r="R23" i="43"/>
  <c r="T23" i="43" s="1"/>
  <c r="R22" i="43"/>
  <c r="T22" i="43" s="1"/>
  <c r="R21" i="43"/>
  <c r="T21" i="43" s="1"/>
  <c r="R20" i="43"/>
  <c r="T20" i="43" s="1"/>
  <c r="R19" i="43"/>
  <c r="T19" i="43" s="1"/>
  <c r="R18" i="43"/>
  <c r="T18" i="43" s="1"/>
  <c r="R17" i="43"/>
  <c r="T17" i="43" s="1"/>
  <c r="R16" i="43"/>
  <c r="T16" i="43" s="1"/>
  <c r="R15" i="43"/>
  <c r="T15" i="43" s="1"/>
  <c r="R14" i="43"/>
  <c r="T14" i="43" s="1"/>
  <c r="R13" i="43"/>
  <c r="T13" i="43" s="1"/>
  <c r="R12" i="43"/>
  <c r="T12" i="43" s="1"/>
  <c r="R11" i="43"/>
  <c r="T11" i="43" s="1"/>
  <c r="R10" i="43"/>
  <c r="T10" i="43" s="1"/>
  <c r="R9" i="43"/>
  <c r="T9" i="43" s="1"/>
  <c r="R8" i="43"/>
  <c r="T8" i="43" s="1"/>
  <c r="R7" i="43"/>
  <c r="T7" i="43" s="1"/>
  <c r="R6" i="43"/>
  <c r="T6" i="43" s="1"/>
  <c r="R5" i="43"/>
  <c r="T5" i="43" s="1"/>
  <c r="R4" i="43"/>
  <c r="T4" i="43" s="1"/>
  <c r="R3" i="43"/>
  <c r="T3" i="43" s="1"/>
  <c r="R2" i="43"/>
  <c r="T2" i="43" s="1"/>
  <c r="R19" i="42"/>
  <c r="T19" i="42" s="1"/>
  <c r="R18" i="42"/>
  <c r="T18" i="42" s="1"/>
  <c r="R17" i="42"/>
  <c r="T17" i="42" s="1"/>
  <c r="R16" i="42"/>
  <c r="T16" i="42" s="1"/>
  <c r="R15" i="42"/>
  <c r="T15" i="42" s="1"/>
  <c r="R14" i="42"/>
  <c r="T14" i="42" s="1"/>
  <c r="R13" i="42"/>
  <c r="T13" i="42" s="1"/>
  <c r="R12" i="42"/>
  <c r="T12" i="42" s="1"/>
  <c r="R11" i="42"/>
  <c r="T11" i="42" s="1"/>
  <c r="R48" i="21"/>
  <c r="T48" i="21" s="1"/>
  <c r="R47" i="21"/>
  <c r="T47" i="21" s="1"/>
  <c r="R44" i="21"/>
  <c r="T44" i="21" s="1"/>
  <c r="R42" i="21"/>
  <c r="T42" i="21" s="1"/>
  <c r="R40" i="21"/>
  <c r="T40" i="21" s="1"/>
  <c r="R37" i="21"/>
  <c r="T37" i="21" s="1"/>
  <c r="R35" i="21"/>
  <c r="T35" i="21" s="1"/>
  <c r="R33" i="21"/>
  <c r="T33" i="21" s="1"/>
  <c r="R11" i="12"/>
  <c r="T11" i="12" s="1"/>
  <c r="R18" i="1" s="1"/>
  <c r="R536" i="9"/>
  <c r="T536" i="9" s="1"/>
  <c r="R511" i="9"/>
  <c r="T511" i="9" s="1"/>
  <c r="R503" i="9"/>
  <c r="T503" i="9" s="1"/>
  <c r="R450" i="9"/>
  <c r="T450" i="9" s="1"/>
  <c r="R31" i="21"/>
  <c r="T31" i="21" s="1"/>
  <c r="R28" i="21"/>
  <c r="T28" i="21" s="1"/>
  <c r="R26" i="21"/>
  <c r="T26" i="21" s="1"/>
  <c r="R23" i="21"/>
  <c r="T23" i="21" s="1"/>
  <c r="R21" i="21"/>
  <c r="T21" i="21" s="1"/>
  <c r="R19" i="21"/>
  <c r="T19" i="21" s="1"/>
  <c r="R17" i="21"/>
  <c r="T17" i="21" s="1"/>
  <c r="R16" i="21"/>
  <c r="T16" i="21" s="1"/>
  <c r="R14" i="21"/>
  <c r="T14" i="21" s="1"/>
  <c r="R12" i="21"/>
  <c r="T12" i="21" s="1"/>
  <c r="R10" i="21"/>
  <c r="T10" i="21" s="1"/>
  <c r="R8" i="21"/>
  <c r="T8" i="21" s="1"/>
  <c r="R6" i="21"/>
  <c r="T6" i="21" s="1"/>
  <c r="R4" i="21"/>
  <c r="T4" i="21" s="1"/>
  <c r="R41" i="20"/>
  <c r="T41" i="20" s="1"/>
  <c r="R39" i="20"/>
  <c r="T39" i="20" s="1"/>
  <c r="R38" i="20"/>
  <c r="T38" i="20" s="1"/>
  <c r="R36" i="20"/>
  <c r="T36" i="20" s="1"/>
  <c r="R34" i="20"/>
  <c r="T34" i="20" s="1"/>
  <c r="R31" i="20"/>
  <c r="T31" i="20" s="1"/>
  <c r="R27" i="20"/>
  <c r="T27" i="20" s="1"/>
  <c r="Q24" i="20"/>
  <c r="R9" i="42"/>
  <c r="T9" i="42" s="1"/>
  <c r="R8" i="42"/>
  <c r="T8" i="42" s="1"/>
  <c r="R7" i="42"/>
  <c r="T7" i="42" s="1"/>
  <c r="R6" i="42"/>
  <c r="T6" i="42" s="1"/>
  <c r="R5" i="42"/>
  <c r="T5" i="42" s="1"/>
  <c r="R4" i="42"/>
  <c r="T4" i="42" s="1"/>
  <c r="R3" i="42"/>
  <c r="T3" i="42" s="1"/>
  <c r="R2" i="42"/>
  <c r="T2" i="42" s="1"/>
  <c r="R9" i="41"/>
  <c r="T9" i="41" s="1"/>
  <c r="R8" i="41"/>
  <c r="T8" i="41" s="1"/>
  <c r="R7" i="41"/>
  <c r="T7" i="41" s="1"/>
  <c r="R6" i="41"/>
  <c r="T6" i="41" s="1"/>
  <c r="R5" i="41"/>
  <c r="T5" i="41" s="1"/>
  <c r="R4" i="41"/>
  <c r="T4" i="41" s="1"/>
  <c r="R3" i="41"/>
  <c r="T3" i="41" s="1"/>
  <c r="R2" i="41"/>
  <c r="T2" i="41" s="1"/>
  <c r="R3" i="40"/>
  <c r="T3" i="40" s="1"/>
  <c r="R2" i="40"/>
  <c r="T2" i="40" s="1"/>
  <c r="R9" i="39"/>
  <c r="T9" i="39" s="1"/>
  <c r="R8" i="39"/>
  <c r="T8" i="39" s="1"/>
  <c r="R7" i="39"/>
  <c r="T7" i="39" s="1"/>
  <c r="R6" i="39"/>
  <c r="T6" i="39" s="1"/>
  <c r="R5" i="39"/>
  <c r="T5" i="39" s="1"/>
  <c r="R4" i="39"/>
  <c r="T4" i="39" s="1"/>
  <c r="R3" i="39"/>
  <c r="T3" i="39" s="1"/>
  <c r="R2" i="39"/>
  <c r="T2" i="39" s="1"/>
  <c r="R9" i="38"/>
  <c r="T9" i="38" s="1"/>
  <c r="R8" i="38"/>
  <c r="T8" i="38" s="1"/>
  <c r="R7" i="38"/>
  <c r="T7" i="38" s="1"/>
  <c r="R6" i="38"/>
  <c r="T6" i="38" s="1"/>
  <c r="R5" i="38"/>
  <c r="T5" i="38" s="1"/>
  <c r="R4" i="38"/>
  <c r="T4" i="38" s="1"/>
  <c r="R3" i="38"/>
  <c r="T3" i="38" s="1"/>
  <c r="R2" i="38"/>
  <c r="T2" i="38" s="1"/>
  <c r="R7" i="37"/>
  <c r="T7" i="37" s="1"/>
  <c r="R6" i="37"/>
  <c r="T6" i="37" s="1"/>
  <c r="R5" i="37"/>
  <c r="T5" i="37" s="1"/>
  <c r="R4" i="37"/>
  <c r="T4" i="37" s="1"/>
  <c r="R3" i="37"/>
  <c r="T3" i="37" s="1"/>
  <c r="R2" i="37"/>
  <c r="T2" i="37" s="1"/>
  <c r="R22" i="36"/>
  <c r="T22" i="36" s="1"/>
  <c r="R21" i="36"/>
  <c r="T21" i="36" s="1"/>
  <c r="R20" i="36"/>
  <c r="T20" i="36" s="1"/>
  <c r="R19" i="36"/>
  <c r="T19" i="36" s="1"/>
  <c r="R18" i="36"/>
  <c r="T18" i="36" s="1"/>
  <c r="R17" i="36"/>
  <c r="T17" i="36" s="1"/>
  <c r="R16" i="36"/>
  <c r="T16" i="36" s="1"/>
  <c r="R15" i="36"/>
  <c r="T15" i="36" s="1"/>
  <c r="R14" i="36"/>
  <c r="T14" i="36" s="1"/>
  <c r="R13" i="36"/>
  <c r="T13" i="36" s="1"/>
  <c r="R12" i="36"/>
  <c r="T12" i="36" s="1"/>
  <c r="R11" i="36"/>
  <c r="T11" i="36" s="1"/>
  <c r="R10" i="36"/>
  <c r="T10" i="36" s="1"/>
  <c r="R9" i="36"/>
  <c r="T9" i="36" s="1"/>
  <c r="R8" i="36"/>
  <c r="T8" i="36" s="1"/>
  <c r="R7" i="36"/>
  <c r="T7" i="36" s="1"/>
  <c r="R6" i="36"/>
  <c r="T6" i="36" s="1"/>
  <c r="R5" i="36"/>
  <c r="T5" i="36" s="1"/>
  <c r="R4" i="36"/>
  <c r="T4" i="36" s="1"/>
  <c r="R3" i="36"/>
  <c r="T3" i="36" s="1"/>
  <c r="R2" i="36"/>
  <c r="T2" i="36" s="1"/>
  <c r="R13" i="32"/>
  <c r="T13" i="32" s="1"/>
  <c r="R12" i="32"/>
  <c r="T12" i="32" s="1"/>
  <c r="R11" i="32"/>
  <c r="T11" i="32" s="1"/>
  <c r="R10" i="32"/>
  <c r="T10" i="32" s="1"/>
  <c r="R9" i="32"/>
  <c r="T9" i="32" s="1"/>
  <c r="R8" i="32"/>
  <c r="T8" i="32" s="1"/>
  <c r="R7" i="32"/>
  <c r="T7" i="32" s="1"/>
  <c r="R6" i="32"/>
  <c r="T6" i="32" s="1"/>
  <c r="R5" i="32"/>
  <c r="T5" i="32" s="1"/>
  <c r="R4" i="32"/>
  <c r="T4" i="32" s="1"/>
  <c r="R3" i="32"/>
  <c r="T3" i="32" s="1"/>
  <c r="R2" i="32"/>
  <c r="R50" i="9"/>
  <c r="T50" i="9" s="1"/>
  <c r="R3" i="31"/>
  <c r="T3" i="31" s="1"/>
  <c r="R320" i="9"/>
  <c r="T320" i="9" s="1"/>
  <c r="R319" i="9"/>
  <c r="T319" i="9" s="1"/>
  <c r="R318" i="9"/>
  <c r="T318" i="9" s="1"/>
  <c r="R317" i="9"/>
  <c r="T317" i="9" s="1"/>
  <c r="R316" i="9"/>
  <c r="T316" i="9" s="1"/>
  <c r="R314" i="9"/>
  <c r="T314" i="9" s="1"/>
  <c r="C72" i="7" s="1"/>
  <c r="R313" i="9"/>
  <c r="T313" i="9" s="1"/>
  <c r="C80" i="7" s="1"/>
  <c r="R308" i="9"/>
  <c r="T308" i="9" s="1"/>
  <c r="R307" i="9"/>
  <c r="T307" i="9" s="1"/>
  <c r="R306" i="9"/>
  <c r="T306" i="9" s="1"/>
  <c r="R305" i="9"/>
  <c r="T305" i="9" s="1"/>
  <c r="R304" i="9"/>
  <c r="T304" i="9" s="1"/>
  <c r="R303" i="9"/>
  <c r="T303" i="9" s="1"/>
  <c r="R302" i="9"/>
  <c r="T302" i="9" s="1"/>
  <c r="R301" i="9"/>
  <c r="T301" i="9" s="1"/>
  <c r="R300" i="9"/>
  <c r="T300" i="9" s="1"/>
  <c r="R299" i="9"/>
  <c r="T299" i="9" s="1"/>
  <c r="R298" i="9"/>
  <c r="T298" i="9" s="1"/>
  <c r="R297" i="9"/>
  <c r="T297" i="9" s="1"/>
  <c r="R296" i="9"/>
  <c r="T296" i="9" s="1"/>
  <c r="R295" i="9"/>
  <c r="T295" i="9" s="1"/>
  <c r="R294" i="9"/>
  <c r="T294" i="9" s="1"/>
  <c r="R293" i="9"/>
  <c r="T293" i="9" s="1"/>
  <c r="R292" i="9"/>
  <c r="T292" i="9" s="1"/>
  <c r="R291" i="9"/>
  <c r="T291" i="9" s="1"/>
  <c r="R290" i="9"/>
  <c r="T290" i="9" s="1"/>
  <c r="R289" i="9"/>
  <c r="T289" i="9" s="1"/>
  <c r="R288" i="9"/>
  <c r="T288" i="9" s="1"/>
  <c r="R287" i="9"/>
  <c r="T287" i="9" s="1"/>
  <c r="R286" i="9"/>
  <c r="T286" i="9" s="1"/>
  <c r="R285" i="9"/>
  <c r="T285" i="9" s="1"/>
  <c r="R284" i="9"/>
  <c r="T284" i="9" s="1"/>
  <c r="R283" i="9"/>
  <c r="T283" i="9" s="1"/>
  <c r="R282" i="9"/>
  <c r="T282" i="9" s="1"/>
  <c r="R281" i="9"/>
  <c r="T281" i="9" s="1"/>
  <c r="R280" i="9"/>
  <c r="T280" i="9" s="1"/>
  <c r="R279" i="9"/>
  <c r="T279" i="9" s="1"/>
  <c r="R278" i="9"/>
  <c r="T278" i="9" s="1"/>
  <c r="R277" i="9"/>
  <c r="T277" i="9" s="1"/>
  <c r="R276" i="9"/>
  <c r="T276" i="9" s="1"/>
  <c r="R275" i="9"/>
  <c r="T275" i="9" s="1"/>
  <c r="R274" i="9"/>
  <c r="T274" i="9" s="1"/>
  <c r="R273" i="9"/>
  <c r="T273" i="9" s="1"/>
  <c r="R272" i="9"/>
  <c r="T272" i="9" s="1"/>
  <c r="R271" i="9"/>
  <c r="T271" i="9" s="1"/>
  <c r="R270" i="9"/>
  <c r="T270" i="9" s="1"/>
  <c r="R269" i="9"/>
  <c r="T269" i="9" s="1"/>
  <c r="R268" i="9"/>
  <c r="T268" i="9" s="1"/>
  <c r="R267" i="9"/>
  <c r="T267" i="9" s="1"/>
  <c r="R266" i="9"/>
  <c r="T266" i="9" s="1"/>
  <c r="R265" i="9"/>
  <c r="T265" i="9" s="1"/>
  <c r="R264" i="9"/>
  <c r="T264" i="9" s="1"/>
  <c r="R263" i="9"/>
  <c r="T263" i="9" s="1"/>
  <c r="R262" i="9"/>
  <c r="T262" i="9" s="1"/>
  <c r="R261" i="9"/>
  <c r="T261" i="9" s="1"/>
  <c r="R260" i="9"/>
  <c r="T260" i="9" s="1"/>
  <c r="R259" i="9"/>
  <c r="T259" i="9" s="1"/>
  <c r="R258" i="9"/>
  <c r="T258" i="9" s="1"/>
  <c r="R257" i="9"/>
  <c r="T257" i="9" s="1"/>
  <c r="R256" i="9"/>
  <c r="T256" i="9" s="1"/>
  <c r="R255" i="9"/>
  <c r="T255" i="9" s="1"/>
  <c r="R254" i="9"/>
  <c r="T254" i="9" s="1"/>
  <c r="R253" i="9"/>
  <c r="T253" i="9" s="1"/>
  <c r="R252" i="9"/>
  <c r="T252" i="9" s="1"/>
  <c r="R251" i="9"/>
  <c r="T251" i="9" s="1"/>
  <c r="R250" i="9"/>
  <c r="T250" i="9" s="1"/>
  <c r="R249" i="9"/>
  <c r="T249" i="9" s="1"/>
  <c r="R248" i="9"/>
  <c r="T248" i="9" s="1"/>
  <c r="R247" i="9"/>
  <c r="T247" i="9" s="1"/>
  <c r="R246" i="9"/>
  <c r="T246" i="9" s="1"/>
  <c r="R245" i="9"/>
  <c r="T245" i="9" s="1"/>
  <c r="R244" i="9"/>
  <c r="T244" i="9" s="1"/>
  <c r="R243" i="9"/>
  <c r="T243" i="9" s="1"/>
  <c r="R242" i="9"/>
  <c r="T242" i="9" s="1"/>
  <c r="R241" i="9"/>
  <c r="T241" i="9" s="1"/>
  <c r="R240" i="9"/>
  <c r="T240" i="9" s="1"/>
  <c r="R239" i="9"/>
  <c r="T239" i="9" s="1"/>
  <c r="R238" i="9"/>
  <c r="T238" i="9" s="1"/>
  <c r="R237" i="9"/>
  <c r="T237" i="9" s="1"/>
  <c r="R236" i="9"/>
  <c r="T236" i="9" s="1"/>
  <c r="R235" i="9"/>
  <c r="T235" i="9" s="1"/>
  <c r="R234" i="9"/>
  <c r="T234" i="9" s="1"/>
  <c r="R233" i="9"/>
  <c r="T233" i="9" s="1"/>
  <c r="R232" i="9"/>
  <c r="T232" i="9" s="1"/>
  <c r="R231" i="9"/>
  <c r="T231" i="9" s="1"/>
  <c r="R230" i="9"/>
  <c r="T230" i="9" s="1"/>
  <c r="R229" i="9"/>
  <c r="T229" i="9" s="1"/>
  <c r="R228" i="9"/>
  <c r="T228" i="9" s="1"/>
  <c r="R227" i="9"/>
  <c r="T227" i="9" s="1"/>
  <c r="R226" i="9"/>
  <c r="T226" i="9" s="1"/>
  <c r="R225" i="9"/>
  <c r="T225" i="9" s="1"/>
  <c r="R224" i="9"/>
  <c r="T224" i="9" s="1"/>
  <c r="R223" i="9"/>
  <c r="T223" i="9" s="1"/>
  <c r="R222" i="9"/>
  <c r="T222" i="9" s="1"/>
  <c r="R221" i="9"/>
  <c r="T221" i="9" s="1"/>
  <c r="R220" i="9"/>
  <c r="T220" i="9" s="1"/>
  <c r="R219" i="9"/>
  <c r="T219" i="9" s="1"/>
  <c r="R218" i="9"/>
  <c r="T218" i="9" s="1"/>
  <c r="R217" i="9"/>
  <c r="T217" i="9" s="1"/>
  <c r="R216" i="9"/>
  <c r="T216" i="9" s="1"/>
  <c r="R215" i="9"/>
  <c r="T215" i="9" s="1"/>
  <c r="R214" i="9"/>
  <c r="T214" i="9" s="1"/>
  <c r="R213" i="9"/>
  <c r="T213" i="9" s="1"/>
  <c r="R212" i="9"/>
  <c r="T212" i="9" s="1"/>
  <c r="R211" i="9"/>
  <c r="T211" i="9" s="1"/>
  <c r="R210" i="9"/>
  <c r="T210" i="9" s="1"/>
  <c r="R209" i="9"/>
  <c r="T209" i="9" s="1"/>
  <c r="R208" i="9"/>
  <c r="T208" i="9" s="1"/>
  <c r="R207" i="9"/>
  <c r="T207" i="9" s="1"/>
  <c r="R206" i="9"/>
  <c r="T206" i="9" s="1"/>
  <c r="R205" i="9"/>
  <c r="T205" i="9" s="1"/>
  <c r="R204" i="9"/>
  <c r="T204" i="9" s="1"/>
  <c r="R203" i="9"/>
  <c r="T203" i="9" s="1"/>
  <c r="R202" i="9"/>
  <c r="T202" i="9" s="1"/>
  <c r="R201" i="9"/>
  <c r="T201" i="9" s="1"/>
  <c r="R200" i="9"/>
  <c r="T200" i="9" s="1"/>
  <c r="R199" i="9"/>
  <c r="T199" i="9" s="1"/>
  <c r="R198" i="9"/>
  <c r="T198" i="9" s="1"/>
  <c r="R197" i="9"/>
  <c r="T197" i="9" s="1"/>
  <c r="R196" i="9"/>
  <c r="T196" i="9" s="1"/>
  <c r="R195" i="9"/>
  <c r="T195" i="9" s="1"/>
  <c r="R194" i="9"/>
  <c r="T194" i="9" s="1"/>
  <c r="R193" i="9"/>
  <c r="T193" i="9" s="1"/>
  <c r="R192" i="9"/>
  <c r="T192" i="9" s="1"/>
  <c r="R191" i="9"/>
  <c r="T191" i="9" s="1"/>
  <c r="R190" i="9"/>
  <c r="T190" i="9" s="1"/>
  <c r="R189" i="9"/>
  <c r="T189" i="9" s="1"/>
  <c r="R188" i="9"/>
  <c r="T188" i="9" s="1"/>
  <c r="R187" i="9"/>
  <c r="T187" i="9" s="1"/>
  <c r="R186" i="9"/>
  <c r="T186" i="9" s="1"/>
  <c r="R185" i="9"/>
  <c r="T185" i="9" s="1"/>
  <c r="R184" i="9"/>
  <c r="T184" i="9" s="1"/>
  <c r="R183" i="9"/>
  <c r="T183" i="9" s="1"/>
  <c r="R182" i="9"/>
  <c r="T182" i="9" s="1"/>
  <c r="R181" i="9"/>
  <c r="T181" i="9" s="1"/>
  <c r="R180" i="9"/>
  <c r="T180" i="9" s="1"/>
  <c r="R179" i="9"/>
  <c r="T179" i="9" s="1"/>
  <c r="R178" i="9"/>
  <c r="T178" i="9" s="1"/>
  <c r="R177" i="9"/>
  <c r="T177" i="9" s="1"/>
  <c r="R176" i="9"/>
  <c r="T176" i="9" s="1"/>
  <c r="R175" i="9"/>
  <c r="T175" i="9" s="1"/>
  <c r="R174" i="9"/>
  <c r="T174" i="9" s="1"/>
  <c r="R173" i="9"/>
  <c r="T173" i="9" s="1"/>
  <c r="R172" i="9"/>
  <c r="T172" i="9" s="1"/>
  <c r="R171" i="9"/>
  <c r="T171" i="9" s="1"/>
  <c r="R170" i="9"/>
  <c r="T170" i="9" s="1"/>
  <c r="R169" i="9"/>
  <c r="T169" i="9" s="1"/>
  <c r="R168" i="9"/>
  <c r="T168" i="9" s="1"/>
  <c r="R167" i="9"/>
  <c r="T167" i="9" s="1"/>
  <c r="R166" i="9"/>
  <c r="T166" i="9" s="1"/>
  <c r="R165" i="9"/>
  <c r="T165" i="9" s="1"/>
  <c r="R164" i="9"/>
  <c r="T164" i="9" s="1"/>
  <c r="R163" i="9"/>
  <c r="T163" i="9" s="1"/>
  <c r="R162" i="9"/>
  <c r="T162" i="9" s="1"/>
  <c r="R161" i="9"/>
  <c r="T161" i="9" s="1"/>
  <c r="R160" i="9"/>
  <c r="T160" i="9" s="1"/>
  <c r="R159" i="9"/>
  <c r="T159" i="9" s="1"/>
  <c r="R158" i="9"/>
  <c r="T158" i="9" s="1"/>
  <c r="R157" i="9"/>
  <c r="T157" i="9" s="1"/>
  <c r="R156" i="9"/>
  <c r="T156" i="9" s="1"/>
  <c r="R155" i="9"/>
  <c r="T155" i="9" s="1"/>
  <c r="R154" i="9"/>
  <c r="T154" i="9" s="1"/>
  <c r="R153" i="9"/>
  <c r="T153" i="9" s="1"/>
  <c r="R152" i="9"/>
  <c r="T152" i="9" s="1"/>
  <c r="R151" i="9"/>
  <c r="T151" i="9" s="1"/>
  <c r="R150" i="9"/>
  <c r="T150" i="9" s="1"/>
  <c r="R149" i="9"/>
  <c r="T149" i="9" s="1"/>
  <c r="R148" i="9"/>
  <c r="T148" i="9" s="1"/>
  <c r="R147" i="9"/>
  <c r="T147" i="9" s="1"/>
  <c r="R146" i="9"/>
  <c r="T146" i="9" s="1"/>
  <c r="R145" i="9"/>
  <c r="T145" i="9" s="1"/>
  <c r="R144" i="9"/>
  <c r="T144" i="9" s="1"/>
  <c r="R143" i="9"/>
  <c r="T143" i="9" s="1"/>
  <c r="R112" i="9"/>
  <c r="T112" i="9" s="1"/>
  <c r="R110" i="9"/>
  <c r="T110" i="9" s="1"/>
  <c r="R109" i="9"/>
  <c r="T109" i="9" s="1"/>
  <c r="R108" i="9"/>
  <c r="T108" i="9" s="1"/>
  <c r="R102" i="9"/>
  <c r="T102" i="9" s="1"/>
  <c r="R101" i="9"/>
  <c r="T101" i="9" s="1"/>
  <c r="R100" i="9"/>
  <c r="T100" i="9" s="1"/>
  <c r="R99" i="9"/>
  <c r="T99" i="9" s="1"/>
  <c r="R98" i="9"/>
  <c r="T98" i="9" s="1"/>
  <c r="R97" i="9"/>
  <c r="T97" i="9" s="1"/>
  <c r="R95" i="9"/>
  <c r="T95" i="9" s="1"/>
  <c r="R93" i="9"/>
  <c r="T93" i="9" s="1"/>
  <c r="R92" i="9"/>
  <c r="T92" i="9" s="1"/>
  <c r="R89" i="9"/>
  <c r="T89" i="9" s="1"/>
  <c r="R85" i="9"/>
  <c r="T85" i="9" s="1"/>
  <c r="R84" i="9"/>
  <c r="T84" i="9" s="1"/>
  <c r="R83" i="9"/>
  <c r="T83" i="9" s="1"/>
  <c r="R81" i="9"/>
  <c r="T81" i="9" s="1"/>
  <c r="R79" i="9"/>
  <c r="T79" i="9" s="1"/>
  <c r="R77" i="9"/>
  <c r="T77" i="9" s="1"/>
  <c r="R76" i="9"/>
  <c r="T76" i="9" s="1"/>
  <c r="R75" i="9"/>
  <c r="T75" i="9" s="1"/>
  <c r="R73" i="9"/>
  <c r="T73" i="9" s="1"/>
  <c r="R68" i="9"/>
  <c r="T68" i="9" s="1"/>
  <c r="C73" i="7" s="1"/>
  <c r="R65" i="9"/>
  <c r="T65" i="9" s="1"/>
  <c r="R59" i="9"/>
  <c r="T59" i="9" s="1"/>
  <c r="R58" i="9"/>
  <c r="T58" i="9" s="1"/>
  <c r="R57" i="9"/>
  <c r="T57" i="9" s="1"/>
  <c r="R55" i="9"/>
  <c r="T55" i="9" s="1"/>
  <c r="R52" i="9"/>
  <c r="T52" i="9" s="1"/>
  <c r="R49" i="9"/>
  <c r="T49" i="9" s="1"/>
  <c r="R48" i="9"/>
  <c r="T48" i="9" s="1"/>
  <c r="R47" i="9"/>
  <c r="T47" i="9" s="1"/>
  <c r="R46" i="9"/>
  <c r="T46" i="9" s="1"/>
  <c r="R45" i="9"/>
  <c r="T45" i="9" s="1"/>
  <c r="R44" i="9"/>
  <c r="T44" i="9" s="1"/>
  <c r="R43" i="9"/>
  <c r="T43" i="9" s="1"/>
  <c r="R39" i="9"/>
  <c r="T39" i="9" s="1"/>
  <c r="R38" i="9"/>
  <c r="T38" i="9" s="1"/>
  <c r="C71" i="7" s="1"/>
  <c r="R35" i="9"/>
  <c r="T35" i="9" s="1"/>
  <c r="R33" i="9"/>
  <c r="T33" i="9" s="1"/>
  <c r="C77" i="7" s="1"/>
  <c r="Q14" i="17"/>
  <c r="S40" i="51" l="1"/>
  <c r="U40" i="51" s="1"/>
  <c r="R14" i="17"/>
  <c r="T14" i="17" s="1"/>
  <c r="Q15" i="12"/>
  <c r="R369" i="57"/>
  <c r="T369" i="57" s="1"/>
  <c r="S91" i="51"/>
  <c r="U91" i="51" s="1"/>
  <c r="R82" i="57"/>
  <c r="T82" i="57" s="1"/>
  <c r="R60" i="57"/>
  <c r="T60" i="57" s="1"/>
  <c r="R15" i="57"/>
  <c r="T15" i="57" s="1"/>
  <c r="R576" i="9"/>
  <c r="T576" i="9" s="1"/>
  <c r="T2" i="30"/>
  <c r="T3" i="26"/>
  <c r="S108" i="54"/>
  <c r="U108" i="54" s="1"/>
  <c r="R82" i="44"/>
  <c r="T82" i="44" s="1"/>
  <c r="S236" i="51"/>
  <c r="U236" i="51" s="1"/>
  <c r="S231" i="51"/>
  <c r="U231" i="51" s="1"/>
  <c r="S196" i="51"/>
  <c r="U196" i="51" s="1"/>
  <c r="I18" i="52"/>
  <c r="I19" i="52"/>
  <c r="S180" i="51"/>
  <c r="U180" i="51" s="1"/>
  <c r="S159" i="51"/>
  <c r="U159" i="51" s="1"/>
  <c r="R29" i="57"/>
  <c r="T29" i="57" s="1"/>
  <c r="R17" i="57"/>
  <c r="T17" i="57" s="1"/>
  <c r="R136" i="57"/>
  <c r="T136" i="57" s="1"/>
  <c r="R575" i="9"/>
  <c r="T575" i="9" s="1"/>
  <c r="R447" i="57"/>
  <c r="T447" i="57" s="1"/>
  <c r="R9" i="34"/>
  <c r="T9" i="34" s="1"/>
  <c r="R68" i="57"/>
  <c r="T68" i="57" s="1"/>
  <c r="R4" i="19"/>
  <c r="R36" i="34"/>
  <c r="T36" i="34" s="1"/>
  <c r="R4" i="57"/>
  <c r="T4" i="57" s="1"/>
  <c r="R2" i="57"/>
  <c r="S71" i="54"/>
  <c r="U71" i="54" s="1"/>
  <c r="S209" i="51"/>
  <c r="U209" i="51" s="1"/>
  <c r="R4" i="47"/>
  <c r="T4" i="47" s="1"/>
  <c r="S10" i="51"/>
  <c r="U10" i="51" s="1"/>
  <c r="R451" i="57"/>
  <c r="T451" i="57" s="1"/>
  <c r="R41" i="34"/>
  <c r="T41" i="34" s="1"/>
  <c r="R10" i="17"/>
  <c r="T10" i="17" s="1"/>
  <c r="R452" i="57"/>
  <c r="T452" i="57" s="1"/>
  <c r="R441" i="57"/>
  <c r="T441" i="57" s="1"/>
  <c r="R169" i="57"/>
  <c r="T169" i="57" s="1"/>
  <c r="R164" i="57"/>
  <c r="T164" i="57" s="1"/>
  <c r="R150" i="57"/>
  <c r="T150" i="57" s="1"/>
  <c r="R145" i="1"/>
  <c r="R146" i="1" s="1"/>
  <c r="R143" i="1" s="1"/>
  <c r="G23" i="3"/>
  <c r="R25" i="57"/>
  <c r="T25" i="57" s="1"/>
  <c r="R436" i="57"/>
  <c r="T436" i="57" s="1"/>
  <c r="AB6" i="60"/>
  <c r="D23" i="3"/>
  <c r="D22" i="4"/>
  <c r="F22" i="4" s="1"/>
  <c r="T3" i="23"/>
  <c r="R5" i="22"/>
  <c r="T5" i="22"/>
  <c r="R7" i="26"/>
  <c r="T7" i="26"/>
  <c r="S203" i="51"/>
  <c r="U203" i="51" s="1"/>
  <c r="S221" i="51"/>
  <c r="U221" i="51" s="1"/>
  <c r="R342" i="57"/>
  <c r="T342" i="57" s="1"/>
  <c r="R463" i="57"/>
  <c r="T463" i="57" s="1"/>
  <c r="R460" i="57"/>
  <c r="T460" i="57" s="1"/>
  <c r="R13" i="57"/>
  <c r="T13" i="57" s="1"/>
  <c r="R308" i="57"/>
  <c r="T308" i="57" s="1"/>
  <c r="R8" i="17"/>
  <c r="T8" i="17" s="1"/>
  <c r="R6" i="35"/>
  <c r="T6" i="35" s="1"/>
  <c r="R439" i="57"/>
  <c r="T439" i="57" s="1"/>
  <c r="R97" i="57"/>
  <c r="T97" i="57" s="1"/>
  <c r="S185" i="51"/>
  <c r="U185" i="51" s="1"/>
  <c r="S151" i="51"/>
  <c r="U151" i="51" s="1"/>
  <c r="S82" i="51"/>
  <c r="U82" i="51" s="1"/>
  <c r="S210" i="51"/>
  <c r="U210" i="51" s="1"/>
  <c r="Q5" i="12"/>
  <c r="C64" i="7"/>
  <c r="R444" i="57"/>
  <c r="T444" i="57" s="1"/>
  <c r="R442" i="57"/>
  <c r="T442" i="57" s="1"/>
  <c r="C57" i="7"/>
  <c r="R471" i="57"/>
  <c r="T471" i="57" s="1"/>
  <c r="T8" i="62"/>
  <c r="AC8" i="62"/>
  <c r="I159" i="1"/>
  <c r="O159" i="1"/>
  <c r="O160" i="1" s="1"/>
  <c r="O148" i="1" s="1"/>
  <c r="S159" i="1"/>
  <c r="S160" i="1" s="1"/>
  <c r="D24" i="3"/>
  <c r="F24" i="3"/>
  <c r="D23" i="4"/>
  <c r="F23" i="4" s="1"/>
  <c r="I151" i="1"/>
  <c r="P151" i="1"/>
  <c r="S151" i="1"/>
  <c r="AC6" i="60"/>
  <c r="S145" i="1"/>
  <c r="S146" i="1" s="1"/>
  <c r="S143" i="1" s="1"/>
  <c r="T6" i="60"/>
  <c r="I145" i="1"/>
  <c r="P145" i="1"/>
  <c r="P146" i="1" s="1"/>
  <c r="P143" i="1" s="1"/>
  <c r="M6" i="51"/>
  <c r="N6" i="51" s="1"/>
  <c r="M2" i="51"/>
  <c r="N2" i="51" s="1"/>
  <c r="M130" i="51"/>
  <c r="N130" i="51" s="1"/>
  <c r="M134" i="51"/>
  <c r="N134" i="51" s="1"/>
  <c r="R323" i="57"/>
  <c r="T323" i="57" s="1"/>
  <c r="R316" i="57"/>
  <c r="T316" i="57" s="1"/>
  <c r="R60" i="9"/>
  <c r="T60" i="9" s="1"/>
  <c r="R23" i="34"/>
  <c r="T23" i="34" s="1"/>
  <c r="S205" i="51"/>
  <c r="U205" i="51" s="1"/>
  <c r="R396" i="9"/>
  <c r="T396" i="9" s="1"/>
  <c r="Q5" i="55"/>
  <c r="S235" i="51"/>
  <c r="U235" i="51" s="1"/>
  <c r="R18" i="17"/>
  <c r="T18" i="17" s="1"/>
  <c r="R3" i="57"/>
  <c r="T3" i="57" s="1"/>
  <c r="R421" i="57"/>
  <c r="T421" i="57" s="1"/>
  <c r="S55" i="51"/>
  <c r="U55" i="51" s="1"/>
  <c r="R5" i="55"/>
  <c r="T5" i="55" s="1"/>
  <c r="Q7" i="55"/>
  <c r="S141" i="51"/>
  <c r="U141" i="51" s="1"/>
  <c r="R504" i="57"/>
  <c r="T504" i="57" s="1"/>
  <c r="R355" i="57"/>
  <c r="T355" i="57" s="1"/>
  <c r="R299" i="57"/>
  <c r="T299" i="57" s="1"/>
  <c r="S198" i="51"/>
  <c r="U198" i="51" s="1"/>
  <c r="R362" i="57"/>
  <c r="T362" i="57" s="1"/>
  <c r="R321" i="57"/>
  <c r="T321" i="57" s="1"/>
  <c r="S187" i="51"/>
  <c r="U187" i="51" s="1"/>
  <c r="S138" i="51"/>
  <c r="U138" i="51" s="1"/>
  <c r="R7" i="55"/>
  <c r="T7" i="55" s="1"/>
  <c r="R5" i="17"/>
  <c r="T5" i="17" s="1"/>
  <c r="R100" i="57"/>
  <c r="T100" i="57" s="1"/>
  <c r="R96" i="57"/>
  <c r="T96" i="57" s="1"/>
  <c r="R80" i="57"/>
  <c r="T80" i="57" s="1"/>
  <c r="R34" i="57"/>
  <c r="T34" i="57" s="1"/>
  <c r="R18" i="57"/>
  <c r="T18" i="57" s="1"/>
  <c r="T4" i="19"/>
  <c r="Q18" i="12"/>
  <c r="R464" i="57"/>
  <c r="T464" i="57" s="1"/>
  <c r="R438" i="57"/>
  <c r="T438" i="57" s="1"/>
  <c r="S103" i="51"/>
  <c r="U103" i="51" s="1"/>
  <c r="R7" i="47"/>
  <c r="T7" i="47" s="1"/>
  <c r="R85" i="44"/>
  <c r="T85" i="44" s="1"/>
  <c r="S213" i="51"/>
  <c r="U213" i="51" s="1"/>
  <c r="C59" i="7"/>
  <c r="C79" i="7"/>
  <c r="S167" i="51"/>
  <c r="U167" i="51" s="1"/>
  <c r="S161" i="51"/>
  <c r="U161" i="51" s="1"/>
  <c r="R23" i="57"/>
  <c r="T23" i="57" s="1"/>
  <c r="R177" i="57"/>
  <c r="T177" i="57" s="1"/>
  <c r="R19" i="34"/>
  <c r="T19" i="34" s="1"/>
  <c r="R48" i="57"/>
  <c r="T48" i="57" s="1"/>
  <c r="R17" i="34"/>
  <c r="T17" i="34" s="1"/>
  <c r="R25" i="34"/>
  <c r="T25" i="34" s="1"/>
  <c r="S242" i="51"/>
  <c r="U242" i="51" s="1"/>
  <c r="S223" i="51"/>
  <c r="U223" i="51" s="1"/>
  <c r="R448" i="57"/>
  <c r="T448" i="57" s="1"/>
  <c r="R6" i="19"/>
  <c r="R18" i="12"/>
  <c r="T18" i="12" s="1"/>
  <c r="R156" i="57"/>
  <c r="T156" i="57" s="1"/>
  <c r="S70" i="51"/>
  <c r="U70" i="51" s="1"/>
  <c r="R104" i="57"/>
  <c r="T104" i="57" s="1"/>
  <c r="S95" i="51"/>
  <c r="U95" i="51" s="1"/>
  <c r="R6" i="20"/>
  <c r="T6" i="20" s="1"/>
  <c r="R55" i="44"/>
  <c r="T55" i="44" s="1"/>
  <c r="T2" i="57"/>
  <c r="T6" i="19"/>
  <c r="S178" i="51"/>
  <c r="U178" i="51" s="1"/>
  <c r="S149" i="51"/>
  <c r="U149" i="51" s="1"/>
  <c r="R26" i="20"/>
  <c r="T26" i="20" s="1"/>
  <c r="S145" i="54"/>
  <c r="U145" i="54" s="1"/>
  <c r="S226" i="51"/>
  <c r="U226" i="51" s="1"/>
  <c r="S215" i="54"/>
  <c r="U215" i="54" s="1"/>
  <c r="R15" i="17"/>
  <c r="T15" i="17" s="1"/>
  <c r="R433" i="57"/>
  <c r="T433" i="57" s="1"/>
  <c r="R3" i="47"/>
  <c r="T3" i="47" s="1"/>
  <c r="S21" i="51"/>
  <c r="U21" i="51" s="1"/>
  <c r="R183" i="57"/>
  <c r="T183" i="57" s="1"/>
  <c r="R152" i="57"/>
  <c r="T152" i="57" s="1"/>
  <c r="R151" i="57"/>
  <c r="T151" i="57" s="1"/>
  <c r="R148" i="57"/>
  <c r="T148" i="57" s="1"/>
  <c r="S228" i="51"/>
  <c r="U228" i="51" s="1"/>
  <c r="R14" i="57"/>
  <c r="T14" i="57" s="1"/>
  <c r="R38" i="34"/>
  <c r="T38" i="34" s="1"/>
  <c r="R455" i="57"/>
  <c r="T455" i="57" s="1"/>
  <c r="AC14" i="61"/>
  <c r="D9" i="3"/>
  <c r="S233" i="51"/>
  <c r="U233" i="51" s="1"/>
  <c r="S211" i="51"/>
  <c r="U211" i="51" s="1"/>
  <c r="R5" i="34"/>
  <c r="T5" i="34" s="1"/>
  <c r="R218" i="57"/>
  <c r="T218" i="57" s="1"/>
  <c r="R291" i="57"/>
  <c r="T291" i="57" s="1"/>
  <c r="S237" i="51"/>
  <c r="U237" i="51" s="1"/>
  <c r="S188" i="51"/>
  <c r="U188" i="51" s="1"/>
  <c r="Q4" i="33"/>
  <c r="S88" i="51"/>
  <c r="U88" i="51" s="1"/>
  <c r="R84" i="44"/>
  <c r="T84" i="44" s="1"/>
  <c r="R322" i="57"/>
  <c r="T322" i="57" s="1"/>
  <c r="S53" i="51"/>
  <c r="U53" i="51" s="1"/>
  <c r="R278" i="57"/>
  <c r="T278" i="57" s="1"/>
  <c r="R101" i="57"/>
  <c r="T101" i="57" s="1"/>
  <c r="S96" i="51"/>
  <c r="U96" i="51" s="1"/>
  <c r="Q3" i="33"/>
  <c r="R157" i="57"/>
  <c r="T157" i="57" s="1"/>
  <c r="S99" i="51"/>
  <c r="U99" i="51" s="1"/>
  <c r="R3" i="20"/>
  <c r="T3" i="20" s="1"/>
  <c r="C70" i="7"/>
  <c r="R329" i="57"/>
  <c r="T329" i="57" s="1"/>
  <c r="R37" i="34"/>
  <c r="T37" i="34" s="1"/>
  <c r="S42" i="51"/>
  <c r="U42" i="51" s="1"/>
  <c r="R43" i="34"/>
  <c r="T43" i="34" s="1"/>
  <c r="R17" i="17"/>
  <c r="T17" i="17" s="1"/>
  <c r="R21" i="17"/>
  <c r="T21" i="17" s="1"/>
  <c r="R312" i="57"/>
  <c r="T312" i="57" s="1"/>
  <c r="S162" i="51"/>
  <c r="U162" i="51" s="1"/>
  <c r="S34" i="51"/>
  <c r="U34" i="51" s="1"/>
  <c r="R8" i="14"/>
  <c r="T8" i="14" s="1"/>
  <c r="S239" i="51"/>
  <c r="U239" i="51" s="1"/>
  <c r="R4" i="35"/>
  <c r="R54" i="57"/>
  <c r="T54" i="57" s="1"/>
  <c r="S225" i="51"/>
  <c r="U225" i="51" s="1"/>
  <c r="S114" i="51"/>
  <c r="U114" i="51" s="1"/>
  <c r="S28" i="51"/>
  <c r="U28" i="51" s="1"/>
  <c r="T14" i="61"/>
  <c r="I40" i="1"/>
  <c r="O40" i="1"/>
  <c r="R40" i="1"/>
  <c r="T4" i="18"/>
  <c r="T4" i="17"/>
  <c r="T4" i="14"/>
  <c r="T4" i="13"/>
  <c r="S19" i="1"/>
  <c r="P19" i="1"/>
  <c r="I19" i="1"/>
  <c r="T84" i="30"/>
  <c r="R84" i="30"/>
  <c r="R296" i="57"/>
  <c r="T296" i="57" s="1"/>
  <c r="R159" i="57"/>
  <c r="T159" i="57" s="1"/>
  <c r="R223" i="57"/>
  <c r="T223" i="57" s="1"/>
  <c r="S166" i="51"/>
  <c r="U166" i="51" s="1"/>
  <c r="S184" i="51"/>
  <c r="U184" i="51" s="1"/>
  <c r="R20" i="17"/>
  <c r="T20" i="17" s="1"/>
  <c r="R320" i="57"/>
  <c r="T320" i="57" s="1"/>
  <c r="R318" i="57"/>
  <c r="T318" i="57" s="1"/>
  <c r="R314" i="57"/>
  <c r="T314" i="57" s="1"/>
  <c r="R310" i="57"/>
  <c r="T310" i="57" s="1"/>
  <c r="S87" i="51"/>
  <c r="U87" i="51" s="1"/>
  <c r="G9" i="3"/>
  <c r="D11" i="4"/>
  <c r="F11" i="4" s="1"/>
  <c r="R15" i="12"/>
  <c r="T15" i="12" s="1"/>
  <c r="S199" i="51"/>
  <c r="U199" i="51" s="1"/>
  <c r="R28" i="13"/>
  <c r="T28" i="13" s="1"/>
  <c r="R24" i="13"/>
  <c r="T24" i="13" s="1"/>
  <c r="R14" i="13"/>
  <c r="T14" i="13" s="1"/>
  <c r="S11" i="51"/>
  <c r="U11" i="51" s="1"/>
  <c r="R7" i="57"/>
  <c r="T7" i="57" s="1"/>
  <c r="S181" i="51"/>
  <c r="U181" i="51" s="1"/>
  <c r="S97" i="51"/>
  <c r="U97" i="51" s="1"/>
  <c r="S25" i="51"/>
  <c r="U25" i="51" s="1"/>
  <c r="S49" i="51"/>
  <c r="U49" i="51" s="1"/>
  <c r="S48" i="51"/>
  <c r="U48" i="51" s="1"/>
  <c r="S109" i="51"/>
  <c r="U109" i="51" s="1"/>
  <c r="AC20" i="12"/>
  <c r="P18" i="1"/>
  <c r="I18" i="1"/>
  <c r="G26" i="3"/>
  <c r="R7" i="23"/>
  <c r="D8" i="4"/>
  <c r="F8" i="4" s="1"/>
  <c r="G14" i="3"/>
  <c r="D14" i="3"/>
  <c r="S98" i="1"/>
  <c r="S66" i="51"/>
  <c r="U66" i="51" s="1"/>
  <c r="S64" i="51"/>
  <c r="U64" i="51" s="1"/>
  <c r="S71" i="51"/>
  <c r="U71" i="51" s="1"/>
  <c r="Q6" i="55"/>
  <c r="R6" i="55" s="1"/>
  <c r="T6" i="55" s="1"/>
  <c r="Q9" i="55"/>
  <c r="R9" i="55" s="1"/>
  <c r="T9" i="55" s="1"/>
  <c r="R19" i="12"/>
  <c r="T19" i="12" s="1"/>
  <c r="Q8" i="12"/>
  <c r="R8" i="12" s="1"/>
  <c r="T8" i="12" s="1"/>
  <c r="R426" i="57"/>
  <c r="T426" i="57" s="1"/>
  <c r="Q6" i="33"/>
  <c r="S179" i="51"/>
  <c r="U179" i="51" s="1"/>
  <c r="R432" i="57"/>
  <c r="T432" i="57" s="1"/>
  <c r="R5" i="15"/>
  <c r="T5" i="15" s="1"/>
  <c r="R12" i="34"/>
  <c r="T12" i="34" s="1"/>
  <c r="S59" i="51"/>
  <c r="U59" i="51" s="1"/>
  <c r="R5" i="47"/>
  <c r="T5" i="47" s="1"/>
  <c r="S31" i="51"/>
  <c r="U31" i="51" s="1"/>
  <c r="Q7" i="33"/>
  <c r="S23" i="51"/>
  <c r="U23" i="51" s="1"/>
  <c r="S20" i="51"/>
  <c r="U20" i="51" s="1"/>
  <c r="R51" i="44"/>
  <c r="T51" i="44" s="1"/>
  <c r="S24" i="51"/>
  <c r="U24" i="51" s="1"/>
  <c r="C65" i="7"/>
  <c r="C66" i="7"/>
  <c r="Q3" i="55"/>
  <c r="Q4" i="55"/>
  <c r="R4" i="55" s="1"/>
  <c r="T4" i="55" s="1"/>
  <c r="R8" i="55"/>
  <c r="T8" i="55" s="1"/>
  <c r="Q13" i="12"/>
  <c r="R13" i="12" s="1"/>
  <c r="T13" i="12" s="1"/>
  <c r="S220" i="51"/>
  <c r="U220" i="51" s="1"/>
  <c r="Q17" i="12"/>
  <c r="R17" i="12" s="1"/>
  <c r="T17" i="12" s="1"/>
  <c r="Q6" i="12"/>
  <c r="R6" i="12" s="1"/>
  <c r="T6" i="12" s="1"/>
  <c r="R53" i="44"/>
  <c r="T53" i="44" s="1"/>
  <c r="S104" i="51"/>
  <c r="U104" i="51" s="1"/>
  <c r="R15" i="34"/>
  <c r="T15" i="34" s="1"/>
  <c r="R50" i="44"/>
  <c r="T50" i="44" s="1"/>
  <c r="R11" i="14"/>
  <c r="R315" i="9"/>
  <c r="T315" i="9" s="1"/>
  <c r="C76" i="7" s="1"/>
  <c r="R12" i="17"/>
  <c r="R19" i="57"/>
  <c r="T19" i="57" s="1"/>
  <c r="S37" i="51"/>
  <c r="U37" i="51" s="1"/>
  <c r="R6" i="18"/>
  <c r="T4" i="16"/>
  <c r="T6" i="16" s="1"/>
  <c r="R6" i="16"/>
  <c r="T4" i="15"/>
  <c r="I97" i="1"/>
  <c r="D7" i="4"/>
  <c r="F7" i="4" s="1"/>
  <c r="G17" i="3"/>
  <c r="D17" i="3"/>
  <c r="P97" i="1"/>
  <c r="T3" i="48"/>
  <c r="T35" i="48" s="1"/>
  <c r="R35" i="48"/>
  <c r="S116" i="1"/>
  <c r="P116" i="1"/>
  <c r="I116" i="1"/>
  <c r="P98" i="1"/>
  <c r="I98" i="1"/>
  <c r="S80" i="51"/>
  <c r="U80" i="51" s="1"/>
  <c r="S79" i="51"/>
  <c r="U79" i="51" s="1"/>
  <c r="S145" i="51"/>
  <c r="U145" i="51" s="1"/>
  <c r="R472" i="57"/>
  <c r="T472" i="57" s="1"/>
  <c r="Q2" i="55"/>
  <c r="R2" i="55" s="1"/>
  <c r="T2" i="55" s="1"/>
  <c r="C81" i="7"/>
  <c r="R23" i="20"/>
  <c r="T23" i="20" s="1"/>
  <c r="C63" i="7"/>
  <c r="O109" i="1"/>
  <c r="I128" i="1"/>
  <c r="AC114" i="45"/>
  <c r="T114" i="45"/>
  <c r="S97" i="1"/>
  <c r="S83" i="51"/>
  <c r="U83" i="51" s="1"/>
  <c r="S77" i="51"/>
  <c r="U77" i="51" s="1"/>
  <c r="S94" i="51"/>
  <c r="U94" i="51" s="1"/>
  <c r="R399" i="9"/>
  <c r="T399" i="9" s="1"/>
  <c r="R21" i="34"/>
  <c r="T21" i="34" s="1"/>
  <c r="C62" i="7"/>
  <c r="C68" i="7"/>
  <c r="C69" i="7"/>
  <c r="C61" i="7"/>
  <c r="R454" i="57"/>
  <c r="T454" i="57" s="1"/>
  <c r="S47" i="51"/>
  <c r="U47" i="51" s="1"/>
  <c r="S14" i="51"/>
  <c r="U14" i="51" s="1"/>
  <c r="J159" i="1"/>
  <c r="K159" i="1"/>
  <c r="M159" i="1"/>
  <c r="M160" i="1" s="1"/>
  <c r="I160" i="1"/>
  <c r="J24" i="3"/>
  <c r="K24" i="3" s="1"/>
  <c r="J154" i="1"/>
  <c r="K154" i="1"/>
  <c r="M154" i="1"/>
  <c r="J155" i="1"/>
  <c r="K155" i="1"/>
  <c r="M155" i="1"/>
  <c r="J151" i="1"/>
  <c r="K151" i="1"/>
  <c r="M151" i="1"/>
  <c r="J150" i="1"/>
  <c r="K150" i="1"/>
  <c r="M150" i="1"/>
  <c r="J9" i="3"/>
  <c r="K9" i="3" s="1"/>
  <c r="J145" i="1"/>
  <c r="K145" i="1"/>
  <c r="M145" i="1"/>
  <c r="M146" i="1" s="1"/>
  <c r="I146" i="1"/>
  <c r="J23" i="3"/>
  <c r="K23" i="3" s="1"/>
  <c r="O2" i="33"/>
  <c r="O5" i="33"/>
  <c r="F20" i="2"/>
  <c r="F24" i="2"/>
  <c r="F28" i="2" s="1"/>
  <c r="K20" i="2"/>
  <c r="K24" i="2"/>
  <c r="K28" i="2" s="1"/>
  <c r="N13" i="52"/>
  <c r="F13" i="52"/>
  <c r="J16" i="2"/>
  <c r="J17" i="2"/>
  <c r="J25" i="2" s="1"/>
  <c r="J18" i="2"/>
  <c r="J26" i="2" s="1"/>
  <c r="J19" i="2"/>
  <c r="J27" i="2" s="1"/>
  <c r="J22" i="2"/>
  <c r="E16" i="2"/>
  <c r="E17" i="2"/>
  <c r="E25" i="2" s="1"/>
  <c r="E18" i="2"/>
  <c r="E26" i="2" s="1"/>
  <c r="E19" i="2"/>
  <c r="E27" i="2" s="1"/>
  <c r="E22" i="2"/>
  <c r="F179" i="1"/>
  <c r="F181" i="1" s="1"/>
  <c r="F180" i="1"/>
  <c r="F182" i="1" s="1"/>
  <c r="F183" i="1"/>
  <c r="I16" i="2"/>
  <c r="I17" i="2"/>
  <c r="I25" i="2" s="1"/>
  <c r="I18" i="2"/>
  <c r="I26" i="2" s="1"/>
  <c r="I19" i="2"/>
  <c r="I27" i="2" s="1"/>
  <c r="I22" i="2"/>
  <c r="D16" i="2"/>
  <c r="D17" i="2"/>
  <c r="D25" i="2" s="1"/>
  <c r="D18" i="2"/>
  <c r="D26" i="2" s="1"/>
  <c r="D19" i="2"/>
  <c r="D27" i="2" s="1"/>
  <c r="D22" i="2"/>
  <c r="E179" i="1"/>
  <c r="E181" i="1" s="1"/>
  <c r="E180" i="1"/>
  <c r="E182" i="1" s="1"/>
  <c r="E183" i="1"/>
  <c r="T3" i="56"/>
  <c r="T47" i="56" s="1"/>
  <c r="R47" i="56"/>
  <c r="M9" i="51"/>
  <c r="N9" i="51" s="1"/>
  <c r="M5" i="51"/>
  <c r="N5" i="51" s="1"/>
  <c r="M133" i="51"/>
  <c r="N133" i="51" s="1"/>
  <c r="M137" i="51"/>
  <c r="N137" i="51" s="1"/>
  <c r="M7" i="51"/>
  <c r="N7" i="51" s="1"/>
  <c r="M3" i="51"/>
  <c r="N3" i="51" s="1"/>
  <c r="M135" i="51"/>
  <c r="N135" i="51" s="1"/>
  <c r="M131" i="51"/>
  <c r="N131" i="51" s="1"/>
  <c r="M8" i="51"/>
  <c r="N8" i="51" s="1"/>
  <c r="M4" i="51"/>
  <c r="N4" i="51" s="1"/>
  <c r="M136" i="51"/>
  <c r="N136" i="51" s="1"/>
  <c r="M132" i="51"/>
  <c r="N132" i="51" s="1"/>
  <c r="AC4" i="29"/>
  <c r="G3" i="3"/>
  <c r="S49" i="1"/>
  <c r="S50" i="1" s="1"/>
  <c r="P49" i="1"/>
  <c r="P50" i="1" s="1"/>
  <c r="T4" i="34"/>
  <c r="T4" i="65"/>
  <c r="AC4" i="65"/>
  <c r="I174" i="1"/>
  <c r="P174" i="1"/>
  <c r="S174" i="1"/>
  <c r="D16" i="3"/>
  <c r="G16" i="3"/>
  <c r="D16" i="4"/>
  <c r="F16" i="4" s="1"/>
  <c r="I140" i="1"/>
  <c r="P140" i="1"/>
  <c r="S140" i="1"/>
  <c r="T6" i="59"/>
  <c r="AC6" i="59"/>
  <c r="I139" i="1"/>
  <c r="P139" i="1"/>
  <c r="S139" i="1"/>
  <c r="S141" i="1" s="1"/>
  <c r="S137" i="1" s="1"/>
  <c r="D20" i="3"/>
  <c r="G20" i="3"/>
  <c r="D19" i="4"/>
  <c r="F19" i="4" s="1"/>
  <c r="AC62" i="46"/>
  <c r="T62" i="46"/>
  <c r="I102" i="1"/>
  <c r="P102" i="1"/>
  <c r="S102" i="1"/>
  <c r="D34" i="3"/>
  <c r="G34" i="3"/>
  <c r="D34" i="4"/>
  <c r="F34" i="4" s="1"/>
  <c r="R49" i="21"/>
  <c r="T3" i="21"/>
  <c r="T49" i="21" s="1"/>
  <c r="I14" i="1"/>
  <c r="P14" i="1"/>
  <c r="S14" i="1"/>
  <c r="P36" i="1"/>
  <c r="P37" i="1" s="1"/>
  <c r="G15" i="3"/>
  <c r="I103" i="1"/>
  <c r="P103" i="1"/>
  <c r="S103" i="1"/>
  <c r="C78" i="7"/>
  <c r="L4" i="24"/>
  <c r="M4" i="24" s="1"/>
  <c r="T3" i="27"/>
  <c r="R5" i="27"/>
  <c r="R5" i="25"/>
  <c r="T3" i="25"/>
  <c r="T5" i="25" s="1"/>
  <c r="I12" i="1"/>
  <c r="O12" i="1"/>
  <c r="S12" i="1"/>
  <c r="AB7" i="11"/>
  <c r="I11" i="1"/>
  <c r="O11" i="1"/>
  <c r="R11" i="1"/>
  <c r="R15" i="1" s="1"/>
  <c r="F31" i="3"/>
  <c r="T7" i="11"/>
  <c r="AC7" i="11"/>
  <c r="I10" i="1"/>
  <c r="P10" i="1"/>
  <c r="S10" i="1"/>
  <c r="D31" i="3"/>
  <c r="G31" i="3"/>
  <c r="D30" i="4"/>
  <c r="F30" i="4" s="1"/>
  <c r="I127" i="1"/>
  <c r="O127" i="1"/>
  <c r="R127" i="1"/>
  <c r="AC300" i="54"/>
  <c r="I129" i="1"/>
  <c r="P129" i="1"/>
  <c r="P130" i="1" s="1"/>
  <c r="S129" i="1"/>
  <c r="G4" i="3"/>
  <c r="I126" i="1"/>
  <c r="O126" i="1"/>
  <c r="R126" i="1"/>
  <c r="I125" i="1"/>
  <c r="O125" i="1"/>
  <c r="R125" i="1"/>
  <c r="U300" i="54"/>
  <c r="AB300" i="54"/>
  <c r="I124" i="1"/>
  <c r="O124" i="1"/>
  <c r="R124" i="1"/>
  <c r="D4" i="3"/>
  <c r="F4" i="3"/>
  <c r="D4" i="4"/>
  <c r="F4" i="4" s="1"/>
  <c r="P45" i="1"/>
  <c r="P46" i="1" s="1"/>
  <c r="D32" i="3"/>
  <c r="G32" i="3"/>
  <c r="D31" i="4"/>
  <c r="F31" i="4" s="1"/>
  <c r="I45" i="1"/>
  <c r="T3" i="28"/>
  <c r="T4" i="27"/>
  <c r="L7" i="24"/>
  <c r="M7" i="24" s="1"/>
  <c r="P115" i="1"/>
  <c r="G11" i="3"/>
  <c r="T3" i="50"/>
  <c r="T13" i="50" s="1"/>
  <c r="R13" i="50"/>
  <c r="T3" i="49"/>
  <c r="T7" i="49" s="1"/>
  <c r="R7" i="49"/>
  <c r="M74" i="7"/>
  <c r="H74" i="7"/>
  <c r="H63" i="7"/>
  <c r="M63" i="7"/>
  <c r="I169" i="1"/>
  <c r="P169" i="1"/>
  <c r="S169" i="1"/>
  <c r="T6" i="64"/>
  <c r="AC6" i="64"/>
  <c r="I168" i="1"/>
  <c r="P168" i="1"/>
  <c r="S168" i="1"/>
  <c r="D30" i="3"/>
  <c r="G30" i="3"/>
  <c r="D29" i="4"/>
  <c r="F29" i="4" s="1"/>
  <c r="T4" i="63"/>
  <c r="AC4" i="63"/>
  <c r="I163" i="1"/>
  <c r="P163" i="1"/>
  <c r="P164" i="1" s="1"/>
  <c r="S163" i="1"/>
  <c r="S164" i="1" s="1"/>
  <c r="D29" i="3"/>
  <c r="G29" i="3"/>
  <c r="D28" i="4"/>
  <c r="F28" i="4" s="1"/>
  <c r="I153" i="1"/>
  <c r="P153" i="1"/>
  <c r="S153" i="1"/>
  <c r="I152" i="1"/>
  <c r="P152" i="1"/>
  <c r="P156" i="1" s="1"/>
  <c r="S152" i="1"/>
  <c r="I110" i="1"/>
  <c r="P110" i="1"/>
  <c r="P111" i="1" s="1"/>
  <c r="S110" i="1"/>
  <c r="G7" i="3"/>
  <c r="P82" i="1"/>
  <c r="P83" i="1" s="1"/>
  <c r="G21" i="3"/>
  <c r="T208" i="43"/>
  <c r="AC208" i="43"/>
  <c r="I82" i="1"/>
  <c r="O82" i="1"/>
  <c r="O83" i="1" s="1"/>
  <c r="S82" i="1"/>
  <c r="S83" i="1" s="1"/>
  <c r="D21" i="3"/>
  <c r="F21" i="3"/>
  <c r="D20" i="4"/>
  <c r="F20" i="4" s="1"/>
  <c r="T20" i="42"/>
  <c r="AC20" i="42"/>
  <c r="I78" i="1"/>
  <c r="O78" i="1"/>
  <c r="O79" i="1" s="1"/>
  <c r="S78" i="1"/>
  <c r="S79" i="1" s="1"/>
  <c r="D10" i="3"/>
  <c r="F10" i="3"/>
  <c r="D12" i="4"/>
  <c r="F12" i="4" s="1"/>
  <c r="T10" i="41"/>
  <c r="AC10" i="41"/>
  <c r="O74" i="1"/>
  <c r="O75" i="1" s="1"/>
  <c r="D5" i="3"/>
  <c r="F5" i="3"/>
  <c r="D5" i="4"/>
  <c r="F5" i="4" s="1"/>
  <c r="I74" i="1"/>
  <c r="S74" i="1"/>
  <c r="S75" i="1" s="1"/>
  <c r="T4" i="40"/>
  <c r="AC4" i="40"/>
  <c r="D27" i="3"/>
  <c r="G27" i="3"/>
  <c r="D26" i="4"/>
  <c r="F26" i="4" s="1"/>
  <c r="I70" i="1"/>
  <c r="P70" i="1"/>
  <c r="P71" i="1" s="1"/>
  <c r="S70" i="1"/>
  <c r="S71" i="1" s="1"/>
  <c r="T10" i="39"/>
  <c r="AC10" i="39"/>
  <c r="I66" i="1"/>
  <c r="P66" i="1"/>
  <c r="P67" i="1" s="1"/>
  <c r="S66" i="1"/>
  <c r="S67" i="1" s="1"/>
  <c r="D13" i="3"/>
  <c r="G13" i="3"/>
  <c r="D14" i="4"/>
  <c r="F14" i="4" s="1"/>
  <c r="T10" i="38"/>
  <c r="AC10" i="38"/>
  <c r="D6" i="3"/>
  <c r="G6" i="3"/>
  <c r="D6" i="4"/>
  <c r="F6" i="4" s="1"/>
  <c r="I62" i="1"/>
  <c r="P62" i="1"/>
  <c r="P63" i="1" s="1"/>
  <c r="S62" i="1"/>
  <c r="S63" i="1" s="1"/>
  <c r="I93" i="1"/>
  <c r="P93" i="1"/>
  <c r="S93" i="1"/>
  <c r="T8" i="37"/>
  <c r="AC8" i="37"/>
  <c r="D25" i="3"/>
  <c r="G25" i="3"/>
  <c r="D24" i="4"/>
  <c r="F24" i="4" s="1"/>
  <c r="I92" i="1"/>
  <c r="P92" i="1"/>
  <c r="S92" i="1"/>
  <c r="T23" i="36"/>
  <c r="AC23" i="36"/>
  <c r="P57" i="1"/>
  <c r="P58" i="1" s="1"/>
  <c r="S57" i="1"/>
  <c r="S58" i="1" s="1"/>
  <c r="D28" i="3"/>
  <c r="G28" i="3"/>
  <c r="I57" i="1"/>
  <c r="T2" i="32"/>
  <c r="T14" i="32" s="1"/>
  <c r="R14" i="32"/>
  <c r="AC4" i="31"/>
  <c r="S53" i="1"/>
  <c r="S54" i="1" s="1"/>
  <c r="G33" i="3"/>
  <c r="P53" i="1"/>
  <c r="P54" i="1" s="1"/>
  <c r="M72" i="7"/>
  <c r="H72" i="7"/>
  <c r="M80" i="7"/>
  <c r="H80" i="7"/>
  <c r="M73" i="7"/>
  <c r="H73" i="7"/>
  <c r="M71" i="7"/>
  <c r="H71" i="7"/>
  <c r="M77" i="7"/>
  <c r="H77" i="7"/>
  <c r="S183" i="51"/>
  <c r="U183" i="51" s="1"/>
  <c r="S175" i="51"/>
  <c r="U175" i="51" s="1"/>
  <c r="S146" i="51"/>
  <c r="U146" i="51" s="1"/>
  <c r="R80" i="44"/>
  <c r="T80" i="44" s="1"/>
  <c r="R2" i="31"/>
  <c r="S200" i="51"/>
  <c r="U200" i="51" s="1"/>
  <c r="S214" i="51"/>
  <c r="U214" i="51" s="1"/>
  <c r="S173" i="51"/>
  <c r="U173" i="51" s="1"/>
  <c r="S148" i="51"/>
  <c r="U148" i="51" s="1"/>
  <c r="S105" i="51"/>
  <c r="U105" i="51" s="1"/>
  <c r="S81" i="51"/>
  <c r="U81" i="51" s="1"/>
  <c r="R2" i="29"/>
  <c r="Q10" i="12"/>
  <c r="R10" i="12" s="1"/>
  <c r="T10" i="12" s="1"/>
  <c r="Q9" i="12"/>
  <c r="R9" i="12" s="1"/>
  <c r="T9" i="12" s="1"/>
  <c r="Q7" i="12"/>
  <c r="R7" i="12" s="1"/>
  <c r="T7" i="12" s="1"/>
  <c r="Q14" i="12"/>
  <c r="R14" i="12" s="1"/>
  <c r="T14" i="12" s="1"/>
  <c r="Q4" i="12"/>
  <c r="R4" i="12" s="1"/>
  <c r="T4" i="12" s="1"/>
  <c r="R24" i="20"/>
  <c r="T24" i="20" s="1"/>
  <c r="Q16" i="12"/>
  <c r="C58" i="7"/>
  <c r="P6" i="51" l="1"/>
  <c r="P2" i="51"/>
  <c r="P130" i="51"/>
  <c r="P134" i="51"/>
  <c r="T7" i="23"/>
  <c r="R4" i="33"/>
  <c r="T4" i="33" s="1"/>
  <c r="H57" i="7"/>
  <c r="M57" i="7"/>
  <c r="R5" i="12"/>
  <c r="T5" i="12" s="1"/>
  <c r="S27" i="1"/>
  <c r="C67" i="7"/>
  <c r="S156" i="1"/>
  <c r="M76" i="7"/>
  <c r="H76" i="7"/>
  <c r="T10" i="47"/>
  <c r="D7" i="3"/>
  <c r="M68" i="7"/>
  <c r="H68" i="7"/>
  <c r="M69" i="7"/>
  <c r="H69" i="7"/>
  <c r="M61" i="7"/>
  <c r="H61" i="7"/>
  <c r="M70" i="7"/>
  <c r="H70" i="7"/>
  <c r="F7" i="3"/>
  <c r="D10" i="4"/>
  <c r="F10" i="4" s="1"/>
  <c r="AC10" i="47"/>
  <c r="I108" i="1"/>
  <c r="O108" i="1"/>
  <c r="S108" i="1"/>
  <c r="T4" i="35"/>
  <c r="T6" i="18"/>
  <c r="T6" i="15"/>
  <c r="R6" i="15"/>
  <c r="T64" i="13"/>
  <c r="R64" i="13"/>
  <c r="H64" i="7"/>
  <c r="M64" i="7"/>
  <c r="I109" i="1"/>
  <c r="S109" i="1"/>
  <c r="R3" i="55"/>
  <c r="T3" i="55" s="1"/>
  <c r="M79" i="7"/>
  <c r="O128" i="1"/>
  <c r="S128" i="1"/>
  <c r="R36" i="1"/>
  <c r="R37" i="1" s="1"/>
  <c r="AB42" i="20"/>
  <c r="R8" i="35"/>
  <c r="H66" i="7"/>
  <c r="M59" i="7"/>
  <c r="H79" i="7"/>
  <c r="M81" i="7"/>
  <c r="H81" i="7"/>
  <c r="H59" i="7"/>
  <c r="M66" i="7"/>
  <c r="H67" i="7"/>
  <c r="M67" i="7"/>
  <c r="P27" i="1"/>
  <c r="R3" i="33"/>
  <c r="T3" i="33" s="1"/>
  <c r="P99" i="1"/>
  <c r="T516" i="57"/>
  <c r="AC516" i="57"/>
  <c r="I120" i="1"/>
  <c r="O120" i="1"/>
  <c r="O121" i="1" s="1"/>
  <c r="S120" i="1"/>
  <c r="S121" i="1" s="1"/>
  <c r="D19" i="3"/>
  <c r="F19" i="3"/>
  <c r="D18" i="4"/>
  <c r="F18" i="4" s="1"/>
  <c r="T10" i="55"/>
  <c r="AC10" i="55"/>
  <c r="I134" i="1"/>
  <c r="O134" i="1"/>
  <c r="O135" i="1" s="1"/>
  <c r="O132" i="1" s="1"/>
  <c r="S134" i="1"/>
  <c r="S135" i="1" s="1"/>
  <c r="S132" i="1" s="1"/>
  <c r="J128" i="1"/>
  <c r="K128" i="1"/>
  <c r="M128" i="1"/>
  <c r="J19" i="1"/>
  <c r="K19" i="1"/>
  <c r="M19" i="1"/>
  <c r="J18" i="1"/>
  <c r="K18" i="1"/>
  <c r="M18" i="1"/>
  <c r="R6" i="33"/>
  <c r="T6" i="33" s="1"/>
  <c r="S99" i="1"/>
  <c r="J40" i="1"/>
  <c r="K40" i="1"/>
  <c r="M40" i="1"/>
  <c r="I24" i="1"/>
  <c r="O24" i="1"/>
  <c r="R24" i="1"/>
  <c r="I22" i="1"/>
  <c r="O22" i="1"/>
  <c r="R22" i="1"/>
  <c r="J97" i="1"/>
  <c r="K97" i="1"/>
  <c r="M97" i="1"/>
  <c r="I99" i="1"/>
  <c r="J17" i="3"/>
  <c r="K17" i="3" s="1"/>
  <c r="C60" i="7"/>
  <c r="R7" i="33"/>
  <c r="T7" i="33" s="1"/>
  <c r="J116" i="1"/>
  <c r="K116" i="1"/>
  <c r="M116" i="1"/>
  <c r="J98" i="1"/>
  <c r="K98" i="1"/>
  <c r="M98" i="1"/>
  <c r="J14" i="3"/>
  <c r="K14" i="3" s="1"/>
  <c r="P170" i="1"/>
  <c r="P166" i="1" s="1"/>
  <c r="R130" i="1"/>
  <c r="R90" i="1" s="1"/>
  <c r="R44" i="34"/>
  <c r="T44" i="34"/>
  <c r="S170" i="1"/>
  <c r="S166" i="1" s="1"/>
  <c r="T578" i="9"/>
  <c r="S60" i="1"/>
  <c r="Q2" i="33"/>
  <c r="S107" i="1"/>
  <c r="O107" i="1"/>
  <c r="I107" i="1"/>
  <c r="P15" i="1"/>
  <c r="M65" i="7"/>
  <c r="H65" i="7"/>
  <c r="R14" i="14"/>
  <c r="T11" i="14"/>
  <c r="T14" i="14" s="1"/>
  <c r="R22" i="17"/>
  <c r="T12" i="17"/>
  <c r="T22" i="17" s="1"/>
  <c r="P117" i="1"/>
  <c r="M62" i="7"/>
  <c r="H62" i="7"/>
  <c r="Q5" i="33"/>
  <c r="P60" i="1"/>
  <c r="R516" i="57"/>
  <c r="P148" i="1"/>
  <c r="J160" i="1"/>
  <c r="K160" i="1"/>
  <c r="J146" i="1"/>
  <c r="K146" i="1"/>
  <c r="I143" i="1"/>
  <c r="J20" i="2"/>
  <c r="J24" i="2"/>
  <c r="J28" i="2" s="1"/>
  <c r="E20" i="2"/>
  <c r="E24" i="2"/>
  <c r="E28" i="2" s="1"/>
  <c r="I20" i="2"/>
  <c r="I24" i="2"/>
  <c r="I28" i="2" s="1"/>
  <c r="D20" i="2"/>
  <c r="D24" i="2"/>
  <c r="D28" i="2" s="1"/>
  <c r="P9" i="51"/>
  <c r="P5" i="51"/>
  <c r="R5" i="51"/>
  <c r="P133" i="51"/>
  <c r="P137" i="51"/>
  <c r="P7" i="51"/>
  <c r="P3" i="51"/>
  <c r="P135" i="51"/>
  <c r="R135" i="51"/>
  <c r="P131" i="51"/>
  <c r="P8" i="51"/>
  <c r="P4" i="51"/>
  <c r="P136" i="51"/>
  <c r="P132" i="51"/>
  <c r="J174" i="1"/>
  <c r="K174" i="1"/>
  <c r="M174" i="1"/>
  <c r="J16" i="3"/>
  <c r="K16" i="3" s="1"/>
  <c r="J140" i="1"/>
  <c r="K140" i="1"/>
  <c r="M140" i="1"/>
  <c r="J139" i="1"/>
  <c r="K139" i="1"/>
  <c r="M139" i="1"/>
  <c r="I141" i="1"/>
  <c r="J20" i="3"/>
  <c r="K20" i="3" s="1"/>
  <c r="J102" i="1"/>
  <c r="K102" i="1"/>
  <c r="M102" i="1"/>
  <c r="I104" i="1"/>
  <c r="J14" i="1"/>
  <c r="K14" i="1"/>
  <c r="M14" i="1"/>
  <c r="J103" i="1"/>
  <c r="K103" i="1"/>
  <c r="M103" i="1"/>
  <c r="H78" i="7"/>
  <c r="M78" i="7"/>
  <c r="O4" i="24"/>
  <c r="J12" i="1"/>
  <c r="K12" i="1"/>
  <c r="M12" i="1"/>
  <c r="J11" i="1"/>
  <c r="K11" i="1"/>
  <c r="M11" i="1"/>
  <c r="J10" i="1"/>
  <c r="K10" i="1"/>
  <c r="M10" i="1"/>
  <c r="I15" i="1"/>
  <c r="J31" i="3"/>
  <c r="K31" i="3" s="1"/>
  <c r="J127" i="1"/>
  <c r="K127" i="1"/>
  <c r="M127" i="1"/>
  <c r="J129" i="1"/>
  <c r="K129" i="1"/>
  <c r="M129" i="1"/>
  <c r="J126" i="1"/>
  <c r="K126" i="1"/>
  <c r="M126" i="1"/>
  <c r="J125" i="1"/>
  <c r="K125" i="1"/>
  <c r="M125" i="1"/>
  <c r="J124" i="1"/>
  <c r="K124" i="1"/>
  <c r="M124" i="1"/>
  <c r="I130" i="1"/>
  <c r="J4" i="3"/>
  <c r="K4" i="3" s="1"/>
  <c r="J32" i="3"/>
  <c r="K32" i="3" s="1"/>
  <c r="J45" i="1"/>
  <c r="K45" i="1"/>
  <c r="M45" i="1"/>
  <c r="M46" i="1" s="1"/>
  <c r="I46" i="1"/>
  <c r="O7" i="24"/>
  <c r="J169" i="1"/>
  <c r="K169" i="1"/>
  <c r="M169" i="1"/>
  <c r="J168" i="1"/>
  <c r="K168" i="1"/>
  <c r="M168" i="1"/>
  <c r="M170" i="1" s="1"/>
  <c r="I170" i="1"/>
  <c r="J30" i="3"/>
  <c r="K30" i="3" s="1"/>
  <c r="J163" i="1"/>
  <c r="K163" i="1"/>
  <c r="M163" i="1"/>
  <c r="M164" i="1" s="1"/>
  <c r="I164" i="1"/>
  <c r="J29" i="3"/>
  <c r="K29" i="3" s="1"/>
  <c r="J153" i="1"/>
  <c r="K153" i="1"/>
  <c r="M153" i="1"/>
  <c r="J152" i="1"/>
  <c r="K152" i="1"/>
  <c r="M152" i="1"/>
  <c r="J110" i="1"/>
  <c r="K110" i="1"/>
  <c r="M110" i="1"/>
  <c r="J82" i="1"/>
  <c r="K82" i="1"/>
  <c r="M82" i="1"/>
  <c r="I83" i="1"/>
  <c r="J21" i="3"/>
  <c r="K21" i="3" s="1"/>
  <c r="J78" i="1"/>
  <c r="K78" i="1"/>
  <c r="M78" i="1"/>
  <c r="I79" i="1"/>
  <c r="J10" i="3"/>
  <c r="K10" i="3" s="1"/>
  <c r="J5" i="3"/>
  <c r="K5" i="3" s="1"/>
  <c r="J74" i="1"/>
  <c r="K74" i="1"/>
  <c r="M74" i="1"/>
  <c r="M75" i="1" s="1"/>
  <c r="I75" i="1"/>
  <c r="J27" i="3"/>
  <c r="K27" i="3" s="1"/>
  <c r="J70" i="1"/>
  <c r="M70" i="1"/>
  <c r="M71" i="1" s="1"/>
  <c r="I71" i="1"/>
  <c r="K70" i="1"/>
  <c r="J66" i="1"/>
  <c r="K66" i="1"/>
  <c r="M66" i="1"/>
  <c r="M67" i="1" s="1"/>
  <c r="I67" i="1"/>
  <c r="J13" i="3"/>
  <c r="K13" i="3" s="1"/>
  <c r="J6" i="3"/>
  <c r="K6" i="3" s="1"/>
  <c r="J62" i="1"/>
  <c r="K62" i="1"/>
  <c r="M62" i="1"/>
  <c r="M63" i="1" s="1"/>
  <c r="I63" i="1"/>
  <c r="J93" i="1"/>
  <c r="K93" i="1"/>
  <c r="M93" i="1"/>
  <c r="J25" i="3"/>
  <c r="K25" i="3" s="1"/>
  <c r="J92" i="1"/>
  <c r="K92" i="1"/>
  <c r="M92" i="1"/>
  <c r="M94" i="1" s="1"/>
  <c r="I94" i="1"/>
  <c r="J28" i="3"/>
  <c r="K28" i="3" s="1"/>
  <c r="J57" i="1"/>
  <c r="K57" i="1"/>
  <c r="M57" i="1"/>
  <c r="I58" i="1"/>
  <c r="T2" i="31"/>
  <c r="R4" i="31"/>
  <c r="T2" i="29"/>
  <c r="R4" i="29"/>
  <c r="R26" i="1"/>
  <c r="O26" i="1"/>
  <c r="I26" i="1"/>
  <c r="R25" i="1"/>
  <c r="O25" i="1"/>
  <c r="I25" i="1"/>
  <c r="O20" i="1"/>
  <c r="R20" i="1"/>
  <c r="I20" i="1"/>
  <c r="F15" i="3"/>
  <c r="D15" i="4"/>
  <c r="F15" i="4" s="1"/>
  <c r="I36" i="1"/>
  <c r="T42" i="20"/>
  <c r="O36" i="1"/>
  <c r="O37" i="1" s="1"/>
  <c r="D15" i="3"/>
  <c r="M58" i="7"/>
  <c r="H58" i="7"/>
  <c r="I156" i="1"/>
  <c r="S104" i="1"/>
  <c r="AC86" i="44"/>
  <c r="D12" i="3"/>
  <c r="I87" i="1"/>
  <c r="O60" i="1"/>
  <c r="T5" i="27"/>
  <c r="P87" i="1"/>
  <c r="P88" i="1" s="1"/>
  <c r="P85" i="1" s="1"/>
  <c r="N258" i="51"/>
  <c r="P104" i="1"/>
  <c r="AC42" i="20"/>
  <c r="S87" i="1"/>
  <c r="S88" i="1" s="1"/>
  <c r="S85" i="1" s="1"/>
  <c r="P94" i="1"/>
  <c r="R16" i="12"/>
  <c r="T16" i="12" s="1"/>
  <c r="P141" i="1"/>
  <c r="P137" i="1" s="1"/>
  <c r="P34" i="1"/>
  <c r="O15" i="1"/>
  <c r="S15" i="1"/>
  <c r="G12" i="3"/>
  <c r="N14" i="52"/>
  <c r="F14" i="52"/>
  <c r="S36" i="1"/>
  <c r="S37" i="1" s="1"/>
  <c r="S34" i="1" s="1"/>
  <c r="D33" i="4"/>
  <c r="F33" i="4" s="1"/>
  <c r="S94" i="1"/>
  <c r="S135" i="51" l="1"/>
  <c r="U135" i="51" s="1"/>
  <c r="R8" i="51"/>
  <c r="R7" i="51"/>
  <c r="S7" i="51" s="1"/>
  <c r="U7" i="51" s="1"/>
  <c r="R2" i="51"/>
  <c r="R130" i="51"/>
  <c r="S130" i="51"/>
  <c r="U130" i="51" s="1"/>
  <c r="R3" i="51"/>
  <c r="R6" i="51"/>
  <c r="S6" i="51" s="1"/>
  <c r="U6" i="51" s="1"/>
  <c r="R134" i="51"/>
  <c r="S134" i="51" s="1"/>
  <c r="U134" i="51" s="1"/>
  <c r="R4" i="51"/>
  <c r="S3" i="51"/>
  <c r="U3" i="51" s="1"/>
  <c r="T8" i="35"/>
  <c r="D8" i="3"/>
  <c r="F8" i="3"/>
  <c r="D9" i="4"/>
  <c r="F9" i="4" s="1"/>
  <c r="J7" i="3"/>
  <c r="K7" i="3" s="1"/>
  <c r="J108" i="1"/>
  <c r="S148" i="1"/>
  <c r="O21" i="1"/>
  <c r="I21" i="1"/>
  <c r="R21" i="1"/>
  <c r="R133" i="51"/>
  <c r="R132" i="51"/>
  <c r="S132" i="51"/>
  <c r="U132" i="51" s="1"/>
  <c r="M141" i="1"/>
  <c r="J109" i="1"/>
  <c r="K109" i="1"/>
  <c r="M109" i="1"/>
  <c r="K108" i="1"/>
  <c r="M108" i="1"/>
  <c r="S111" i="1"/>
  <c r="O111" i="1"/>
  <c r="O130" i="1"/>
  <c r="S2" i="51"/>
  <c r="U2" i="51" s="1"/>
  <c r="S130" i="1"/>
  <c r="I111" i="1"/>
  <c r="J120" i="1"/>
  <c r="K120" i="1"/>
  <c r="J134" i="1"/>
  <c r="K134" i="1"/>
  <c r="M134" i="1"/>
  <c r="M135" i="1" s="1"/>
  <c r="I135" i="1"/>
  <c r="R9" i="51"/>
  <c r="S5" i="51"/>
  <c r="U5" i="51" s="1"/>
  <c r="M120" i="1"/>
  <c r="I121" i="1"/>
  <c r="J19" i="3"/>
  <c r="K19" i="3" s="1"/>
  <c r="J8" i="3"/>
  <c r="K8" i="3" s="1"/>
  <c r="J24" i="1"/>
  <c r="K24" i="1"/>
  <c r="M24" i="1"/>
  <c r="J22" i="1"/>
  <c r="K22" i="1"/>
  <c r="M22" i="1"/>
  <c r="J99" i="1"/>
  <c r="K99" i="1"/>
  <c r="M99" i="1"/>
  <c r="S4" i="51"/>
  <c r="U4" i="51" s="1"/>
  <c r="H60" i="7"/>
  <c r="M60" i="7"/>
  <c r="C82" i="7"/>
  <c r="M130" i="1"/>
  <c r="R2" i="33"/>
  <c r="T2" i="33" s="1"/>
  <c r="I23" i="1"/>
  <c r="O23" i="1"/>
  <c r="M107" i="1"/>
  <c r="K107" i="1"/>
  <c r="J107" i="1"/>
  <c r="P8" i="1"/>
  <c r="R136" i="51"/>
  <c r="R5" i="33"/>
  <c r="T5" i="33" s="1"/>
  <c r="S8" i="51"/>
  <c r="U8" i="51" s="1"/>
  <c r="M156" i="1"/>
  <c r="R23" i="1"/>
  <c r="Q4" i="24"/>
  <c r="M15" i="1"/>
  <c r="J143" i="1"/>
  <c r="K143" i="1"/>
  <c r="M143" i="1"/>
  <c r="J141" i="1"/>
  <c r="K141" i="1"/>
  <c r="I137" i="1"/>
  <c r="J104" i="1"/>
  <c r="K104" i="1"/>
  <c r="K15" i="1"/>
  <c r="J15" i="1"/>
  <c r="J130" i="1"/>
  <c r="K130" i="1"/>
  <c r="J46" i="1"/>
  <c r="K46" i="1"/>
  <c r="J170" i="1"/>
  <c r="K170" i="1"/>
  <c r="I166" i="1"/>
  <c r="J164" i="1"/>
  <c r="K164" i="1"/>
  <c r="K83" i="1"/>
  <c r="M83" i="1"/>
  <c r="J83" i="1"/>
  <c r="J79" i="1"/>
  <c r="K79" i="1"/>
  <c r="M79" i="1"/>
  <c r="K75" i="1"/>
  <c r="J75" i="1"/>
  <c r="J71" i="1"/>
  <c r="K71" i="1"/>
  <c r="K67" i="1"/>
  <c r="J67" i="1"/>
  <c r="J63" i="1"/>
  <c r="K63" i="1"/>
  <c r="I60" i="1"/>
  <c r="J94" i="1"/>
  <c r="K94" i="1"/>
  <c r="J58" i="1"/>
  <c r="K58" i="1"/>
  <c r="M58" i="1"/>
  <c r="T4" i="31"/>
  <c r="AB4" i="31"/>
  <c r="I53" i="1"/>
  <c r="R53" i="1"/>
  <c r="R54" i="1" s="1"/>
  <c r="D33" i="3"/>
  <c r="F33" i="3"/>
  <c r="O53" i="1"/>
  <c r="O54" i="1" s="1"/>
  <c r="AB4" i="29"/>
  <c r="I49" i="1"/>
  <c r="D3" i="3"/>
  <c r="F3" i="3"/>
  <c r="D3" i="4"/>
  <c r="F3" i="4" s="1"/>
  <c r="O49" i="1"/>
  <c r="O50" i="1" s="1"/>
  <c r="R49" i="1"/>
  <c r="R50" i="1" s="1"/>
  <c r="T4" i="29"/>
  <c r="J26" i="1"/>
  <c r="K26" i="1"/>
  <c r="M26" i="1"/>
  <c r="J25" i="1"/>
  <c r="K25" i="1"/>
  <c r="M25" i="1"/>
  <c r="J20" i="1"/>
  <c r="K20" i="1"/>
  <c r="M20" i="1"/>
  <c r="I37" i="1"/>
  <c r="J36" i="1"/>
  <c r="M36" i="1"/>
  <c r="K36" i="1"/>
  <c r="J15" i="3"/>
  <c r="K15" i="3" s="1"/>
  <c r="I148" i="1"/>
  <c r="K156" i="1"/>
  <c r="J156" i="1"/>
  <c r="C13" i="7"/>
  <c r="J12" i="3"/>
  <c r="K12" i="3" s="1"/>
  <c r="I88" i="1"/>
  <c r="M87" i="1"/>
  <c r="K87" i="1"/>
  <c r="J87" i="1"/>
  <c r="S8" i="1"/>
  <c r="R137" i="51"/>
  <c r="R131" i="51"/>
  <c r="S131" i="51" s="1"/>
  <c r="U131" i="51" s="1"/>
  <c r="P172" i="1"/>
  <c r="G36" i="3"/>
  <c r="M104" i="1"/>
  <c r="Q7" i="24"/>
  <c r="F26" i="3"/>
  <c r="AB20" i="12"/>
  <c r="D25" i="4"/>
  <c r="F25" i="4" s="1"/>
  <c r="D26" i="3"/>
  <c r="T20" i="12"/>
  <c r="P90" i="1"/>
  <c r="M21" i="1" l="1"/>
  <c r="J21" i="1"/>
  <c r="K21" i="1"/>
  <c r="S133" i="51"/>
  <c r="U133" i="51" s="1"/>
  <c r="M111" i="1"/>
  <c r="J111" i="1"/>
  <c r="K111" i="1"/>
  <c r="J121" i="1"/>
  <c r="K121" i="1"/>
  <c r="M121" i="1"/>
  <c r="J135" i="1"/>
  <c r="K135" i="1"/>
  <c r="I132" i="1"/>
  <c r="S9" i="51"/>
  <c r="U9" i="51" s="1"/>
  <c r="H82" i="7"/>
  <c r="M82" i="7"/>
  <c r="I31" i="1"/>
  <c r="O31" i="1"/>
  <c r="O32" i="1" s="1"/>
  <c r="O29" i="1" s="1"/>
  <c r="D18" i="3"/>
  <c r="R31" i="1"/>
  <c r="R32" i="1" s="1"/>
  <c r="R29" i="1" s="1"/>
  <c r="AB8" i="33"/>
  <c r="J23" i="1"/>
  <c r="I27" i="1"/>
  <c r="K23" i="1"/>
  <c r="M23" i="1"/>
  <c r="O27" i="1"/>
  <c r="F18" i="3"/>
  <c r="S136" i="51"/>
  <c r="U136" i="51" s="1"/>
  <c r="T8" i="33"/>
  <c r="D17" i="4"/>
  <c r="F17" i="4" s="1"/>
  <c r="I114" i="1"/>
  <c r="O114" i="1"/>
  <c r="R27" i="1"/>
  <c r="S31" i="1"/>
  <c r="S32" i="1" s="1"/>
  <c r="S29" i="1" s="1"/>
  <c r="AC8" i="33"/>
  <c r="R4" i="24"/>
  <c r="T4" i="24" s="1"/>
  <c r="J137" i="1"/>
  <c r="K137" i="1"/>
  <c r="M137" i="1"/>
  <c r="J166" i="1"/>
  <c r="K166" i="1"/>
  <c r="M166" i="1"/>
  <c r="J60" i="1"/>
  <c r="K60" i="1"/>
  <c r="M60" i="1"/>
  <c r="J53" i="1"/>
  <c r="K53" i="1"/>
  <c r="M53" i="1"/>
  <c r="M54" i="1" s="1"/>
  <c r="I54" i="1"/>
  <c r="J49" i="1"/>
  <c r="K49" i="1"/>
  <c r="M49" i="1"/>
  <c r="M50" i="1" s="1"/>
  <c r="I50" i="1"/>
  <c r="J3" i="3"/>
  <c r="K3" i="3" s="1"/>
  <c r="J37" i="1"/>
  <c r="K37" i="1"/>
  <c r="M37" i="1"/>
  <c r="J148" i="1"/>
  <c r="K148" i="1"/>
  <c r="M148" i="1"/>
  <c r="D13" i="7"/>
  <c r="C14" i="7"/>
  <c r="D14" i="7" s="1"/>
  <c r="J88" i="1"/>
  <c r="K88" i="1"/>
  <c r="M88" i="1"/>
  <c r="I85" i="1"/>
  <c r="P175" i="1"/>
  <c r="J26" i="3"/>
  <c r="K26" i="3" s="1"/>
  <c r="S137" i="51"/>
  <c r="U137" i="51" s="1"/>
  <c r="S258" i="51"/>
  <c r="R7" i="24"/>
  <c r="T7" i="24" s="1"/>
  <c r="J132" i="1" l="1"/>
  <c r="K132" i="1"/>
  <c r="M132" i="1"/>
  <c r="J31" i="1"/>
  <c r="K31" i="1"/>
  <c r="M31" i="1"/>
  <c r="M32" i="1" s="1"/>
  <c r="J18" i="3"/>
  <c r="K18" i="3" s="1"/>
  <c r="I32" i="1"/>
  <c r="S114" i="1"/>
  <c r="I8" i="1"/>
  <c r="M27" i="1"/>
  <c r="O8" i="1"/>
  <c r="J27" i="1"/>
  <c r="K27" i="1"/>
  <c r="D13" i="4"/>
  <c r="F13" i="4" s="1"/>
  <c r="J114" i="1"/>
  <c r="K114" i="1"/>
  <c r="M114" i="1"/>
  <c r="R8" i="1"/>
  <c r="U258" i="51"/>
  <c r="K54" i="1"/>
  <c r="J54" i="1"/>
  <c r="J50" i="1"/>
  <c r="K50" i="1"/>
  <c r="D39" i="7"/>
  <c r="E39" i="7" s="1"/>
  <c r="D40" i="7"/>
  <c r="E40" i="7" s="1"/>
  <c r="D41" i="7"/>
  <c r="E41" i="7" s="1"/>
  <c r="C50" i="7"/>
  <c r="C23" i="7"/>
  <c r="D23" i="7"/>
  <c r="C24" i="7"/>
  <c r="D24" i="7"/>
  <c r="C25" i="7"/>
  <c r="D25" i="7"/>
  <c r="D6" i="7"/>
  <c r="D7" i="7"/>
  <c r="E7" i="7" s="1"/>
  <c r="D8" i="7"/>
  <c r="E8" i="7" s="1"/>
  <c r="D9" i="7"/>
  <c r="E9" i="7" s="1"/>
  <c r="J85" i="1"/>
  <c r="M85" i="1"/>
  <c r="K85" i="1"/>
  <c r="F11" i="3"/>
  <c r="D11" i="3"/>
  <c r="S115" i="1"/>
  <c r="O41" i="1"/>
  <c r="O42" i="1" s="1"/>
  <c r="I41" i="1"/>
  <c r="R41" i="1"/>
  <c r="R42" i="1" s="1"/>
  <c r="F22" i="3"/>
  <c r="D22" i="3"/>
  <c r="D21" i="4"/>
  <c r="F21" i="4" s="1"/>
  <c r="AB8" i="24"/>
  <c r="I115" i="1"/>
  <c r="O115" i="1"/>
  <c r="O117" i="1" s="1"/>
  <c r="O90" i="1" s="1"/>
  <c r="T8" i="24"/>
  <c r="K32" i="1" l="1"/>
  <c r="I29" i="1"/>
  <c r="J32" i="1"/>
  <c r="J8" i="1"/>
  <c r="K8" i="1"/>
  <c r="M8" i="1"/>
  <c r="S117" i="1"/>
  <c r="J29" i="1"/>
  <c r="K29" i="1"/>
  <c r="M29" i="1"/>
  <c r="F36" i="3"/>
  <c r="C53" i="7"/>
  <c r="C54" i="7"/>
  <c r="E6" i="7"/>
  <c r="E10" i="7" s="1"/>
  <c r="D10" i="7"/>
  <c r="D36" i="3"/>
  <c r="J11" i="3"/>
  <c r="K11" i="3" s="1"/>
  <c r="S172" i="1"/>
  <c r="S90" i="1"/>
  <c r="O172" i="1"/>
  <c r="O34" i="1"/>
  <c r="M41" i="1"/>
  <c r="M42" i="1" s="1"/>
  <c r="K41" i="1"/>
  <c r="J41" i="1"/>
  <c r="I42" i="1"/>
  <c r="R172" i="1"/>
  <c r="R34" i="1"/>
  <c r="E22" i="3"/>
  <c r="J22" i="3"/>
  <c r="K22" i="3" s="1"/>
  <c r="I117" i="1"/>
  <c r="J115" i="1"/>
  <c r="K115" i="1"/>
  <c r="M115" i="1"/>
  <c r="M117" i="1" s="1"/>
  <c r="C26" i="7"/>
  <c r="D26" i="7"/>
  <c r="E11" i="3" l="1"/>
  <c r="F37" i="3"/>
  <c r="E3" i="3"/>
  <c r="E24" i="3"/>
  <c r="E9" i="3"/>
  <c r="E23" i="3"/>
  <c r="E7" i="3"/>
  <c r="E14" i="3"/>
  <c r="E17" i="3"/>
  <c r="E34" i="3"/>
  <c r="E19" i="3"/>
  <c r="E8" i="3"/>
  <c r="E16" i="3"/>
  <c r="E31" i="3"/>
  <c r="E30" i="3"/>
  <c r="E29" i="3"/>
  <c r="E20" i="3"/>
  <c r="E4" i="3"/>
  <c r="E32" i="3"/>
  <c r="E21" i="3"/>
  <c r="E10" i="3"/>
  <c r="E5" i="3"/>
  <c r="E27" i="3"/>
  <c r="E13" i="3"/>
  <c r="E6" i="3"/>
  <c r="E25" i="3"/>
  <c r="E28" i="3"/>
  <c r="E33" i="3"/>
  <c r="E15" i="3"/>
  <c r="E12" i="3"/>
  <c r="G37" i="3"/>
  <c r="E18" i="3"/>
  <c r="E26" i="3"/>
  <c r="S175" i="1"/>
  <c r="O175" i="1"/>
  <c r="I34" i="1"/>
  <c r="I172" i="1"/>
  <c r="J42" i="1"/>
  <c r="K42" i="1"/>
  <c r="R175" i="1"/>
  <c r="K117" i="1"/>
  <c r="J117" i="1"/>
  <c r="I90" i="1"/>
  <c r="M172" i="1"/>
  <c r="K34" i="1" l="1"/>
  <c r="M34" i="1"/>
  <c r="J34" i="1"/>
  <c r="P173" i="1"/>
  <c r="I178" i="1"/>
  <c r="I175" i="1"/>
  <c r="K172" i="1"/>
  <c r="J172" i="1"/>
  <c r="M90" i="1"/>
  <c r="K90" i="1"/>
  <c r="J90" i="1"/>
  <c r="D37" i="3"/>
  <c r="S173" i="1"/>
  <c r="BV172" i="1"/>
  <c r="O173" i="1"/>
  <c r="P176" i="1"/>
  <c r="R173" i="1"/>
  <c r="S176" i="1"/>
  <c r="I179" i="1" l="1"/>
  <c r="I181" i="1" s="1"/>
  <c r="I180" i="1"/>
  <c r="I182" i="1" s="1"/>
  <c r="I18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Ison</author>
  </authors>
  <commentList>
    <comment ref="B128" authorId="0" shapeId="0" xr:uid="{00000000-0006-0000-0000-000001000000}">
      <text>
        <r>
          <rPr>
            <sz val="10"/>
            <rFont val="Arial"/>
            <family val="2"/>
          </rPr>
          <t xml:space="preserve">Alfonso Ison:
Revisar que no se dupliquen
</t>
        </r>
      </text>
    </comment>
    <comment ref="D159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Alfonso Ison:
</t>
        </r>
        <r>
          <rPr>
            <sz val="10"/>
            <color rgb="FF000000"/>
            <rFont val="Arial"/>
            <family val="2"/>
          </rPr>
          <t>Comparativa de muro de piedra o barda de baharete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Ison</author>
  </authors>
  <commentList>
    <comment ref="F1" authorId="0" shapeId="0" xr:uid="{00000000-0006-0000-2C00-000001000000}">
      <text>
        <r>
          <rPr>
            <sz val="10"/>
            <rFont val="Arial"/>
            <family val="2"/>
          </rPr>
          <t>Alfonso Ison:
PB ya se revisaron m2 y PU son parametricos</t>
        </r>
      </text>
    </comment>
  </commentList>
</comments>
</file>

<file path=xl/sharedStrings.xml><?xml version="1.0" encoding="utf-8"?>
<sst xmlns="http://schemas.openxmlformats.org/spreadsheetml/2006/main" count="31066" uniqueCount="1151">
  <si>
    <t>MXN PER USD</t>
  </si>
  <si>
    <t>PROYECCION</t>
  </si>
  <si>
    <t>CONCEPTO</t>
  </si>
  <si>
    <t>PRESUPUESTO IZ MXN BASE</t>
  </si>
  <si>
    <t>PPTO MARZO MXN</t>
  </si>
  <si>
    <t>PPTO ABRIL MXN</t>
  </si>
  <si>
    <t>PPTO MAYO MXN</t>
  </si>
  <si>
    <t>PPTO JUNIO MXN</t>
  </si>
  <si>
    <t>DIF BASE VS. JUNIO</t>
  </si>
  <si>
    <t>COSTO M2 INTERIOR JUNIO</t>
  </si>
  <si>
    <t>PRESUPUESTO IZ USD BASE</t>
  </si>
  <si>
    <t>PPTO JUNIO USD</t>
  </si>
  <si>
    <t>PPTO</t>
  </si>
  <si>
    <t>PARAMETRICO</t>
  </si>
  <si>
    <t>CONTRATADO</t>
  </si>
  <si>
    <t>NO CONTRATADO</t>
  </si>
  <si>
    <t>CONSTRUCTION SCHEDULE</t>
  </si>
  <si>
    <t>COMMENTS</t>
  </si>
  <si>
    <t>NAUKA BEACHFRONT - GOLF VILLAS</t>
  </si>
  <si>
    <t>DISEÑO</t>
  </si>
  <si>
    <t>ARQUITECTURA</t>
  </si>
  <si>
    <t>Supervision Diseño Iluminacion</t>
  </si>
  <si>
    <t>Diseño Arquitectonico</t>
  </si>
  <si>
    <t>Diseño Jardineria</t>
  </si>
  <si>
    <t>Cuantificacion M2</t>
  </si>
  <si>
    <t>Supervision Diseño Jardineria</t>
  </si>
  <si>
    <t>SUBTOTAL ARQUITECTURA</t>
  </si>
  <si>
    <t>INGENIERIAS Y TOPOGRAFIA</t>
  </si>
  <si>
    <t>Topografia Gestoria</t>
  </si>
  <si>
    <t>Topografia Obra</t>
  </si>
  <si>
    <t>Mecanica De Suelos</t>
  </si>
  <si>
    <t>Calculo Estructural</t>
  </si>
  <si>
    <t>Diseño HVAC</t>
  </si>
  <si>
    <t>Diseño Alberca</t>
  </si>
  <si>
    <t>Diseño Instalaciones HS-E-G</t>
  </si>
  <si>
    <t>Diseño Iluminacion</t>
  </si>
  <si>
    <t>Diseño Acustica</t>
  </si>
  <si>
    <t>SUBTOTAL INGENIERIAS Y TOPOGRAFIA</t>
  </si>
  <si>
    <t>PILAS</t>
  </si>
  <si>
    <t>Pilas</t>
  </si>
  <si>
    <t>SUBTOTAL PILAS</t>
  </si>
  <si>
    <t>OBRA CIVIL</t>
  </si>
  <si>
    <t>CONDICIONES GENERALES</t>
  </si>
  <si>
    <t>Condiciones Generales</t>
  </si>
  <si>
    <t>SUBTOTAL INDIRECTOS DE OBRA</t>
  </si>
  <si>
    <t>PRELIMINARES</t>
  </si>
  <si>
    <t>Trabajos Preliminares</t>
  </si>
  <si>
    <t>Plataformas</t>
  </si>
  <si>
    <t>SUBTOTAL PRELIMINARES</t>
  </si>
  <si>
    <t>EXCAVACION - INCLUIDA EN OBRA CIVIL</t>
  </si>
  <si>
    <t>Excavacion</t>
  </si>
  <si>
    <t>SUBTOTAL EXCAVACION</t>
  </si>
  <si>
    <t>Obra_Civil</t>
  </si>
  <si>
    <t>SUBTOTAL OBRA CIVIL</t>
  </si>
  <si>
    <t>Aplanados</t>
  </si>
  <si>
    <t>SUBTOTAL ALBAÑILERIA Y BARDAS</t>
  </si>
  <si>
    <t>IMPERMEABILIZACION</t>
  </si>
  <si>
    <t>Impermeabilizacion</t>
  </si>
  <si>
    <t>SUBTOTAL IMPERMEABILIZACION</t>
  </si>
  <si>
    <t>MEP</t>
  </si>
  <si>
    <t>INSTALACIONES ELECTRICAS</t>
  </si>
  <si>
    <t>Instalaciones Electricas</t>
  </si>
  <si>
    <t>SUBTOTAL INSTALACIONES ELECTRICAS</t>
  </si>
  <si>
    <t>INSTALACIONES HIDRAULICAS</t>
  </si>
  <si>
    <t>Instalaciones Hidrosanitarias</t>
  </si>
  <si>
    <t>SUBTOTAL INSTALACIONES HIDRAULICAS</t>
  </si>
  <si>
    <t>INSTALACIONES GAS</t>
  </si>
  <si>
    <t>Instalaciones De Gas</t>
  </si>
  <si>
    <t>SUBTOTAL INSTALACIONES GAS</t>
  </si>
  <si>
    <t>AUTOMATIZACION Y CONTROL ILUMINACION</t>
  </si>
  <si>
    <t>Automatizacion_Control_Iluminacion</t>
  </si>
  <si>
    <t>SUBTOTAL AUTOMATIZACION Y CONTROL ILUMINACION</t>
  </si>
  <si>
    <t>AIRE ACONDICIONADO Y EXTRACCION</t>
  </si>
  <si>
    <t>Aire_Acondicionado_Y_Extraccion</t>
  </si>
  <si>
    <t>SUBTOTAL AIRE ACONDICIONADO Y EXTRACCION</t>
  </si>
  <si>
    <t>ILUMINACION</t>
  </si>
  <si>
    <t>Iluminacion</t>
  </si>
  <si>
    <t>SUBTOTAL ILUMINACION</t>
  </si>
  <si>
    <t>ACABADOS</t>
  </si>
  <si>
    <t>Acabados</t>
  </si>
  <si>
    <t>SUBTOTAL ACABADOS</t>
  </si>
  <si>
    <t>COLOCACIONES</t>
  </si>
  <si>
    <t>HERRERIA</t>
  </si>
  <si>
    <t>Herreria ( Rejillas,  Anclajes, Exclusas, Tapajuntas, Soportes, Ductos )</t>
  </si>
  <si>
    <t>Pintura Herreria. Primario / Acabado</t>
  </si>
  <si>
    <t>SUBTOTAL HERRERIA</t>
  </si>
  <si>
    <t>SUMINISTRO Y COLOCACION DE MARMOL</t>
  </si>
  <si>
    <t>Suministro de Marmol</t>
  </si>
  <si>
    <t>Colocacion de Marmol</t>
  </si>
  <si>
    <t>SUBTOTAL SUMINISTRO Y COLOCACION DE MARMOL</t>
  </si>
  <si>
    <t>MADERA DE INGENIERIA*</t>
  </si>
  <si>
    <t>Pisos_Madera</t>
  </si>
  <si>
    <t>Madera_Puertas</t>
  </si>
  <si>
    <t>SUBTOTAL MADERA DE INGENIERIA</t>
  </si>
  <si>
    <t>VIDRIOS Y CANCELES</t>
  </si>
  <si>
    <t>Canceles Y Vidrios</t>
  </si>
  <si>
    <t>Barandal de Vidrio</t>
  </si>
  <si>
    <t>Canceles de Baño</t>
  </si>
  <si>
    <t>Celosia Fachada Principal</t>
  </si>
  <si>
    <t>SUBTOTAL VIDRIOS Y CANCELES</t>
  </si>
  <si>
    <t>COCINAS</t>
  </si>
  <si>
    <t>meter ultima q</t>
  </si>
  <si>
    <t>Cocina Principal</t>
  </si>
  <si>
    <t>Agregra M2 de marmol de cubiertas</t>
  </si>
  <si>
    <t>Grill</t>
  </si>
  <si>
    <t>Laundry</t>
  </si>
  <si>
    <t>SUBTOTAL COCINAS</t>
  </si>
  <si>
    <t>GRIFERIA Y ACCESORIOS DE BAÑO</t>
  </si>
  <si>
    <t>Griferia_Y_Accesorios_De_Baño</t>
  </si>
  <si>
    <t>Revisar quant. Agregar coladeras, cespoles, etc</t>
  </si>
  <si>
    <t>SUBTOTAL GRIFERIA Y ACCESORIOS DE BAÑO</t>
  </si>
  <si>
    <t>CARPINTERIAS</t>
  </si>
  <si>
    <t>Vanityes</t>
  </si>
  <si>
    <t>Puertas</t>
  </si>
  <si>
    <t>Closets</t>
  </si>
  <si>
    <t>Envios e Instalacion</t>
  </si>
  <si>
    <t>Vigas Madera</t>
  </si>
  <si>
    <t>Mobiliario</t>
  </si>
  <si>
    <t>SUBTOTAL CARPINTERIAS</t>
  </si>
  <si>
    <t>ALBERCAS</t>
  </si>
  <si>
    <t>Alberca Completa</t>
  </si>
  <si>
    <t>SUBTOTAL ALBERCAS</t>
  </si>
  <si>
    <t>JARDINERIA Y RIEGO</t>
  </si>
  <si>
    <t>Jardineria</t>
  </si>
  <si>
    <t>Sistema De Riego</t>
  </si>
  <si>
    <t>SUBTOTAL JARDINERIA Y RIEGO</t>
  </si>
  <si>
    <t>ELEVADOR</t>
  </si>
  <si>
    <t>Elevador</t>
  </si>
  <si>
    <t>SUBTOTAL ELEVADOR</t>
  </si>
  <si>
    <t>EXTERIORES</t>
  </si>
  <si>
    <t>Piedra</t>
  </si>
  <si>
    <t>Firme de Concreto</t>
  </si>
  <si>
    <t>Portones Estacionamiento</t>
  </si>
  <si>
    <t>Porton General</t>
  </si>
  <si>
    <t>Señalizacion</t>
  </si>
  <si>
    <t>Garage</t>
  </si>
  <si>
    <t>SUBTOTAL EXTERIORES</t>
  </si>
  <si>
    <t>GARDEN  AND PRIVACY WALLS</t>
  </si>
  <si>
    <t>Garden and Privacy Walls</t>
  </si>
  <si>
    <t>Revisar en Junta</t>
  </si>
  <si>
    <t>SUBTOTAL MUROS DE PIEDRA</t>
  </si>
  <si>
    <t>INFRAESTRUCTURA</t>
  </si>
  <si>
    <t>Infraestructura</t>
  </si>
  <si>
    <t>SUBTOTAL INFRAESTRUCTURA</t>
  </si>
  <si>
    <t>OTROS</t>
  </si>
  <si>
    <t>Otros</t>
  </si>
  <si>
    <t>Fire Pit</t>
  </si>
  <si>
    <t>Acustica</t>
  </si>
  <si>
    <t>SUBTOTAL FIRE PIT</t>
  </si>
  <si>
    <t>TOTAL PRESUPUESTO</t>
  </si>
  <si>
    <t>Adicionales</t>
  </si>
  <si>
    <t>Check</t>
  </si>
  <si>
    <t>2 Torres</t>
  </si>
  <si>
    <t>USD</t>
  </si>
  <si>
    <t>USD/M2 A INT. A &gt;&gt; 2 Torres</t>
  </si>
  <si>
    <t>USD/M2 A TECHADAS &gt;&gt; 2 Torres</t>
  </si>
  <si>
    <t>USD/ft2 A INT. A &gt;&gt; 2 Torres</t>
  </si>
  <si>
    <t>USD/ft2 A TECHADAS &gt;&gt; 2 Torres</t>
  </si>
  <si>
    <t>USD/DEPTO</t>
  </si>
  <si>
    <t>Herrerias</t>
  </si>
  <si>
    <t>Meter info de jess de puertas de louv</t>
  </si>
  <si>
    <t>Shutters, anclajes de vigas</t>
  </si>
  <si>
    <t>Revisar pastas</t>
  </si>
  <si>
    <t>Agregars en acabados lo que falta</t>
  </si>
  <si>
    <t>Celosias de fachada, LAS METIMOS EN CANCELERIA</t>
  </si>
  <si>
    <t>Considerar</t>
  </si>
  <si>
    <t>Utilidad</t>
  </si>
  <si>
    <t>Honorarios IZ</t>
  </si>
  <si>
    <t>DEPTO</t>
  </si>
  <si>
    <t>Area Int. Acon.</t>
  </si>
  <si>
    <t>Area Ext. Techada</t>
  </si>
  <si>
    <t>Total AIA + AET</t>
  </si>
  <si>
    <t>PB 1</t>
  </si>
  <si>
    <t>PB 2</t>
  </si>
  <si>
    <t>N1 + Roof 1</t>
  </si>
  <si>
    <t>N1 + Roof 2</t>
  </si>
  <si>
    <t>Total Torre 1</t>
  </si>
  <si>
    <t>Torre 1</t>
  </si>
  <si>
    <t>Base</t>
  </si>
  <si>
    <t>Mrazo</t>
  </si>
  <si>
    <t>Abril</t>
  </si>
  <si>
    <t>Torre 2</t>
  </si>
  <si>
    <t>MXN/M2</t>
  </si>
  <si>
    <t>USD/M2</t>
  </si>
  <si>
    <t>Partidas</t>
  </si>
  <si>
    <t>Total</t>
  </si>
  <si>
    <t>% del Total</t>
  </si>
  <si>
    <t>MXN/DEPTO</t>
  </si>
  <si>
    <t>Carpinterias</t>
  </si>
  <si>
    <t>Instalaciones_Electricas</t>
  </si>
  <si>
    <t>Vidrios_Y_Canceles</t>
  </si>
  <si>
    <t>Albercas</t>
  </si>
  <si>
    <t>Exteriores</t>
  </si>
  <si>
    <t>Cocinas</t>
  </si>
  <si>
    <t>Instalaciones_Hidraulicas</t>
  </si>
  <si>
    <t>Contingencias</t>
  </si>
  <si>
    <t>Jardineria_Y_Riego</t>
  </si>
  <si>
    <t>Preliminares</t>
  </si>
  <si>
    <t>Herreria</t>
  </si>
  <si>
    <t>Ingenierias_Y_Topografia</t>
  </si>
  <si>
    <t>Instalaciones_Gas</t>
  </si>
  <si>
    <t>Arquitectura</t>
  </si>
  <si>
    <t>Albañilerias</t>
  </si>
  <si>
    <t>Madera_De_Ingenieria</t>
  </si>
  <si>
    <t>m2</t>
  </si>
  <si>
    <t>$/m2</t>
  </si>
  <si>
    <t>GOLF VILLAS</t>
  </si>
  <si>
    <t>M2</t>
  </si>
  <si>
    <t>En infraestructura</t>
  </si>
  <si>
    <t>N/A</t>
  </si>
  <si>
    <t>En obra civil</t>
  </si>
  <si>
    <t xml:space="preserve">Impermeabilizacion </t>
  </si>
  <si>
    <t>En acabados</t>
  </si>
  <si>
    <t>Albañileria_Y_Bardas</t>
  </si>
  <si>
    <t>GLOSARIO DE DEPARTAMENTOS</t>
  </si>
  <si>
    <t>TORRE</t>
  </si>
  <si>
    <t>TIPO</t>
  </si>
  <si>
    <t>PISO(S)</t>
  </si>
  <si>
    <t>DEPTO (ID ACABADOS)</t>
  </si>
  <si>
    <t>5TA RECÁMARA</t>
  </si>
  <si>
    <t>TORRE 1</t>
  </si>
  <si>
    <t>PB</t>
  </si>
  <si>
    <t>NO</t>
  </si>
  <si>
    <t>Dúplex (N1+N1R)</t>
  </si>
  <si>
    <t>N1 + N1R</t>
  </si>
  <si>
    <t>102 / 103</t>
  </si>
  <si>
    <t>102 (N1) + 103 (N1R)</t>
  </si>
  <si>
    <t>202 / 203</t>
  </si>
  <si>
    <t>202 (N1) + 203 (N1R)</t>
  </si>
  <si>
    <t>TORRE 2</t>
  </si>
  <si>
    <t>SÍ</t>
  </si>
  <si>
    <t>302 / 303</t>
  </si>
  <si>
    <t>302 (N1) + 303 (N1R)</t>
  </si>
  <si>
    <t>402 / 403</t>
  </si>
  <si>
    <t>402 (N1) + 403 (N1R)</t>
  </si>
  <si>
    <t>NOTAS:</t>
  </si>
  <si>
    <t>• 2 Torres, 4 departamentos por torre (2 PB + 2 Dúplex N1+N1R) = 8 departamentos únicos en total</t>
  </si>
  <si>
    <t>• Los pisos N1 y N1R corresponden al mismo departamento dúplex (planta baja y planta alta del dúplex)</t>
  </si>
  <si>
    <t>• En Torre 2, los deptos 401 (PB) y 402/403 (Dúplex) cuentan con quinta recámara</t>
  </si>
  <si>
    <t>• En Acabados, los deptos dúplex aparecen con IDs separados por piso (ej: 102 en N1 y 103 en N1R)</t>
  </si>
  <si>
    <t>PROMPT: Consolidar sección en BUY OUT</t>
  </si>
  <si>
    <t>Consolida la sección [NOMBRE DE SECCIÓN] en la hoja "BUY OUT" en una sola línea de datos, siguiendo este proceso exacto:</t>
  </si>
  <si>
    <t>Estructura final deseada (4 filas):</t>
  </si>
  <si>
    <t>Sub-header — fila azul claro (#D9E2F3) con el nombre en mayúsculas, bold</t>
  </si>
  <si>
    <t>Línea de datos — fondo blanco, una sola fila con:</t>
  </si>
  <si>
    <t>Col B: Nombre de la categoría (debe coincidir con col B del tab fuente)</t>
  </si>
  <si>
    <t>Col R: =valorHistorico/2*2 (azul #0000FF) — valor original de PRESUPUESTO BASE sumado de todas las filas de detalle, dividido entre 2 y multiplicado por 2</t>
  </si>
  <si>
    <t>Col S: =valorHistorico/2*2 (azul #0000FF) — valor original de PPTO MARZO sumado de todas las filas de detalle, dividido entre 2 y multiplicado por 2</t>
  </si>
  <si>
    <t>Col T: =SUMIFS(TabFuente!$T:$T,TabFuente!$B:$B,$B[fila]&amp;"*") (verde #008000) — SUMIFS dinámico que referencia la celda B en lugar de texto hardcodeado. Usar &amp;"*" wildcard por si hay espacios trailing en el tab fuente</t>
  </si>
  <si>
    <t>Cols U,V,W,X: Fórmulas derivadas estándar: =IFERROR(T/R-1,0), =S/UNITARIO!$D$9, =R/$D$2, =S/$D$2</t>
  </si>
  <si>
    <t>SUBTOTAL — fila verde (#E2EFDA), bold, con =SUM() de la fila de datos. Schedule cols (Z</t>
  </si>
  <si>
    <t>) también en verde</t>
  </si>
  <si>
    <t>Fila blanca separadora</t>
  </si>
  <si>
    <t>Pasos:</t>
  </si>
  <si>
    <t>Leer la sección actual para obtener valores de R y S (sumar todas las filas de detalle)</t>
  </si>
  <si>
    <t>Verificar col B del tab fuente para confirmar el nombre de categoría</t>
  </si>
  <si>
    <t>Escribir la línea consolidada en la primera fila de detalle</t>
  </si>
  <si>
    <t>Eliminar las filas sobrantes (detalle restante + subtotal viejo)</t>
  </si>
  <si>
    <t>Insertar fila de SUBTOTAL verde + verificar que el separador blanco exista</t>
  </si>
  <si>
    <t>Arreglar fórmulas rotas: R del header principal de la mega-sección (ej: OBRA CIVIL, MEP, COLOCACIONES) y TOTAL PRESUPUESTO IZ — reemplazar #REF! con la nueva referencia al subtotal</t>
  </si>
  <si>
    <t>Error scan completo — verificar 0 errores #REF! en toda la hoja</t>
  </si>
  <si>
    <t>Caso especial — dividir en 2 categorías (como Mármol): Si se necesitan 2 líneas (ej: Suministro vs Colocación), para R y S usar la proporción del actual: =totalHistórico * IFERROR(SUMIFS(tab!$T:$T,tab!$B:$B,$B[fila]&amp;"*") / SUM(tab!$T$2:$T$[últimaFilaDatos]),0)⚠️ En el denominador usar rango acotado $T$2:$T$n para excluir la fila "Total" del tab fuente.</t>
  </si>
  <si>
    <t>RESUMEN</t>
  </si>
  <si>
    <t>USD = 17.5 MXN</t>
  </si>
  <si>
    <t>M2 PB DEPTO 1</t>
  </si>
  <si>
    <t>M2 PB DEPTO 2</t>
  </si>
  <si>
    <t>M2 N1 + Roof DEPTO 1</t>
  </si>
  <si>
    <t>M2 N1 + Roof DEPTO 2</t>
  </si>
  <si>
    <t>COSTO</t>
  </si>
  <si>
    <t>MXN</t>
  </si>
  <si>
    <t>Costo Total MXN</t>
  </si>
  <si>
    <t>Costo Total M2</t>
  </si>
  <si>
    <t>AREAS</t>
  </si>
  <si>
    <t>N1 y Roof</t>
  </si>
  <si>
    <t>Area Interior Acondicionado</t>
  </si>
  <si>
    <t>Area Exterior Techada</t>
  </si>
  <si>
    <t>Area Exterior Pavimentada sin Techar</t>
  </si>
  <si>
    <t>USD M2</t>
  </si>
  <si>
    <t>Area Exterior Pav. sin Techar</t>
  </si>
  <si>
    <t>Total m2</t>
  </si>
  <si>
    <t>AREA</t>
  </si>
  <si>
    <t>M2 Totales</t>
  </si>
  <si>
    <t>Costo Total</t>
  </si>
  <si>
    <t>Area Int. Acon. + Area Ext. Techada</t>
  </si>
  <si>
    <t>Area Total</t>
  </si>
  <si>
    <t>Comparativa</t>
  </si>
  <si>
    <t>Beach Front</t>
  </si>
  <si>
    <t>Lote 3</t>
  </si>
  <si>
    <t>Golf Villas</t>
  </si>
  <si>
    <t xml:space="preserve">Suministro_Y_Colocacion_De_Marmol </t>
  </si>
  <si>
    <t>Indirectos_De_Obra</t>
  </si>
  <si>
    <t>DROPDOWN</t>
  </si>
  <si>
    <t>INPUT</t>
  </si>
  <si>
    <t>NA</t>
  </si>
  <si>
    <t>x</t>
  </si>
  <si>
    <t>CATEGORÍA</t>
  </si>
  <si>
    <t>DETALLE</t>
  </si>
  <si>
    <t>PISO</t>
  </si>
  <si>
    <t>PROVEEDOR</t>
  </si>
  <si>
    <t>UNIDAD</t>
  </si>
  <si>
    <t>CANTIDAD</t>
  </si>
  <si>
    <t>MONEDA</t>
  </si>
  <si>
    <t xml:space="preserve">$ UNITARIO </t>
  </si>
  <si>
    <t>IMPORTE SIN IVA</t>
  </si>
  <si>
    <t>SOBRECOSTO</t>
  </si>
  <si>
    <t>TOTAL SOBRECOSTO</t>
  </si>
  <si>
    <t>% IVA</t>
  </si>
  <si>
    <t>$ IVA</t>
  </si>
  <si>
    <t>IMPORTE TOTAL</t>
  </si>
  <si>
    <t>T.C</t>
  </si>
  <si>
    <t>TOTAL MXN</t>
  </si>
  <si>
    <t>NOTAS</t>
  </si>
  <si>
    <t>PARAMETRICO/PPTO</t>
  </si>
  <si>
    <t>S/D</t>
  </si>
  <si>
    <t>Lote</t>
  </si>
  <si>
    <t>###########</t>
  </si>
  <si>
    <t>Semana</t>
  </si>
  <si>
    <t>Diseño Instalaciones. Electricas, Ihs, Alberca, Gas, Etc.</t>
  </si>
  <si>
    <t>Trabajos_Preliminares</t>
  </si>
  <si>
    <t>Despalme</t>
  </si>
  <si>
    <t>Malla</t>
  </si>
  <si>
    <t>Papeleria</t>
  </si>
  <si>
    <t>Renta Generadores de Luz</t>
  </si>
  <si>
    <t>Generador 1</t>
  </si>
  <si>
    <t>Generador 2</t>
  </si>
  <si>
    <t>Diesel</t>
  </si>
  <si>
    <t>Operador de Generador</t>
  </si>
  <si>
    <t>Renta Camper</t>
  </si>
  <si>
    <t>Mes</t>
  </si>
  <si>
    <t>Auxiliar De Residente ( + 2 Meses )</t>
  </si>
  <si>
    <t>Honorarios Residente ( + 2 Meses )</t>
  </si>
  <si>
    <t>Coordinador MEPS</t>
  </si>
  <si>
    <t>Viaticos</t>
  </si>
  <si>
    <t>Mantenimiento Y Limpieza</t>
  </si>
  <si>
    <t>Caja Chica De Obra</t>
  </si>
  <si>
    <t>IMSS</t>
  </si>
  <si>
    <t>Obra Civil</t>
  </si>
  <si>
    <t>ANTEUS</t>
  </si>
  <si>
    <t>Mano de Obra</t>
  </si>
  <si>
    <t>CIMENTACIONES PROFUNDAS</t>
  </si>
  <si>
    <t>Pisos</t>
  </si>
  <si>
    <t>Concreto Lavado Con Agregado Impermeabilizante_7</t>
  </si>
  <si>
    <t>DEPTO 01</t>
  </si>
  <si>
    <t>Muros</t>
  </si>
  <si>
    <t xml:space="preserve">Muros De Piedra Braza </t>
  </si>
  <si>
    <t>Sillares Con Piedra De La Region</t>
  </si>
  <si>
    <t>Acarreos</t>
  </si>
  <si>
    <t>Acarreos Verticales / Horizontales Y Traslados</t>
  </si>
  <si>
    <t>Areas Humedas</t>
  </si>
  <si>
    <t>RR IMP</t>
  </si>
  <si>
    <t>########</t>
  </si>
  <si>
    <t>Terrazas</t>
  </si>
  <si>
    <t>Charolas Y Bocas De Tormenta</t>
  </si>
  <si>
    <t>Jardineras</t>
  </si>
  <si>
    <t>N1</t>
  </si>
  <si>
    <t>N1R</t>
  </si>
  <si>
    <t>Cuartos De Maquinas</t>
  </si>
  <si>
    <t>Azotea</t>
  </si>
  <si>
    <t>Pasta Según Especificacion</t>
  </si>
  <si>
    <t>Yeso Según Especificacion</t>
  </si>
  <si>
    <t>Plafon Tablaroca</t>
  </si>
  <si>
    <t>Pasta En Plafon</t>
  </si>
  <si>
    <t>Plafon Durock</t>
  </si>
  <si>
    <t>Suministro_Y_Colocacion_De_Ceramica</t>
  </si>
  <si>
    <t>Piso</t>
  </si>
  <si>
    <t>Plafon_Acustico</t>
  </si>
  <si>
    <t>Plafon</t>
  </si>
  <si>
    <t>N1 y N1R</t>
  </si>
  <si>
    <t>AQUA CONCEPTS</t>
  </si>
  <si>
    <t>Incluye desde impermiabilizacion, hasta acabados y funcionamiento</t>
  </si>
  <si>
    <t>TENCO</t>
  </si>
  <si>
    <t>Sistema De Aire Acondicionado Y Extraccion. Usd</t>
  </si>
  <si>
    <t>CYVSA</t>
  </si>
  <si>
    <t>Sistema De Aire Acondicionado Y Extraccion. MXN</t>
  </si>
  <si>
    <t>Luminarias Interior</t>
  </si>
  <si>
    <t>Luminarias Exterior</t>
  </si>
  <si>
    <t>Marmol Pisos</t>
  </si>
  <si>
    <t>Marmol En Pisos Inc. Desperdicio</t>
  </si>
  <si>
    <t>Colocacion Marmol</t>
  </si>
  <si>
    <t>BIARQ</t>
  </si>
  <si>
    <t>Marmol En Pisos Inc. Desperdicio BAÑOS</t>
  </si>
  <si>
    <t>Colocacion Marmol BAÑOS</t>
  </si>
  <si>
    <t>Marmol Muros</t>
  </si>
  <si>
    <t>Marmol En Muros Inc. Desperdicio</t>
  </si>
  <si>
    <t>Marmol En Muros Inc. Desperdicio BAÑOS</t>
  </si>
  <si>
    <t>Marmol Cubiertas</t>
  </si>
  <si>
    <t>Marmol En Cubiertas Inc. Desperdicio</t>
  </si>
  <si>
    <t>Marmol Vanities</t>
  </si>
  <si>
    <t>Marmol En Vanities Inc. Desperdicio</t>
  </si>
  <si>
    <t>Madera De Ingenieria En Pisos Inc. Desperdicio</t>
  </si>
  <si>
    <t>Colocacion Madera</t>
  </si>
  <si>
    <t>Modulacion De Madera</t>
  </si>
  <si>
    <t>Autonivelante ( 3.0 Cm / Dolares )</t>
  </si>
  <si>
    <t>Membrana Tektil</t>
  </si>
  <si>
    <t>Madera De Ingenieria En Puertas Inc. Desperdicio</t>
  </si>
  <si>
    <t>ALUMILUX</t>
  </si>
  <si>
    <t>EUR</t>
  </si>
  <si>
    <t>Canceles Y Vidrios En Baños</t>
  </si>
  <si>
    <t>Puertas de Vidrio</t>
  </si>
  <si>
    <t>Baño Principal 1</t>
  </si>
  <si>
    <t>Baño Principal 2</t>
  </si>
  <si>
    <t>Baño 3</t>
  </si>
  <si>
    <t>Baño 4</t>
  </si>
  <si>
    <t>Baño 5</t>
  </si>
  <si>
    <t>DIECI</t>
  </si>
  <si>
    <t>CON INSTALACION E IMPORTACION</t>
  </si>
  <si>
    <t>Cocina Exterior</t>
  </si>
  <si>
    <t>Equipos de Cocina Principal</t>
  </si>
  <si>
    <t>Subzero Refrigerador 91Cm Panelable</t>
  </si>
  <si>
    <t>HOMEA</t>
  </si>
  <si>
    <t>PZA</t>
  </si>
  <si>
    <t>Subzero Jaladera Tubular Acero Inox</t>
  </si>
  <si>
    <t>Subzero Cava Vino 60Cm Panelable 42 Bote</t>
  </si>
  <si>
    <t>Subzero Manija Tubular 52Cm Acero Inox</t>
  </si>
  <si>
    <t>Scotsman Maquina De Hielo Scotsman 15" C</t>
  </si>
  <si>
    <t>Wolf Parrilla 106Cm Inox Gas Lp Exterior</t>
  </si>
  <si>
    <t>Subzero Refrigerador 60Cm Inox Bajo Most</t>
  </si>
  <si>
    <t>Blanco Tarja 69Cm Antracita Electrica</t>
  </si>
  <si>
    <t>Blanco Monomando Extraible Acero Inoxida</t>
  </si>
  <si>
    <t>Cove Lavavajillas 60Cm Panelable</t>
  </si>
  <si>
    <t>Blanco Tarja Doble 91Cm Acero Inoxidable</t>
  </si>
  <si>
    <t>Blanco Contracanasta Para Triturador</t>
  </si>
  <si>
    <t>Insinkerato Triturador De 1 Hp</t>
  </si>
  <si>
    <t>Wolf Parrilla 48" Gas Lp Acero Inox</t>
  </si>
  <si>
    <t>Wolf Cafetera 76Cm Acero Inox Empotre</t>
  </si>
  <si>
    <t>Wolf Microondas 76Cm Acero Inox Empotre</t>
  </si>
  <si>
    <t>Wolf Horno 76Cm Inox De Vapor Empotrable</t>
  </si>
  <si>
    <t>Wolf Revestimiento/Campana 116Cm Acero</t>
  </si>
  <si>
    <t>Wolf Motor 1200 Cfm Interno</t>
  </si>
  <si>
    <t>Lavadoras</t>
  </si>
  <si>
    <t>Secadoras</t>
  </si>
  <si>
    <t>Pedestal</t>
  </si>
  <si>
    <t>REVISAR</t>
  </si>
  <si>
    <t>Griferia_y_Accesorios</t>
  </si>
  <si>
    <t>Soporte para papel higiénico sin cubierta</t>
  </si>
  <si>
    <t>GERMAN C</t>
  </si>
  <si>
    <t>Gancho</t>
  </si>
  <si>
    <t>Monomando de pared para lavabo de tres oriﬁcios sin válvula</t>
  </si>
  <si>
    <t>Batería de pared empotrada Caño de salida en el centro</t>
  </si>
  <si>
    <t>Set de ducha de mano con soporte de pared integrado</t>
  </si>
  <si>
    <t>Ducha efecto lluvia con ﬁjación a pared 400 mm</t>
  </si>
  <si>
    <t>Termostato oculto con control de volumen bidireccional</t>
  </si>
  <si>
    <t>Termostato empotrado</t>
  </si>
  <si>
    <t>Inodoro a piso integrado con SensoWash® u blanco, salida vertical</t>
  </si>
  <si>
    <t>Monomando de bañera en columna para montaje exento con juego de ducha de mano</t>
  </si>
  <si>
    <t>Fijación al suelo empotrad</t>
  </si>
  <si>
    <t>Bañera blanca, exenta, con faldón integrado y bastido</t>
  </si>
  <si>
    <t>Contra Blanca para Tina</t>
  </si>
  <si>
    <t>TARA ULTRA
Single-lever mixer Pull-down with
spray function - Brushed</t>
  </si>
  <si>
    <t>TARA ULTRA HOT &amp; C</t>
  </si>
  <si>
    <t>POT FILLER
Concealed wall elbow</t>
  </si>
  <si>
    <t>TARA ULTRA POT FILLER</t>
  </si>
  <si>
    <t>Inodoro suspendido</t>
  </si>
  <si>
    <t>Colocacion</t>
  </si>
  <si>
    <t>Griferia y Accesorios N1</t>
  </si>
  <si>
    <t>Griferia_y_Accesorios_N1R</t>
  </si>
  <si>
    <t>HAMUI</t>
  </si>
  <si>
    <t>Puerta Acceso Calle</t>
  </si>
  <si>
    <t>Puerta de Acceso Calle</t>
  </si>
  <si>
    <t>Puertas De Madera Principales</t>
  </si>
  <si>
    <t>Recamara Principal 1</t>
  </si>
  <si>
    <t>Vestidor Principal 1</t>
  </si>
  <si>
    <t>Recamara Principal 2</t>
  </si>
  <si>
    <t>Vestidor Principal 2</t>
  </si>
  <si>
    <t>Exterior</t>
  </si>
  <si>
    <t>Recamara 3</t>
  </si>
  <si>
    <t>Pantry/Despensa</t>
  </si>
  <si>
    <t>Puertas Estuco Principales</t>
  </si>
  <si>
    <t>Recamara 4</t>
  </si>
  <si>
    <t>Puertas de Madera Principales</t>
  </si>
  <si>
    <t>Toilet</t>
  </si>
  <si>
    <t>Lavanderia</t>
  </si>
  <si>
    <t>Site</t>
  </si>
  <si>
    <t>Lounge</t>
  </si>
  <si>
    <t>Maquinas</t>
  </si>
  <si>
    <t>Recamara 5</t>
  </si>
  <si>
    <t>Vestidor 5</t>
  </si>
  <si>
    <t>BAÑO VISITAS (TOILET)</t>
  </si>
  <si>
    <t>BAÑO Terraza</t>
  </si>
  <si>
    <t>CON INSTALACION E IMPORTACION e ISLA</t>
  </si>
  <si>
    <t>Blancos</t>
  </si>
  <si>
    <t>Mueble Despensa</t>
  </si>
  <si>
    <t>Chapas Para Puertas Principales</t>
  </si>
  <si>
    <t>Topes Principales</t>
  </si>
  <si>
    <t>Mueble Lavanderia</t>
  </si>
  <si>
    <t>Pergolas</t>
  </si>
  <si>
    <t>PARAMETRICO UNA TORRE</t>
  </si>
  <si>
    <t>DEPTO 02</t>
  </si>
  <si>
    <t>⬅ Resumen PU</t>
  </si>
  <si>
    <t>Contratado/No Contratado</t>
  </si>
  <si>
    <t>5 Recamara</t>
  </si>
  <si>
    <t>No Contratado</t>
  </si>
  <si>
    <t>AOR</t>
  </si>
  <si>
    <t>Contratado</t>
  </si>
  <si>
    <t>Cuantificacion</t>
  </si>
  <si>
    <t>VIGENTE</t>
  </si>
  <si>
    <t>Estudio Geotécnico</t>
  </si>
  <si>
    <t>Traslado foráneo del equipo de perforación y personal del almacén al sitio de exploración.</t>
  </si>
  <si>
    <t>Samstordam</t>
  </si>
  <si>
    <t>Traslado local del equipo de perforación y personal del almacén al sitio de exploración.</t>
  </si>
  <si>
    <t>Sondeo de exploración, con la técnica de penetración estándar según la NORMA NMX-C-431-ONNCCE-2002 obteniendo muestras alteradas.</t>
  </si>
  <si>
    <t>ml</t>
  </si>
  <si>
    <t>Perforación en roca en diámetro NQ obteniendo núcleos con barril</t>
  </si>
  <si>
    <t>Suministro y colocación de ademe metálico recuperable.</t>
  </si>
  <si>
    <t>Viáticos de brigada (1 Ingeniero + 1 Perforista + 2 Ayudantes) durante los trabajos de campo.</t>
  </si>
  <si>
    <t>Día</t>
  </si>
  <si>
    <t>Hospedaje de brigada (1 Ingeniero + 1 Perforista + 2 Ayudantes) durante los trabajos de campo.</t>
  </si>
  <si>
    <t>Reconocimiento geotécnico y supervisión de los trabajos de exploración por parte de un ingeniero especialista.</t>
  </si>
  <si>
    <t>Clasificación SUCS (Sistema Unificado de Clasificación de Suelos) NORMA ASTM D-2487.</t>
  </si>
  <si>
    <t>Pba.</t>
  </si>
  <si>
    <t>Determinación del contenido de agua mediante horno NORMA NMX-C-475-ONNCCE-2013.</t>
  </si>
  <si>
    <t>Determinación de los límites de consistencia NORMA NMX-C-416-ONNCCE-2003 Cap. 6</t>
  </si>
  <si>
    <t>Determinación del análisis granulométrico NORMA NMX-C-416-ONNCCE-2003 Cap. 5</t>
  </si>
  <si>
    <t>Determinación de la masa volumétrica NORMA NMX-C-073-ONNCCE-2004.</t>
  </si>
  <si>
    <t>Resistencia a la compresión simple en roca, peso volumétrico y absorción NORMA ASTM D-2166-00.</t>
  </si>
  <si>
    <t>Interpretación y redacción de los resultados de campo, laboratorio, cálculos de capacidad de carga, asentamientos y recomendaciones de la mejor opción para la cimentación.</t>
  </si>
  <si>
    <t>Inf.</t>
  </si>
  <si>
    <t>Piezometría</t>
  </si>
  <si>
    <t>Construcción de tubo de observación de 2" de diámetro a 8.00 m de profundidad para verificación de las fluctuaciones del nivel freático.</t>
  </si>
  <si>
    <t>Pza.</t>
  </si>
  <si>
    <t>Visitas para las tomas de lectura y elaboración de reporte piezométrico.</t>
  </si>
  <si>
    <t>Diseño de Pavimentos</t>
  </si>
  <si>
    <t>Traslado de equipo y personal del almacén al sitio de exploración.</t>
  </si>
  <si>
    <t>Excavación de pozos a cielo abierto por medios mecánicos, levantamientos de columna estratigráfica según la NORMA NMX-C430-ONNCCE-2002.</t>
  </si>
  <si>
    <t>Pozo</t>
  </si>
  <si>
    <t>Determinación del valor relativo soporte y expansión NORMA NMX-C-416-ONNCCE-2003 Cap. 10</t>
  </si>
  <si>
    <t>Interpretación y redacción de los resultados de campo, laboratorio y recomendaciones geotécnicas para el diseño de pavimentos</t>
  </si>
  <si>
    <t>Cálculo Estructural</t>
  </si>
  <si>
    <t>Anticipo</t>
  </si>
  <si>
    <t>MyT</t>
  </si>
  <si>
    <t>Fade 1 y 2</t>
  </si>
  <si>
    <t>Fase 3</t>
  </si>
  <si>
    <t>Fase 4</t>
  </si>
  <si>
    <t>Extraordinarios</t>
  </si>
  <si>
    <t>Ingenieria HVAC Beachfronts Nauka</t>
  </si>
  <si>
    <t>CYVS</t>
  </si>
  <si>
    <t>Diseño Albercas</t>
  </si>
  <si>
    <t>Proyecto Albercas Beachfronts Nauka</t>
  </si>
  <si>
    <t>AQUACONCEPTS</t>
  </si>
  <si>
    <t>Diseño Instalaciones</t>
  </si>
  <si>
    <t>Instalación Eléctrica</t>
  </si>
  <si>
    <t>UNINAPS</t>
  </si>
  <si>
    <t>Instalación Hidráulica</t>
  </si>
  <si>
    <t>Instalación Sanitaria</t>
  </si>
  <si>
    <t>Instalación Aguas Pluviales</t>
  </si>
  <si>
    <t>Instalación Agua Tratada</t>
  </si>
  <si>
    <t>Instalación Red de Riego Programado</t>
  </si>
  <si>
    <t>Instalación de red de Gas L.P. y/o Natural</t>
  </si>
  <si>
    <t>Instalación sistema de extinción de incendios (SCI)</t>
  </si>
  <si>
    <t>Instalación sistema de prevención de incendios (IDH)</t>
  </si>
  <si>
    <t>Diseño Iluminación</t>
  </si>
  <si>
    <t>ARTEC</t>
  </si>
  <si>
    <t>SAAD</t>
  </si>
  <si>
    <t>Seguro de Obra</t>
  </si>
  <si>
    <t>Año</t>
  </si>
  <si>
    <t>Tinaco</t>
  </si>
  <si>
    <t>5K Litros</t>
  </si>
  <si>
    <t>Renta Baños</t>
  </si>
  <si>
    <t>Fosa Septica</t>
  </si>
  <si>
    <t>Operador</t>
  </si>
  <si>
    <t>Consumibles</t>
  </si>
  <si>
    <t>General</t>
  </si>
  <si>
    <t>Segurista</t>
  </si>
  <si>
    <t>Vehiculos</t>
  </si>
  <si>
    <t>Cuatrimoto</t>
  </si>
  <si>
    <t>Canam</t>
  </si>
  <si>
    <t>Radios</t>
  </si>
  <si>
    <t>Multifun Brother MFCJ6940DW</t>
  </si>
  <si>
    <t>Office Depot de México SA de CV</t>
  </si>
  <si>
    <t>Bolígrafo BIC Punto Fino Azul 12pk</t>
  </si>
  <si>
    <t>Marcador Magistra c/4 Surt</t>
  </si>
  <si>
    <t>Papel Office Depot Cta c/5000H</t>
  </si>
  <si>
    <t>Papel Navigator Dcta Resma 90g 500H</t>
  </si>
  <si>
    <t>Organizador Office Depot 50204</t>
  </si>
  <si>
    <t>Escritorio Ejecutivo Bora</t>
  </si>
  <si>
    <t>Dispensador Agua 2Temp Mabe BN</t>
  </si>
  <si>
    <t>Charola Office Depot 43911 Neg</t>
  </si>
  <si>
    <t>Cuaderno Book Kiut 3Mat 120H</t>
  </si>
  <si>
    <t>Cuaderno Prof Black c5 100H</t>
  </si>
  <si>
    <t>Pintarrón Innova Plus 80x120</t>
  </si>
  <si>
    <t>Monitor LG 32MR50 32" Curvo FHD</t>
  </si>
  <si>
    <t>Perforadora Office Depot 997</t>
  </si>
  <si>
    <t>Engrapadora Golpe Pilot Econ</t>
  </si>
  <si>
    <t>Archivero 3 Gavetas A159 BN</t>
  </si>
  <si>
    <t>Tablero Corcho Innova Plus 90c</t>
  </si>
  <si>
    <t>Notas Post-It Neo 3x3 75H Paq/5</t>
  </si>
  <si>
    <t>Grapas Estándar Pilot c/5040</t>
  </si>
  <si>
    <t>Silla Ejecutiva en Tela Tipo Piel</t>
  </si>
  <si>
    <t>Frigobar Igloo 3.2 Pies Platino</t>
  </si>
  <si>
    <t>Cafetera Negra Programable 12 Tazas</t>
  </si>
  <si>
    <t>Microondas Mabe Eco 0.7 Pies</t>
  </si>
  <si>
    <t>S/F</t>
  </si>
  <si>
    <t>Tracsa</t>
  </si>
  <si>
    <t>Renta Generador DE55GC</t>
  </si>
  <si>
    <t>Renta Generador DE22GC</t>
  </si>
  <si>
    <t>URARQ</t>
  </si>
  <si>
    <t>Remoción y trasplante de palmeras y árboles de tallas varias</t>
  </si>
  <si>
    <t>Trabajo terminado</t>
  </si>
  <si>
    <t>Suministro e instalación de malla ciclónica galvanizada de 2.00 m de altura</t>
  </si>
  <si>
    <t>ABIKAR PROYECTO Y CONSTRUCCION S.A DE C.V</t>
  </si>
  <si>
    <t>M</t>
  </si>
  <si>
    <t>Suministro e instalación de malla sombra Raschel al 95% de visibilidad de 2.00 m de altura</t>
  </si>
  <si>
    <t>Falta agregar 5 recamar y otros cambios</t>
  </si>
  <si>
    <t>PLANTA BAJA</t>
  </si>
  <si>
    <t>ADC</t>
  </si>
  <si>
    <t>PPTO COMPRANDO ACERO Y CONCRETO ADC</t>
  </si>
  <si>
    <t>DESCABEZADO DE PILAS</t>
  </si>
  <si>
    <t>DADOS</t>
  </si>
  <si>
    <t>TRABES Y CONTRATRABES</t>
  </si>
  <si>
    <t>CASTILLOS</t>
  </si>
  <si>
    <t>FIRME</t>
  </si>
  <si>
    <t>MUROS - CONCRETO</t>
  </si>
  <si>
    <t>MUROS - DENTADO</t>
  </si>
  <si>
    <t>MUROS - MAMPOSTERIA</t>
  </si>
  <si>
    <t>ALBERCA - PRELIMINARES</t>
  </si>
  <si>
    <t>ALBERCA - FIRME</t>
  </si>
  <si>
    <t>ALBERCA - MUROS</t>
  </si>
  <si>
    <t>CTO DE MAQUINAS - FIRME</t>
  </si>
  <si>
    <t>CTO DE MAQUINAS - MUROS</t>
  </si>
  <si>
    <t>CTO DE MAQUINAS - LOSA</t>
  </si>
  <si>
    <t>ESCALERA</t>
  </si>
  <si>
    <t>PERGOLADO</t>
  </si>
  <si>
    <t>PRIMER NIVEL</t>
  </si>
  <si>
    <t>VIGA</t>
  </si>
  <si>
    <t>LOSA</t>
  </si>
  <si>
    <t>ROOF GARDEN</t>
  </si>
  <si>
    <t>VIGAS</t>
  </si>
  <si>
    <t>NERVADURAS</t>
  </si>
  <si>
    <t>MUROS</t>
  </si>
  <si>
    <t>ALBERCA - VIGAS</t>
  </si>
  <si>
    <t>ALBERCA - LOSA</t>
  </si>
  <si>
    <t>CTO DE MAQUINAS - MURO</t>
  </si>
  <si>
    <t>AZOTEA</t>
  </si>
  <si>
    <t>LIMPIEZAS</t>
  </si>
  <si>
    <t>ACERO</t>
  </si>
  <si>
    <t>CONCRETO</t>
  </si>
  <si>
    <t>ADICIONALES</t>
  </si>
  <si>
    <t>Exteriores PB</t>
  </si>
  <si>
    <t>Aplanado fino sobre muros, mezcla cemento-arena 1:5 — incluye material, MO, andamios, acarreos, limpieza</t>
  </si>
  <si>
    <t>Interiores PB</t>
  </si>
  <si>
    <t>Exteriores Primer Nivel</t>
  </si>
  <si>
    <t>Interiores Primer Nivel</t>
  </si>
  <si>
    <t>Exteriores Roof Garden</t>
  </si>
  <si>
    <t>Interiores Roof Garden</t>
  </si>
  <si>
    <t>TOTAL APLANADOS</t>
  </si>
  <si>
    <t>MAM</t>
  </si>
  <si>
    <t>Concreto</t>
  </si>
  <si>
    <t>Varilla</t>
  </si>
  <si>
    <t>Tecnologias SHIN</t>
  </si>
  <si>
    <t>Traslado de maquinaria y herramienta de patio central al sitio de la obra</t>
  </si>
  <si>
    <t>flete</t>
  </si>
  <si>
    <t>Cuadrilla de topografía para establecer cotas, ejes y referencias (Semanal)</t>
  </si>
  <si>
    <t>semana</t>
  </si>
  <si>
    <t>Servicio de segurista en obra</t>
  </si>
  <si>
    <t>Servicio de laboratorio para control de calidad</t>
  </si>
  <si>
    <t>Renta de retroexcavadora tipo Caterpillar Modelo 416, equipada con botes, frontal y trasero</t>
  </si>
  <si>
    <t>Prueba de integridad en pilas (PIT)</t>
  </si>
  <si>
    <t>Perforación de pilas de cimentación de 0.80 m de diámetro, en material tipo I y II</t>
  </si>
  <si>
    <t>Perforación de pilas de cimentación de 1.00 m de diámetro, en material tipo I y II</t>
  </si>
  <si>
    <t>Perforación de pilas de cimentación de 1.20 m de diámetro, en material tipo I y II</t>
  </si>
  <si>
    <t>Habilitado de acero de refuerzo de diferentes diámetros en pilas Fy= 4,200 kg/cm2</t>
  </si>
  <si>
    <t>kg</t>
  </si>
  <si>
    <t>Izaje y colocación de acero de pila equipo mecánico hasta la profundidad indicada en proyecto</t>
  </si>
  <si>
    <t>Suministro de concreto estructural premezclado f'c= 300 kg/cm², incluye; mano de obra, herramienta</t>
  </si>
  <si>
    <t>m3</t>
  </si>
  <si>
    <t>Colocación de concreto premezclado en pilas, con tubería tremie</t>
  </si>
  <si>
    <t>Suministro y colocación de lodos bentoníticos o polímeros</t>
  </si>
  <si>
    <t>Tratamiento de lodos bentónicos, incluye desarenador, mano de obra para su operación</t>
  </si>
  <si>
    <t>Retiro de material producto de la perforación de pila, incluye retiro a tiradero libre</t>
  </si>
  <si>
    <t>Ademe metálico de 3.5m de longitud de 0.90m de diámetro, recuperable</t>
  </si>
  <si>
    <t>Ademe metálico de 3.5m de longitud de 1.10m de diámetro, recuperable</t>
  </si>
  <si>
    <t>Ademe metálico de 3.5m de longitud de 1.30m de diámetro, recuperable</t>
  </si>
  <si>
    <t>Demolición de corona de pila (descabece)</t>
  </si>
  <si>
    <t>VARILLA G-4200 NO. 4 (1/2")</t>
  </si>
  <si>
    <t>VARILLA G-4200 NO. 8 (1")</t>
  </si>
  <si>
    <t>WS-04 — PERMALASTIK PRO + SIKATELA REFORZADA</t>
  </si>
  <si>
    <t>PB+N1R</t>
  </si>
  <si>
    <t>101, 103</t>
  </si>
  <si>
    <t>R&amp;R Impermeabilizante S.A. de C.V.</t>
  </si>
  <si>
    <t>Pareja de villas Torre 1 (depto 101 PB + depto 103 N1R) (R&amp;R folio 26036 B v2 22/04/26)</t>
  </si>
  <si>
    <t>PPTO CON AUMENTO HIPOTETICO DE +35%</t>
  </si>
  <si>
    <t>WS-02 — SIKASHIELD P45 S MX 4.00 MM</t>
  </si>
  <si>
    <t>Charolas y Bocas Tormenta</t>
  </si>
  <si>
    <t>WS-05 — VULKEM 350NF/351NF</t>
  </si>
  <si>
    <t>WS-03 — PERMALASTIK PRO + SIKALAM SD 08 PLUS</t>
  </si>
  <si>
    <t>N1+otro</t>
  </si>
  <si>
    <t>102, 104</t>
  </si>
  <si>
    <t>Pareja de villas Torre 1 (depto 102 N1 + 104 — verificar con proveedor, 104 no existe en NAUKA) (R&amp;R folio 26036 B v2 22/04/26)</t>
  </si>
  <si>
    <t>201, 203</t>
  </si>
  <si>
    <t>Pareja de villas Torre 2 (depto 201 PB + depto 203 N1R) (R&amp;R folio 26036 B v2 22/04/26)</t>
  </si>
  <si>
    <t>202, 204</t>
  </si>
  <si>
    <t>Pareja de villas Torre 2 (depto 202 N1 + 204 — verificar con proveedor, 204 no existe en NAUKA) (R&amp;R folio 26036 B v2 22/04/26)</t>
  </si>
  <si>
    <t>N1R/Roof</t>
  </si>
  <si>
    <t>Roof Garden general (todas las villas) (R&amp;R folio 26036 B v2 22/04/26)</t>
  </si>
  <si>
    <t>Cuartos de Maquinas</t>
  </si>
  <si>
    <t>WS-01 — SIKASHIELD P45 MG MX 4.00 MM</t>
  </si>
  <si>
    <t>AZOTEAS</t>
  </si>
  <si>
    <t>Azoteas (todas las villas) (R&amp;R folio 26036 B v2 22/04/26)</t>
  </si>
  <si>
    <t>Sistemas Low Voltage / Automatizacion</t>
  </si>
  <si>
    <t>TIPO-1 (4 hab)</t>
  </si>
  <si>
    <t>101</t>
  </si>
  <si>
    <t>SRD</t>
  </si>
  <si>
    <t>SRD cot. 1238 draft4 (17-jun-2026); TODAS las secciones incl. Alarma e Intrusion; sin IVA, IVA 16%</t>
  </si>
  <si>
    <t>201</t>
  </si>
  <si>
    <t>TIPO-2 (4 hab + rooftop)</t>
  </si>
  <si>
    <t>N1+N1R</t>
  </si>
  <si>
    <t>102</t>
  </si>
  <si>
    <t>202</t>
  </si>
  <si>
    <t>301</t>
  </si>
  <si>
    <t>TIPO-1A (5 hab)</t>
  </si>
  <si>
    <t>401</t>
  </si>
  <si>
    <t>302</t>
  </si>
  <si>
    <t>TIPO-2A (5 hab + rooftop)</t>
  </si>
  <si>
    <t>402</t>
  </si>
  <si>
    <t>Aire Acondicionado VRV. Usd</t>
  </si>
  <si>
    <t>Sí</t>
  </si>
  <si>
    <t>Aire Acondicionado VRV. MXN</t>
  </si>
  <si>
    <t>Extraccion De Sanitarios. Usd</t>
  </si>
  <si>
    <t>Extraccion De Sanitarios. MXN</t>
  </si>
  <si>
    <t>Sistema De Aire Acondicionado Site Nivel 5. Usd</t>
  </si>
  <si>
    <t>Sistema De Aire Acondicionado Site Nivel 5. MXN</t>
  </si>
  <si>
    <t>Extraccion De Secadoras. Usd</t>
  </si>
  <si>
    <t>Extraccion De Secadoras. MXN</t>
  </si>
  <si>
    <t>Complemento. Usd</t>
  </si>
  <si>
    <t>GLOBAL</t>
  </si>
  <si>
    <t>Complemento. MXN</t>
  </si>
  <si>
    <t>CIRCULACIÓN VERTICAL</t>
  </si>
  <si>
    <t>Interior PB</t>
  </si>
  <si>
    <t>427 ARCHITECTURE</t>
  </si>
  <si>
    <t>TIPO-1</t>
  </si>
  <si>
    <t>VESTÍBULO/PASILLO</t>
  </si>
  <si>
    <t>CLOSET</t>
  </si>
  <si>
    <t>BAÑO DE VISITAS</t>
  </si>
  <si>
    <t>SITE</t>
  </si>
  <si>
    <t>LAVANDERÍA</t>
  </si>
  <si>
    <t>COCINA/DESPENSA</t>
  </si>
  <si>
    <t>SALA/COMEDOR</t>
  </si>
  <si>
    <t>RECAMARA PRINCIPAL 1</t>
  </si>
  <si>
    <t>BAÑO PRINCIPAL 1</t>
  </si>
  <si>
    <t>VESTIDOR PRINCIPAL 1</t>
  </si>
  <si>
    <t>RECAMARA PRINCIPAL 2</t>
  </si>
  <si>
    <t>BAÑO PRINCIPAL 2</t>
  </si>
  <si>
    <t>VESTIDOR PRINCIPAL 2</t>
  </si>
  <si>
    <t>RECAMARA PRINCIPAL 3</t>
  </si>
  <si>
    <t>BAÑO/VESTIDOR PRINCIPAL 3</t>
  </si>
  <si>
    <t>RECAMARA PRINCIPAL 4</t>
  </si>
  <si>
    <t>BAÑO/VESTIDOR PRINCIPAL 4</t>
  </si>
  <si>
    <t>CUARTO DE MÁQUINAS</t>
  </si>
  <si>
    <t>PATIO DE ACCESO/JARDÍN</t>
  </si>
  <si>
    <t>Exterior PB</t>
  </si>
  <si>
    <t>TERRAZAS TECHADAS</t>
  </si>
  <si>
    <t>ASOLEADERO</t>
  </si>
  <si>
    <t>ALBERCA</t>
  </si>
  <si>
    <t>Interior PA</t>
  </si>
  <si>
    <t>TIPO-2 N1</t>
  </si>
  <si>
    <t>Exterior PA</t>
  </si>
  <si>
    <t>Interior Rooftop</t>
  </si>
  <si>
    <t>103</t>
  </si>
  <si>
    <t>TIPO-2 N1R</t>
  </si>
  <si>
    <t>BAÑO</t>
  </si>
  <si>
    <t>LAVANDERIA</t>
  </si>
  <si>
    <t>BODEGAS</t>
  </si>
  <si>
    <t>TERRAZA TECHADA</t>
  </si>
  <si>
    <t>Exterior Rooftop</t>
  </si>
  <si>
    <t>JARDINERA</t>
  </si>
  <si>
    <t>203</t>
  </si>
  <si>
    <t>303</t>
  </si>
  <si>
    <t>403</t>
  </si>
  <si>
    <t>Marmol</t>
  </si>
  <si>
    <t>Baños</t>
  </si>
  <si>
    <t>Recamaras</t>
  </si>
  <si>
    <t>Interior</t>
  </si>
  <si>
    <t>Pasta</t>
  </si>
  <si>
    <t>Plafon Interior</t>
  </si>
  <si>
    <t>Plafon Exterior</t>
  </si>
  <si>
    <t>Tablaroca</t>
  </si>
  <si>
    <t>Durock</t>
  </si>
  <si>
    <t>Muros Interiores</t>
  </si>
  <si>
    <t>Muros Exteriores</t>
  </si>
  <si>
    <t>Grupo Aliglass</t>
  </si>
  <si>
    <t>POS C-01 (opción Ax 130 s.o.) - Ventana trirail 3 hojas correderas 4900x3250 mm. Serie AX Ferro 130 suelo oculto. Vidrio 6HN/16/66.1 SG. Color laca transparente.</t>
  </si>
  <si>
    <t>AX FERRO</t>
  </si>
  <si>
    <t>Pza</t>
  </si>
  <si>
    <t>POS C-02 (opción Ax 130 s.o.) - Ventana trirail 3 hojas correderas 4920x3250 mm. Serie AX Ferro 130 suelo oculto. Vidrio 6HN/16/66.1 SG. Color laca transparente.</t>
  </si>
  <si>
    <t>POS C-03 - Ventana 1 hoja praticable 300x3250 mm. Serie AX Ferro 70 shadow. Vidrio 6HN/16/66.1 SG. Color laca transparente.</t>
  </si>
  <si>
    <t>POS C-04 (opción Ax 130 s.o.) - Ventana trirail 3 hojas correderas 4640x3250 mm. Serie AX Ferro 130 suelo oculto. Vidrio 6HN/16/66.1 SG. Color laca transparente.</t>
  </si>
  <si>
    <t>POS C-05 (opción Ax 130 s.o.) - Ventana trirail 6 hojas correderas con apertura central 9040x3250 mm. Serie AX Ferro 130 suelo oculto. Vidrio 6HN/16/66.1 SG. Color laca transparente.</t>
  </si>
  <si>
    <t>POS C-06 - Ventana fija 620x3250 mm. Serie AX Ferro 70 shadow. Vidrio 6HN/16/66.1 SG. Color laca transparente.</t>
  </si>
  <si>
    <t>POS C-07 (opción Ax 130 s.o.) - Ventana birail 2 hojas correderas 3240x3250 mm. Serie AX Ferro 130 suelo oculto. Vidrio 6HN/16/66.1 SG. Color laca transparente.</t>
  </si>
  <si>
    <t>CANALES DE DESAGÜE - Suministro y colocación de canales de acero inoxidable. Aplica a C-01, C-02, C-04, C-05, C-07.</t>
  </si>
  <si>
    <t>NOT INCLUDED — Premarcos</t>
  </si>
  <si>
    <t>NOT INCLUDED — Medios de elevación (grúas, andamios, plataformas elevables)</t>
  </si>
  <si>
    <t>NOT INCLUDED — Barras antipánico y elementos de seguridad</t>
  </si>
  <si>
    <t>NOT INCLUDED — Vierteaguas, elementos de remate, albardilla metálica</t>
  </si>
  <si>
    <t>NOT INCLUDED — Impermeabilizaciones en vanos</t>
  </si>
  <si>
    <t>NOT INCLUDED — Limpiezas finales de obra</t>
  </si>
  <si>
    <t>NOT INCLUDED — Protección pasiva contra fuego</t>
  </si>
  <si>
    <t>NOT INCLUDED — Aislamiento piso-losa (entre fachada y losa)</t>
  </si>
  <si>
    <t>BAR-01 - Barandal sobre zoclo servilletero de 4,500 mm</t>
  </si>
  <si>
    <t>BAR-02 - Barandal sobre zoclo servilletero de 4,800 mm</t>
  </si>
  <si>
    <t>Canceles_Bano</t>
  </si>
  <si>
    <t>Cancel de Baño</t>
  </si>
  <si>
    <t>CB-01 - Cancel de baño con 2 puertas abatibles y 1 mampara central de 4,380 mm de ancho x 3,250 mm de alto. Vidrio templado de 10 mm. Empotramiento superior a viga (viga por otros).</t>
  </si>
  <si>
    <t>CB-02 - Cancel de baño con 2 puertas abatibles y 1 mampara central de 4,750 mm de ancho x 3,250 mm de alto. Vidrio templado de 10 mm. Empotramiento superior a viga (viga por otros).</t>
  </si>
  <si>
    <t>CB-03 - Cancel de baño con 2 puertas abatibles y 1 mampara central de 4,700 mm de ancho x 3,250 mm de alto. Vidrio templado de 10 mm. Empotramiento superior a viga (viga por otros).</t>
  </si>
  <si>
    <t>CB-04 - Cancel de baño con 2 puertas abatibles y 1 mampara central de 4,875 mm de ancho x 3,250 mm de alto. Vidrio templado de 10 mm. Empotramiento superior a viga (viga por otros).</t>
  </si>
  <si>
    <t>poner dos mas</t>
  </si>
  <si>
    <t>CATEGORÍA 2</t>
  </si>
  <si>
    <t>Cocina Principal Modelo MH6</t>
  </si>
  <si>
    <t>COCINA EXTERIOR PLANTA BAJA
MODELO SKILL INTERIORES DE ACERO INOX</t>
  </si>
  <si>
    <t>Cocina Roof Exterior</t>
  </si>
  <si>
    <t>Wolf Asador OG42 empotrable 42" (paramétrico)</t>
  </si>
  <si>
    <t>BOA</t>
  </si>
  <si>
    <t>PARAMETRICO - asador OG42, se solicita al ponerse a la venta (no en cot. BOA 25-jun)</t>
  </si>
  <si>
    <t>Wolf Cubre vinil asador 42" (paramétrico)</t>
  </si>
  <si>
    <t>PARAMETRICO - cubrevinil, junto con asador</t>
  </si>
  <si>
    <t>Samsung</t>
  </si>
  <si>
    <t>Paquete lavadora+secadora Samsung $45,000 MXN (junta 22-06-26)</t>
  </si>
  <si>
    <t>Fecha</t>
  </si>
  <si>
    <t>Proveedor</t>
  </si>
  <si>
    <t>EUROS</t>
  </si>
  <si>
    <t>PA</t>
  </si>
  <si>
    <t>No.</t>
  </si>
  <si>
    <t>Concepto</t>
  </si>
  <si>
    <t>Unidad</t>
  </si>
  <si>
    <t>Cantidad</t>
  </si>
  <si>
    <t>P. Unitario</t>
  </si>
  <si>
    <t>Importe</t>
  </si>
  <si>
    <t>Cocina Roof</t>
  </si>
  <si>
    <t>Sub Total</t>
  </si>
  <si>
    <t>Importacion</t>
  </si>
  <si>
    <t>Honorarios</t>
  </si>
  <si>
    <t>IVA</t>
  </si>
  <si>
    <t>PRECIOS UNITARIOS (c/ Importación + Honorarios)</t>
  </si>
  <si>
    <t>Planta</t>
  </si>
  <si>
    <t>Imp</t>
  </si>
  <si>
    <t>Hon</t>
  </si>
  <si>
    <t>2026-06-25</t>
  </si>
  <si>
    <t>1  PB COCINA PRINCIPAL INTERIOR</t>
  </si>
  <si>
    <t>1.01</t>
  </si>
  <si>
    <t>Estufa de gas de 48" con 6 quemadores profesionales y plancha, LP</t>
  </si>
  <si>
    <t>GR486G-LP</t>
  </si>
  <si>
    <t>WOLF</t>
  </si>
  <si>
    <t>pz</t>
  </si>
  <si>
    <t>1.02</t>
  </si>
  <si>
    <t>Campana profesional para revestir, forro de acero inox., 46" x 19"</t>
  </si>
  <si>
    <t>PL461912</t>
  </si>
  <si>
    <t>1.03</t>
  </si>
  <si>
    <t>Motor de extracción interno para campanas de pared interiores, 1200 CFM</t>
  </si>
  <si>
    <t>814423</t>
  </si>
  <si>
    <t>1.04</t>
  </si>
  <si>
    <t>Refrigerador y congelador panelable (puerta francesa) de 48"</t>
  </si>
  <si>
    <t>CL4850UFD/O</t>
  </si>
  <si>
    <t>SUB ZERO</t>
  </si>
  <si>
    <t>Cambio marca: COVE → ASKO en v3 28/04/26</t>
  </si>
  <si>
    <t>1.05</t>
  </si>
  <si>
    <t>Kit de montaje para panel frontal</t>
  </si>
  <si>
    <t>9044760</t>
  </si>
  <si>
    <t>1.06</t>
  </si>
  <si>
    <t>Jaladera tubular para puerta arriba</t>
  </si>
  <si>
    <t>9042356</t>
  </si>
  <si>
    <t>1.07</t>
  </si>
  <si>
    <t>Jaladera tubular para cajón de 48"</t>
  </si>
  <si>
    <t>9042364</t>
  </si>
  <si>
    <t>1.08</t>
  </si>
  <si>
    <t>Kit de instalación</t>
  </si>
  <si>
    <t>KIT C</t>
  </si>
  <si>
    <t>1.09</t>
  </si>
  <si>
    <t>Microondas con puerta drop down de 30", serie E</t>
  </si>
  <si>
    <t>MDD3050PE/S/P</t>
  </si>
  <si>
    <t>1.10</t>
  </si>
  <si>
    <t>Lavavajillas panelable para 16 juegos (con gola)</t>
  </si>
  <si>
    <t>DFI565.U</t>
  </si>
  <si>
    <t>ASKO</t>
  </si>
  <si>
    <t>1.11</t>
  </si>
  <si>
    <t>Centro de bebidas bajo cubierta 24", apertura derecha ADA</t>
  </si>
  <si>
    <t>DEU2450BG/ADA/R</t>
  </si>
  <si>
    <t>1.12</t>
  </si>
  <si>
    <t>Jaladera tubular</t>
  </si>
  <si>
    <t>9036006</t>
  </si>
  <si>
    <t>1.13</t>
  </si>
  <si>
    <t>KIT B</t>
  </si>
  <si>
    <t>1.14</t>
  </si>
  <si>
    <t>Centro de bebidas bajo cubierta 24", apertura izquierda ADA</t>
  </si>
  <si>
    <t>DEU2450BG/ADA/L</t>
  </si>
  <si>
    <t>1.15</t>
  </si>
  <si>
    <t>1.16</t>
  </si>
  <si>
    <t>1.17</t>
  </si>
  <si>
    <t>Tarja</t>
  </si>
  <si>
    <t>443149</t>
  </si>
  <si>
    <t>BLANCO</t>
  </si>
  <si>
    <t>1.18</t>
  </si>
  <si>
    <t>Sink</t>
  </si>
  <si>
    <t>441098</t>
  </si>
  <si>
    <t>1.19</t>
  </si>
  <si>
    <t>Triturador</t>
  </si>
  <si>
    <t>EVOLUTION PLUS 1000</t>
  </si>
  <si>
    <t>INSINKERATOR</t>
  </si>
  <si>
    <t>SUBTOTAL 1</t>
  </si>
  <si>
    <t>2  PA COCINA PRINCIPAL (N1) INTERIOR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</si>
  <si>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</si>
  <si>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</si>
  <si>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</si>
  <si>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</si>
  <si>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</si>
  <si>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</si>
  <si>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</si>
  <si>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</si>
  <si>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</si>
  <si>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</si>
  <si>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</si>
  <si>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</si>
  <si>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</si>
  <si>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</si>
  <si>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</si>
  <si>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</si>
  <si>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</si>
  <si>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</si>
  <si>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</si>
  <si>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SUBTOTAL 2</t>
  </si>
  <si>
    <t>3  PB COCINA EXTERIOR</t>
  </si>
  <si>
    <t>REMOVIDO EN v3 — incluido en bomba de drenaje del SRCP065A-1SU</t>
  </si>
  <si>
    <t>3.01</t>
  </si>
  <si>
    <t>Máquina de hielo residencial gourmet 65 lb con bomba de drenaje</t>
  </si>
  <si>
    <t>SRCP065A-1SU</t>
  </si>
  <si>
    <t>SCOTSMAN</t>
  </si>
  <si>
    <t>3.02</t>
  </si>
  <si>
    <t>KIT A</t>
  </si>
  <si>
    <t>3.03</t>
  </si>
  <si>
    <t>Refrigerador bajo cubierta exterior 24", apertura derecha</t>
  </si>
  <si>
    <t>DEU2450RO/R</t>
  </si>
  <si>
    <t>3.04</t>
  </si>
  <si>
    <t>3.05</t>
  </si>
  <si>
    <t>Refrigerador bajo cubierta exterior 24", apertura izquierda</t>
  </si>
  <si>
    <t>DEU2450RO/L</t>
  </si>
  <si>
    <t>3.06</t>
  </si>
  <si>
    <t>3.07</t>
  </si>
  <si>
    <t>Campana profesional para exterior acero inox., 48" x 33"</t>
  </si>
  <si>
    <t>PW483318O</t>
  </si>
  <si>
    <t>3.08</t>
  </si>
  <si>
    <t>Motor de extracción interno para campanas, 1200 CFM</t>
  </si>
  <si>
    <t>NUEVO en v3 28/04/26</t>
  </si>
  <si>
    <t>3.09</t>
  </si>
  <si>
    <t>3.10</t>
  </si>
  <si>
    <t>3.11</t>
  </si>
  <si>
    <t>NUEVO en v3 28/04/26 — qty 2 por villa</t>
  </si>
  <si>
    <t>SUBTOTAL 3</t>
  </si>
  <si>
    <t>4  ROOF COCINA EXTERIOR (N1R)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</si>
  <si>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</si>
  <si>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</si>
  <si>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</si>
  <si>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</si>
  <si>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</si>
  <si>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</si>
  <si>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</si>
  <si>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</si>
  <si>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</si>
  <si>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4.10</t>
  </si>
  <si>
    <t>4.11</t>
  </si>
  <si>
    <t>SUBTOTAL 4</t>
  </si>
  <si>
    <t>SUBTOTAL GENERAL (USD)</t>
  </si>
  <si>
    <t>IVA 16%</t>
  </si>
  <si>
    <t>TOTAL USD</t>
  </si>
  <si>
    <t>TOTAL MXN (T.C. 17.5)</t>
  </si>
  <si>
    <t>Baño 03 (V01)</t>
  </si>
  <si>
    <t>SIHASI v2 mayo 2026 (folio 2511 S004 D)</t>
  </si>
  <si>
    <t>Baño 04 (V02)</t>
  </si>
  <si>
    <t>Toilet (V03)</t>
  </si>
  <si>
    <t>Baño Principal 01 (V04)</t>
  </si>
  <si>
    <t>Baño Principal 02 (V05)</t>
  </si>
  <si>
    <t>Espejos</t>
  </si>
  <si>
    <t>Puerta Acceso Principal</t>
  </si>
  <si>
    <t>Acceso Principal (D01) Madera Sólida</t>
  </si>
  <si>
    <t>Puertas Estuco</t>
  </si>
  <si>
    <t>Toilet (D02)</t>
  </si>
  <si>
    <t>Site (D03)</t>
  </si>
  <si>
    <t>Lavandería (D04)</t>
  </si>
  <si>
    <t>Puertas Madera</t>
  </si>
  <si>
    <t>Main Closet (D05)</t>
  </si>
  <si>
    <t>Recámara 04 (D06)</t>
  </si>
  <si>
    <t>Baño 04 (D07)</t>
  </si>
  <si>
    <t>Recámara 03 (D08)</t>
  </si>
  <si>
    <t>Baño 03 (D09)</t>
  </si>
  <si>
    <t>Pantry (D10)</t>
  </si>
  <si>
    <t>Puertas Madera Principales</t>
  </si>
  <si>
    <t>Recámara Principal 01 (D11)</t>
  </si>
  <si>
    <t>Puertas Double Pocket</t>
  </si>
  <si>
    <t>Baño Principal 01 (D12)</t>
  </si>
  <si>
    <t>Closet Principal 01 (D13)</t>
  </si>
  <si>
    <t>Recámara Principal 02 (D14)</t>
  </si>
  <si>
    <t>Baño Principal 02 (D15)</t>
  </si>
  <si>
    <t>Closet Principal 02 (D16)</t>
  </si>
  <si>
    <t>Chapas</t>
  </si>
  <si>
    <t>Set manijas Baldwin negro mate</t>
  </si>
  <si>
    <t>Closet Cerrado</t>
  </si>
  <si>
    <t>Recámara 03 (C01)</t>
  </si>
  <si>
    <t>Recámara 04 (C02)</t>
  </si>
  <si>
    <t>Vestidor en U</t>
  </si>
  <si>
    <t>Vestidor 01 (C03)</t>
  </si>
  <si>
    <t>Vestidor en L</t>
  </si>
  <si>
    <t>Vestidor 02 (C04)</t>
  </si>
  <si>
    <t>Closet en L</t>
  </si>
  <si>
    <t>Closet adicional (C05)</t>
  </si>
  <si>
    <t>Envios</t>
  </si>
  <si>
    <t>Envío SIHASI ($200K/torre prorrateado a 4 villas)</t>
  </si>
  <si>
    <t>ENVÍOS: $200K/torre / 4 villas/torre = $50K/villa</t>
  </si>
  <si>
    <t>PERGOLADO y VIGAS DE ACERO / FORRO DE MADERA</t>
  </si>
  <si>
    <t>Revisar</t>
  </si>
  <si>
    <t>102+103</t>
  </si>
  <si>
    <t>Roof Garden Toilet (V06)</t>
  </si>
  <si>
    <t>Acceso Principal (D01) Madera Sólida × 3</t>
  </si>
  <si>
    <t>Closet Principal (D04)</t>
  </si>
  <si>
    <t>Recámara 04 (D05)</t>
  </si>
  <si>
    <t>Baño 04 (D06)</t>
  </si>
  <si>
    <t>Recámara 03 (D07)</t>
  </si>
  <si>
    <t>Baño 03 (D08)</t>
  </si>
  <si>
    <t>Pantry (D09)</t>
  </si>
  <si>
    <t>Recámara Principal 01 (D10)</t>
  </si>
  <si>
    <t>Baño Principal 01 (D11)</t>
  </si>
  <si>
    <t>Closet Principal 01 (D12)</t>
  </si>
  <si>
    <t>Recámara Principal 02 (D13)</t>
  </si>
  <si>
    <t>Baño Principal 02 (D14)</t>
  </si>
  <si>
    <t>Closet Principal 02 (D15)</t>
  </si>
  <si>
    <t>Lavandería (D16)</t>
  </si>
  <si>
    <t>Storage (D17)</t>
  </si>
  <si>
    <t>202+203</t>
  </si>
  <si>
    <t>Baño 05</t>
  </si>
  <si>
    <t>Recamara 05</t>
  </si>
  <si>
    <t>302+303</t>
  </si>
  <si>
    <t>402+403</t>
  </si>
  <si>
    <t>Una alberca</t>
  </si>
  <si>
    <t>Obturaciones y limpieza: desbaste, nivelación, resanes, limpieza de muros interiores y fondo, curvas sanitarias. Inc. materiales, mano de obra, herramienta y equipo</t>
  </si>
  <si>
    <t>Aplica para todos</t>
  </si>
  <si>
    <t>AQUA CONCEPTS - Ing. Luis F. Gaxiola A.</t>
  </si>
  <si>
    <t>IVA 16% desglosado (col P) s/PDF rev. 09-jun-2026; precio unitario SIN IVA</t>
  </si>
  <si>
    <t>Estructura de concreto armado según proyecto. Inc. acabado repellado, listo para recibir impermeabilización</t>
  </si>
  <si>
    <t>NOT INCLUDED — POR USTEDES (a cargo del cliente)</t>
  </si>
  <si>
    <t>Impermeabilización a base de membrana cementosa Hydroban Laticrete, a dos manos, listo para acabado final</t>
  </si>
  <si>
    <t>Sellado en penetraciones de tubería y accesorios de plástico, a base de integral AZ Mca. Fester</t>
  </si>
  <si>
    <t>lote</t>
  </si>
  <si>
    <t>Agua para prueba hidrostática</t>
  </si>
  <si>
    <t>Instalaciones</t>
  </si>
  <si>
    <t>Tubería PVC C40 con conexiones, excavaciones, camas de arena, sujeción, atraques y pruebas de presión (líneas fondo, desnatador, retornos, desborde) - 3"</t>
  </si>
  <si>
    <t>Tubería PVC C40 (líneas fondo, desnatador, retornos, desborde) - 2"</t>
  </si>
  <si>
    <t>Tubería PVC C40 (líneas fondo, desnatador, retornos, desborde) - 1 1/2"</t>
  </si>
  <si>
    <t>Tubería PVC C40 (líneas fondo, desnatador, retornos, desborde) - 1"</t>
  </si>
  <si>
    <t>Tubería PVC C40 para líneas de agua y aire del sistema de hidromasaje, inc. tee ventouries y nichos para 5 boquillas</t>
  </si>
  <si>
    <t>Salida eléctrica para lámparas subacuáticas</t>
  </si>
  <si>
    <t>Registro eléctrico de 15 x 20 x 25 cm</t>
  </si>
  <si>
    <t>Sistema de tierras — Cable desnudo de cobre cal. #1/0</t>
  </si>
  <si>
    <t>Sistema de tierras — Cable desnudo de cobre #6</t>
  </si>
  <si>
    <t>Sistema de tierras — Soldadura cadweld Cu/varilla corrugada. Inc. moldes</t>
  </si>
  <si>
    <t>Sistema de tierras — Conector bipartido cal. 1/0 para cable de Cu/varilla corrugada</t>
  </si>
  <si>
    <t>Sistema de tierras — Varilla de puesta a tierra</t>
  </si>
  <si>
    <t>Tablero de distribución Mca. Siemens, 24 circuitos, monofásico 220V. Inc. interruptores térmicos con falla a tierra para equipos de alberca y jacuzzi</t>
  </si>
  <si>
    <t>Salida a motor eléctrico, monofásico 220V (tubería conduit PVC pesado 3/4", conexiones, accesorios, soportería, cableados, remates con tubería flexible a prueba de agua)</t>
  </si>
  <si>
    <t>sal</t>
  </si>
  <si>
    <t>Salida a caldera, control de nivel electrónico, registro de iluminación, válvulas y tableros de control, monofásico 220V (tubería PVC pesado 3/4")</t>
  </si>
  <si>
    <t>Equipos y Accesorios</t>
  </si>
  <si>
    <t>Filtración — Filtro comercial de cartuchos múltiples Mca. Pentair Mod. C&amp;C 420. Inc. cabezal entrada/salida y manómetros</t>
  </si>
  <si>
    <t>Filtración — Filtro comercial de cartuchos múltiples Mca. Pentair Mod. C&amp;C 200. Inc. cabezal entrada/salida y manómetros</t>
  </si>
  <si>
    <t>Bombeo de filtración — Motobomba centrífuga horizontal con trampa de pelo Mca. Pentair Mod. IntelliFlo VS, velocidad variable</t>
  </si>
  <si>
    <t>Bombeo de desborde — Motobomba centrífuga horizontal con trampa de pelo Mca. Pentair Mod. SuperFlo VSF, motor eléctrico velocidad variable 220V</t>
  </si>
  <si>
    <t>Automatización — Sistema Intellicenter i10 para dos cuerpos de agua. Inc. panel de control para bombeo y calentamiento, y control de botones en zona de jacuzzi</t>
  </si>
  <si>
    <t>Hidromasaje — Motobomba centrífuga horizontal con trampa de pelo Mca. Pentair Mod. WhisperFlo, motor eléctrico 3 HP 220V</t>
  </si>
  <si>
    <t>Hidromasaje — Soplador para masaje Mca. Silencer de 2 HP</t>
  </si>
  <si>
    <t>Empotrables — Boquilla para barredora</t>
  </si>
  <si>
    <t>Empotrables — Rejilla de fondo antivortex de 32" en color al acabado</t>
  </si>
  <si>
    <t>Empotrables — Rejilla de fondo antivortex de 10" en color al acabado</t>
  </si>
  <si>
    <t>Empotrables — Boquilla de retorno por piso 2" en color al acabado</t>
  </si>
  <si>
    <t>Empotrables — Boquilla de hidromasaje intercambiable, en color al acabado</t>
  </si>
  <si>
    <t>Empotrables — Pasamanos Mca. SR Smith, serie Artisan. SMA</t>
  </si>
  <si>
    <t>Iluminación — Reflector subacuático Mca. Pentair Mod. Microbrite, LED luz blanca, equiv. 100W, 12V. Inc. nicho PVC y transformador</t>
  </si>
  <si>
    <t>Calentamiento — Calentador a gas LP Mca. Pentair Mod. ETi 250 interior, cap. 250,000 BTU, salida 240,000 BTU al 96% eficiencia, intercambiador cuproníquel. Inc. ductos admisión/descarga PVC C40 4"</t>
  </si>
  <si>
    <t>Control de nivel — Sistema de control de llenado electrónico Mca. Jandy Mod. Levolor K1000. Inc. caja de control, electrodos alto/bajo nivel e instalación</t>
  </si>
  <si>
    <t>Control de nivel — Sistema de control de llenado tipo mecánico. Inc. control, electrodos alto/bajo nivel e instalación</t>
  </si>
  <si>
    <t>Montaje mecánico — Tubería PVC C80 con conexiones y piezas especiales para interconexión de equipos en cuarto de máquinas. Inc. soportería y señalización</t>
  </si>
  <si>
    <t>Suministro y colocación de piedra natural Sukabumi en formatos variados. SMA</t>
  </si>
  <si>
    <t>Equipos de Limpieza</t>
  </si>
  <si>
    <t>Maneral telescópico, manguera flexible, barredora, cepillos de nylon y acero, red para basura tipo bolsa</t>
  </si>
  <si>
    <t>Generador de cloro a base de sal Mca. Pentair Mod. Intellichlor Plus IC60, cap. 2 lbs/24hrs para 120 m3. Inc. centro de poder</t>
  </si>
  <si>
    <t>Generador de cloro a base de sal Mca. Pentair Mod. Intellichlor Plus 20, cap. 1 lbs/24hrs para 20 m3. Inc. centro de poder</t>
  </si>
  <si>
    <t>Sistema automático de dosificación de cloro y carbonato de sodio Mca. Pentair Mod. Intellichem. Dosificador Pulsatron 2.4 GPD, tanque 25 gal, agitador 1/20 HP 115V, válvulas solenoide</t>
  </si>
  <si>
    <t>Suministro y entrega de químicos para puesta en marcha y operación (sal, cloro granulado, ácido muriático, alguicida, clarificador, kit de prueba). Inc. entrenamiento del personal hasta por un mes</t>
  </si>
  <si>
    <t>1 por monomando de lavabo</t>
  </si>
  <si>
    <t>1 por regadera</t>
  </si>
  <si>
    <t>CONTRA BLANCA PARA TINA</t>
  </si>
  <si>
    <t>Incluida en bañera 700330 — no se cotiza por separado (GC)</t>
  </si>
  <si>
    <t>Baño Alberca</t>
  </si>
  <si>
    <t>30/4/2026</t>
  </si>
  <si>
    <t>Marca</t>
  </si>
  <si>
    <t>Moneda</t>
  </si>
  <si>
    <t>1  GRIFERÍA Y ACCESORIOS BRUSHED BRONZE (PDF 30/04/26)</t>
  </si>
  <si>
    <t>Inodoro a piso de una pieza (Starck 3)</t>
  </si>
  <si>
    <t>Monomando de lavabo con válvula automática</t>
  </si>
  <si>
    <t>Barra de agarre / Toallero chico 45cm</t>
  </si>
  <si>
    <t>Ducha efecto lluvia con fijación a pared 400 mm</t>
  </si>
  <si>
    <t>Termostato empotrado (rough)</t>
  </si>
  <si>
    <t>Fijación al suelo empotrado (rough)</t>
  </si>
  <si>
    <t>Bañera blanca exenta, con faldón integrado y bastidor (Cape Cod)</t>
  </si>
  <si>
    <t>TARA ULTRA Single-lever mixer Pull-down (cocina)</t>
  </si>
  <si>
    <t>TARA ULTRA HOT &amp; COLD WATER DISPENSER</t>
  </si>
  <si>
    <t>Soporte para vidrio (SERIES SPECIFIC, XS-081077, Brushed Dark Platinum)</t>
  </si>
  <si>
    <t>Dornbracht</t>
  </si>
  <si>
    <t>Canaleta de ducha para piedra natural TECE showerline (15201082)</t>
  </si>
  <si>
    <t>TECE</t>
  </si>
  <si>
    <t>2  GRIFERÍA Y ACCESORIOS N1</t>
  </si>
  <si>
    <t>MO</t>
  </si>
  <si>
    <t>Suministro</t>
  </si>
  <si>
    <t>ML</t>
  </si>
  <si>
    <t>Instalacion</t>
  </si>
  <si>
    <t>Dalas</t>
  </si>
  <si>
    <t>Categoria</t>
  </si>
  <si>
    <t>Objetivo</t>
  </si>
  <si>
    <t>Tramites_Locales</t>
  </si>
  <si>
    <t>IZ - NAUKA PPTO Lote 3</t>
  </si>
  <si>
    <t>Glosario Partidas</t>
  </si>
  <si>
    <t>Categoría</t>
  </si>
  <si>
    <t>Descripción</t>
  </si>
  <si>
    <t>Servicio</t>
  </si>
  <si>
    <t>Piso_Hidronico</t>
  </si>
  <si>
    <t xml:space="preserve">Acabados </t>
  </si>
  <si>
    <t xml:space="preserve">Herreria </t>
  </si>
  <si>
    <t>Jardineria Y Riego</t>
  </si>
  <si>
    <t>FFE</t>
  </si>
  <si>
    <t>INSERTAR FILAS ARRIBA DE ESTA</t>
  </si>
  <si>
    <t>Tableros</t>
  </si>
  <si>
    <t>Casetas</t>
  </si>
  <si>
    <t>Conexiones</t>
  </si>
  <si>
    <t>Bodegas</t>
  </si>
  <si>
    <t>Incluye Casita y Pergola</t>
  </si>
  <si>
    <t>Acarreos_Y_ Movimientos</t>
  </si>
  <si>
    <t>Baños y Areas Humedas / Terrazas</t>
  </si>
  <si>
    <t>Sotano</t>
  </si>
  <si>
    <t>Planta_Baja</t>
  </si>
  <si>
    <t>Nivel_1</t>
  </si>
  <si>
    <t>Alberca</t>
  </si>
  <si>
    <t>Lote_Sellos</t>
  </si>
  <si>
    <t>Azoteas</t>
  </si>
  <si>
    <t>Fondaline Semisotano</t>
  </si>
  <si>
    <t>Impermeabilizacion Losa</t>
  </si>
  <si>
    <t>Impermeabilizacion Alberca</t>
  </si>
  <si>
    <t>Lote De Sellos Durante La Obra</t>
  </si>
  <si>
    <t>Impermeabilizacion Losa Cimentacion</t>
  </si>
  <si>
    <t>Impermeabilizacion Charolas Y Baños . Cr66</t>
  </si>
  <si>
    <t>Lavadora</t>
  </si>
  <si>
    <t>Secadora</t>
  </si>
  <si>
    <t>Habra extraordinarios</t>
  </si>
  <si>
    <t>ALBAÑILERIA</t>
  </si>
  <si>
    <t>REJILLAS?</t>
  </si>
  <si>
    <t>CRISTAL EN CELOSIA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</si>
</sst>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#,##0.0_);\(#,##0.0\);&quot;--&quot;?"/>
    <numFmt numFmtId="165" formatCode="m/d/yyyy"/>
    <numFmt numFmtId="166" formatCode="0.0%"/>
    <numFmt numFmtId="167" formatCode="_(* #,##0_);_(* \(#,##0\);_(* \-??_);_(@_)"/>
    <numFmt numFmtId="168" formatCode="#,##0_);\(#,##0\);&quot;--&quot;?"/>
    <numFmt numFmtId="169" formatCode="_(* #,##0.00_);_(* \(#,##0.00\);_(* \-??_);_(@_)"/>
    <numFmt numFmtId="170" formatCode="\00"/>
    <numFmt numFmtId="171" formatCode="#,##0.00&quot; m2&quot;"/>
    <numFmt numFmtId="172" formatCode="_-* #,##0.00_-;\-* #,##0.00_-;_-* \-??_-;_-@_-"/>
    <numFmt numFmtId="173" formatCode="_-* #,##0_-;\-* #,##0_-;_-* \-??_-;_-@_-"/>
    <numFmt numFmtId="174" formatCode="\$#,##0;[Red]&quot;-$&quot;#,##0"/>
    <numFmt numFmtId="175" formatCode="[$-409]dd\-mmm\-yy;@"/>
    <numFmt numFmtId="176" formatCode="@_)"/>
    <numFmt numFmtId="177" formatCode="#,##0.00_);\(#,##0.00\);&quot;--&quot;?"/>
    <numFmt numFmtId="178" formatCode="#,##0_);\(#,##0\);\-"/>
    <numFmt numFmtId="179" formatCode="\$#,##0.00"/>
    <numFmt numFmtId="180" formatCode="\$#,##0"/>
    <numFmt numFmtId="181" formatCode="\€#,##0"/>
    <numFmt numFmtId="182" formatCode="#,##0.0_);\(#,##0.0\);\-"/>
    <numFmt numFmtId="183" formatCode="0.0"/>
  </numFmts>
  <fonts count="8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9"/>
      <color theme="1"/>
      <name val="Century Gothic"/>
      <family val="1"/>
      <charset val="1"/>
    </font>
    <font>
      <sz val="9"/>
      <color rgb="FF008000"/>
      <name val="Century Gothic"/>
      <family val="1"/>
      <charset val="1"/>
    </font>
    <font>
      <b/>
      <sz val="9"/>
      <color rgb="FF000000"/>
      <name val="Century Gothic"/>
      <family val="1"/>
      <charset val="1"/>
    </font>
    <font>
      <sz val="9"/>
      <color rgb="FF0000FF"/>
      <name val="Century Gothic"/>
      <family val="1"/>
      <charset val="1"/>
    </font>
    <font>
      <i/>
      <sz val="9"/>
      <name val="Century Gothic"/>
      <family val="1"/>
      <charset val="1"/>
    </font>
    <font>
      <b/>
      <sz val="9"/>
      <color rgb="FFFFFFFF"/>
      <name val="Century Gothic"/>
      <family val="1"/>
      <charset val="1"/>
    </font>
    <font>
      <b/>
      <sz val="9"/>
      <color theme="0"/>
      <name val="Century Gothic"/>
      <family val="1"/>
      <charset val="1"/>
    </font>
    <font>
      <b/>
      <sz val="9"/>
      <name val="Century Gothic"/>
      <family val="1"/>
      <charset val="1"/>
    </font>
    <font>
      <sz val="9"/>
      <name val="Century Gothic"/>
      <family val="1"/>
      <charset val="1"/>
    </font>
    <font>
      <b/>
      <sz val="9"/>
      <color theme="1"/>
      <name val="Century Gothic"/>
      <family val="1"/>
      <charset val="1"/>
    </font>
    <font>
      <b/>
      <sz val="9"/>
      <color rgb="FF008000"/>
      <name val="Century Gothic"/>
      <family val="1"/>
      <charset val="1"/>
    </font>
    <font>
      <b/>
      <sz val="9"/>
      <color theme="1"/>
      <name val="Century Gothic"/>
      <family val="2"/>
      <charset val="1"/>
    </font>
    <font>
      <sz val="9"/>
      <color rgb="FF000000"/>
      <name val="Century Gothic"/>
      <family val="1"/>
      <charset val="1"/>
    </font>
    <font>
      <b/>
      <sz val="9"/>
      <color theme="9"/>
      <name val="Century Gothic"/>
      <family val="1"/>
      <charset val="1"/>
    </font>
    <font>
      <sz val="8"/>
      <color rgb="FF000000"/>
      <name val="Century Gothic"/>
      <family val="2"/>
      <charset val="1"/>
    </font>
    <font>
      <sz val="9"/>
      <color rgb="FFFF0000"/>
      <name val="Century Gothic"/>
      <family val="1"/>
      <charset val="1"/>
    </font>
    <font>
      <sz val="9"/>
      <color rgb="FF000000"/>
      <name val="Century Gothic"/>
      <family val="2"/>
      <charset val="1"/>
    </font>
    <font>
      <b/>
      <sz val="9"/>
      <color rgb="FFFF0000"/>
      <name val="Century Gothic"/>
      <family val="1"/>
      <charset val="1"/>
    </font>
    <font>
      <sz val="8"/>
      <color rgb="FF000000"/>
      <name val="Century Gothic"/>
      <family val="1"/>
      <charset val="1"/>
    </font>
    <font>
      <sz val="8"/>
      <color theme="9"/>
      <name val="Century Gothic"/>
      <family val="1"/>
      <charset val="1"/>
    </font>
    <font>
      <sz val="10"/>
      <name val="Arial"/>
      <family val="2"/>
      <charset val="1"/>
    </font>
    <font>
      <b/>
      <sz val="9"/>
      <color rgb="FF0000FF"/>
      <name val="Century Gothic"/>
      <family val="1"/>
      <charset val="1"/>
    </font>
    <font>
      <b/>
      <sz val="10"/>
      <name val="Arial"/>
      <family val="2"/>
      <charset val="1"/>
    </font>
    <font>
      <sz val="9"/>
      <color theme="0" tint="-0.249977111117893"/>
      <name val="Century Gothic"/>
      <family val="1"/>
      <charset val="1"/>
    </font>
    <font>
      <sz val="7"/>
      <color theme="0" tint="-0.34998626667073579"/>
      <name val="Century Gothic"/>
      <family val="1"/>
      <charset val="1"/>
    </font>
    <font>
      <b/>
      <u/>
      <sz val="9"/>
      <color theme="0"/>
      <name val="Century Gothic"/>
      <family val="1"/>
      <charset val="1"/>
    </font>
    <font>
      <b/>
      <u/>
      <sz val="9"/>
      <color rgb="FFFFFFFF"/>
      <name val="Century Gothic"/>
      <family val="1"/>
      <charset val="1"/>
    </font>
    <font>
      <b/>
      <sz val="8"/>
      <color theme="1"/>
      <name val="Century Gothic"/>
      <family val="1"/>
      <charset val="1"/>
    </font>
    <font>
      <sz val="11"/>
      <color rgb="FF000000"/>
      <name val="Calibri"/>
      <family val="2"/>
      <charset val="1"/>
    </font>
    <font>
      <b/>
      <sz val="8"/>
      <color rgb="FF000000"/>
      <name val="Century Gothic"/>
      <family val="2"/>
      <charset val="1"/>
    </font>
    <font>
      <b/>
      <sz val="8"/>
      <color rgb="FF000000"/>
      <name val="Century Gothic"/>
      <family val="1"/>
      <charset val="1"/>
    </font>
    <font>
      <u/>
      <sz val="8"/>
      <color theme="1"/>
      <name val="Century Gothic"/>
      <family val="1"/>
      <charset val="1"/>
    </font>
    <font>
      <sz val="8"/>
      <color rgb="FF008000"/>
      <name val="Century Gothic"/>
      <family val="2"/>
      <charset val="1"/>
    </font>
    <font>
      <sz val="8"/>
      <color rgb="FF008000"/>
      <name val="Century Gothic"/>
      <family val="1"/>
      <charset val="1"/>
    </font>
    <font>
      <b/>
      <u/>
      <sz val="8"/>
      <color theme="1"/>
      <name val="Century Gothic"/>
      <family val="1"/>
      <charset val="1"/>
    </font>
    <font>
      <sz val="8"/>
      <color rgb="FF0000FF"/>
      <name val="Century Gothic"/>
      <family val="1"/>
      <charset val="1"/>
    </font>
    <font>
      <sz val="9"/>
      <color theme="9"/>
      <name val="Century Gothic"/>
      <family val="1"/>
      <charset val="1"/>
    </font>
    <font>
      <b/>
      <sz val="14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8000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4"/>
      <color rgb="FF141413"/>
      <name val="Georgia"/>
      <family val="1"/>
      <charset val="1"/>
    </font>
    <font>
      <sz val="14"/>
      <color rgb="FF141413"/>
      <name val="Georgia"/>
      <family val="1"/>
      <charset val="1"/>
    </font>
    <font>
      <b/>
      <sz val="14"/>
      <color rgb="FF141413"/>
      <name val="Calibri"/>
      <family val="1"/>
      <charset val="1"/>
    </font>
    <font>
      <sz val="14"/>
      <color rgb="FF141413"/>
      <name val="Calibri"/>
      <family val="1"/>
      <charset val="1"/>
    </font>
    <font>
      <sz val="8"/>
      <color rgb="FF0000FF"/>
      <name val="Century Gothic"/>
      <family val="2"/>
      <charset val="1"/>
    </font>
    <font>
      <b/>
      <sz val="8"/>
      <color theme="0"/>
      <name val="Century Gothic"/>
      <family val="2"/>
      <charset val="1"/>
    </font>
    <font>
      <b/>
      <sz val="8"/>
      <color rgb="FFFFFFFF"/>
      <name val="Century Gothic"/>
      <family val="2"/>
      <charset val="1"/>
    </font>
    <font>
      <sz val="11"/>
      <color theme="1"/>
      <name val="Century Gothic"/>
      <family val="2"/>
      <charset val="1"/>
    </font>
    <font>
      <b/>
      <sz val="16"/>
      <color rgb="FF240674"/>
      <name val="Century Gothic"/>
      <family val="2"/>
      <charset val="1"/>
    </font>
    <font>
      <sz val="14"/>
      <color theme="1" tint="0.24909207434308908"/>
      <name val="Century Gothic"/>
      <family val="2"/>
      <charset val="1"/>
    </font>
    <font>
      <sz val="8"/>
      <color theme="1" tint="0.24909207434308908"/>
      <name val="Century Gothic"/>
      <family val="2"/>
      <charset val="1"/>
    </font>
    <font>
      <b/>
      <sz val="8"/>
      <color theme="1"/>
      <name val="Century Gothic"/>
      <family val="2"/>
      <charset val="1"/>
    </font>
    <font>
      <sz val="8"/>
      <name val="Century Gothic"/>
      <family val="2"/>
      <charset val="1"/>
    </font>
    <font>
      <sz val="8"/>
      <color rgb="FFFF0000"/>
      <name val="Century Gothic"/>
      <family val="2"/>
      <charset val="1"/>
    </font>
    <font>
      <b/>
      <sz val="8"/>
      <color rgb="FF0000FF"/>
      <name val="Century Gothic"/>
      <family val="2"/>
      <charset val="1"/>
    </font>
    <font>
      <b/>
      <sz val="8"/>
      <name val="Century Gothic"/>
      <family val="2"/>
      <charset val="1"/>
    </font>
    <font>
      <u/>
      <sz val="11"/>
      <color theme="10"/>
      <name val="Calibri"/>
      <family val="2"/>
      <charset val="1"/>
    </font>
    <font>
      <b/>
      <sz val="8"/>
      <color rgb="FFFFFFFF"/>
      <name val="Century Gothic"/>
      <family val="1"/>
      <charset val="1"/>
    </font>
    <font>
      <b/>
      <sz val="11"/>
      <color rgb="FF000000"/>
      <name val="Calibri"/>
      <family val="2"/>
      <charset val="1"/>
    </font>
    <font>
      <b/>
      <sz val="8"/>
      <color rgb="FF006100"/>
      <name val="Century Gothic"/>
      <family val="1"/>
      <charset val="1"/>
    </font>
    <font>
      <sz val="8"/>
      <name val="Century Gothic"/>
      <family val="1"/>
      <charset val="1"/>
    </font>
    <font>
      <b/>
      <sz val="8"/>
      <name val="Century Gothic"/>
      <family val="1"/>
      <charset val="1"/>
    </font>
    <font>
      <b/>
      <sz val="8"/>
      <color rgb="FF808080"/>
      <name val="Century Gothic"/>
      <family val="1"/>
      <charset val="1"/>
    </font>
    <font>
      <b/>
      <sz val="8"/>
      <color rgb="FF0000FF"/>
      <name val="Century Gothic"/>
      <family val="1"/>
      <charset val="1"/>
    </font>
    <font>
      <b/>
      <sz val="8"/>
      <color theme="9"/>
      <name val="Century Gothic"/>
      <family val="1"/>
      <charset val="1"/>
    </font>
    <font>
      <b/>
      <sz val="8"/>
      <color theme="0"/>
      <name val="Century Gothic"/>
      <family val="1"/>
      <charset val="1"/>
    </font>
    <font>
      <sz val="8"/>
      <color rgb="FF808080"/>
      <name val="Century Gothic"/>
      <family val="1"/>
      <charset val="1"/>
    </font>
    <font>
      <sz val="8"/>
      <color theme="1"/>
      <name val="Century Gothic"/>
      <family val="1"/>
      <charset val="1"/>
    </font>
    <font>
      <sz val="11"/>
      <color rgb="FF008000"/>
      <name val="Calibri"/>
      <family val="2"/>
      <charset val="1"/>
    </font>
    <font>
      <sz val="11"/>
      <name val="Cambria"/>
      <family val="1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name val="Century Gothic"/>
      <family val="2"/>
      <charset val="1"/>
    </font>
    <font>
      <b/>
      <sz val="12"/>
      <color theme="0" tint="-0.499984740745262"/>
      <name val="Century Gothic"/>
      <family val="2"/>
      <charset val="1"/>
    </font>
    <font>
      <sz val="8"/>
      <color theme="1"/>
      <name val="Century Gothic"/>
      <family val="2"/>
      <charset val="1"/>
    </font>
    <font>
      <sz val="11"/>
      <color rgb="FF000000"/>
      <name val="Century Gothic"/>
      <family val="2"/>
      <charset val="1"/>
    </font>
    <font>
      <sz val="10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4"/>
        <bgColor rgb="FF5968B0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8"/>
        <bgColor rgb="FFFF8080"/>
      </patternFill>
    </fill>
    <fill>
      <patternFill patternType="solid">
        <fgColor rgb="FF002060"/>
        <bgColor rgb="FF000080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EDFBDC"/>
      </patternFill>
    </fill>
    <fill>
      <patternFill patternType="solid">
        <fgColor theme="6" tint="0.79979857783745845"/>
        <bgColor rgb="FFF2F2F2"/>
      </patternFill>
    </fill>
    <fill>
      <patternFill patternType="solid">
        <fgColor rgb="FFFFC000"/>
        <bgColor rgb="FFFFFF00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rgb="FFFFFFCC"/>
        <bgColor rgb="FFEDFBDC"/>
      </patternFill>
    </fill>
    <fill>
      <patternFill patternType="solid">
        <fgColor theme="1"/>
        <bgColor rgb="FF141413"/>
      </patternFill>
    </fill>
    <fill>
      <patternFill patternType="solid">
        <fgColor theme="0" tint="-4.9989318521683403E-2"/>
        <bgColor rgb="FFEDFBDC"/>
      </patternFill>
    </fill>
    <fill>
      <patternFill patternType="solid">
        <fgColor theme="0" tint="-0.499984740745262"/>
        <bgColor rgb="FF7F7F7F"/>
      </patternFill>
    </fill>
    <fill>
      <patternFill patternType="solid">
        <fgColor rgb="FF2F5496"/>
        <bgColor rgb="FF4E67C8"/>
      </patternFill>
    </fill>
    <fill>
      <patternFill patternType="solid">
        <fgColor rgb="FF0070C0"/>
        <bgColor rgb="FF008080"/>
      </patternFill>
    </fill>
    <fill>
      <patternFill patternType="solid">
        <fgColor theme="3" tint="0.39909054841761527"/>
        <bgColor rgb="FF4E67C8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E2EFDA"/>
      </patternFill>
    </fill>
    <fill>
      <patternFill patternType="solid">
        <fgColor theme="9"/>
        <bgColor rgb="FFFF8021"/>
      </patternFill>
    </fill>
    <fill>
      <patternFill patternType="solid">
        <fgColor theme="1" tint="0.49949644459364606"/>
        <bgColor rgb="FF808080"/>
      </patternFill>
    </fill>
  </fills>
  <borders count="12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460">
    <xf numFmtId="0" fontId="0" fillId="0" borderId="0" xfId="0"/>
    <xf numFmtId="0" fontId="2" fillId="0" borderId="0" xfId="0" applyFont="1"/>
    <xf numFmtId="0" fontId="2" fillId="2" borderId="0" xfId="0" applyFont="1" applyFill="1"/>
    <xf numFmtId="164" fontId="3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 readingOrder="1"/>
    </xf>
    <xf numFmtId="3" fontId="4" fillId="0" borderId="0" xfId="0" applyNumberFormat="1" applyFont="1" applyAlignment="1">
      <alignment horizontal="center" vertical="center" wrapText="1" readingOrder="1"/>
    </xf>
    <xf numFmtId="165" fontId="5" fillId="2" borderId="0" xfId="0" applyNumberFormat="1" applyFont="1" applyFill="1"/>
    <xf numFmtId="0" fontId="6" fillId="0" borderId="0" xfId="0" applyFont="1"/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165" fontId="7" fillId="3" borderId="0" xfId="0" applyNumberFormat="1" applyFont="1" applyFill="1" applyAlignment="1">
      <alignment horizontal="center" vertical="center"/>
    </xf>
    <xf numFmtId="0" fontId="7" fillId="3" borderId="0" xfId="0" applyFont="1" applyFill="1"/>
    <xf numFmtId="0" fontId="2" fillId="3" borderId="0" xfId="0" applyFont="1" applyFill="1"/>
    <xf numFmtId="0" fontId="7" fillId="0" borderId="0" xfId="0" applyFont="1"/>
    <xf numFmtId="0" fontId="7" fillId="6" borderId="0" xfId="0" applyFont="1" applyFill="1"/>
    <xf numFmtId="3" fontId="8" fillId="6" borderId="0" xfId="0" applyNumberFormat="1" applyFont="1" applyFill="1"/>
    <xf numFmtId="3" fontId="7" fillId="6" borderId="0" xfId="0" applyNumberFormat="1" applyFont="1" applyFill="1"/>
    <xf numFmtId="10" fontId="8" fillId="6" borderId="0" xfId="0" applyNumberFormat="1" applyFont="1" applyFill="1"/>
    <xf numFmtId="0" fontId="2" fillId="6" borderId="0" xfId="0" applyFont="1" applyFill="1"/>
    <xf numFmtId="0" fontId="9" fillId="7" borderId="1" xfId="0" applyFont="1" applyFill="1" applyBorder="1"/>
    <xf numFmtId="0" fontId="2" fillId="7" borderId="1" xfId="0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10" fillId="0" borderId="1" xfId="0" applyFont="1" applyBorder="1"/>
    <xf numFmtId="3" fontId="5" fillId="0" borderId="1" xfId="0" applyNumberFormat="1" applyFont="1" applyBorder="1"/>
    <xf numFmtId="3" fontId="5" fillId="0" borderId="2" xfId="0" applyNumberFormat="1" applyFont="1" applyBorder="1"/>
    <xf numFmtId="3" fontId="3" fillId="0" borderId="2" xfId="0" applyNumberFormat="1" applyFont="1" applyBorder="1"/>
    <xf numFmtId="166" fontId="10" fillId="0" borderId="2" xfId="0" applyNumberFormat="1" applyFont="1" applyBorder="1"/>
    <xf numFmtId="3" fontId="2" fillId="0" borderId="3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9" fillId="8" borderId="1" xfId="0" applyFont="1" applyFill="1" applyBorder="1"/>
    <xf numFmtId="3" fontId="11" fillId="8" borderId="1" xfId="0" applyNumberFormat="1" applyFont="1" applyFill="1" applyBorder="1"/>
    <xf numFmtId="3" fontId="4" fillId="8" borderId="2" xfId="0" applyNumberFormat="1" applyFont="1" applyFill="1" applyBorder="1"/>
    <xf numFmtId="3" fontId="12" fillId="8" borderId="2" xfId="0" applyNumberFormat="1" applyFont="1" applyFill="1" applyBorder="1"/>
    <xf numFmtId="166" fontId="9" fillId="8" borderId="2" xfId="0" applyNumberFormat="1" applyFont="1" applyFill="1" applyBorder="1"/>
    <xf numFmtId="3" fontId="11" fillId="8" borderId="3" xfId="0" applyNumberFormat="1" applyFont="1" applyFill="1" applyBorder="1"/>
    <xf numFmtId="0" fontId="2" fillId="8" borderId="1" xfId="0" applyFont="1" applyFill="1" applyBorder="1"/>
    <xf numFmtId="0" fontId="2" fillId="8" borderId="2" xfId="0" applyFont="1" applyFill="1" applyBorder="1"/>
    <xf numFmtId="3" fontId="2" fillId="0" borderId="0" xfId="0" applyNumberFormat="1" applyFont="1"/>
    <xf numFmtId="3" fontId="2" fillId="7" borderId="1" xfId="0" applyNumberFormat="1" applyFont="1" applyFill="1" applyBorder="1"/>
    <xf numFmtId="3" fontId="2" fillId="7" borderId="2" xfId="0" applyNumberFormat="1" applyFont="1" applyFill="1" applyBorder="1"/>
    <xf numFmtId="3" fontId="2" fillId="7" borderId="3" xfId="0" applyNumberFormat="1" applyFont="1" applyFill="1" applyBorder="1"/>
    <xf numFmtId="0" fontId="13" fillId="0" borderId="0" xfId="0" applyFont="1"/>
    <xf numFmtId="166" fontId="11" fillId="8" borderId="2" xfId="0" applyNumberFormat="1" applyFont="1" applyFill="1" applyBorder="1"/>
    <xf numFmtId="0" fontId="4" fillId="7" borderId="0" xfId="0" applyFont="1" applyFill="1"/>
    <xf numFmtId="0" fontId="7" fillId="7" borderId="0" xfId="0" applyFont="1" applyFill="1"/>
    <xf numFmtId="3" fontId="14" fillId="7" borderId="0" xfId="0" applyNumberFormat="1" applyFont="1" applyFill="1"/>
    <xf numFmtId="10" fontId="14" fillId="7" borderId="0" xfId="0" applyNumberFormat="1" applyFont="1" applyFill="1"/>
    <xf numFmtId="0" fontId="2" fillId="7" borderId="0" xfId="0" applyFont="1" applyFill="1"/>
    <xf numFmtId="0" fontId="14" fillId="2" borderId="1" xfId="0" applyFont="1" applyFill="1" applyBorder="1"/>
    <xf numFmtId="0" fontId="10" fillId="2" borderId="1" xfId="0" applyFont="1" applyFill="1" applyBorder="1"/>
    <xf numFmtId="3" fontId="5" fillId="2" borderId="1" xfId="0" applyNumberFormat="1" applyFont="1" applyFill="1" applyBorder="1"/>
    <xf numFmtId="3" fontId="5" fillId="2" borderId="2" xfId="0" applyNumberFormat="1" applyFont="1" applyFill="1" applyBorder="1"/>
    <xf numFmtId="3" fontId="3" fillId="2" borderId="2" xfId="0" applyNumberFormat="1" applyFont="1" applyFill="1" applyBorder="1"/>
    <xf numFmtId="166" fontId="14" fillId="2" borderId="2" xfId="0" applyNumberFormat="1" applyFont="1" applyFill="1" applyBorder="1"/>
    <xf numFmtId="3" fontId="14" fillId="2" borderId="3" xfId="0" applyNumberFormat="1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15" fillId="0" borderId="0" xfId="0" applyFont="1"/>
    <xf numFmtId="0" fontId="16" fillId="0" borderId="0" xfId="0" applyFont="1"/>
    <xf numFmtId="0" fontId="17" fillId="2" borderId="1" xfId="0" applyFont="1" applyFill="1" applyBorder="1"/>
    <xf numFmtId="0" fontId="15" fillId="2" borderId="1" xfId="0" applyFont="1" applyFill="1" applyBorder="1"/>
    <xf numFmtId="0" fontId="13" fillId="2" borderId="0" xfId="0" applyFont="1" applyFill="1"/>
    <xf numFmtId="0" fontId="4" fillId="8" borderId="0" xfId="0" applyFont="1" applyFill="1"/>
    <xf numFmtId="0" fontId="10" fillId="8" borderId="0" xfId="0" applyFont="1" applyFill="1"/>
    <xf numFmtId="3" fontId="4" fillId="8" borderId="0" xfId="0" applyNumberFormat="1" applyFont="1" applyFill="1"/>
    <xf numFmtId="3" fontId="12" fillId="8" borderId="0" xfId="0" applyNumberFormat="1" applyFont="1" applyFill="1"/>
    <xf numFmtId="166" fontId="4" fillId="8" borderId="0" xfId="0" applyNumberFormat="1" applyFont="1" applyFill="1"/>
    <xf numFmtId="0" fontId="2" fillId="8" borderId="0" xfId="0" applyFont="1" applyFill="1"/>
    <xf numFmtId="0" fontId="18" fillId="0" borderId="0" xfId="0" applyFont="1" applyAlignment="1">
      <alignment horizontal="left"/>
    </xf>
    <xf numFmtId="0" fontId="19" fillId="0" borderId="0" xfId="0" applyFont="1"/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67" fontId="22" fillId="0" borderId="0" xfId="0" applyNumberFormat="1" applyFont="1"/>
    <xf numFmtId="0" fontId="16" fillId="0" borderId="0" xfId="0" applyFont="1" applyAlignment="1">
      <alignment horizontal="left"/>
    </xf>
    <xf numFmtId="166" fontId="11" fillId="9" borderId="2" xfId="0" applyNumberFormat="1" applyFont="1" applyFill="1" applyBorder="1"/>
    <xf numFmtId="0" fontId="19" fillId="2" borderId="1" xfId="0" applyFont="1" applyFill="1" applyBorder="1"/>
    <xf numFmtId="166" fontId="10" fillId="2" borderId="2" xfId="0" applyNumberFormat="1" applyFont="1" applyFill="1" applyBorder="1"/>
    <xf numFmtId="3" fontId="2" fillId="2" borderId="3" xfId="0" applyNumberFormat="1" applyFont="1" applyFill="1" applyBorder="1"/>
    <xf numFmtId="0" fontId="15" fillId="0" borderId="1" xfId="0" applyFont="1" applyBorder="1"/>
    <xf numFmtId="0" fontId="9" fillId="0" borderId="1" xfId="0" applyFont="1" applyBorder="1"/>
    <xf numFmtId="3" fontId="11" fillId="0" borderId="1" xfId="0" applyNumberFormat="1" applyFont="1" applyBorder="1"/>
    <xf numFmtId="3" fontId="12" fillId="0" borderId="2" xfId="0" applyNumberFormat="1" applyFont="1" applyBorder="1"/>
    <xf numFmtId="3" fontId="23" fillId="0" borderId="2" xfId="0" applyNumberFormat="1" applyFont="1" applyBorder="1"/>
    <xf numFmtId="166" fontId="11" fillId="0" borderId="2" xfId="0" applyNumberFormat="1" applyFont="1" applyBorder="1"/>
    <xf numFmtId="3" fontId="11" fillId="0" borderId="3" xfId="0" applyNumberFormat="1" applyFont="1" applyBorder="1"/>
    <xf numFmtId="0" fontId="9" fillId="10" borderId="4" xfId="0" applyFont="1" applyFill="1" applyBorder="1"/>
    <xf numFmtId="3" fontId="9" fillId="10" borderId="4" xfId="0" applyNumberFormat="1" applyFont="1" applyFill="1" applyBorder="1"/>
    <xf numFmtId="166" fontId="24" fillId="10" borderId="5" xfId="0" applyNumberFormat="1" applyFont="1" applyFill="1" applyBorder="1"/>
    <xf numFmtId="3" fontId="9" fillId="10" borderId="6" xfId="0" applyNumberFormat="1" applyFont="1" applyFill="1" applyBorder="1"/>
    <xf numFmtId="0" fontId="2" fillId="10" borderId="4" xfId="0" applyFont="1" applyFill="1" applyBorder="1"/>
    <xf numFmtId="0" fontId="2" fillId="10" borderId="5" xfId="0" applyFont="1" applyFill="1" applyBorder="1"/>
    <xf numFmtId="0" fontId="25" fillId="0" borderId="0" xfId="0" applyFont="1"/>
    <xf numFmtId="3" fontId="25" fillId="0" borderId="0" xfId="0" applyNumberFormat="1" applyFont="1"/>
    <xf numFmtId="9" fontId="26" fillId="0" borderId="0" xfId="0" applyNumberFormat="1" applyFont="1" applyAlignment="1">
      <alignment vertical="center"/>
    </xf>
    <xf numFmtId="0" fontId="2" fillId="0" borderId="0" xfId="0" applyFont="1" applyAlignment="1">
      <alignment horizontal="right"/>
    </xf>
    <xf numFmtId="0" fontId="11" fillId="0" borderId="0" xfId="0" applyFont="1"/>
    <xf numFmtId="0" fontId="11" fillId="11" borderId="0" xfId="0" applyFont="1" applyFill="1"/>
    <xf numFmtId="3" fontId="11" fillId="11" borderId="0" xfId="0" applyNumberFormat="1" applyFont="1" applyFill="1"/>
    <xf numFmtId="3" fontId="4" fillId="11" borderId="0" xfId="0" applyNumberFormat="1" applyFont="1" applyFill="1"/>
    <xf numFmtId="0" fontId="2" fillId="11" borderId="0" xfId="0" applyFont="1" applyFill="1"/>
    <xf numFmtId="3" fontId="12" fillId="11" borderId="0" xfId="0" applyNumberFormat="1" applyFont="1" applyFill="1"/>
    <xf numFmtId="0" fontId="23" fillId="11" borderId="0" xfId="0" applyFont="1" applyFill="1"/>
    <xf numFmtId="0" fontId="11" fillId="2" borderId="0" xfId="0" applyFont="1" applyFill="1"/>
    <xf numFmtId="0" fontId="2" fillId="0" borderId="0" xfId="0" applyFont="1" applyAlignment="1">
      <alignment horizontal="left"/>
    </xf>
    <xf numFmtId="164" fontId="3" fillId="12" borderId="0" xfId="0" applyNumberFormat="1" applyFont="1" applyFill="1" applyAlignment="1">
      <alignment horizontal="center"/>
    </xf>
    <xf numFmtId="0" fontId="7" fillId="13" borderId="0" xfId="0" applyFont="1" applyFill="1" applyAlignment="1">
      <alignment horizontal="left" vertical="center" wrapText="1" readingOrder="1"/>
    </xf>
    <xf numFmtId="0" fontId="7" fillId="13" borderId="0" xfId="0" applyFont="1" applyFill="1" applyAlignment="1">
      <alignment horizontal="center" vertical="center" wrapText="1" readingOrder="1"/>
    </xf>
    <xf numFmtId="0" fontId="14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 readingOrder="1"/>
    </xf>
    <xf numFmtId="0" fontId="4" fillId="14" borderId="0" xfId="0" applyFont="1" applyFill="1" applyAlignment="1">
      <alignment horizontal="left" vertical="center" wrapText="1" readingOrder="1"/>
    </xf>
    <xf numFmtId="4" fontId="4" fillId="14" borderId="0" xfId="0" applyNumberFormat="1" applyFont="1" applyFill="1" applyAlignment="1">
      <alignment horizontal="center" vertical="center" wrapText="1" readingOrder="1"/>
    </xf>
    <xf numFmtId="0" fontId="4" fillId="14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4" fontId="4" fillId="0" borderId="0" xfId="0" applyNumberFormat="1" applyFont="1" applyAlignment="1">
      <alignment horizontal="center" vertical="center" wrapText="1" readingOrder="1"/>
    </xf>
    <xf numFmtId="0" fontId="27" fillId="13" borderId="0" xfId="0" applyFont="1" applyFill="1" applyAlignment="1">
      <alignment horizontal="center" vertical="center" readingOrder="1"/>
    </xf>
    <xf numFmtId="4" fontId="4" fillId="13" borderId="0" xfId="0" applyNumberFormat="1" applyFont="1" applyFill="1" applyAlignment="1">
      <alignment horizontal="center" vertical="center" wrapText="1" readingOrder="1"/>
    </xf>
    <xf numFmtId="0" fontId="4" fillId="13" borderId="0" xfId="0" applyFont="1" applyFill="1" applyAlignment="1">
      <alignment horizontal="center" vertical="center" wrapText="1" readingOrder="1"/>
    </xf>
    <xf numFmtId="0" fontId="28" fillId="13" borderId="0" xfId="0" applyFont="1" applyFill="1" applyAlignment="1">
      <alignment horizontal="left" vertical="center" readingOrder="1"/>
    </xf>
    <xf numFmtId="4" fontId="8" fillId="15" borderId="0" xfId="0" applyNumberFormat="1" applyFont="1" applyFill="1" applyAlignment="1">
      <alignment horizontal="left" vertical="center" wrapText="1" readingOrder="1"/>
    </xf>
    <xf numFmtId="4" fontId="8" fillId="15" borderId="0" xfId="0" applyNumberFormat="1" applyFont="1" applyFill="1" applyAlignment="1">
      <alignment horizontal="center" vertical="center" wrapText="1" readingOrder="1"/>
    </xf>
    <xf numFmtId="0" fontId="8" fillId="15" borderId="0" xfId="0" applyFont="1" applyFill="1" applyAlignment="1">
      <alignment horizontal="center" vertical="center" wrapText="1" readingOrder="1"/>
    </xf>
    <xf numFmtId="3" fontId="14" fillId="0" borderId="0" xfId="0" applyNumberFormat="1" applyFont="1" applyAlignment="1">
      <alignment horizontal="center" vertical="center" wrapText="1" readingOrder="1"/>
    </xf>
    <xf numFmtId="3" fontId="4" fillId="14" borderId="0" xfId="0" applyNumberFormat="1" applyFont="1" applyFill="1" applyAlignment="1">
      <alignment horizontal="center" vertical="center" wrapText="1" readingOrder="1"/>
    </xf>
    <xf numFmtId="0" fontId="29" fillId="11" borderId="0" xfId="0" applyFont="1" applyFill="1"/>
    <xf numFmtId="0" fontId="30" fillId="11" borderId="0" xfId="0" applyFont="1" applyFill="1"/>
    <xf numFmtId="0" fontId="31" fillId="11" borderId="0" xfId="0" applyFont="1" applyFill="1" applyAlignment="1">
      <alignment horizontal="center"/>
    </xf>
    <xf numFmtId="0" fontId="32" fillId="11" borderId="0" xfId="0" applyFont="1" applyFill="1" applyAlignment="1">
      <alignment horizontal="center"/>
    </xf>
    <xf numFmtId="0" fontId="33" fillId="9" borderId="0" xfId="0" applyFont="1" applyFill="1"/>
    <xf numFmtId="0" fontId="30" fillId="9" borderId="0" xfId="0" applyFont="1" applyFill="1"/>
    <xf numFmtId="168" fontId="34" fillId="9" borderId="0" xfId="0" applyNumberFormat="1" applyFont="1" applyFill="1" applyAlignment="1">
      <alignment horizontal="center"/>
    </xf>
    <xf numFmtId="10" fontId="34" fillId="9" borderId="0" xfId="0" applyNumberFormat="1" applyFont="1" applyFill="1" applyAlignment="1">
      <alignment horizontal="center"/>
    </xf>
    <xf numFmtId="3" fontId="20" fillId="9" borderId="0" xfId="0" applyNumberFormat="1" applyFont="1" applyFill="1" applyAlignment="1">
      <alignment horizontal="center"/>
    </xf>
    <xf numFmtId="3" fontId="20" fillId="0" borderId="0" xfId="0" applyNumberFormat="1" applyFont="1" applyAlignment="1">
      <alignment horizontal="center"/>
    </xf>
    <xf numFmtId="0" fontId="0" fillId="9" borderId="0" xfId="0" applyFill="1"/>
    <xf numFmtId="0" fontId="33" fillId="0" borderId="0" xfId="0" applyFont="1"/>
    <xf numFmtId="0" fontId="30" fillId="0" borderId="0" xfId="0" applyFont="1"/>
    <xf numFmtId="168" fontId="34" fillId="0" borderId="0" xfId="0" applyNumberFormat="1" applyFont="1" applyAlignment="1">
      <alignment horizontal="center"/>
    </xf>
    <xf numFmtId="10" fontId="34" fillId="0" borderId="0" xfId="0" applyNumberFormat="1" applyFont="1" applyAlignment="1">
      <alignment horizontal="center"/>
    </xf>
    <xf numFmtId="168" fontId="35" fillId="0" borderId="0" xfId="0" applyNumberFormat="1" applyFont="1" applyAlignment="1">
      <alignment horizontal="center"/>
    </xf>
    <xf numFmtId="39" fontId="0" fillId="0" borderId="0" xfId="0" applyNumberFormat="1"/>
    <xf numFmtId="0" fontId="36" fillId="14" borderId="0" xfId="0" applyFont="1" applyFill="1"/>
    <xf numFmtId="0" fontId="0" fillId="14" borderId="0" xfId="0" applyFill="1"/>
    <xf numFmtId="3" fontId="32" fillId="14" borderId="0" xfId="0" applyNumberFormat="1" applyFont="1" applyFill="1" applyAlignment="1">
      <alignment horizontal="center"/>
    </xf>
    <xf numFmtId="169" fontId="0" fillId="0" borderId="0" xfId="0" applyNumberFormat="1"/>
    <xf numFmtId="166" fontId="20" fillId="0" borderId="0" xfId="0" applyNumberFormat="1" applyFont="1" applyAlignment="1">
      <alignment horizontal="center"/>
    </xf>
    <xf numFmtId="3" fontId="0" fillId="0" borderId="0" xfId="0" applyNumberFormat="1"/>
    <xf numFmtId="3" fontId="37" fillId="0" borderId="0" xfId="0" applyNumberFormat="1" applyFont="1" applyAlignment="1">
      <alignment horizontal="center"/>
    </xf>
    <xf numFmtId="168" fontId="5" fillId="12" borderId="0" xfId="0" applyNumberFormat="1" applyFont="1" applyFill="1" applyAlignment="1">
      <alignment horizontal="center"/>
    </xf>
    <xf numFmtId="168" fontId="5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8" fontId="38" fillId="2" borderId="0" xfId="0" applyNumberFormat="1" applyFont="1" applyFill="1" applyAlignment="1">
      <alignment horizontal="center"/>
    </xf>
    <xf numFmtId="1" fontId="20" fillId="0" borderId="0" xfId="0" applyNumberFormat="1" applyFont="1" applyAlignment="1">
      <alignment horizontal="center"/>
    </xf>
    <xf numFmtId="0" fontId="40" fillId="16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2" borderId="7" xfId="0" applyFont="1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41" fillId="8" borderId="7" xfId="0" applyFont="1" applyFill="1" applyBorder="1" applyAlignment="1">
      <alignment horizontal="center"/>
    </xf>
    <xf numFmtId="0" fontId="42" fillId="14" borderId="0" xfId="0" applyFont="1" applyFill="1" applyAlignment="1">
      <alignment horizontal="center"/>
    </xf>
    <xf numFmtId="0" fontId="43" fillId="14" borderId="0" xfId="0" applyFont="1" applyFill="1" applyAlignment="1">
      <alignment horizontal="center"/>
    </xf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170" fontId="48" fillId="0" borderId="0" xfId="0" applyNumberFormat="1" applyFont="1" applyAlignment="1">
      <alignment horizontal="center"/>
    </xf>
    <xf numFmtId="0" fontId="49" fillId="17" borderId="0" xfId="0" applyFont="1" applyFill="1"/>
    <xf numFmtId="170" fontId="49" fillId="17" borderId="0" xfId="0" applyNumberFormat="1" applyFont="1" applyFill="1" applyAlignment="1">
      <alignment horizontal="center"/>
    </xf>
    <xf numFmtId="170" fontId="49" fillId="0" borderId="0" xfId="0" applyNumberFormat="1" applyFont="1" applyAlignment="1">
      <alignment horizontal="center"/>
    </xf>
    <xf numFmtId="0" fontId="49" fillId="0" borderId="0" xfId="0" applyFont="1"/>
    <xf numFmtId="0" fontId="49" fillId="15" borderId="0" xfId="0" applyFont="1" applyFill="1"/>
    <xf numFmtId="170" fontId="49" fillId="15" borderId="0" xfId="0" applyNumberFormat="1" applyFont="1" applyFill="1" applyAlignment="1">
      <alignment horizontal="right"/>
    </xf>
    <xf numFmtId="171" fontId="16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/>
    </xf>
    <xf numFmtId="0" fontId="31" fillId="11" borderId="0" xfId="0" applyFont="1" applyFill="1"/>
    <xf numFmtId="171" fontId="31" fillId="11" borderId="0" xfId="0" applyNumberFormat="1" applyFont="1" applyFill="1" applyAlignment="1">
      <alignment horizontal="right"/>
    </xf>
    <xf numFmtId="167" fontId="31" fillId="11" borderId="0" xfId="0" applyNumberFormat="1" applyFont="1" applyFill="1" applyAlignment="1">
      <alignment horizontal="right"/>
    </xf>
    <xf numFmtId="0" fontId="16" fillId="0" borderId="0" xfId="0" applyFont="1" applyAlignment="1">
      <alignment horizontal="right"/>
    </xf>
    <xf numFmtId="170" fontId="48" fillId="0" borderId="0" xfId="0" applyNumberFormat="1" applyFont="1" applyAlignment="1">
      <alignment horizontal="right"/>
    </xf>
    <xf numFmtId="167" fontId="16" fillId="0" borderId="0" xfId="0" applyNumberFormat="1" applyFont="1"/>
    <xf numFmtId="0" fontId="49" fillId="15" borderId="0" xfId="0" applyFont="1" applyFill="1" applyAlignment="1">
      <alignment horizontal="right"/>
    </xf>
    <xf numFmtId="0" fontId="31" fillId="0" borderId="0" xfId="0" applyFont="1" applyAlignment="1">
      <alignment horizontal="right"/>
    </xf>
    <xf numFmtId="172" fontId="16" fillId="0" borderId="0" xfId="0" applyNumberFormat="1" applyFont="1"/>
    <xf numFmtId="0" fontId="31" fillId="14" borderId="0" xfId="0" applyFont="1" applyFill="1"/>
    <xf numFmtId="171" fontId="31" fillId="14" borderId="0" xfId="0" applyNumberFormat="1" applyFont="1" applyFill="1" applyAlignment="1">
      <alignment horizontal="right"/>
    </xf>
    <xf numFmtId="173" fontId="16" fillId="0" borderId="0" xfId="0" applyNumberFormat="1" applyFont="1" applyAlignment="1">
      <alignment horizontal="right"/>
    </xf>
    <xf numFmtId="173" fontId="31" fillId="14" borderId="0" xfId="0" applyNumberFormat="1" applyFont="1" applyFill="1" applyAlignment="1">
      <alignment horizontal="right"/>
    </xf>
    <xf numFmtId="0" fontId="50" fillId="13" borderId="0" xfId="0" applyFont="1" applyFill="1" applyAlignment="1">
      <alignment horizontal="left" vertical="center" wrapText="1" readingOrder="1"/>
    </xf>
    <xf numFmtId="0" fontId="50" fillId="13" borderId="0" xfId="0" applyFont="1" applyFill="1" applyAlignment="1">
      <alignment horizontal="center" vertical="center" wrapText="1" readingOrder="1"/>
    </xf>
    <xf numFmtId="0" fontId="16" fillId="0" borderId="0" xfId="0" applyFont="1" applyAlignment="1">
      <alignment horizontal="left" vertical="center" wrapText="1" readingOrder="1"/>
    </xf>
    <xf numFmtId="0" fontId="16" fillId="0" borderId="0" xfId="0" applyFont="1" applyAlignment="1">
      <alignment horizontal="center" vertical="center" wrapText="1" readingOrder="1"/>
    </xf>
    <xf numFmtId="0" fontId="31" fillId="0" borderId="0" xfId="0" applyFont="1" applyAlignment="1">
      <alignment horizontal="center" vertical="center" wrapText="1" readingOrder="1"/>
    </xf>
    <xf numFmtId="0" fontId="31" fillId="14" borderId="0" xfId="0" applyFont="1" applyFill="1" applyAlignment="1">
      <alignment horizontal="left" vertical="center" wrapText="1" readingOrder="1"/>
    </xf>
    <xf numFmtId="4" fontId="31" fillId="14" borderId="0" xfId="0" applyNumberFormat="1" applyFont="1" applyFill="1" applyAlignment="1">
      <alignment horizontal="center" vertical="center" wrapText="1" readingOrder="1"/>
    </xf>
    <xf numFmtId="0" fontId="31" fillId="14" borderId="0" xfId="0" applyFont="1" applyFill="1" applyAlignment="1">
      <alignment horizontal="center" vertical="center" wrapText="1" readingOrder="1"/>
    </xf>
    <xf numFmtId="4" fontId="16" fillId="0" borderId="0" xfId="0" applyNumberFormat="1" applyFont="1" applyAlignment="1">
      <alignment horizontal="center" vertical="center" wrapText="1" readingOrder="1"/>
    </xf>
    <xf numFmtId="167" fontId="16" fillId="0" borderId="0" xfId="0" applyNumberFormat="1" applyFont="1" applyAlignment="1">
      <alignment horizontal="center" vertical="center" wrapText="1" readingOrder="1"/>
    </xf>
    <xf numFmtId="174" fontId="31" fillId="0" borderId="0" xfId="0" applyNumberFormat="1" applyFont="1" applyAlignment="1">
      <alignment horizontal="center" vertical="center" wrapText="1" readingOrder="1"/>
    </xf>
    <xf numFmtId="4" fontId="16" fillId="0" borderId="0" xfId="0" applyNumberFormat="1" applyFont="1" applyAlignment="1">
      <alignment vertical="center" wrapText="1" readingOrder="1"/>
    </xf>
    <xf numFmtId="174" fontId="16" fillId="0" borderId="0" xfId="0" applyNumberFormat="1" applyFont="1" applyAlignment="1">
      <alignment vertical="center" wrapText="1" readingOrder="1"/>
    </xf>
    <xf numFmtId="174" fontId="31" fillId="0" borderId="0" xfId="0" applyNumberFormat="1" applyFont="1" applyAlignment="1">
      <alignment vertical="center" wrapText="1" readingOrder="1"/>
    </xf>
    <xf numFmtId="166" fontId="31" fillId="0" borderId="0" xfId="0" applyNumberFormat="1" applyFont="1"/>
    <xf numFmtId="0" fontId="31" fillId="15" borderId="0" xfId="0" applyFont="1" applyFill="1"/>
    <xf numFmtId="0" fontId="16" fillId="15" borderId="0" xfId="0" applyFont="1" applyFill="1"/>
    <xf numFmtId="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48" fillId="18" borderId="0" xfId="0" applyFont="1" applyFill="1"/>
    <xf numFmtId="0" fontId="31" fillId="0" borderId="0" xfId="0" applyFont="1"/>
    <xf numFmtId="3" fontId="31" fillId="0" borderId="0" xfId="0" applyNumberFormat="1" applyFont="1" applyAlignment="1">
      <alignment horizontal="center"/>
    </xf>
    <xf numFmtId="0" fontId="51" fillId="2" borderId="0" xfId="0" applyFont="1" applyFill="1"/>
    <xf numFmtId="0" fontId="52" fillId="2" borderId="0" xfId="0" applyFont="1" applyFill="1" applyAlignment="1">
      <alignment horizontal="left" indent="5"/>
    </xf>
    <xf numFmtId="0" fontId="53" fillId="2" borderId="0" xfId="0" applyFont="1" applyFill="1" applyAlignment="1">
      <alignment horizontal="left" indent="5"/>
    </xf>
    <xf numFmtId="0" fontId="54" fillId="2" borderId="0" xfId="0" applyFont="1" applyFill="1"/>
    <xf numFmtId="175" fontId="48" fillId="2" borderId="0" xfId="0" applyNumberFormat="1" applyFont="1" applyFill="1" applyAlignment="1">
      <alignment horizontal="left"/>
    </xf>
    <xf numFmtId="176" fontId="55" fillId="11" borderId="0" xfId="0" applyNumberFormat="1" applyFont="1" applyFill="1" applyAlignment="1">
      <alignment horizontal="center"/>
    </xf>
    <xf numFmtId="176" fontId="55" fillId="0" borderId="0" xfId="0" applyNumberFormat="1" applyFont="1" applyAlignment="1">
      <alignment horizontal="center"/>
    </xf>
    <xf numFmtId="0" fontId="49" fillId="13" borderId="0" xfId="0" applyFont="1" applyFill="1" applyAlignment="1">
      <alignment horizontal="center"/>
    </xf>
    <xf numFmtId="164" fontId="48" fillId="12" borderId="0" xfId="0" applyNumberFormat="1" applyFont="1" applyFill="1" applyAlignment="1">
      <alignment horizontal="center"/>
    </xf>
    <xf numFmtId="0" fontId="56" fillId="0" borderId="0" xfId="0" applyFont="1" applyAlignment="1">
      <alignment horizontal="center"/>
    </xf>
    <xf numFmtId="168" fontId="48" fillId="12" borderId="0" xfId="0" applyNumberFormat="1" applyFont="1" applyFill="1" applyAlignment="1">
      <alignment horizontal="center"/>
    </xf>
    <xf numFmtId="168" fontId="56" fillId="0" borderId="0" xfId="0" applyNumberFormat="1" applyFont="1" applyAlignment="1">
      <alignment horizontal="center"/>
    </xf>
    <xf numFmtId="10" fontId="48" fillId="12" borderId="0" xfId="0" applyNumberFormat="1" applyFont="1" applyFill="1" applyAlignment="1">
      <alignment horizontal="center"/>
    </xf>
    <xf numFmtId="177" fontId="56" fillId="0" borderId="0" xfId="0" applyNumberFormat="1" applyFont="1" applyAlignment="1">
      <alignment horizontal="center"/>
    </xf>
    <xf numFmtId="168" fontId="48" fillId="0" borderId="0" xfId="0" applyNumberFormat="1" applyFont="1" applyAlignment="1">
      <alignment horizontal="center"/>
    </xf>
    <xf numFmtId="0" fontId="48" fillId="0" borderId="0" xfId="0" applyFont="1"/>
    <xf numFmtId="0" fontId="57" fillId="0" borderId="0" xfId="0" applyFont="1"/>
    <xf numFmtId="0" fontId="57" fillId="0" borderId="0" xfId="0" applyFont="1" applyAlignment="1">
      <alignment horizontal="left"/>
    </xf>
    <xf numFmtId="164" fontId="57" fillId="12" borderId="0" xfId="0" applyNumberFormat="1" applyFont="1" applyFill="1" applyAlignment="1">
      <alignment horizontal="center"/>
    </xf>
    <xf numFmtId="0" fontId="57" fillId="0" borderId="0" xfId="0" applyFont="1" applyAlignment="1">
      <alignment horizontal="center"/>
    </xf>
    <xf numFmtId="168" fontId="57" fillId="12" borderId="0" xfId="0" applyNumberFormat="1" applyFont="1" applyFill="1" applyAlignment="1">
      <alignment horizontal="center"/>
    </xf>
    <xf numFmtId="168" fontId="57" fillId="0" borderId="0" xfId="0" applyNumberFormat="1" applyFont="1" applyAlignment="1">
      <alignment horizontal="center"/>
    </xf>
    <xf numFmtId="10" fontId="57" fillId="12" borderId="0" xfId="0" applyNumberFormat="1" applyFont="1" applyFill="1" applyAlignment="1">
      <alignment horizontal="center"/>
    </xf>
    <xf numFmtId="168" fontId="34" fillId="12" borderId="0" xfId="0" applyNumberFormat="1" applyFont="1" applyFill="1" applyAlignment="1">
      <alignment horizontal="center"/>
    </xf>
    <xf numFmtId="0" fontId="56" fillId="0" borderId="0" xfId="0" applyFont="1"/>
    <xf numFmtId="0" fontId="56" fillId="0" borderId="0" xfId="0" applyFont="1" applyAlignment="1">
      <alignment horizontal="left"/>
    </xf>
    <xf numFmtId="0" fontId="31" fillId="14" borderId="0" xfId="0" applyFont="1" applyFill="1" applyAlignment="1">
      <alignment horizontal="left"/>
    </xf>
    <xf numFmtId="170" fontId="58" fillId="14" borderId="0" xfId="0" applyNumberFormat="1" applyFont="1" applyFill="1" applyAlignment="1">
      <alignment horizontal="center"/>
    </xf>
    <xf numFmtId="164" fontId="58" fillId="14" borderId="0" xfId="0" applyNumberFormat="1" applyFont="1" applyFill="1" applyAlignment="1">
      <alignment horizontal="center"/>
    </xf>
    <xf numFmtId="0" fontId="59" fillId="14" borderId="0" xfId="0" applyFont="1" applyFill="1" applyAlignment="1">
      <alignment horizontal="center"/>
    </xf>
    <xf numFmtId="168" fontId="59" fillId="14" borderId="0" xfId="0" applyNumberFormat="1" applyFont="1" applyFill="1" applyAlignment="1">
      <alignment horizontal="center"/>
    </xf>
    <xf numFmtId="0" fontId="60" fillId="0" borderId="0" xfId="0" applyFont="1" applyAlignment="1">
      <alignment horizontal="left"/>
    </xf>
    <xf numFmtId="0" fontId="61" fillId="13" borderId="0" xfId="0" applyFont="1" applyFill="1" applyAlignment="1">
      <alignment horizontal="center"/>
    </xf>
    <xf numFmtId="0" fontId="37" fillId="0" borderId="0" xfId="0" applyFont="1"/>
    <xf numFmtId="164" fontId="48" fillId="0" borderId="0" xfId="0" applyNumberFormat="1" applyFont="1" applyAlignment="1">
      <alignment horizontal="center"/>
    </xf>
    <xf numFmtId="10" fontId="48" fillId="0" borderId="0" xfId="0" applyNumberFormat="1" applyFont="1" applyAlignment="1">
      <alignment horizontal="center"/>
    </xf>
    <xf numFmtId="0" fontId="62" fillId="14" borderId="0" xfId="0" applyFont="1" applyFill="1"/>
    <xf numFmtId="0" fontId="32" fillId="11" borderId="0" xfId="0" applyFont="1" applyFill="1"/>
    <xf numFmtId="178" fontId="32" fillId="14" borderId="0" xfId="0" applyNumberFormat="1" applyFont="1" applyFill="1" applyAlignment="1">
      <alignment horizontal="center"/>
    </xf>
    <xf numFmtId="164" fontId="34" fillId="0" borderId="0" xfId="0" applyNumberFormat="1" applyFont="1" applyAlignment="1">
      <alignment horizontal="center"/>
    </xf>
    <xf numFmtId="0" fontId="19" fillId="19" borderId="0" xfId="0" applyFont="1" applyFill="1" applyAlignment="1">
      <alignment horizontal="left"/>
    </xf>
    <xf numFmtId="0" fontId="0" fillId="19" borderId="0" xfId="0" applyFill="1"/>
    <xf numFmtId="165" fontId="37" fillId="12" borderId="0" xfId="0" applyNumberFormat="1" applyFont="1" applyFill="1"/>
    <xf numFmtId="0" fontId="63" fillId="20" borderId="0" xfId="0" applyFont="1" applyFill="1" applyAlignment="1">
      <alignment horizontal="center"/>
    </xf>
    <xf numFmtId="0" fontId="64" fillId="0" borderId="0" xfId="0" applyFont="1"/>
    <xf numFmtId="0" fontId="60" fillId="13" borderId="0" xfId="0" applyFont="1" applyFill="1" applyAlignment="1">
      <alignment horizontal="left"/>
    </xf>
    <xf numFmtId="0" fontId="50" fillId="13" borderId="0" xfId="0" applyFont="1" applyFill="1" applyAlignment="1">
      <alignment horizontal="center"/>
    </xf>
    <xf numFmtId="170" fontId="50" fillId="13" borderId="0" xfId="0" applyNumberFormat="1" applyFont="1" applyFill="1" applyAlignment="1">
      <alignment horizontal="center"/>
    </xf>
    <xf numFmtId="164" fontId="50" fillId="13" borderId="0" xfId="0" applyNumberFormat="1" applyFont="1" applyFill="1" applyAlignment="1">
      <alignment horizontal="center"/>
    </xf>
    <xf numFmtId="168" fontId="50" fillId="13" borderId="0" xfId="0" applyNumberFormat="1" applyFont="1" applyFill="1" applyAlignment="1">
      <alignment horizontal="center"/>
    </xf>
    <xf numFmtId="10" fontId="50" fillId="13" borderId="0" xfId="0" applyNumberFormat="1" applyFont="1" applyFill="1" applyAlignment="1">
      <alignment horizontal="center"/>
    </xf>
    <xf numFmtId="177" fontId="50" fillId="13" borderId="0" xfId="0" applyNumberFormat="1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170" fontId="64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8" fontId="37" fillId="0" borderId="0" xfId="0" applyNumberFormat="1" applyFont="1" applyAlignment="1">
      <alignment horizontal="center"/>
    </xf>
    <xf numFmtId="168" fontId="20" fillId="0" borderId="0" xfId="0" applyNumberFormat="1" applyFont="1" applyAlignment="1">
      <alignment horizontal="center"/>
    </xf>
    <xf numFmtId="10" fontId="37" fillId="0" borderId="0" xfId="0" applyNumberFormat="1" applyFont="1" applyAlignment="1">
      <alignment horizontal="center"/>
    </xf>
    <xf numFmtId="177" fontId="20" fillId="0" borderId="0" xfId="0" applyNumberFormat="1" applyFont="1" applyAlignment="1">
      <alignment horizontal="center"/>
    </xf>
    <xf numFmtId="168" fontId="64" fillId="0" borderId="0" xfId="0" applyNumberFormat="1" applyFont="1" applyAlignment="1">
      <alignment horizontal="center"/>
    </xf>
    <xf numFmtId="179" fontId="64" fillId="0" borderId="0" xfId="0" applyNumberFormat="1" applyFont="1" applyAlignment="1">
      <alignment horizontal="left"/>
    </xf>
    <xf numFmtId="0" fontId="65" fillId="11" borderId="0" xfId="0" applyFont="1" applyFill="1"/>
    <xf numFmtId="0" fontId="65" fillId="11" borderId="0" xfId="0" applyFont="1" applyFill="1" applyAlignment="1">
      <alignment horizontal="left"/>
    </xf>
    <xf numFmtId="170" fontId="65" fillId="11" borderId="0" xfId="0" applyNumberFormat="1" applyFont="1" applyFill="1" applyAlignment="1">
      <alignment horizontal="center"/>
    </xf>
    <xf numFmtId="164" fontId="65" fillId="11" borderId="0" xfId="0" applyNumberFormat="1" applyFont="1" applyFill="1" applyAlignment="1">
      <alignment horizontal="center"/>
    </xf>
    <xf numFmtId="0" fontId="65" fillId="11" borderId="0" xfId="0" applyFont="1" applyFill="1" applyAlignment="1">
      <alignment horizontal="center"/>
    </xf>
    <xf numFmtId="168" fontId="65" fillId="11" borderId="0" xfId="0" applyNumberFormat="1" applyFont="1" applyFill="1" applyAlignment="1">
      <alignment horizontal="center"/>
    </xf>
    <xf numFmtId="168" fontId="32" fillId="11" borderId="0" xfId="0" applyNumberFormat="1" applyFont="1" applyFill="1" applyAlignment="1">
      <alignment horizontal="center"/>
    </xf>
    <xf numFmtId="10" fontId="65" fillId="11" borderId="0" xfId="0" applyNumberFormat="1" applyFont="1" applyFill="1" applyAlignment="1">
      <alignment horizontal="center"/>
    </xf>
    <xf numFmtId="177" fontId="65" fillId="11" borderId="0" xfId="0" applyNumberFormat="1" applyFont="1" applyFill="1" applyAlignment="1">
      <alignment horizontal="center"/>
    </xf>
    <xf numFmtId="0" fontId="19" fillId="19" borderId="0" xfId="0" applyFont="1" applyFill="1"/>
    <xf numFmtId="0" fontId="20" fillId="19" borderId="0" xfId="0" applyFont="1" applyFill="1"/>
    <xf numFmtId="165" fontId="37" fillId="12" borderId="0" xfId="0" applyNumberFormat="1" applyFont="1" applyFill="1" applyAlignment="1">
      <alignment horizontal="left"/>
    </xf>
    <xf numFmtId="170" fontId="20" fillId="0" borderId="0" xfId="0" applyNumberFormat="1" applyFont="1" applyAlignment="1">
      <alignment horizontal="center"/>
    </xf>
    <xf numFmtId="10" fontId="20" fillId="0" borderId="0" xfId="0" applyNumberFormat="1" applyFont="1" applyAlignment="1">
      <alignment horizontal="center"/>
    </xf>
    <xf numFmtId="0" fontId="32" fillId="11" borderId="0" xfId="0" applyFont="1" applyFill="1" applyAlignment="1">
      <alignment horizontal="left"/>
    </xf>
    <xf numFmtId="170" fontId="32" fillId="11" borderId="0" xfId="0" applyNumberFormat="1" applyFont="1" applyFill="1" applyAlignment="1">
      <alignment horizontal="center"/>
    </xf>
    <xf numFmtId="180" fontId="32" fillId="11" borderId="0" xfId="0" applyNumberFormat="1" applyFont="1" applyFill="1" applyAlignment="1">
      <alignment horizontal="left"/>
    </xf>
    <xf numFmtId="164" fontId="32" fillId="11" borderId="0" xfId="0" applyNumberFormat="1" applyFont="1" applyFill="1" applyAlignment="1">
      <alignment horizontal="center"/>
    </xf>
    <xf numFmtId="10" fontId="32" fillId="11" borderId="0" xfId="0" applyNumberFormat="1" applyFont="1" applyFill="1" applyAlignment="1">
      <alignment horizontal="center"/>
    </xf>
    <xf numFmtId="177" fontId="32" fillId="11" borderId="0" xfId="0" applyNumberFormat="1" applyFont="1" applyFill="1" applyAlignment="1">
      <alignment horizontal="center"/>
    </xf>
    <xf numFmtId="177" fontId="35" fillId="0" borderId="0" xfId="0" applyNumberFormat="1" applyFont="1" applyAlignment="1">
      <alignment horizontal="center"/>
    </xf>
    <xf numFmtId="180" fontId="20" fillId="0" borderId="0" xfId="0" applyNumberFormat="1" applyFont="1" applyAlignment="1">
      <alignment horizontal="left"/>
    </xf>
    <xf numFmtId="164" fontId="37" fillId="0" borderId="0" xfId="0" applyNumberFormat="1" applyFont="1" applyAlignment="1">
      <alignment horizontal="center"/>
    </xf>
    <xf numFmtId="178" fontId="31" fillId="14" borderId="0" xfId="0" applyNumberFormat="1" applyFont="1" applyFill="1"/>
    <xf numFmtId="9" fontId="31" fillId="14" borderId="0" xfId="0" applyNumberFormat="1" applyFont="1" applyFill="1"/>
    <xf numFmtId="178" fontId="31" fillId="14" borderId="0" xfId="0" applyNumberFormat="1" applyFont="1" applyFill="1" applyAlignment="1">
      <alignment horizontal="center"/>
    </xf>
    <xf numFmtId="164" fontId="20" fillId="0" borderId="0" xfId="0" applyNumberFormat="1" applyFont="1" applyAlignment="1">
      <alignment horizontal="left"/>
    </xf>
    <xf numFmtId="0" fontId="48" fillId="0" borderId="0" xfId="0" applyFont="1" applyAlignment="1">
      <alignment horizontal="center"/>
    </xf>
    <xf numFmtId="2" fontId="37" fillId="0" borderId="0" xfId="0" applyNumberFormat="1" applyFont="1" applyAlignment="1">
      <alignment horizontal="center"/>
    </xf>
    <xf numFmtId="167" fontId="37" fillId="0" borderId="0" xfId="0" applyNumberFormat="1" applyFont="1"/>
    <xf numFmtId="178" fontId="16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9" fontId="37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48" fillId="12" borderId="0" xfId="0" applyFont="1" applyFill="1" applyAlignment="1">
      <alignment horizontal="center"/>
    </xf>
    <xf numFmtId="178" fontId="48" fillId="12" borderId="0" xfId="0" applyNumberFormat="1" applyFont="1" applyFill="1" applyAlignment="1">
      <alignment horizontal="center"/>
    </xf>
    <xf numFmtId="9" fontId="48" fillId="12" borderId="0" xfId="0" applyNumberFormat="1" applyFont="1" applyFill="1" applyAlignment="1">
      <alignment horizontal="center"/>
    </xf>
    <xf numFmtId="9" fontId="16" fillId="0" borderId="0" xfId="0" applyNumberFormat="1" applyFont="1" applyAlignment="1">
      <alignment horizontal="center"/>
    </xf>
    <xf numFmtId="178" fontId="31" fillId="11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37" fillId="2" borderId="0" xfId="0" applyFont="1" applyFill="1" applyAlignment="1">
      <alignment horizontal="center"/>
    </xf>
    <xf numFmtId="0" fontId="37" fillId="12" borderId="0" xfId="0" applyFont="1" applyFill="1" applyAlignment="1">
      <alignment horizontal="center"/>
    </xf>
    <xf numFmtId="168" fontId="20" fillId="2" borderId="0" xfId="0" applyNumberFormat="1" applyFont="1" applyFill="1" applyAlignment="1">
      <alignment horizontal="center"/>
    </xf>
    <xf numFmtId="9" fontId="37" fillId="12" borderId="0" xfId="0" applyNumberFormat="1" applyFont="1" applyFill="1" applyAlignment="1">
      <alignment horizontal="center"/>
    </xf>
    <xf numFmtId="9" fontId="20" fillId="2" borderId="0" xfId="0" applyNumberFormat="1" applyFont="1" applyFill="1" applyAlignment="1">
      <alignment horizontal="center"/>
    </xf>
    <xf numFmtId="0" fontId="37" fillId="2" borderId="0" xfId="0" applyFont="1" applyFill="1" applyAlignment="1">
      <alignment horizontal="left"/>
    </xf>
    <xf numFmtId="9" fontId="20" fillId="0" borderId="0" xfId="0" applyNumberFormat="1" applyFont="1" applyAlignment="1">
      <alignment horizontal="center"/>
    </xf>
    <xf numFmtId="0" fontId="20" fillId="11" borderId="0" xfId="0" applyFont="1" applyFill="1" applyAlignment="1">
      <alignment horizontal="center"/>
    </xf>
    <xf numFmtId="0" fontId="20" fillId="11" borderId="0" xfId="0" applyFont="1" applyFill="1" applyAlignment="1">
      <alignment horizontal="left"/>
    </xf>
    <xf numFmtId="0" fontId="37" fillId="11" borderId="0" xfId="0" applyFont="1" applyFill="1" applyAlignment="1">
      <alignment horizontal="center"/>
    </xf>
    <xf numFmtId="0" fontId="35" fillId="11" borderId="0" xfId="0" applyFont="1" applyFill="1" applyAlignment="1">
      <alignment horizontal="center"/>
    </xf>
    <xf numFmtId="9" fontId="37" fillId="11" borderId="0" xfId="0" applyNumberFormat="1" applyFont="1" applyFill="1" applyAlignment="1">
      <alignment horizontal="center"/>
    </xf>
    <xf numFmtId="9" fontId="65" fillId="11" borderId="0" xfId="0" applyNumberFormat="1" applyFont="1" applyFill="1" applyAlignment="1">
      <alignment horizontal="center"/>
    </xf>
    <xf numFmtId="168" fontId="20" fillId="11" borderId="0" xfId="0" applyNumberFormat="1" applyFont="1" applyFill="1" applyAlignment="1">
      <alignment horizontal="center"/>
    </xf>
    <xf numFmtId="0" fontId="0" fillId="11" borderId="0" xfId="0" applyFill="1"/>
    <xf numFmtId="179" fontId="20" fillId="0" borderId="0" xfId="0" applyNumberFormat="1" applyFont="1" applyAlignment="1">
      <alignment horizontal="left"/>
    </xf>
    <xf numFmtId="0" fontId="37" fillId="11" borderId="0" xfId="0" applyFont="1" applyFill="1"/>
    <xf numFmtId="0" fontId="66" fillId="0" borderId="0" xfId="0" applyFont="1"/>
    <xf numFmtId="179" fontId="32" fillId="11" borderId="0" xfId="0" applyNumberFormat="1" applyFont="1" applyFill="1" applyAlignment="1">
      <alignment horizontal="left"/>
    </xf>
    <xf numFmtId="178" fontId="30" fillId="0" borderId="0" xfId="0" applyNumberFormat="1" applyFont="1"/>
    <xf numFmtId="9" fontId="30" fillId="0" borderId="0" xfId="0" applyNumberFormat="1" applyFont="1"/>
    <xf numFmtId="0" fontId="0" fillId="0" borderId="0" xfId="0" applyAlignment="1">
      <alignment horizontal="left"/>
    </xf>
    <xf numFmtId="0" fontId="50" fillId="13" borderId="0" xfId="0" applyFont="1" applyFill="1" applyAlignment="1">
      <alignment horizontal="left"/>
    </xf>
    <xf numFmtId="0" fontId="0" fillId="2" borderId="0" xfId="0" applyFill="1"/>
    <xf numFmtId="168" fontId="37" fillId="12" borderId="0" xfId="0" applyNumberFormat="1" applyFont="1" applyFill="1" applyAlignment="1">
      <alignment horizontal="center"/>
    </xf>
    <xf numFmtId="164" fontId="20" fillId="2" borderId="0" xfId="0" applyNumberFormat="1" applyFont="1" applyFill="1" applyAlignment="1">
      <alignment horizontal="center"/>
    </xf>
    <xf numFmtId="0" fontId="32" fillId="2" borderId="0" xfId="0" applyFont="1" applyFill="1" applyAlignment="1">
      <alignment horizontal="left"/>
    </xf>
    <xf numFmtId="168" fontId="32" fillId="2" borderId="0" xfId="0" applyNumberFormat="1" applyFont="1" applyFill="1"/>
    <xf numFmtId="1" fontId="48" fillId="0" borderId="0" xfId="0" applyNumberFormat="1" applyFont="1" applyAlignment="1">
      <alignment horizontal="center"/>
    </xf>
    <xf numFmtId="0" fontId="29" fillId="14" borderId="0" xfId="0" applyFont="1" applyFill="1"/>
    <xf numFmtId="0" fontId="32" fillId="14" borderId="0" xfId="0" applyFont="1" applyFill="1"/>
    <xf numFmtId="168" fontId="65" fillId="14" borderId="0" xfId="0" applyNumberFormat="1" applyFont="1" applyFill="1" applyAlignment="1">
      <alignment horizontal="center"/>
    </xf>
    <xf numFmtId="0" fontId="35" fillId="12" borderId="0" xfId="0" applyFont="1" applyFill="1" applyAlignment="1">
      <alignment horizontal="center"/>
    </xf>
    <xf numFmtId="0" fontId="58" fillId="11" borderId="0" xfId="0" applyFont="1" applyFill="1" applyAlignment="1">
      <alignment horizontal="center"/>
    </xf>
    <xf numFmtId="164" fontId="67" fillId="11" borderId="0" xfId="0" applyNumberFormat="1" applyFont="1" applyFill="1" applyAlignment="1">
      <alignment horizontal="center"/>
    </xf>
    <xf numFmtId="168" fontId="67" fillId="11" borderId="0" xfId="0" applyNumberFormat="1" applyFont="1" applyFill="1" applyAlignment="1">
      <alignment horizontal="center"/>
    </xf>
    <xf numFmtId="0" fontId="68" fillId="0" borderId="0" xfId="0" applyFont="1"/>
    <xf numFmtId="0" fontId="69" fillId="13" borderId="0" xfId="0" applyFont="1" applyFill="1" applyAlignment="1">
      <alignment horizontal="center"/>
    </xf>
    <xf numFmtId="0" fontId="69" fillId="21" borderId="0" xfId="0" applyFont="1" applyFill="1" applyAlignment="1">
      <alignment horizontal="center"/>
    </xf>
    <xf numFmtId="0" fontId="20" fillId="0" borderId="8" xfId="0" applyFont="1" applyBorder="1" applyAlignment="1">
      <alignment horizontal="center"/>
    </xf>
    <xf numFmtId="166" fontId="48" fillId="0" borderId="0" xfId="0" applyNumberFormat="1" applyFont="1" applyAlignment="1">
      <alignment horizontal="center"/>
    </xf>
    <xf numFmtId="0" fontId="20" fillId="0" borderId="9" xfId="0" applyFont="1" applyBorder="1" applyAlignment="1">
      <alignment horizontal="center" wrapText="1"/>
    </xf>
    <xf numFmtId="0" fontId="20" fillId="0" borderId="8" xfId="0" applyFont="1" applyBorder="1" applyAlignment="1">
      <alignment horizontal="center" wrapText="1"/>
    </xf>
    <xf numFmtId="164" fontId="35" fillId="0" borderId="0" xfId="0" applyNumberFormat="1" applyFont="1" applyAlignment="1">
      <alignment horizontal="center"/>
    </xf>
    <xf numFmtId="10" fontId="35" fillId="0" borderId="0" xfId="0" applyNumberFormat="1" applyFont="1" applyAlignment="1">
      <alignment horizontal="center"/>
    </xf>
    <xf numFmtId="166" fontId="48" fillId="12" borderId="0" xfId="0" applyNumberFormat="1" applyFont="1" applyFill="1" applyAlignment="1">
      <alignment horizontal="center"/>
    </xf>
    <xf numFmtId="0" fontId="32" fillId="0" borderId="0" xfId="0" applyFont="1"/>
    <xf numFmtId="0" fontId="4" fillId="0" borderId="0" xfId="0" applyFont="1"/>
    <xf numFmtId="0" fontId="32" fillId="4" borderId="0" xfId="0" applyFont="1" applyFill="1"/>
    <xf numFmtId="0" fontId="20" fillId="4" borderId="0" xfId="0" applyFont="1" applyFill="1"/>
    <xf numFmtId="0" fontId="66" fillId="4" borderId="0" xfId="0" applyFont="1" applyFill="1" applyAlignment="1">
      <alignment horizontal="center"/>
    </xf>
    <xf numFmtId="0" fontId="0" fillId="4" borderId="0" xfId="0" applyFill="1"/>
    <xf numFmtId="0" fontId="20" fillId="0" borderId="8" xfId="0" applyFont="1" applyBorder="1"/>
    <xf numFmtId="178" fontId="37" fillId="0" borderId="8" xfId="0" applyNumberFormat="1" applyFont="1" applyBorder="1" applyAlignment="1">
      <alignment horizontal="center"/>
    </xf>
    <xf numFmtId="181" fontId="37" fillId="0" borderId="8" xfId="0" applyNumberFormat="1" applyFont="1" applyBorder="1" applyAlignment="1">
      <alignment horizontal="center"/>
    </xf>
    <xf numFmtId="181" fontId="20" fillId="0" borderId="8" xfId="0" applyNumberFormat="1" applyFont="1" applyBorder="1" applyAlignment="1">
      <alignment horizontal="center"/>
    </xf>
    <xf numFmtId="9" fontId="20" fillId="0" borderId="0" xfId="0" applyNumberFormat="1" applyFont="1"/>
    <xf numFmtId="0" fontId="20" fillId="0" borderId="9" xfId="0" applyFont="1" applyBorder="1" applyAlignment="1">
      <alignment horizontal="center"/>
    </xf>
    <xf numFmtId="0" fontId="20" fillId="0" borderId="9" xfId="0" applyFont="1" applyBorder="1" applyAlignment="1">
      <alignment wrapText="1"/>
    </xf>
    <xf numFmtId="178" fontId="37" fillId="0" borderId="9" xfId="0" applyNumberFormat="1" applyFont="1" applyBorder="1" applyAlignment="1">
      <alignment horizontal="center"/>
    </xf>
    <xf numFmtId="181" fontId="37" fillId="0" borderId="9" xfId="0" applyNumberFormat="1" applyFont="1" applyBorder="1" applyAlignment="1">
      <alignment horizontal="center"/>
    </xf>
    <xf numFmtId="181" fontId="20" fillId="0" borderId="9" xfId="0" applyNumberFormat="1" applyFont="1" applyBorder="1" applyAlignment="1">
      <alignment horizontal="center"/>
    </xf>
    <xf numFmtId="0" fontId="32" fillId="14" borderId="10" xfId="0" applyFont="1" applyFill="1" applyBorder="1"/>
    <xf numFmtId="181" fontId="32" fillId="14" borderId="10" xfId="0" applyNumberFormat="1" applyFont="1" applyFill="1" applyBorder="1" applyAlignment="1">
      <alignment horizontal="center"/>
    </xf>
    <xf numFmtId="0" fontId="20" fillId="0" borderId="9" xfId="0" applyFont="1" applyBorder="1"/>
    <xf numFmtId="166" fontId="70" fillId="0" borderId="0" xfId="0" applyNumberFormat="1" applyFont="1" applyAlignment="1">
      <alignment horizontal="center"/>
    </xf>
    <xf numFmtId="178" fontId="67" fillId="14" borderId="10" xfId="0" applyNumberFormat="1" applyFont="1" applyFill="1" applyBorder="1"/>
    <xf numFmtId="180" fontId="67" fillId="14" borderId="10" xfId="0" applyNumberFormat="1" applyFont="1" applyFill="1" applyBorder="1"/>
    <xf numFmtId="166" fontId="20" fillId="0" borderId="0" xfId="0" applyNumberFormat="1" applyFont="1"/>
    <xf numFmtId="0" fontId="32" fillId="11" borderId="11" xfId="0" applyFont="1" applyFill="1" applyBorder="1"/>
    <xf numFmtId="181" fontId="32" fillId="11" borderId="11" xfId="0" applyNumberFormat="1" applyFont="1" applyFill="1" applyBorder="1" applyAlignment="1">
      <alignment horizontal="center"/>
    </xf>
    <xf numFmtId="180" fontId="20" fillId="0" borderId="0" xfId="0" applyNumberFormat="1" applyFont="1"/>
    <xf numFmtId="0" fontId="61" fillId="13" borderId="0" xfId="0" applyFont="1" applyFill="1"/>
    <xf numFmtId="0" fontId="20" fillId="13" borderId="0" xfId="0" applyFont="1" applyFill="1"/>
    <xf numFmtId="0" fontId="20" fillId="0" borderId="8" xfId="0" applyFont="1" applyBorder="1" applyAlignment="1">
      <alignment horizontal="left"/>
    </xf>
    <xf numFmtId="178" fontId="20" fillId="0" borderId="8" xfId="0" applyNumberFormat="1" applyFont="1" applyBorder="1" applyAlignment="1">
      <alignment horizontal="center"/>
    </xf>
    <xf numFmtId="0" fontId="67" fillId="0" borderId="8" xfId="0" applyFont="1" applyBorder="1" applyAlignment="1">
      <alignment horizontal="center"/>
    </xf>
    <xf numFmtId="0" fontId="20" fillId="0" borderId="9" xfId="0" applyFont="1" applyBorder="1" applyAlignment="1">
      <alignment horizontal="left" wrapText="1"/>
    </xf>
    <xf numFmtId="178" fontId="20" fillId="0" borderId="9" xfId="0" applyNumberFormat="1" applyFont="1" applyBorder="1" applyAlignment="1">
      <alignment horizontal="center"/>
    </xf>
    <xf numFmtId="0" fontId="67" fillId="0" borderId="9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8" xfId="0" applyFont="1" applyBorder="1" applyAlignment="1">
      <alignment wrapText="1"/>
    </xf>
    <xf numFmtId="180" fontId="20" fillId="0" borderId="8" xfId="0" applyNumberFormat="1" applyFont="1" applyBorder="1"/>
    <xf numFmtId="180" fontId="0" fillId="0" borderId="0" xfId="0" applyNumberFormat="1"/>
    <xf numFmtId="0" fontId="29" fillId="0" borderId="0" xfId="0" applyFont="1"/>
    <xf numFmtId="165" fontId="71" fillId="0" borderId="0" xfId="0" applyNumberFormat="1" applyFont="1" applyAlignment="1">
      <alignment horizontal="left"/>
    </xf>
    <xf numFmtId="0" fontId="71" fillId="0" borderId="0" xfId="0" applyFont="1" applyAlignment="1">
      <alignment horizontal="left"/>
    </xf>
    <xf numFmtId="0" fontId="61" fillId="0" borderId="0" xfId="0" applyFont="1" applyAlignment="1">
      <alignment horizontal="center" wrapText="1"/>
    </xf>
    <xf numFmtId="0" fontId="61" fillId="15" borderId="0" xfId="0" applyFont="1" applyFill="1" applyAlignment="1">
      <alignment horizontal="center"/>
    </xf>
    <xf numFmtId="3" fontId="61" fillId="15" borderId="0" xfId="0" applyNumberFormat="1" applyFont="1" applyFill="1" applyAlignment="1">
      <alignment horizontal="center"/>
    </xf>
    <xf numFmtId="0" fontId="29" fillId="11" borderId="0" xfId="0" applyFont="1" applyFill="1" applyAlignment="1">
      <alignment horizontal="left"/>
    </xf>
    <xf numFmtId="3" fontId="29" fillId="11" borderId="0" xfId="0" applyNumberFormat="1" applyFont="1" applyFill="1"/>
    <xf numFmtId="0" fontId="71" fillId="0" borderId="0" xfId="0" applyFont="1" applyAlignment="1">
      <alignment horizontal="center"/>
    </xf>
    <xf numFmtId="0" fontId="71" fillId="0" borderId="0" xfId="0" applyFont="1"/>
    <xf numFmtId="3" fontId="71" fillId="0" borderId="0" xfId="0" applyNumberFormat="1" applyFont="1"/>
    <xf numFmtId="9" fontId="71" fillId="0" borderId="0" xfId="0" applyNumberFormat="1" applyFont="1" applyAlignment="1">
      <alignment horizontal="center"/>
    </xf>
    <xf numFmtId="0" fontId="29" fillId="14" borderId="0" xfId="0" applyFont="1" applyFill="1" applyAlignment="1">
      <alignment horizontal="center"/>
    </xf>
    <xf numFmtId="3" fontId="29" fillId="14" borderId="0" xfId="0" applyNumberFormat="1" applyFont="1" applyFill="1"/>
    <xf numFmtId="0" fontId="29" fillId="11" borderId="0" xfId="0" applyFont="1" applyFill="1" applyAlignment="1">
      <alignment horizontal="center"/>
    </xf>
    <xf numFmtId="0" fontId="65" fillId="0" borderId="0" xfId="0" applyFont="1" applyAlignment="1">
      <alignment horizontal="center"/>
    </xf>
    <xf numFmtId="168" fontId="65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168" fontId="16" fillId="0" borderId="0" xfId="0" applyNumberFormat="1" applyFont="1" applyAlignment="1">
      <alignment horizontal="center"/>
    </xf>
    <xf numFmtId="9" fontId="48" fillId="0" borderId="0" xfId="0" applyNumberFormat="1" applyFont="1" applyAlignment="1">
      <alignment horizontal="center"/>
    </xf>
    <xf numFmtId="168" fontId="31" fillId="0" borderId="0" xfId="0" applyNumberFormat="1" applyFont="1" applyAlignment="1">
      <alignment horizontal="center"/>
    </xf>
    <xf numFmtId="0" fontId="72" fillId="0" borderId="0" xfId="0" applyFont="1"/>
    <xf numFmtId="0" fontId="73" fillId="0" borderId="0" xfId="0" applyFont="1"/>
    <xf numFmtId="3" fontId="32" fillId="11" borderId="0" xfId="0" applyNumberFormat="1" applyFont="1" applyFill="1" applyAlignment="1">
      <alignment horizontal="left"/>
    </xf>
    <xf numFmtId="0" fontId="74" fillId="15" borderId="0" xfId="0" applyFont="1" applyFill="1" applyAlignment="1">
      <alignment horizontal="center" vertical="center" wrapText="1"/>
    </xf>
    <xf numFmtId="0" fontId="61" fillId="15" borderId="0" xfId="0" applyFont="1" applyFill="1" applyAlignment="1">
      <alignment horizontal="center" vertical="center" wrapText="1"/>
    </xf>
    <xf numFmtId="0" fontId="35" fillId="0" borderId="0" xfId="0" applyFont="1"/>
    <xf numFmtId="4" fontId="35" fillId="0" borderId="0" xfId="0" applyNumberFormat="1" applyFont="1"/>
    <xf numFmtId="4" fontId="20" fillId="0" borderId="0" xfId="0" applyNumberFormat="1" applyFont="1"/>
    <xf numFmtId="9" fontId="37" fillId="0" borderId="0" xfId="0" applyNumberFormat="1" applyFont="1"/>
    <xf numFmtId="0" fontId="75" fillId="0" borderId="0" xfId="0" applyFont="1"/>
    <xf numFmtId="4" fontId="37" fillId="0" borderId="0" xfId="0" applyNumberFormat="1" applyFont="1"/>
    <xf numFmtId="4" fontId="32" fillId="0" borderId="0" xfId="0" applyNumberFormat="1" applyFont="1"/>
    <xf numFmtId="182" fontId="16" fillId="0" borderId="0" xfId="0" applyNumberFormat="1" applyFont="1" applyAlignment="1">
      <alignment horizontal="center"/>
    </xf>
    <xf numFmtId="0" fontId="55" fillId="11" borderId="0" xfId="0" applyFont="1" applyFill="1" applyAlignment="1">
      <alignment horizontal="left"/>
    </xf>
    <xf numFmtId="0" fontId="55" fillId="11" borderId="0" xfId="0" applyFont="1" applyFill="1" applyAlignment="1">
      <alignment horizontal="right"/>
    </xf>
    <xf numFmtId="0" fontId="55" fillId="0" borderId="0" xfId="0" applyFont="1" applyAlignment="1">
      <alignment horizontal="left"/>
    </xf>
    <xf numFmtId="167" fontId="48" fillId="0" borderId="0" xfId="0" applyNumberFormat="1" applyFont="1" applyAlignment="1">
      <alignment horizontal="right"/>
    </xf>
    <xf numFmtId="167" fontId="55" fillId="11" borderId="0" xfId="0" applyNumberFormat="1" applyFont="1" applyFill="1" applyAlignment="1">
      <alignment horizontal="right"/>
    </xf>
    <xf numFmtId="0" fontId="76" fillId="0" borderId="0" xfId="0" applyFont="1"/>
    <xf numFmtId="0" fontId="77" fillId="0" borderId="0" xfId="0" applyFont="1"/>
    <xf numFmtId="0" fontId="49" fillId="13" borderId="0" xfId="0" applyFont="1" applyFill="1" applyAlignment="1">
      <alignment horizontal="left"/>
    </xf>
    <xf numFmtId="0" fontId="49" fillId="13" borderId="0" xfId="0" applyFont="1" applyFill="1"/>
    <xf numFmtId="0" fontId="49" fillId="11" borderId="0" xfId="0" applyFont="1" applyFill="1"/>
    <xf numFmtId="0" fontId="59" fillId="11" borderId="0" xfId="0" applyFont="1" applyFill="1"/>
    <xf numFmtId="0" fontId="55" fillId="0" borderId="0" xfId="0" applyFont="1"/>
    <xf numFmtId="0" fontId="78" fillId="0" borderId="0" xfId="0" applyFont="1"/>
    <xf numFmtId="0" fontId="79" fillId="0" borderId="0" xfId="0" applyFont="1"/>
    <xf numFmtId="0" fontId="55" fillId="0" borderId="0" xfId="0" applyFont="1" applyAlignment="1">
      <alignment horizontal="center"/>
    </xf>
    <xf numFmtId="2" fontId="48" fillId="0" borderId="0" xfId="0" applyNumberFormat="1" applyFont="1"/>
    <xf numFmtId="2" fontId="55" fillId="0" borderId="0" xfId="0" applyNumberFormat="1" applyFont="1"/>
    <xf numFmtId="183" fontId="55" fillId="0" borderId="0" xfId="0" applyNumberFormat="1" applyFont="1"/>
    <xf numFmtId="0" fontId="49" fillId="22" borderId="0" xfId="0" applyFont="1" applyFill="1" applyAlignment="1">
      <alignment horizontal="left"/>
    </xf>
    <xf numFmtId="0" fontId="49" fillId="22" borderId="0" xfId="0" applyFont="1" applyFill="1"/>
    <xf numFmtId="0" fontId="39" fillId="0" borderId="0" xfId="0" applyFont="1"/>
  </cellXfs>
  <cellStyles count="1">
    <cellStyle name="Normal" xfId="0" builtinId="0"/>
  </cellStyles>
  <dxfs count="8">
    <dxf>
      <font>
        <color rgb="FFFF0000"/>
      </font>
      <fill>
        <patternFill>
          <bgColor rgb="FFFCE4EC"/>
        </patternFill>
      </fill>
    </dxf>
    <dxf>
      <font>
        <color rgb="FF006100"/>
      </font>
      <fill>
        <patternFill>
          <bgColor rgb="FFE2EFDA"/>
        </patternFill>
      </fill>
    </dxf>
    <dxf>
      <font>
        <color rgb="FFFF0000"/>
      </font>
      <fill>
        <patternFill>
          <bgColor rgb="FFFCE4EC"/>
        </patternFill>
      </fill>
    </dxf>
    <dxf>
      <font>
        <color rgb="FF006100"/>
      </font>
      <fill>
        <patternFill>
          <bgColor rgb="FFE2EFDA"/>
        </patternFill>
      </fill>
    </dxf>
    <dxf>
      <font>
        <color rgb="FFFF0000"/>
      </font>
      <fill>
        <patternFill>
          <bgColor rgb="FFFCE4EC"/>
        </patternFill>
      </fill>
    </dxf>
    <dxf>
      <font>
        <color rgb="FF006100"/>
      </font>
      <fill>
        <patternFill>
          <bgColor rgb="FFE2EFDA"/>
        </patternFill>
      </fill>
    </dxf>
    <dxf>
      <font>
        <color rgb="FFFF0000"/>
      </font>
      <fill>
        <patternFill>
          <bgColor rgb="FFFCE4EC"/>
        </patternFill>
      </fill>
    </dxf>
    <dxf>
      <font>
        <color rgb="FF006100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40674"/>
      <rgbColor rgb="FF7F7F7F"/>
      <rgbColor rgb="FF800080"/>
      <rgbColor rgb="FF4472C4"/>
      <rgbColor rgb="FFBFBFBF"/>
      <rgbColor rgb="FF808080"/>
      <rgbColor rgb="FF9999FF"/>
      <rgbColor rgb="FF993366"/>
      <rgbColor rgb="FFFFFFCC"/>
      <rgbColor rgb="FFE2EFDA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DFBDC"/>
      <rgbColor rgb="FFC6EFCE"/>
      <rgbColor rgb="FFF2F2F2"/>
      <rgbColor rgb="FFD9E2F3"/>
      <rgbColor rgb="FFFF99CC"/>
      <rgbColor rgb="FFCC99FF"/>
      <rgbColor rgb="FFFCE4EC"/>
      <rgbColor rgb="FF4E67C8"/>
      <rgbColor rgb="FF56C7AA"/>
      <rgbColor rgb="FF99CC00"/>
      <rgbColor rgb="FFFFC000"/>
      <rgbColor rgb="FFFF8021"/>
      <rgbColor rgb="FFF14124"/>
      <rgbColor rgb="FF5968B0"/>
      <rgbColor rgb="FFA6A6A6"/>
      <rgbColor rgb="FF002060"/>
      <rgbColor rgb="FF00B050"/>
      <rgbColor rgb="FF141413"/>
      <rgbColor rgb="FF0061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Slipstream">
      <a:dk1>
        <a:srgbClr val="000000"/>
      </a:dk1>
      <a:lt1>
        <a:srgbClr val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CE201"/>
  <sheetViews>
    <sheetView showGridLines="0" zoomScale="190" zoomScaleNormal="190" workbookViewId="0">
      <pane xSplit="3" ySplit="4" topLeftCell="D5" activePane="bottomRight" state="frozen"/>
      <selection pane="topRight" activeCell="I1" sqref="I1"/>
      <selection pane="bottomLeft" activeCell="A5" sqref="A5"/>
      <selection pane="bottomRight" activeCell="D159" sqref="D159"/>
    </sheetView>
  </sheetViews>
  <sheetFormatPr baseColWidth="10" defaultColWidth="8.6640625" defaultRowHeight="15" customHeight="1" outlineLevelRow="1" outlineLevelCol="1" x14ac:dyDescent="0.2"/>
  <cols>
    <col min="1" max="1" width="1.83203125" style="1" customWidth="1"/>
    <col min="2" max="2" width="1.83203125" style="2" customWidth="1"/>
    <col min="3" max="3" width="27.33203125" style="2" customWidth="1"/>
    <col min="4" max="4" width="19.6640625" style="2" customWidth="1"/>
    <col min="5" max="5" width="21.1640625" style="1" customWidth="1"/>
    <col min="6" max="8" width="18" style="1" hidden="1" customWidth="1" outlineLevel="1"/>
    <col min="9" max="9" width="18" style="1" customWidth="1" collapsed="1"/>
    <col min="10" max="10" width="18" style="1" customWidth="1"/>
    <col min="11" max="12" width="20.5" style="1" hidden="1" customWidth="1" outlineLevel="1"/>
    <col min="13" max="13" width="18" style="1" hidden="1" customWidth="1" outlineLevel="1"/>
    <col min="14" max="14" width="3" style="1" customWidth="1" collapsed="1"/>
    <col min="15" max="16" width="18" style="1" customWidth="1"/>
    <col min="17" max="17" width="3" style="1" customWidth="1"/>
    <col min="18" max="19" width="18" style="1" customWidth="1"/>
    <col min="21" max="73" width="8.6640625" style="1" hidden="1" outlineLevel="1"/>
    <col min="74" max="74" width="8.6640625" style="1" collapsed="1"/>
    <col min="75" max="79" width="8.6640625" style="1"/>
    <col min="80" max="81" width="12.6640625" style="1" customWidth="1"/>
    <col min="82" max="16384" width="8.6640625" style="1"/>
  </cols>
  <sheetData>
    <row r="1" spans="1:73" ht="12.75" customHeight="1" x14ac:dyDescent="0.2">
      <c r="A1" s="1" t="s">
        <v>0</v>
      </c>
      <c r="B1" s="1"/>
      <c r="D1" s="3">
        <f>'Glosario Partidas'!M9</f>
        <v>17.5</v>
      </c>
      <c r="J1" s="4"/>
      <c r="K1" s="4"/>
      <c r="L1" s="5"/>
      <c r="M1" s="5"/>
    </row>
    <row r="2" spans="1:73" ht="12.75" customHeight="1" x14ac:dyDescent="0.2">
      <c r="B2" s="1"/>
      <c r="D2" s="3"/>
      <c r="J2" s="4"/>
      <c r="K2" s="4"/>
      <c r="L2" s="5"/>
      <c r="M2" s="5"/>
    </row>
    <row r="3" spans="1:73" ht="12" customHeight="1" x14ac:dyDescent="0.2">
      <c r="B3" s="1"/>
      <c r="C3" s="1"/>
      <c r="D3" s="1"/>
      <c r="E3" s="6"/>
      <c r="F3" s="6"/>
      <c r="G3" s="6"/>
      <c r="H3" s="6"/>
      <c r="I3" s="6"/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</v>
      </c>
      <c r="AS3" s="7" t="s">
        <v>1</v>
      </c>
      <c r="AT3" s="7" t="s">
        <v>1</v>
      </c>
      <c r="AU3" s="7" t="s">
        <v>1</v>
      </c>
      <c r="AV3" s="7" t="s">
        <v>1</v>
      </c>
      <c r="AW3" s="7" t="s">
        <v>1</v>
      </c>
      <c r="AX3" s="7" t="s">
        <v>1</v>
      </c>
      <c r="AY3" s="7" t="s">
        <v>1</v>
      </c>
      <c r="AZ3" s="7" t="s">
        <v>1</v>
      </c>
      <c r="BA3" s="7" t="s">
        <v>1</v>
      </c>
      <c r="BB3" s="7" t="s">
        <v>1</v>
      </c>
      <c r="BC3" s="7" t="s">
        <v>1</v>
      </c>
      <c r="BD3" s="7" t="s">
        <v>1</v>
      </c>
      <c r="BE3" s="7" t="s">
        <v>1</v>
      </c>
      <c r="BF3" s="7" t="s">
        <v>1</v>
      </c>
      <c r="BG3" s="7" t="s">
        <v>1</v>
      </c>
      <c r="BH3" s="7" t="s">
        <v>1</v>
      </c>
      <c r="BI3" s="7" t="s">
        <v>1</v>
      </c>
      <c r="BJ3" s="7" t="s">
        <v>1</v>
      </c>
      <c r="BK3" s="7" t="s">
        <v>1</v>
      </c>
      <c r="BL3" s="7" t="s">
        <v>1</v>
      </c>
      <c r="BM3" s="7" t="s">
        <v>1</v>
      </c>
      <c r="BN3" s="7" t="s">
        <v>1</v>
      </c>
      <c r="BO3" s="7" t="s">
        <v>1</v>
      </c>
      <c r="BP3" s="7" t="s">
        <v>1</v>
      </c>
      <c r="BQ3" s="7" t="s">
        <v>1</v>
      </c>
      <c r="BR3" s="7" t="s">
        <v>1</v>
      </c>
      <c r="BS3" s="7" t="s">
        <v>1</v>
      </c>
    </row>
    <row r="4" spans="1:73" ht="18.75" customHeight="1" x14ac:dyDescent="0.2">
      <c r="B4" s="8" t="s">
        <v>2</v>
      </c>
      <c r="C4" s="9"/>
      <c r="D4" s="9"/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1" t="s">
        <v>10</v>
      </c>
      <c r="M4" s="11" t="s">
        <v>11</v>
      </c>
      <c r="O4" s="10" t="s">
        <v>12</v>
      </c>
      <c r="P4" s="12" t="s">
        <v>13</v>
      </c>
      <c r="R4" s="10" t="s">
        <v>14</v>
      </c>
      <c r="S4" s="12" t="s">
        <v>15</v>
      </c>
      <c r="U4" s="13">
        <v>45792</v>
      </c>
      <c r="V4" s="13">
        <v>45807</v>
      </c>
      <c r="W4" s="13">
        <v>45823</v>
      </c>
      <c r="X4" s="13">
        <v>45838</v>
      </c>
      <c r="Y4" s="13">
        <v>45853</v>
      </c>
      <c r="Z4" s="13">
        <v>45868</v>
      </c>
      <c r="AA4" s="13">
        <v>45884</v>
      </c>
      <c r="AB4" s="13">
        <v>45899</v>
      </c>
      <c r="AC4" s="13">
        <v>45915</v>
      </c>
      <c r="AD4" s="13">
        <v>45930</v>
      </c>
      <c r="AE4" s="13">
        <v>45945</v>
      </c>
      <c r="AF4" s="13">
        <v>45960</v>
      </c>
      <c r="AG4" s="13">
        <v>45976</v>
      </c>
      <c r="AH4" s="13">
        <v>45991</v>
      </c>
      <c r="AI4" s="13">
        <v>46006</v>
      </c>
      <c r="AJ4" s="13">
        <v>46021</v>
      </c>
      <c r="AK4" s="13">
        <v>46037</v>
      </c>
      <c r="AL4" s="13">
        <v>46052</v>
      </c>
      <c r="AM4" s="13">
        <v>46068</v>
      </c>
      <c r="AN4" s="13">
        <v>46081</v>
      </c>
      <c r="AO4" s="13">
        <v>46096</v>
      </c>
      <c r="AP4" s="13">
        <v>46111</v>
      </c>
      <c r="AQ4" s="13">
        <v>46127</v>
      </c>
      <c r="AR4" s="13">
        <v>46142</v>
      </c>
      <c r="AS4" s="13">
        <v>46157</v>
      </c>
      <c r="AT4" s="13">
        <v>46172</v>
      </c>
      <c r="AU4" s="13">
        <v>46188</v>
      </c>
      <c r="AV4" s="13">
        <v>46203</v>
      </c>
      <c r="AW4" s="13">
        <v>46218</v>
      </c>
      <c r="AX4" s="13">
        <v>46233</v>
      </c>
      <c r="AY4" s="13">
        <v>46249</v>
      </c>
      <c r="AZ4" s="13">
        <v>46264</v>
      </c>
      <c r="BA4" s="13">
        <v>46280</v>
      </c>
      <c r="BB4" s="13">
        <v>46295</v>
      </c>
      <c r="BC4" s="13">
        <v>46310</v>
      </c>
      <c r="BD4" s="13">
        <v>46325</v>
      </c>
      <c r="BE4" s="13">
        <v>46341</v>
      </c>
      <c r="BF4" s="13">
        <v>46356</v>
      </c>
      <c r="BG4" s="13">
        <v>46371</v>
      </c>
      <c r="BH4" s="13">
        <v>46386</v>
      </c>
      <c r="BI4" s="13">
        <v>46402</v>
      </c>
      <c r="BJ4" s="13">
        <v>46417</v>
      </c>
      <c r="BK4" s="13">
        <v>46433</v>
      </c>
      <c r="BL4" s="13">
        <v>46446</v>
      </c>
      <c r="BM4" s="13">
        <v>46461</v>
      </c>
      <c r="BN4" s="13">
        <v>46476</v>
      </c>
      <c r="BO4" s="13">
        <v>46492</v>
      </c>
      <c r="BP4" s="13">
        <v>46507</v>
      </c>
      <c r="BQ4" s="13">
        <v>46522</v>
      </c>
      <c r="BR4" s="13">
        <v>46537</v>
      </c>
      <c r="BS4" s="13">
        <v>46553</v>
      </c>
      <c r="BT4" s="14" t="s">
        <v>16</v>
      </c>
      <c r="BU4" s="14" t="s">
        <v>17</v>
      </c>
    </row>
    <row r="5" spans="1:73" ht="6" customHeight="1" x14ac:dyDescent="0.2">
      <c r="B5" s="1"/>
      <c r="C5" s="1"/>
      <c r="D5" s="1"/>
    </row>
    <row r="6" spans="1:73" ht="12" customHeight="1" x14ac:dyDescent="0.2">
      <c r="B6" s="14" t="s">
        <v>18</v>
      </c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O6" s="15"/>
      <c r="P6" s="15"/>
      <c r="R6" s="15"/>
      <c r="S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</row>
    <row r="7" spans="1:73" ht="12" customHeight="1" x14ac:dyDescent="0.2">
      <c r="B7" s="16"/>
      <c r="C7" s="16"/>
      <c r="D7" s="16"/>
    </row>
    <row r="8" spans="1:73" ht="12" customHeight="1" x14ac:dyDescent="0.2">
      <c r="B8" s="17" t="s">
        <v>19</v>
      </c>
      <c r="C8" s="17"/>
      <c r="D8" s="17"/>
      <c r="E8" s="18">
        <f>E15+E27</f>
        <v>2229156.1</v>
      </c>
      <c r="F8" s="19">
        <f>F15+F27</f>
        <v>2029156.1</v>
      </c>
      <c r="G8" s="19">
        <f>G15+G27</f>
        <v>5004956.0999999996</v>
      </c>
      <c r="H8" s="18">
        <f>H15+H27</f>
        <v>4891556.0999999996</v>
      </c>
      <c r="I8" s="18">
        <f>I15+I27</f>
        <v>5091556.0999999996</v>
      </c>
      <c r="J8" s="20">
        <f>IFERROR(I8/E8-1,0)</f>
        <v>1.2840733764674441</v>
      </c>
      <c r="K8" s="18">
        <f>I8/(UNITARIO!$D$9+UNITARIO!$I$9)</f>
        <v>1739.1570228173243</v>
      </c>
      <c r="L8" s="18">
        <f>E8/$D$1</f>
        <v>127380.34857142858</v>
      </c>
      <c r="M8" s="18">
        <f>I8/$D$1</f>
        <v>290946.06285714282</v>
      </c>
      <c r="O8" s="18">
        <f>O15+O27</f>
        <v>5091556.0999999996</v>
      </c>
      <c r="P8" s="18">
        <f>P15+P27</f>
        <v>0</v>
      </c>
      <c r="R8" s="18">
        <f>R15+R27</f>
        <v>4929156.0999999996</v>
      </c>
      <c r="S8" s="18">
        <f>S15+S27</f>
        <v>162400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</row>
    <row r="9" spans="1:73" ht="12" customHeight="1" outlineLevel="1" x14ac:dyDescent="0.2">
      <c r="B9" s="22" t="s">
        <v>20</v>
      </c>
      <c r="C9" s="22"/>
      <c r="D9" s="22"/>
      <c r="E9" s="23"/>
      <c r="F9" s="24"/>
      <c r="G9" s="24"/>
      <c r="H9" s="24"/>
      <c r="I9" s="24"/>
      <c r="J9" s="24"/>
      <c r="K9" s="25"/>
      <c r="L9" s="25"/>
      <c r="M9" s="25"/>
      <c r="O9" s="24"/>
      <c r="P9" s="24"/>
      <c r="R9" s="24"/>
      <c r="S9" s="24"/>
      <c r="U9" s="23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</row>
    <row r="10" spans="1:73" ht="12" customHeight="1" outlineLevel="1" x14ac:dyDescent="0.2">
      <c r="B10" s="26" t="s">
        <v>21</v>
      </c>
      <c r="C10" s="26"/>
      <c r="D10" s="26"/>
      <c r="E10" s="27">
        <v>0</v>
      </c>
      <c r="F10" s="28">
        <v>0</v>
      </c>
      <c r="G10" s="28">
        <v>0</v>
      </c>
      <c r="H10" s="28">
        <v>0</v>
      </c>
      <c r="I10" s="29">
        <f>SUMIFS(Arquitectura!$T:$T,Arquitectura!$C:$C,$B10)</f>
        <v>0</v>
      </c>
      <c r="J10" s="30">
        <f t="shared" ref="J10:J15" si="0">IFERROR(I10/E10-1,0)</f>
        <v>0</v>
      </c>
      <c r="K10" s="31">
        <f>I10/(UNITARIO!$D$9+UNITARIO!$I$9)</f>
        <v>0</v>
      </c>
      <c r="L10" s="31">
        <f>E10/$D$1</f>
        <v>0</v>
      </c>
      <c r="M10" s="31">
        <f>I10/$D$1</f>
        <v>0</v>
      </c>
      <c r="O10" s="29">
        <f>SUMIFS(Arquitectura!$T:$T,Arquitectura!$C:$C,$B10,Arquitectura!$V:$V,$O$4)</f>
        <v>0</v>
      </c>
      <c r="P10" s="29">
        <f>SUMIFS(Arquitectura!$T:$T,Arquitectura!$C:$C,$B10,Arquitectura!$V:$V,$P$4)</f>
        <v>0</v>
      </c>
      <c r="R10" s="29">
        <f>SUMIFS(Arquitectura!$T:$T,Arquitectura!$C:$C,$B10,Arquitectura!$W:$W,$R$4)</f>
        <v>0</v>
      </c>
      <c r="S10" s="29">
        <f>SUMIFS(Arquitectura!$T:$T,Arquitectura!$C:$C,$B10,Arquitectura!$W:$W,$S$4)</f>
        <v>0</v>
      </c>
      <c r="U10" s="32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</row>
    <row r="11" spans="1:73" ht="12" customHeight="1" outlineLevel="1" x14ac:dyDescent="0.2">
      <c r="B11" s="26" t="s">
        <v>22</v>
      </c>
      <c r="C11" s="26"/>
      <c r="D11" s="26"/>
      <c r="E11" s="27">
        <v>0</v>
      </c>
      <c r="F11" s="28">
        <v>0</v>
      </c>
      <c r="G11" s="28">
        <v>2700000</v>
      </c>
      <c r="H11" s="28">
        <v>2700000</v>
      </c>
      <c r="I11" s="29">
        <f>SUMIFS(Arquitectura!$T:$T,Arquitectura!$C:$C,$B11)</f>
        <v>2700000</v>
      </c>
      <c r="J11" s="30">
        <f t="shared" si="0"/>
        <v>0</v>
      </c>
      <c r="K11" s="31">
        <f>I11/(UNITARIO!$D$9+UNITARIO!$I$9)</f>
        <v>922.2571389534088</v>
      </c>
      <c r="L11" s="31">
        <f>E11/$D$1</f>
        <v>0</v>
      </c>
      <c r="M11" s="31">
        <f>I11/$D$1</f>
        <v>154285.71428571429</v>
      </c>
      <c r="O11" s="29">
        <f>SUMIFS(Arquitectura!$T:$T,Arquitectura!$C:$C,$B11,Arquitectura!$V:$V,$O$4)</f>
        <v>2700000</v>
      </c>
      <c r="P11" s="29">
        <f>SUMIFS(Arquitectura!$T:$T,Arquitectura!$C:$C,$B11,Arquitectura!$V:$V,$P$4)</f>
        <v>0</v>
      </c>
      <c r="R11" s="29">
        <f>SUMIFS(Arquitectura!$T:$T,Arquitectura!$C:$C,$B11,Arquitectura!$W:$W,$R$4)</f>
        <v>2700000</v>
      </c>
      <c r="S11" s="29">
        <f>SUMIFS(Arquitectura!$T:$T,Arquitectura!$C:$C,$B11,Arquitectura!$W:$W,$S$4)</f>
        <v>0</v>
      </c>
      <c r="U11" s="32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</row>
    <row r="12" spans="1:73" ht="12" customHeight="1" outlineLevel="1" x14ac:dyDescent="0.2">
      <c r="B12" s="26" t="s">
        <v>23</v>
      </c>
      <c r="C12" s="26"/>
      <c r="D12" s="26"/>
      <c r="E12" s="27">
        <v>0</v>
      </c>
      <c r="F12" s="28">
        <v>0</v>
      </c>
      <c r="G12" s="28">
        <v>208800</v>
      </c>
      <c r="H12" s="28">
        <v>162400</v>
      </c>
      <c r="I12" s="29">
        <f>SUMIFS(Arquitectura!$T:$T,Arquitectura!$C:$C,$B12)</f>
        <v>162400</v>
      </c>
      <c r="J12" s="30">
        <f t="shared" si="0"/>
        <v>0</v>
      </c>
      <c r="K12" s="31">
        <f>I12/(UNITARIO!$D$9+UNITARIO!$I$9)</f>
        <v>55.47205902445689</v>
      </c>
      <c r="L12" s="31">
        <f>E12/$D$1</f>
        <v>0</v>
      </c>
      <c r="M12" s="31">
        <f>I12/$D$1</f>
        <v>9280</v>
      </c>
      <c r="O12" s="29">
        <f>SUMIFS(Arquitectura!$T:$T,Arquitectura!$C:$C,$B12,Arquitectura!$V:$V,$O$4)</f>
        <v>162400</v>
      </c>
      <c r="P12" s="29">
        <f>SUMIFS(Arquitectura!$T:$T,Arquitectura!$C:$C,$B12,Arquitectura!$V:$V,$P$4)</f>
        <v>0</v>
      </c>
      <c r="R12" s="29">
        <f>SUMIFS(Arquitectura!$T:$T,Arquitectura!$C:$C,$B12,Arquitectura!$W:$W,$R$4)</f>
        <v>0</v>
      </c>
      <c r="S12" s="29">
        <f>SUMIFS(Arquitectura!$T:$T,Arquitectura!$C:$C,$B12,Arquitectura!$W:$W,$S$4)</f>
        <v>162400</v>
      </c>
      <c r="U12" s="32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</row>
    <row r="13" spans="1:73" ht="12" customHeight="1" outlineLevel="1" x14ac:dyDescent="0.2">
      <c r="B13" s="26" t="s">
        <v>24</v>
      </c>
      <c r="C13" s="26"/>
      <c r="D13" s="26"/>
      <c r="E13" s="27">
        <v>0</v>
      </c>
      <c r="F13" s="28">
        <v>0</v>
      </c>
      <c r="G13" s="28">
        <v>67000</v>
      </c>
      <c r="H13" s="28">
        <v>0</v>
      </c>
      <c r="I13" s="29">
        <f>SUMIFS(Arquitectura!$T:$T,Arquitectura!$C:$C,$B13)</f>
        <v>0</v>
      </c>
      <c r="J13" s="30">
        <f t="shared" si="0"/>
        <v>0</v>
      </c>
      <c r="K13" s="31">
        <f>I13/(UNITARIO!$D$9+UNITARIO!$I$9)</f>
        <v>0</v>
      </c>
      <c r="L13" s="31">
        <f>E13/$D$1</f>
        <v>0</v>
      </c>
      <c r="M13" s="31">
        <f>I13/$D$1</f>
        <v>0</v>
      </c>
      <c r="O13" s="29">
        <f>SUMIFS(Arquitectura!$T:$T,Arquitectura!$C:$C,$B13,Arquitectura!$V:$V,$O$4)</f>
        <v>0</v>
      </c>
      <c r="P13" s="29">
        <f>SUMIFS(Arquitectura!$T:$T,Arquitectura!$C:$C,$B13,Arquitectura!$V:$V,$P$4)</f>
        <v>0</v>
      </c>
      <c r="R13" s="29">
        <f>SUMIFS(Arquitectura!$T:$T,Arquitectura!$C:$C,$B13,Arquitectura!$W:$W,$R$4)</f>
        <v>0</v>
      </c>
      <c r="S13" s="29">
        <f>SUMIFS(Arquitectura!$T:$T,Arquitectura!$C:$C,$B13,Arquitectura!$W:$W,$S$4)</f>
        <v>0</v>
      </c>
      <c r="U13" s="32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</row>
    <row r="14" spans="1:73" ht="12" customHeight="1" outlineLevel="1" x14ac:dyDescent="0.2">
      <c r="B14" s="26" t="s">
        <v>25</v>
      </c>
      <c r="C14" s="26"/>
      <c r="D14" s="26"/>
      <c r="E14" s="27">
        <v>0</v>
      </c>
      <c r="F14" s="28">
        <v>0</v>
      </c>
      <c r="G14" s="28">
        <v>0</v>
      </c>
      <c r="H14" s="28">
        <v>0</v>
      </c>
      <c r="I14" s="29">
        <f>SUMIFS(Arquitectura!$T:$T,Arquitectura!$C:$C,$B14)</f>
        <v>0</v>
      </c>
      <c r="J14" s="30">
        <f t="shared" si="0"/>
        <v>0</v>
      </c>
      <c r="K14" s="31">
        <f>I14/(UNITARIO!$D$9+UNITARIO!$I$9)</f>
        <v>0</v>
      </c>
      <c r="L14" s="31">
        <f>E14/$D$1</f>
        <v>0</v>
      </c>
      <c r="M14" s="31">
        <f>I14/$D$1</f>
        <v>0</v>
      </c>
      <c r="O14" s="29">
        <f>SUMIFS(Arquitectura!$T:$T,Arquitectura!$C:$C,$B14,Arquitectura!$V:$V,$O$4)</f>
        <v>0</v>
      </c>
      <c r="P14" s="29">
        <f>SUMIFS(Arquitectura!$T:$T,Arquitectura!$C:$C,$B14,Arquitectura!$V:$V,$P$4)</f>
        <v>0</v>
      </c>
      <c r="R14" s="29">
        <f>SUMIFS(Arquitectura!$T:$T,Arquitectura!$C:$C,$B14,Arquitectura!$W:$W,$R$4)</f>
        <v>0</v>
      </c>
      <c r="S14" s="29">
        <f>SUMIFS(Arquitectura!$T:$T,Arquitectura!$C:$C,$B14,Arquitectura!$W:$W,$S$4)</f>
        <v>0</v>
      </c>
      <c r="U14" s="32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</row>
    <row r="15" spans="1:73" ht="12" customHeight="1" outlineLevel="1" x14ac:dyDescent="0.2">
      <c r="B15" s="34" t="s">
        <v>26</v>
      </c>
      <c r="C15" s="34"/>
      <c r="D15" s="34"/>
      <c r="E15" s="35">
        <f>SUM(E10:E14)</f>
        <v>0</v>
      </c>
      <c r="F15" s="36">
        <f>SUM(F10:F14)</f>
        <v>0</v>
      </c>
      <c r="G15" s="36">
        <f>SUM(G10:G14)</f>
        <v>2975800</v>
      </c>
      <c r="H15" s="36">
        <f>SUM(H10:H14)</f>
        <v>2862400</v>
      </c>
      <c r="I15" s="37">
        <f>SUM(I10:I14)</f>
        <v>2862400</v>
      </c>
      <c r="J15" s="38">
        <f t="shared" si="0"/>
        <v>0</v>
      </c>
      <c r="K15" s="39">
        <f>I15/(UNITARIO!$D$9+UNITARIO!$I$9)</f>
        <v>977.72919797786574</v>
      </c>
      <c r="L15" s="39">
        <f>SUM(L10:L14)</f>
        <v>0</v>
      </c>
      <c r="M15" s="39">
        <f>SUM(M10:M14)</f>
        <v>163565.71428571429</v>
      </c>
      <c r="O15" s="37">
        <f>SUM(O10:O14)</f>
        <v>2862400</v>
      </c>
      <c r="P15" s="37">
        <f>SUM(P10:P14)</f>
        <v>0</v>
      </c>
      <c r="R15" s="37">
        <f>SUM(R10:R14)</f>
        <v>2700000</v>
      </c>
      <c r="S15" s="37">
        <f>SUM(S10:S14)</f>
        <v>162400</v>
      </c>
      <c r="U15" s="40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</row>
    <row r="16" spans="1:73" ht="15" customHeight="1" outlineLevel="1" x14ac:dyDescent="0.2">
      <c r="B16" s="1"/>
      <c r="C16" s="1"/>
      <c r="D16" s="1"/>
      <c r="E16" s="42"/>
      <c r="F16" s="42"/>
      <c r="G16" s="42"/>
      <c r="H16" s="42"/>
      <c r="I16" s="42"/>
      <c r="K16" s="42"/>
      <c r="L16" s="42"/>
      <c r="M16" s="42"/>
      <c r="O16" s="42"/>
      <c r="P16" s="42"/>
      <c r="R16" s="42"/>
      <c r="S16" s="42"/>
    </row>
    <row r="17" spans="2:73" ht="12" customHeight="1" outlineLevel="1" x14ac:dyDescent="0.2">
      <c r="B17" s="22" t="s">
        <v>27</v>
      </c>
      <c r="C17" s="22"/>
      <c r="D17" s="22"/>
      <c r="E17" s="43"/>
      <c r="F17" s="44"/>
      <c r="G17" s="44"/>
      <c r="H17" s="44"/>
      <c r="I17" s="44"/>
      <c r="J17" s="24"/>
      <c r="K17" s="45"/>
      <c r="L17" s="45"/>
      <c r="M17" s="45"/>
      <c r="O17" s="44"/>
      <c r="P17" s="44"/>
      <c r="R17" s="44"/>
      <c r="S17" s="44"/>
      <c r="U17" s="23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</row>
    <row r="18" spans="2:73" ht="12" customHeight="1" outlineLevel="1" x14ac:dyDescent="0.2">
      <c r="B18" s="26" t="s">
        <v>28</v>
      </c>
      <c r="C18" s="26"/>
      <c r="D18" s="26"/>
      <c r="E18" s="27">
        <v>0</v>
      </c>
      <c r="F18" s="28">
        <v>0</v>
      </c>
      <c r="G18" s="28">
        <v>0</v>
      </c>
      <c r="H18" s="28">
        <v>0</v>
      </c>
      <c r="I18" s="29">
        <f>SUMIFS(Ingenierias_Y_Topografia!$T:$T,Ingenierias_Y_Topografia!$C:$C,$B18)</f>
        <v>0</v>
      </c>
      <c r="J18" s="30">
        <f t="shared" ref="J18:J27" si="1">IFERROR(I18/E18-1,0)</f>
        <v>0</v>
      </c>
      <c r="K18" s="31">
        <f>I18/(UNITARIO!$D$9+UNITARIO!$I$9)</f>
        <v>0</v>
      </c>
      <c r="L18" s="31">
        <f t="shared" ref="L18:L26" si="2">E18/$D$1</f>
        <v>0</v>
      </c>
      <c r="M18" s="31">
        <f t="shared" ref="M18:M26" si="3">I18/$D$1</f>
        <v>0</v>
      </c>
      <c r="N18" s="46"/>
      <c r="O18" s="29">
        <f>SUMIFS(Ingenierias_Y_Topografia!$T:$T,Ingenierias_Y_Topografia!$C:$C,$B18,Ingenierias_Y_Topografia!$V:$V,$O$4)</f>
        <v>0</v>
      </c>
      <c r="P18" s="29">
        <f>SUMIFS(Ingenierias_Y_Topografia!$T:$T,Ingenierias_Y_Topografia!$C:$C,$B18,Ingenierias_Y_Topografia!$V:$V,$P$4)</f>
        <v>0</v>
      </c>
      <c r="Q18" s="46"/>
      <c r="R18" s="29">
        <f>SUMIFS(Ingenierias_Y_Topografia!$T:$T,Ingenierias_Y_Topografia!$C:$C,$B18,Ingenierias_Y_Topografia!$W:$W,$R$4)</f>
        <v>0</v>
      </c>
      <c r="S18" s="29">
        <f>SUMIFS(Ingenierias_Y_Topografia!$T:$T,Ingenierias_Y_Topografia!$C:$C,$B18,Ingenierias_Y_Topografia!$W:$W,$S$4)</f>
        <v>0</v>
      </c>
      <c r="U18" s="32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</row>
    <row r="19" spans="2:73" ht="12" customHeight="1" outlineLevel="1" x14ac:dyDescent="0.2">
      <c r="B19" s="26" t="s">
        <v>29</v>
      </c>
      <c r="C19" s="26"/>
      <c r="D19" s="26"/>
      <c r="E19" s="27">
        <v>0</v>
      </c>
      <c r="F19" s="28">
        <v>0</v>
      </c>
      <c r="G19" s="28">
        <v>0</v>
      </c>
      <c r="H19" s="28">
        <v>0</v>
      </c>
      <c r="I19" s="29">
        <f>SUMIFS(Ingenierias_Y_Topografia!$T:$T,Ingenierias_Y_Topografia!$C:$C,$B19)</f>
        <v>0</v>
      </c>
      <c r="J19" s="30">
        <f t="shared" si="1"/>
        <v>0</v>
      </c>
      <c r="K19" s="31">
        <f>I19/(UNITARIO!$D$9+UNITARIO!$I$9)</f>
        <v>0</v>
      </c>
      <c r="L19" s="31">
        <f t="shared" si="2"/>
        <v>0</v>
      </c>
      <c r="M19" s="31">
        <f t="shared" si="3"/>
        <v>0</v>
      </c>
      <c r="N19" s="46"/>
      <c r="O19" s="29">
        <f>SUMIFS(Ingenierias_Y_Topografia!$T:$T,Ingenierias_Y_Topografia!$C:$C,$B19,Ingenierias_Y_Topografia!$V:$V,$O$4)</f>
        <v>0</v>
      </c>
      <c r="P19" s="29">
        <f>SUMIFS(Ingenierias_Y_Topografia!$T:$T,Ingenierias_Y_Topografia!$C:$C,$B19,Ingenierias_Y_Topografia!$V:$V,$P$4)</f>
        <v>0</v>
      </c>
      <c r="Q19" s="46"/>
      <c r="R19" s="29">
        <f>SUMIFS(Ingenierias_Y_Topografia!$T:$T,Ingenierias_Y_Topografia!$C:$C,$B19,Ingenierias_Y_Topografia!$W:$W,$R$4)</f>
        <v>0</v>
      </c>
      <c r="S19" s="29">
        <f>SUMIFS(Ingenierias_Y_Topografia!$T:$T,Ingenierias_Y_Topografia!$C:$C,$B19,Ingenierias_Y_Topografia!$W:$W,$S$4)</f>
        <v>0</v>
      </c>
      <c r="U19" s="32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</row>
    <row r="20" spans="2:73" ht="12" customHeight="1" outlineLevel="1" x14ac:dyDescent="0.2">
      <c r="B20" s="26" t="s">
        <v>30</v>
      </c>
      <c r="C20" s="26"/>
      <c r="D20" s="26"/>
      <c r="E20" s="27">
        <v>195384.6</v>
      </c>
      <c r="F20" s="28">
        <v>195384.6</v>
      </c>
      <c r="G20" s="28">
        <v>195384.6</v>
      </c>
      <c r="H20" s="28">
        <v>195384.6</v>
      </c>
      <c r="I20" s="29">
        <f>SUMIFS(Ingenierias_Y_Topografia!$T:$T,Ingenierias_Y_Topografia!$C:$C,$B20)</f>
        <v>195384.6</v>
      </c>
      <c r="J20" s="30">
        <f t="shared" si="1"/>
        <v>0</v>
      </c>
      <c r="K20" s="31">
        <f>I20/(UNITARIO!$D$9+UNITARIO!$I$9)</f>
        <v>66.73883044131712</v>
      </c>
      <c r="L20" s="31">
        <f t="shared" si="2"/>
        <v>11164.834285714285</v>
      </c>
      <c r="M20" s="31">
        <f t="shared" si="3"/>
        <v>11164.834285714285</v>
      </c>
      <c r="N20" s="46"/>
      <c r="O20" s="29">
        <f>SUMIFS(Ingenierias_Y_Topografia!$T:$T,Ingenierias_Y_Topografia!$C:$C,$B20,Ingenierias_Y_Topografia!$V:$V,$O$4)</f>
        <v>195384.6</v>
      </c>
      <c r="P20" s="29">
        <f>SUMIFS(Ingenierias_Y_Topografia!$T:$T,Ingenierias_Y_Topografia!$C:$C,$B20,Ingenierias_Y_Topografia!$V:$V,$P$4)</f>
        <v>0</v>
      </c>
      <c r="Q20" s="46"/>
      <c r="R20" s="29">
        <f>SUMIFS(Ingenierias_Y_Topografia!$T:$T,Ingenierias_Y_Topografia!$C:$C,$B20,Ingenierias_Y_Topografia!$W:$W,$R$4)</f>
        <v>195384.6</v>
      </c>
      <c r="S20" s="29">
        <f>SUMIFS(Ingenierias_Y_Topografia!$T:$T,Ingenierias_Y_Topografia!$C:$C,$B20,Ingenierias_Y_Topografia!$W:$W,$S$4)</f>
        <v>0</v>
      </c>
      <c r="U20" s="32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</row>
    <row r="21" spans="2:73" ht="12" customHeight="1" outlineLevel="1" x14ac:dyDescent="0.2">
      <c r="B21" s="26" t="s">
        <v>31</v>
      </c>
      <c r="C21" s="26"/>
      <c r="D21" s="26"/>
      <c r="E21" s="27">
        <v>429200</v>
      </c>
      <c r="F21" s="28">
        <v>429200</v>
      </c>
      <c r="G21" s="28">
        <v>429200</v>
      </c>
      <c r="H21" s="28">
        <v>429200</v>
      </c>
      <c r="I21" s="29">
        <f>SUMIFS(Ingenierias_Y_Topografia!$T:$T,Ingenierias_Y_Topografia!$C:$C,$B21)</f>
        <v>429200</v>
      </c>
      <c r="J21" s="30">
        <f t="shared" si="1"/>
        <v>0</v>
      </c>
      <c r="K21" s="31">
        <f>I21/(UNITARIO!$D$9+UNITARIO!$I$9)</f>
        <v>146.6047274217789</v>
      </c>
      <c r="L21" s="31">
        <f t="shared" si="2"/>
        <v>24525.714285714286</v>
      </c>
      <c r="M21" s="31">
        <f t="shared" si="3"/>
        <v>24525.714285714286</v>
      </c>
      <c r="N21" s="46"/>
      <c r="O21" s="29">
        <f>SUMIFS(Ingenierias_Y_Topografia!$T:$T,Ingenierias_Y_Topografia!$C:$C,$B21,Ingenierias_Y_Topografia!$V:$V,$O$4)</f>
        <v>429200</v>
      </c>
      <c r="P21" s="29">
        <f>SUMIFS(Ingenierias_Y_Topografia!$T:$T,Ingenierias_Y_Topografia!$C:$C,$B21,Ingenierias_Y_Topografia!$V:$V,$P$4)</f>
        <v>0</v>
      </c>
      <c r="Q21" s="46"/>
      <c r="R21" s="29">
        <f>SUMIFS(Ingenierias_Y_Topografia!$T:$T,Ingenierias_Y_Topografia!$C:$C,$B21,Ingenierias_Y_Topografia!$W:$W,$R$4)</f>
        <v>429200</v>
      </c>
      <c r="S21" s="29">
        <f>SUMIFS(Ingenierias_Y_Topografia!$T:$T,Ingenierias_Y_Topografia!$C:$C,$B21,Ingenierias_Y_Topografia!$W:$W,$S$4)</f>
        <v>0</v>
      </c>
      <c r="U21" s="32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</row>
    <row r="22" spans="2:73" ht="12" customHeight="1" outlineLevel="1" x14ac:dyDescent="0.2">
      <c r="B22" s="26" t="s">
        <v>32</v>
      </c>
      <c r="C22" s="26"/>
      <c r="D22" s="26"/>
      <c r="E22" s="27">
        <v>150800</v>
      </c>
      <c r="F22" s="28">
        <v>150800</v>
      </c>
      <c r="G22" s="28">
        <v>150800</v>
      </c>
      <c r="H22" s="28">
        <v>150800</v>
      </c>
      <c r="I22" s="29">
        <f>SUMIFS(Ingenierias_Y_Topografia!$T:$T,Ingenierias_Y_Topografia!$C:$C,$B22)</f>
        <v>150800</v>
      </c>
      <c r="J22" s="30">
        <f t="shared" si="1"/>
        <v>0</v>
      </c>
      <c r="K22" s="31">
        <f>I22/(UNITARIO!$D$9+UNITARIO!$I$9)</f>
        <v>51.509769094138534</v>
      </c>
      <c r="L22" s="31">
        <f t="shared" si="2"/>
        <v>8617.1428571428569</v>
      </c>
      <c r="M22" s="31">
        <f t="shared" si="3"/>
        <v>8617.1428571428569</v>
      </c>
      <c r="N22" s="46"/>
      <c r="O22" s="29">
        <f>SUMIFS(Ingenierias_Y_Topografia!$T:$T,Ingenierias_Y_Topografia!$C:$C,$B22,Ingenierias_Y_Topografia!$V:$V,$O$4)</f>
        <v>150800</v>
      </c>
      <c r="P22" s="29">
        <f>SUMIFS(Ingenierias_Y_Topografia!$T:$T,Ingenierias_Y_Topografia!$C:$C,$B22,Ingenierias_Y_Topografia!$V:$V,$P$4)</f>
        <v>0</v>
      </c>
      <c r="Q22" s="46"/>
      <c r="R22" s="29">
        <f>SUMIFS(Ingenierias_Y_Topografia!$T:$T,Ingenierias_Y_Topografia!$C:$C,$B22,Ingenierias_Y_Topografia!$W:$W,$R$4)</f>
        <v>150800</v>
      </c>
      <c r="S22" s="29">
        <f>SUMIFS(Ingenierias_Y_Topografia!$T:$T,Ingenierias_Y_Topografia!$C:$C,$B22,Ingenierias_Y_Topografia!$W:$W,$S$4)</f>
        <v>0</v>
      </c>
      <c r="U22" s="32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</row>
    <row r="23" spans="2:73" ht="12" customHeight="1" outlineLevel="1" x14ac:dyDescent="0.2">
      <c r="B23" s="26" t="s">
        <v>33</v>
      </c>
      <c r="C23" s="26"/>
      <c r="D23" s="26"/>
      <c r="E23" s="27">
        <v>139200</v>
      </c>
      <c r="F23" s="28">
        <v>139200</v>
      </c>
      <c r="G23" s="28">
        <v>139200</v>
      </c>
      <c r="H23" s="28">
        <v>139200</v>
      </c>
      <c r="I23" s="29">
        <f>SUMIFS(Ingenierias_Y_Topografia!$T:$T,Ingenierias_Y_Topografia!$C:$C,$B23)</f>
        <v>139200</v>
      </c>
      <c r="J23" s="30">
        <f t="shared" si="1"/>
        <v>0</v>
      </c>
      <c r="K23" s="31">
        <f>I23/(UNITARIO!$D$9+UNITARIO!$I$9)</f>
        <v>47.547479163820185</v>
      </c>
      <c r="L23" s="31">
        <f t="shared" si="2"/>
        <v>7954.2857142857147</v>
      </c>
      <c r="M23" s="31">
        <f t="shared" si="3"/>
        <v>7954.2857142857147</v>
      </c>
      <c r="N23" s="46"/>
      <c r="O23" s="29">
        <f>SUMIFS(Ingenierias_Y_Topografia!$T:$T,Ingenierias_Y_Topografia!$C:$C,$B23,Ingenierias_Y_Topografia!$V:$V,$O$4)</f>
        <v>139200</v>
      </c>
      <c r="P23" s="29">
        <f>SUMIFS(Ingenierias_Y_Topografia!$T:$T,Ingenierias_Y_Topografia!$C:$C,$B23,Ingenierias_Y_Topografia!$V:$V,$P$4)</f>
        <v>0</v>
      </c>
      <c r="Q23" s="46"/>
      <c r="R23" s="29">
        <f>SUMIFS(Ingenierias_Y_Topografia!$T:$T,Ingenierias_Y_Topografia!$C:$C,$B23,Ingenierias_Y_Topografia!$W:$W,$R$4)</f>
        <v>139200</v>
      </c>
      <c r="S23" s="29">
        <f>SUMIFS(Ingenierias_Y_Topografia!$T:$T,Ingenierias_Y_Topografia!$C:$C,$B23,Ingenierias_Y_Topografia!$W:$W,$S$4)</f>
        <v>0</v>
      </c>
      <c r="U23" s="32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</row>
    <row r="24" spans="2:73" ht="12" customHeight="1" outlineLevel="1" x14ac:dyDescent="0.2">
      <c r="B24" s="26" t="s">
        <v>34</v>
      </c>
      <c r="C24" s="26"/>
      <c r="D24" s="26"/>
      <c r="E24" s="27">
        <v>441728</v>
      </c>
      <c r="F24" s="28">
        <v>441728</v>
      </c>
      <c r="G24" s="28">
        <v>441728</v>
      </c>
      <c r="H24" s="28">
        <v>441728</v>
      </c>
      <c r="I24" s="29">
        <f>SUMIFS(Ingenierias_Y_Topografia!$T:$T,Ingenierias_Y_Topografia!$C:$C,$B24)</f>
        <v>441728</v>
      </c>
      <c r="J24" s="30">
        <f t="shared" si="1"/>
        <v>0</v>
      </c>
      <c r="K24" s="31">
        <f>I24/(UNITARIO!$D$9+UNITARIO!$I$9)</f>
        <v>150.88400054652274</v>
      </c>
      <c r="L24" s="31">
        <f t="shared" si="2"/>
        <v>25241.599999999999</v>
      </c>
      <c r="M24" s="31">
        <f t="shared" si="3"/>
        <v>25241.599999999999</v>
      </c>
      <c r="N24" s="46"/>
      <c r="O24" s="29">
        <f>SUMIFS(Ingenierias_Y_Topografia!$T:$T,Ingenierias_Y_Topografia!$C:$C,$B24,Ingenierias_Y_Topografia!$V:$V,$O$4)</f>
        <v>441728</v>
      </c>
      <c r="P24" s="29">
        <f>SUMIFS(Ingenierias_Y_Topografia!$T:$T,Ingenierias_Y_Topografia!$C:$C,$B24,Ingenierias_Y_Topografia!$V:$V,$P$4)</f>
        <v>0</v>
      </c>
      <c r="Q24" s="46"/>
      <c r="R24" s="29">
        <f>SUMIFS(Ingenierias_Y_Topografia!$T:$T,Ingenierias_Y_Topografia!$C:$C,$B24,Ingenierias_Y_Topografia!$W:$W,$R$4)</f>
        <v>441728</v>
      </c>
      <c r="S24" s="29">
        <f>SUMIFS(Ingenierias_Y_Topografia!$T:$T,Ingenierias_Y_Topografia!$C:$C,$B24,Ingenierias_Y_Topografia!$W:$W,$S$4)</f>
        <v>0</v>
      </c>
      <c r="U24" s="32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</row>
    <row r="25" spans="2:73" ht="12" customHeight="1" outlineLevel="1" x14ac:dyDescent="0.2">
      <c r="B25" s="26" t="s">
        <v>35</v>
      </c>
      <c r="C25" s="26"/>
      <c r="D25" s="26" t="s">
        <v>1147</v>
      </c>
      <c r="E25" s="27">
        <v>672843.5</v>
      </c>
      <c r="F25" s="28">
        <v>672843.5</v>
      </c>
      <c r="G25" s="28">
        <v>672843.5</v>
      </c>
      <c r="H25" s="28">
        <v>672843.5</v>
      </c>
      <c r="I25" s="29">
        <f>SUMIFS(Ingenierias_Y_Topografia!$T:$T,Ingenierias_Y_Topografia!$C:$C,$B25)</f>
        <v>672843.5</v>
      </c>
      <c r="J25" s="30">
        <f t="shared" si="1"/>
        <v>0</v>
      </c>
      <c r="K25" s="31">
        <f>I25/(UNITARIO!$D$9+UNITARIO!$I$9)</f>
        <v>229.82767454570293</v>
      </c>
      <c r="L25" s="31">
        <f t="shared" si="2"/>
        <v>38448.199999999997</v>
      </c>
      <c r="M25" s="31">
        <f t="shared" si="3"/>
        <v>38448.199999999997</v>
      </c>
      <c r="N25" s="46"/>
      <c r="O25" s="29">
        <f>SUMIFS(Ingenierias_Y_Topografia!$T:$T,Ingenierias_Y_Topografia!$C:$C,$B25,Ingenierias_Y_Topografia!$V:$V,$O$4)</f>
        <v>672843.5</v>
      </c>
      <c r="P25" s="29">
        <f>SUMIFS(Ingenierias_Y_Topografia!$T:$T,Ingenierias_Y_Topografia!$C:$C,$B25,Ingenierias_Y_Topografia!$V:$V,$P$4)</f>
        <v>0</v>
      </c>
      <c r="Q25" s="46"/>
      <c r="R25" s="29">
        <f>SUMIFS(Ingenierias_Y_Topografia!$T:$T,Ingenierias_Y_Topografia!$C:$C,$B25,Ingenierias_Y_Topografia!$W:$W,$R$4)</f>
        <v>672843.5</v>
      </c>
      <c r="S25" s="29">
        <f>SUMIFS(Ingenierias_Y_Topografia!$T:$T,Ingenierias_Y_Topografia!$C:$C,$B25,Ingenierias_Y_Topografia!$W:$W,$S$4)</f>
        <v>0</v>
      </c>
      <c r="U25" s="32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</row>
    <row r="26" spans="2:73" ht="12" customHeight="1" outlineLevel="1" x14ac:dyDescent="0.2">
      <c r="B26" s="26" t="s">
        <v>36</v>
      </c>
      <c r="C26" s="26"/>
      <c r="D26" s="26"/>
      <c r="E26" s="27">
        <v>200000</v>
      </c>
      <c r="F26" s="27">
        <v>0</v>
      </c>
      <c r="G26" s="27">
        <v>0</v>
      </c>
      <c r="H26" s="27">
        <v>0</v>
      </c>
      <c r="I26" s="29">
        <f>SUMIFS(Ingenierias_Y_Topografia!$T:$T,Ingenierias_Y_Topografia!$C:$C,$B26)</f>
        <v>199999.99999999968</v>
      </c>
      <c r="J26" s="30">
        <f t="shared" si="1"/>
        <v>-1.5543122344752192E-15</v>
      </c>
      <c r="K26" s="31">
        <f>I26/(UNITARIO!$D$9+UNITARIO!$I$9)</f>
        <v>68.315343626178318</v>
      </c>
      <c r="L26" s="31">
        <f t="shared" si="2"/>
        <v>11428.571428571429</v>
      </c>
      <c r="M26" s="31">
        <f t="shared" si="3"/>
        <v>11428.571428571411</v>
      </c>
      <c r="N26" s="46"/>
      <c r="O26" s="29">
        <f>SUMIFS(Ingenierias_Y_Topografia!$T:$T,Ingenierias_Y_Topografia!$C:$C,$B26,Ingenierias_Y_Topografia!$V:$V,$O$4)</f>
        <v>199999.99999999968</v>
      </c>
      <c r="P26" s="29">
        <f>SUMIFS(Ingenierias_Y_Topografia!$T:$T,Ingenierias_Y_Topografia!$C:$C,$B26,Ingenierias_Y_Topografia!$V:$V,$P$4)</f>
        <v>0</v>
      </c>
      <c r="Q26" s="46"/>
      <c r="R26" s="29">
        <f>SUMIFS(Ingenierias_Y_Topografia!$T:$T,Ingenierias_Y_Topografia!$C:$C,$B26,Ingenierias_Y_Topografia!$W:$W,$R$4)</f>
        <v>199999.99999999968</v>
      </c>
      <c r="S26" s="29">
        <f>SUMIFS(Ingenierias_Y_Topografia!$T:$T,Ingenierias_Y_Topografia!$C:$C,$B26,Ingenierias_Y_Topografia!$W:$W,$S$4)</f>
        <v>0</v>
      </c>
      <c r="U26" s="32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</row>
    <row r="27" spans="2:73" ht="12" customHeight="1" outlineLevel="1" x14ac:dyDescent="0.2">
      <c r="B27" s="34" t="s">
        <v>37</v>
      </c>
      <c r="C27" s="34"/>
      <c r="D27" s="34"/>
      <c r="E27" s="35">
        <f>SUM(E18:E26)</f>
        <v>2229156.1</v>
      </c>
      <c r="F27" s="35">
        <f>SUM(F18:F26)</f>
        <v>2029156.1</v>
      </c>
      <c r="G27" s="35">
        <f>SUM(G18:G26)</f>
        <v>2029156.1</v>
      </c>
      <c r="H27" s="35">
        <f>SUM(H18:H26)</f>
        <v>2029156.1</v>
      </c>
      <c r="I27" s="37">
        <f>SUM(I18:I26)</f>
        <v>2229156.0999999996</v>
      </c>
      <c r="J27" s="47">
        <f t="shared" si="1"/>
        <v>-2.2204460492503131E-16</v>
      </c>
      <c r="K27" s="39">
        <f>I27/(UNITARIO!$D$9+UNITARIO!$I$9)</f>
        <v>761.42782483945871</v>
      </c>
      <c r="L27" s="39">
        <f>SUM(L18:L25)</f>
        <v>115951.77714285714</v>
      </c>
      <c r="M27" s="39">
        <f>SUM(M18:M25)</f>
        <v>115951.77714285714</v>
      </c>
      <c r="N27" s="46"/>
      <c r="O27" s="37">
        <f>SUM(O18:O26)</f>
        <v>2229156.0999999996</v>
      </c>
      <c r="P27" s="37">
        <f>SUM(P18:P26)</f>
        <v>0</v>
      </c>
      <c r="Q27" s="46"/>
      <c r="R27" s="37">
        <f>SUM(R18:R26)</f>
        <v>2229156.0999999996</v>
      </c>
      <c r="S27" s="37">
        <f>SUM(S18:S26)</f>
        <v>0</v>
      </c>
      <c r="U27" s="40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</row>
    <row r="28" spans="2:73" ht="15" customHeight="1" x14ac:dyDescent="0.2">
      <c r="B28" s="1"/>
      <c r="C28" s="1"/>
      <c r="D28" s="1"/>
      <c r="E28" s="42"/>
      <c r="F28" s="42"/>
      <c r="G28" s="42"/>
      <c r="H28" s="42"/>
      <c r="I28" s="42"/>
      <c r="K28" s="42"/>
      <c r="L28" s="42"/>
      <c r="M28" s="42"/>
      <c r="O28" s="42"/>
      <c r="P28" s="42"/>
      <c r="R28" s="42"/>
      <c r="S28" s="42"/>
    </row>
    <row r="29" spans="2:73" ht="12" customHeight="1" x14ac:dyDescent="0.2">
      <c r="B29" s="17" t="s">
        <v>38</v>
      </c>
      <c r="C29" s="17"/>
      <c r="D29" s="17"/>
      <c r="E29" s="18">
        <f>E32</f>
        <v>8935744.0270000007</v>
      </c>
      <c r="F29" s="19">
        <f>F32</f>
        <v>8935744.0270000007</v>
      </c>
      <c r="G29" s="19">
        <f>G32</f>
        <v>8935744.0270000007</v>
      </c>
      <c r="H29" s="18">
        <f>H32</f>
        <v>8365678.6664000005</v>
      </c>
      <c r="I29" s="18">
        <f>I32</f>
        <v>8365678.6664000005</v>
      </c>
      <c r="J29" s="20">
        <f>IFERROR(I29/E29-1,0)</f>
        <v>-6.379607102413698E-2</v>
      </c>
      <c r="K29" s="18">
        <f>I29/(UNITARIO!$D$9+UNITARIO!$I$9)</f>
        <v>2857.5210638065309</v>
      </c>
      <c r="L29" s="18">
        <f>E29/$D$1</f>
        <v>510613.94440000004</v>
      </c>
      <c r="M29" s="18">
        <f>I29/$D$1</f>
        <v>478038.7809371429</v>
      </c>
      <c r="O29" s="18">
        <f>O32</f>
        <v>8365678.6664000005</v>
      </c>
      <c r="P29" s="18">
        <f>P32</f>
        <v>0</v>
      </c>
      <c r="R29" s="18">
        <f>R32</f>
        <v>4182839.3332000002</v>
      </c>
      <c r="S29" s="18">
        <f>S32</f>
        <v>4182839.3332000002</v>
      </c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</row>
    <row r="30" spans="2:73" ht="12" customHeight="1" outlineLevel="1" x14ac:dyDescent="0.2">
      <c r="B30" s="22" t="s">
        <v>38</v>
      </c>
      <c r="C30" s="22"/>
      <c r="D30" s="22"/>
      <c r="E30" s="43"/>
      <c r="F30" s="44"/>
      <c r="G30" s="44"/>
      <c r="H30" s="44"/>
      <c r="I30" s="44"/>
      <c r="J30" s="24"/>
      <c r="K30" s="45"/>
      <c r="L30" s="45"/>
      <c r="M30" s="45"/>
      <c r="O30" s="44"/>
      <c r="P30" s="44"/>
      <c r="R30" s="44"/>
      <c r="S30" s="44"/>
      <c r="U30" s="23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</row>
    <row r="31" spans="2:73" ht="12" customHeight="1" outlineLevel="1" x14ac:dyDescent="0.2">
      <c r="B31" s="26" t="s">
        <v>39</v>
      </c>
      <c r="C31" s="26"/>
      <c r="D31" s="26"/>
      <c r="E31" s="27">
        <f>4467872.0135*2</f>
        <v>8935744.0270000007</v>
      </c>
      <c r="F31" s="28">
        <f>4467872.0135*2</f>
        <v>8935744.0270000007</v>
      </c>
      <c r="G31" s="28">
        <v>8935744.0270000007</v>
      </c>
      <c r="H31" s="28">
        <v>8365678.6664000005</v>
      </c>
      <c r="I31" s="29">
        <f>SUMIFS(Pilas!$T:$T,Pilas!$C:$C,$B31)</f>
        <v>8365678.6664000005</v>
      </c>
      <c r="J31" s="30">
        <f>IFERROR(I31/E31-1,0)</f>
        <v>-6.379607102413698E-2</v>
      </c>
      <c r="K31" s="31">
        <f>I31/(UNITARIO!$D$9+UNITARIO!$I$9)</f>
        <v>2857.5210638065309</v>
      </c>
      <c r="L31" s="31">
        <f>E31/$D$1</f>
        <v>510613.94440000004</v>
      </c>
      <c r="M31" s="31">
        <f>I31/$D$1</f>
        <v>478038.7809371429</v>
      </c>
      <c r="N31" s="46"/>
      <c r="O31" s="29">
        <f>SUMIFS(Pilas!$T:$T,Pilas!$C:$C,$B31,Pilas!$V:$V,$O$4)</f>
        <v>8365678.6664000005</v>
      </c>
      <c r="P31" s="29">
        <f>SUMIFS(Pilas!$T:$T,Pilas!$C:$C,$B31,Pilas!$V:$V,$P$4)</f>
        <v>0</v>
      </c>
      <c r="Q31" s="46"/>
      <c r="R31" s="29">
        <f>SUMIFS(Pilas!$T:$T,Pilas!$C:$C,$B31,Pilas!$W:$W,$R$4)</f>
        <v>4182839.3332000002</v>
      </c>
      <c r="S31" s="29">
        <f>SUMIFS(Pilas!$T:$T,Pilas!$C:$C,$B31,Pilas!$W:$W,$S$4)</f>
        <v>4182839.3332000002</v>
      </c>
      <c r="U31" s="32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</row>
    <row r="32" spans="2:73" ht="12" customHeight="1" outlineLevel="1" x14ac:dyDescent="0.2">
      <c r="B32" s="34" t="s">
        <v>40</v>
      </c>
      <c r="C32" s="34"/>
      <c r="D32" s="34"/>
      <c r="E32" s="35">
        <f>SUM(E31)</f>
        <v>8935744.0270000007</v>
      </c>
      <c r="F32" s="36">
        <f>SUM(F31)</f>
        <v>8935744.0270000007</v>
      </c>
      <c r="G32" s="36">
        <f>SUM(G31)</f>
        <v>8935744.0270000007</v>
      </c>
      <c r="H32" s="36">
        <f>SUM(H31)</f>
        <v>8365678.6664000005</v>
      </c>
      <c r="I32" s="37">
        <f>SUM(I31)</f>
        <v>8365678.6664000005</v>
      </c>
      <c r="J32" s="47">
        <f>IFERROR(I32/E32-1,0)</f>
        <v>-6.379607102413698E-2</v>
      </c>
      <c r="K32" s="39">
        <f>I32/(UNITARIO!$D$9+UNITARIO!$I$9)</f>
        <v>2857.5210638065309</v>
      </c>
      <c r="L32" s="39">
        <f>SUM(L31)</f>
        <v>510613.94440000004</v>
      </c>
      <c r="M32" s="39">
        <f>SUM(M31)</f>
        <v>478038.7809371429</v>
      </c>
      <c r="O32" s="37">
        <f>SUM(O31)</f>
        <v>8365678.6664000005</v>
      </c>
      <c r="P32" s="37">
        <f>SUM(P31)</f>
        <v>0</v>
      </c>
      <c r="R32" s="37">
        <f>SUM(R31)</f>
        <v>4182839.3332000002</v>
      </c>
      <c r="S32" s="37">
        <f>SUM(S31)</f>
        <v>4182839.3332000002</v>
      </c>
      <c r="U32" s="40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</row>
    <row r="33" spans="1:74" ht="15" customHeight="1" x14ac:dyDescent="0.2">
      <c r="B33" s="1"/>
      <c r="C33" s="1"/>
      <c r="D33" s="1"/>
      <c r="E33" s="42"/>
      <c r="F33" s="42"/>
      <c r="G33" s="42"/>
      <c r="H33" s="42"/>
      <c r="I33" s="42"/>
      <c r="K33" s="42"/>
      <c r="L33" s="42"/>
      <c r="M33" s="42"/>
      <c r="O33" s="42"/>
      <c r="P33" s="42"/>
      <c r="R33" s="42"/>
      <c r="S33" s="42"/>
    </row>
    <row r="34" spans="1:74" ht="12" customHeight="1" x14ac:dyDescent="0.2">
      <c r="B34" s="17" t="s">
        <v>41</v>
      </c>
      <c r="C34" s="17"/>
      <c r="D34" s="17"/>
      <c r="E34" s="18">
        <f>E37+E42+E46+E50+E54+E58</f>
        <v>84601547.687053591</v>
      </c>
      <c r="F34" s="19">
        <f>F37+F42+F46+F50+F54+F58</f>
        <v>82520725.267053604</v>
      </c>
      <c r="G34" s="19">
        <f>G37+G42+G46+G50+G54+G58</f>
        <v>82887571.867053598</v>
      </c>
      <c r="H34" s="18">
        <f>H37+H42+H46+H50+H54+H58</f>
        <v>95572427.085413411</v>
      </c>
      <c r="I34" s="18">
        <f>I37+I42+I46+I50+I54+I58</f>
        <v>95572427.085413396</v>
      </c>
      <c r="J34" s="20">
        <f>IFERROR(I34/E34-1,0)</f>
        <v>0.12967705317805511</v>
      </c>
      <c r="K34" s="18">
        <f>I34/(UNITARIO!$D$9+UNITARIO!$I$9)</f>
        <v>32645.315987639493</v>
      </c>
      <c r="L34" s="18">
        <f>E34/$D$1</f>
        <v>4834374.1535459198</v>
      </c>
      <c r="M34" s="18">
        <f>I34/$D$1</f>
        <v>5461281.5477379085</v>
      </c>
      <c r="O34" s="18">
        <f>O37+O42+O46+O50+O54+O58</f>
        <v>42960534.651633598</v>
      </c>
      <c r="P34" s="18">
        <f>P37+P42+P46+P50+P54+P58</f>
        <v>52611892.433779821</v>
      </c>
      <c r="R34" s="18">
        <f>R37+R42+R46+R50+R54+R58</f>
        <v>40448325.973256797</v>
      </c>
      <c r="S34" s="18">
        <f>S37+S42+S46+S50+S54+S58</f>
        <v>55124101.112156615</v>
      </c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</row>
    <row r="35" spans="1:74" ht="12" customHeight="1" outlineLevel="1" x14ac:dyDescent="0.2">
      <c r="B35" s="48" t="s">
        <v>42</v>
      </c>
      <c r="C35" s="49"/>
      <c r="D35" s="49"/>
      <c r="E35" s="50"/>
      <c r="F35" s="50"/>
      <c r="G35" s="50"/>
      <c r="H35" s="50"/>
      <c r="I35" s="50"/>
      <c r="J35" s="51"/>
      <c r="K35" s="50"/>
      <c r="L35" s="50"/>
      <c r="M35" s="50"/>
      <c r="O35" s="50"/>
      <c r="P35" s="50"/>
      <c r="R35" s="50"/>
      <c r="S35" s="50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</row>
    <row r="36" spans="1:74" ht="15" customHeight="1" outlineLevel="1" x14ac:dyDescent="0.2">
      <c r="A36" s="2"/>
      <c r="B36" s="53" t="s">
        <v>43</v>
      </c>
      <c r="C36" s="54"/>
      <c r="D36" s="54"/>
      <c r="E36" s="55">
        <f>5858713.6783768*2</f>
        <v>11717427.356753601</v>
      </c>
      <c r="F36" s="56">
        <f>6751913.6783768*2</f>
        <v>13503827.356753601</v>
      </c>
      <c r="G36" s="56">
        <v>14617427.356753601</v>
      </c>
      <c r="H36" s="56">
        <v>18600593.356753599</v>
      </c>
      <c r="I36" s="57">
        <f>SUMIFS('Condiciones Generales'!$T:$T,'Condiciones Generales'!$B:$B,$B36)</f>
        <v>18600593.356753591</v>
      </c>
      <c r="J36" s="58">
        <f>IFERROR(I36/E36-1,0)</f>
        <v>0.58742979925817296</v>
      </c>
      <c r="K36" s="59">
        <f>I36/(UNITARIO!$D$9+UNITARIO!$I$9)</f>
        <v>6353.5296340871664</v>
      </c>
      <c r="L36" s="59">
        <f>E36/$D$1</f>
        <v>669567.27752877714</v>
      </c>
      <c r="M36" s="59">
        <f>I36/$D$1</f>
        <v>1062891.0489573481</v>
      </c>
      <c r="N36" s="46"/>
      <c r="O36" s="57">
        <f>SUMIFS('Condiciones Generales'!$T:$T,'Condiciones Generales'!$B:$B,$B36,'Condiciones Generales'!$V:$V,$O$4)</f>
        <v>5024417.3567535933</v>
      </c>
      <c r="P36" s="57">
        <f>SUMIFS('Condiciones Generales'!$T:$T,'Condiciones Generales'!$B:$B,$B36,'Condiciones Generales'!$V:$V,$P$4)</f>
        <v>13576176</v>
      </c>
      <c r="Q36" s="46"/>
      <c r="R36" s="57">
        <f>SUMIFS('Condiciones Generales'!$T:$T,'Condiciones Generales'!$B:$B,$B36,'Condiciones Generales'!$W:$W,$R$4)</f>
        <v>2512208.6783767967</v>
      </c>
      <c r="S36" s="57">
        <f>SUMIFS('Condiciones Generales'!$T:$T,'Condiciones Generales'!$B:$B,$B36,'Condiciones Generales'!$W:$W,$S$4)</f>
        <v>16088384.678376798</v>
      </c>
      <c r="U36" s="60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2"/>
    </row>
    <row r="37" spans="1:74" ht="15" customHeight="1" outlineLevel="1" x14ac:dyDescent="0.2">
      <c r="B37" s="34" t="s">
        <v>44</v>
      </c>
      <c r="C37" s="34"/>
      <c r="D37" s="34"/>
      <c r="E37" s="35">
        <f>SUM(E36)</f>
        <v>11717427.356753601</v>
      </c>
      <c r="F37" s="36">
        <f>SUM(F36)</f>
        <v>13503827.356753601</v>
      </c>
      <c r="G37" s="36">
        <f>SUM(G36)</f>
        <v>14617427.356753601</v>
      </c>
      <c r="H37" s="36">
        <f>SUM(H36)</f>
        <v>18600593.356753599</v>
      </c>
      <c r="I37" s="37">
        <f>SUM(I36)</f>
        <v>18600593.356753591</v>
      </c>
      <c r="J37" s="47">
        <f>IFERROR(I37/E37-1,0)</f>
        <v>0.58742979925817296</v>
      </c>
      <c r="K37" s="39">
        <f>I37/(UNITARIO!$D$9+UNITARIO!$I$9)</f>
        <v>6353.5296340871664</v>
      </c>
      <c r="L37" s="39">
        <f>E37/$D$1</f>
        <v>669567.27752877714</v>
      </c>
      <c r="M37" s="39">
        <f>I37/$D$1</f>
        <v>1062891.0489573481</v>
      </c>
      <c r="O37" s="37">
        <f>SUM(O36)</f>
        <v>5024417.3567535933</v>
      </c>
      <c r="P37" s="37">
        <f>SUM(P36)</f>
        <v>13576176</v>
      </c>
      <c r="R37" s="37">
        <f>SUM(R36)</f>
        <v>2512208.6783767967</v>
      </c>
      <c r="S37" s="37">
        <f>SUM(S36)</f>
        <v>16088384.678376798</v>
      </c>
      <c r="U37" s="40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</row>
    <row r="38" spans="1:74" ht="15" customHeight="1" outlineLevel="1" x14ac:dyDescent="0.2">
      <c r="B38" s="1"/>
      <c r="C38" s="62"/>
      <c r="D38" s="1"/>
      <c r="E38" s="42"/>
      <c r="F38" s="42"/>
      <c r="G38" s="42"/>
      <c r="H38" s="42"/>
      <c r="I38" s="42"/>
      <c r="K38" s="42"/>
      <c r="L38" s="42"/>
      <c r="M38" s="42"/>
      <c r="O38" s="42"/>
      <c r="P38" s="42"/>
      <c r="R38" s="42"/>
      <c r="S38" s="42"/>
    </row>
    <row r="39" spans="1:74" ht="15" customHeight="1" outlineLevel="1" x14ac:dyDescent="0.2">
      <c r="B39" s="22" t="s">
        <v>45</v>
      </c>
      <c r="C39" s="22"/>
      <c r="D39" s="22"/>
      <c r="E39" s="43"/>
      <c r="F39" s="44"/>
      <c r="G39" s="44"/>
      <c r="H39" s="44"/>
      <c r="I39" s="44"/>
      <c r="J39" s="24"/>
      <c r="K39" s="45"/>
      <c r="L39" s="45"/>
      <c r="M39" s="45"/>
      <c r="O39" s="44"/>
      <c r="P39" s="44"/>
      <c r="R39" s="44"/>
      <c r="S39" s="44"/>
      <c r="U39" s="23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</row>
    <row r="40" spans="1:74" ht="15" customHeight="1" outlineLevel="1" x14ac:dyDescent="0.2">
      <c r="B40" s="26" t="s">
        <v>46</v>
      </c>
      <c r="C40" s="26"/>
      <c r="D40" s="26"/>
      <c r="E40" s="27">
        <f>307645.398*2</f>
        <v>615290.79599999997</v>
      </c>
      <c r="F40" s="28">
        <f>244253.718*2</f>
        <v>488507.43599999999</v>
      </c>
      <c r="G40" s="28">
        <v>488507.43599999999</v>
      </c>
      <c r="H40" s="28">
        <v>488507.43599999999</v>
      </c>
      <c r="I40" s="29">
        <f>SUMIFS(Preliminares!$T:$T,Preliminares!$C:$C,$B40)</f>
        <v>488507.43599999993</v>
      </c>
      <c r="J40" s="30">
        <f>IFERROR(I40/E40-1,0)</f>
        <v>-0.20605437432871998</v>
      </c>
      <c r="K40" s="31">
        <f>I40/(UNITARIO!$D$9+UNITARIO!$I$9)</f>
        <v>166.8627667714168</v>
      </c>
      <c r="L40" s="31">
        <f>E40/$D$1</f>
        <v>35159.474057142856</v>
      </c>
      <c r="M40" s="31">
        <f>I40/$D$1</f>
        <v>27914.710628571425</v>
      </c>
      <c r="N40" s="46"/>
      <c r="O40" s="29">
        <f>SUMIFS(Preliminares!$T:$T,Preliminares!$C:$C,$B40,Preliminares!$V:$V,$O$4)</f>
        <v>488507.43599999993</v>
      </c>
      <c r="P40" s="29">
        <f>SUMIFS(Preliminares!$T:$T,Preliminares!$C:$C,$B40,Preliminares!$V:$V,$P$4)</f>
        <v>0</v>
      </c>
      <c r="Q40" s="46"/>
      <c r="R40" s="29">
        <f>SUMIFS(Preliminares!$T:$T,Preliminares!$C:$C,$B40,Preliminares!$W:$W,$R$4)</f>
        <v>488507.43599999993</v>
      </c>
      <c r="S40" s="29">
        <f>SUMIFS(Preliminares!$T:$T,Preliminares!$C:$C,$B40,Preliminares!$W:$W,$S$4)</f>
        <v>0</v>
      </c>
      <c r="U40" s="32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</row>
    <row r="41" spans="1:74" ht="15" customHeight="1" outlineLevel="1" x14ac:dyDescent="0.2">
      <c r="B41" s="26" t="s">
        <v>47</v>
      </c>
      <c r="C41" s="26"/>
      <c r="D41" s="26"/>
      <c r="E41" s="27">
        <f>1274117.4592*2</f>
        <v>2548234.9183999998</v>
      </c>
      <c r="F41" s="28">
        <f>1274117.4592*2</f>
        <v>2548234.9183999998</v>
      </c>
      <c r="G41" s="28">
        <v>2548234.9183999998</v>
      </c>
      <c r="H41" s="28">
        <v>1200109</v>
      </c>
      <c r="I41" s="29">
        <f>SUMIFS(Preliminares!$T:$T,Preliminares!$C:$C,$B41)</f>
        <v>1200109</v>
      </c>
      <c r="J41" s="30">
        <f>IFERROR(I41/E41-1,0)</f>
        <v>-0.52904302843729523</v>
      </c>
      <c r="K41" s="31">
        <f>I41/(UNITARIO!$D$9+UNITARIO!$I$9)</f>
        <v>409.92929361934688</v>
      </c>
      <c r="L41" s="31">
        <f>E41/$D$1</f>
        <v>145613.42390857142</v>
      </c>
      <c r="M41" s="31">
        <f>I41/$D$1</f>
        <v>68577.657142857148</v>
      </c>
      <c r="N41" s="46"/>
      <c r="O41" s="29">
        <f>SUMIFS(Preliminares!$T:$T,Preliminares!$C:$C,$B41,Preliminares!$V:$V,$O$4)</f>
        <v>1200109</v>
      </c>
      <c r="P41" s="29">
        <f>SUMIFS(Preliminares!$T:$T,Preliminares!$C:$C,$B41,Preliminares!$V:$V,$P$4)</f>
        <v>0</v>
      </c>
      <c r="Q41" s="46"/>
      <c r="R41" s="29">
        <f>SUMIFS(Preliminares!$T:$T,Preliminares!$C:$C,$B41,Preliminares!$W:$W,$R$4)</f>
        <v>1200109</v>
      </c>
      <c r="S41" s="29">
        <f>SUMIFS(Preliminares!$T:$T,Preliminares!$C:$C,$B41,Preliminares!$W:$W,$S$4)</f>
        <v>0</v>
      </c>
      <c r="U41" s="32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</row>
    <row r="42" spans="1:74" ht="15" customHeight="1" outlineLevel="1" x14ac:dyDescent="0.2">
      <c r="B42" s="34" t="s">
        <v>48</v>
      </c>
      <c r="C42" s="34"/>
      <c r="D42" s="34"/>
      <c r="E42" s="35">
        <f>SUM(E40:E41)</f>
        <v>3163525.7143999999</v>
      </c>
      <c r="F42" s="36">
        <f>SUM(F40:F41)</f>
        <v>3036742.3543999996</v>
      </c>
      <c r="G42" s="36">
        <f>SUM(G40:G41)</f>
        <v>3036742.3543999996</v>
      </c>
      <c r="H42" s="36">
        <f>SUM(H40:H41)</f>
        <v>1688616.436</v>
      </c>
      <c r="I42" s="37">
        <f>SUM(I40:I41)</f>
        <v>1688616.436</v>
      </c>
      <c r="J42" s="47">
        <f>IFERROR(I42/E42-1,0)</f>
        <v>-0.46622326213009269</v>
      </c>
      <c r="K42" s="39">
        <f>I42/(UNITARIO!$D$9+UNITARIO!$I$9)</f>
        <v>576.79206039076371</v>
      </c>
      <c r="L42" s="39">
        <f>SUM(L40:L41)</f>
        <v>180772.89796571428</v>
      </c>
      <c r="M42" s="39">
        <f>SUM(M40:M41)</f>
        <v>96492.367771428573</v>
      </c>
      <c r="O42" s="37">
        <f>SUM(O40:O41)</f>
        <v>1688616.436</v>
      </c>
      <c r="P42" s="37">
        <f>SUM(P40:P41)</f>
        <v>0</v>
      </c>
      <c r="R42" s="37">
        <f>SUM(R40:R41)</f>
        <v>1688616.436</v>
      </c>
      <c r="S42" s="37">
        <f>SUM(S40:S41)</f>
        <v>0</v>
      </c>
      <c r="U42" s="40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</row>
    <row r="43" spans="1:74" ht="15" customHeight="1" outlineLevel="1" x14ac:dyDescent="0.2">
      <c r="B43" s="1"/>
      <c r="C43" s="1"/>
      <c r="D43" s="1"/>
      <c r="E43" s="42"/>
      <c r="F43" s="42"/>
      <c r="G43" s="42"/>
      <c r="H43" s="42"/>
      <c r="I43" s="42"/>
      <c r="K43" s="42"/>
      <c r="L43" s="42"/>
      <c r="M43" s="42"/>
      <c r="O43" s="42"/>
      <c r="P43" s="42"/>
      <c r="R43" s="42"/>
      <c r="S43" s="42"/>
    </row>
    <row r="44" spans="1:74" ht="15" customHeight="1" outlineLevel="1" x14ac:dyDescent="0.2">
      <c r="B44" s="22" t="s">
        <v>49</v>
      </c>
      <c r="C44" s="22"/>
      <c r="D44" s="22"/>
      <c r="E44" s="43"/>
      <c r="F44" s="44"/>
      <c r="G44" s="44"/>
      <c r="H44" s="44"/>
      <c r="I44" s="44"/>
      <c r="J44" s="24"/>
      <c r="K44" s="45"/>
      <c r="L44" s="45"/>
      <c r="M44" s="45"/>
      <c r="O44" s="44"/>
      <c r="P44" s="44"/>
      <c r="R44" s="44"/>
      <c r="S44" s="44"/>
      <c r="U44" s="23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</row>
    <row r="45" spans="1:74" ht="15" customHeight="1" outlineLevel="1" x14ac:dyDescent="0.2">
      <c r="B45" s="26" t="s">
        <v>50</v>
      </c>
      <c r="C45" s="26"/>
      <c r="D45" s="26"/>
      <c r="E45" s="27">
        <v>0</v>
      </c>
      <c r="F45" s="28">
        <v>0</v>
      </c>
      <c r="G45" s="28">
        <v>0</v>
      </c>
      <c r="H45" s="28">
        <v>0</v>
      </c>
      <c r="I45" s="29">
        <f>SUMIFS(Excavacion!$T:$T,Excavacion!$C:$C,$B45)</f>
        <v>0</v>
      </c>
      <c r="J45" s="30">
        <f>IFERROR(I45/E45-1,0)</f>
        <v>0</v>
      </c>
      <c r="K45" s="31">
        <f>I45/(UNITARIO!$D$9+UNITARIO!$I$9)</f>
        <v>0</v>
      </c>
      <c r="L45" s="31">
        <f>E45/$D$1</f>
        <v>0</v>
      </c>
      <c r="M45" s="31">
        <f>I45/$D$1</f>
        <v>0</v>
      </c>
      <c r="N45" s="46"/>
      <c r="O45" s="29">
        <f>SUMIFS(Excavacion!$T:$T,Excavacion!$C:$C,$B45,Excavacion!$V:$V,$O$4)</f>
        <v>0</v>
      </c>
      <c r="P45" s="29">
        <f>SUMIFS(Excavacion!$T:$T,Excavacion!$C:$C,$B45,Excavacion!$V:$V,$P$4)</f>
        <v>0</v>
      </c>
      <c r="Q45" s="46"/>
      <c r="R45" s="29">
        <f>SUMIFS(Excavacion!$T:$T,Excavacion!$C:$C,$B45,Excavacion!$W:$W,$R$4)</f>
        <v>0</v>
      </c>
      <c r="S45" s="29">
        <f>SUMIFS(Excavacion!$T:$T,Excavacion!$C:$C,$B45,Excavacion!$W:$W,$S$4)</f>
        <v>0</v>
      </c>
      <c r="U45" s="32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</row>
    <row r="46" spans="1:74" ht="15" customHeight="1" outlineLevel="1" x14ac:dyDescent="0.2">
      <c r="B46" s="34" t="s">
        <v>51</v>
      </c>
      <c r="C46" s="34"/>
      <c r="D46" s="34"/>
      <c r="E46" s="35">
        <f>SUM(E45)</f>
        <v>0</v>
      </c>
      <c r="F46" s="36">
        <f>SUM(F45)</f>
        <v>0</v>
      </c>
      <c r="G46" s="36">
        <f>SUM(G45)</f>
        <v>0</v>
      </c>
      <c r="H46" s="36">
        <f>SUM(H45)</f>
        <v>0</v>
      </c>
      <c r="I46" s="37">
        <f>SUM(I45)</f>
        <v>0</v>
      </c>
      <c r="J46" s="47">
        <f>IFERROR(I46/E46-1,0)</f>
        <v>0</v>
      </c>
      <c r="K46" s="39">
        <f>I46/(UNITARIO!$D$9+UNITARIO!$I$9)</f>
        <v>0</v>
      </c>
      <c r="L46" s="39">
        <f>SUM(L45)</f>
        <v>0</v>
      </c>
      <c r="M46" s="39">
        <f>SUM(M45)</f>
        <v>0</v>
      </c>
      <c r="O46" s="37">
        <f>SUM(O45)</f>
        <v>0</v>
      </c>
      <c r="P46" s="37">
        <f>SUM(P45)</f>
        <v>0</v>
      </c>
      <c r="R46" s="37">
        <f>SUM(R45)</f>
        <v>0</v>
      </c>
      <c r="S46" s="37">
        <f>SUM(S45)</f>
        <v>0</v>
      </c>
      <c r="U46" s="40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</row>
    <row r="47" spans="1:74" ht="15" customHeight="1" outlineLevel="1" x14ac:dyDescent="0.2">
      <c r="B47" s="1"/>
      <c r="C47" s="1"/>
      <c r="D47" s="1"/>
      <c r="E47" s="42"/>
      <c r="F47" s="42"/>
      <c r="G47" s="42"/>
      <c r="H47" s="42"/>
      <c r="I47" s="42"/>
      <c r="K47" s="42"/>
      <c r="L47" s="42"/>
      <c r="M47" s="42"/>
      <c r="O47" s="42"/>
      <c r="P47" s="42"/>
      <c r="R47" s="42"/>
      <c r="S47" s="42"/>
    </row>
    <row r="48" spans="1:74" ht="12" customHeight="1" outlineLevel="1" x14ac:dyDescent="0.2">
      <c r="B48" s="22" t="s">
        <v>41</v>
      </c>
      <c r="C48" s="22"/>
      <c r="D48" s="22"/>
      <c r="E48" s="43"/>
      <c r="F48" s="44"/>
      <c r="G48" s="44"/>
      <c r="H48" s="44"/>
      <c r="I48" s="44"/>
      <c r="J48" s="24"/>
      <c r="K48" s="45"/>
      <c r="L48" s="45"/>
      <c r="M48" s="45"/>
      <c r="O48" s="44"/>
      <c r="P48" s="44"/>
      <c r="R48" s="44"/>
      <c r="S48" s="44"/>
      <c r="U48" s="23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</row>
    <row r="49" spans="1:74" ht="12" customHeight="1" outlineLevel="1" x14ac:dyDescent="0.2">
      <c r="B49" s="63" t="s">
        <v>52</v>
      </c>
      <c r="C49" s="54"/>
      <c r="D49" s="64"/>
      <c r="E49" s="27">
        <f>33935932.845*2</f>
        <v>67871865.689999998</v>
      </c>
      <c r="F49" s="28">
        <f>32065713.315*2</f>
        <v>64131426.630000003</v>
      </c>
      <c r="G49" s="28">
        <v>63384673.229999997</v>
      </c>
      <c r="H49" s="28">
        <v>72495001.717759997</v>
      </c>
      <c r="I49" s="29">
        <f>SUMIFS(Obra_Civil!$T:$T,Obra_Civil!$B:$B,$B49)</f>
        <v>65999999.902400009</v>
      </c>
      <c r="J49" s="30">
        <f>IFERROR(I49/E49-1,0)</f>
        <v>-2.7579406703649556E-2</v>
      </c>
      <c r="K49" s="31">
        <f>I49/(UNITARIO!$D$9+UNITARIO!$I$9)</f>
        <v>22544.063363300997</v>
      </c>
      <c r="L49" s="31">
        <f>E49/$D$1</f>
        <v>3878392.3251428572</v>
      </c>
      <c r="M49" s="31">
        <f>I49/$D$1</f>
        <v>3771428.565851429</v>
      </c>
      <c r="N49" s="46"/>
      <c r="O49" s="29">
        <f>SUMIFS(Obra_Civil!$T:$T,Obra_Civil!$B:$B,$B49,Obra_Civil!$V:$V,$O$4)</f>
        <v>32999999.951200005</v>
      </c>
      <c r="P49" s="29">
        <f>SUMIFS(Obra_Civil!$T:$T,Obra_Civil!$B:$B,$B49,Obra_Civil!$V:$V,$P$4)</f>
        <v>32999999.951200005</v>
      </c>
      <c r="Q49" s="46"/>
      <c r="R49" s="29">
        <f>SUMIFS(Obra_Civil!$T:$T,Obra_Civil!$B:$B,$B49,Obra_Civil!$W:$W,$R$4)</f>
        <v>32999999.951200005</v>
      </c>
      <c r="S49" s="29">
        <f>SUMIFS(Obra_Civil!$T:$T,Obra_Civil!$B:$B,$B49,Obra_Civil!$W:$W,$S$4)</f>
        <v>32999999.951200005</v>
      </c>
      <c r="U49" s="32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</row>
    <row r="50" spans="1:74" ht="12" customHeight="1" outlineLevel="1" x14ac:dyDescent="0.2">
      <c r="B50" s="34" t="s">
        <v>53</v>
      </c>
      <c r="C50" s="34"/>
      <c r="D50" s="34"/>
      <c r="E50" s="35">
        <f>SUM(E49)</f>
        <v>67871865.689999998</v>
      </c>
      <c r="F50" s="36">
        <f>SUM(F49)</f>
        <v>64131426.630000003</v>
      </c>
      <c r="G50" s="36">
        <f>SUM(G49)</f>
        <v>63384673.229999997</v>
      </c>
      <c r="H50" s="36">
        <f>SUM(H49)</f>
        <v>72495001.717759997</v>
      </c>
      <c r="I50" s="37">
        <f>SUM(I49)</f>
        <v>65999999.902400009</v>
      </c>
      <c r="J50" s="47">
        <f>IFERROR(I50/E50-1,0)</f>
        <v>-2.7579406703649556E-2</v>
      </c>
      <c r="K50" s="39">
        <f>I50/(UNITARIO!$D$9+UNITARIO!$I$9)</f>
        <v>22544.063363300997</v>
      </c>
      <c r="L50" s="39">
        <f>SUM(L49)</f>
        <v>3878392.3251428572</v>
      </c>
      <c r="M50" s="39">
        <f>SUM(M49)</f>
        <v>3771428.565851429</v>
      </c>
      <c r="O50" s="37">
        <f>SUM(O49)</f>
        <v>32999999.951200005</v>
      </c>
      <c r="P50" s="37">
        <f>SUM(P49)</f>
        <v>32999999.951200005</v>
      </c>
      <c r="R50" s="37">
        <f>SUM(R49)</f>
        <v>32999999.951200005</v>
      </c>
      <c r="S50" s="37">
        <f>SUM(S49)</f>
        <v>32999999.951200005</v>
      </c>
      <c r="U50" s="40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</row>
    <row r="51" spans="1:74" ht="12" customHeight="1" outlineLevel="1" x14ac:dyDescent="0.2">
      <c r="B51" s="1"/>
      <c r="C51" s="62"/>
      <c r="D51" s="1"/>
      <c r="E51" s="42"/>
      <c r="F51" s="42"/>
      <c r="G51" s="42"/>
      <c r="H51" s="42"/>
      <c r="I51" s="42"/>
      <c r="K51" s="42"/>
      <c r="L51" s="42"/>
      <c r="M51" s="42"/>
      <c r="O51" s="42"/>
      <c r="P51" s="42"/>
      <c r="R51" s="42"/>
      <c r="S51" s="42"/>
    </row>
    <row r="52" spans="1:74" ht="12" customHeight="1" outlineLevel="1" x14ac:dyDescent="0.2">
      <c r="B52" s="22" t="s">
        <v>1148</v>
      </c>
      <c r="C52" s="22"/>
      <c r="D52" s="22"/>
      <c r="E52" s="43"/>
      <c r="F52" s="44"/>
      <c r="G52" s="44"/>
      <c r="H52" s="44"/>
      <c r="I52" s="44"/>
      <c r="J52" s="24"/>
      <c r="K52" s="45"/>
      <c r="L52" s="45"/>
      <c r="M52" s="45"/>
      <c r="O52" s="44"/>
      <c r="P52" s="44"/>
      <c r="R52" s="44"/>
      <c r="S52" s="44"/>
      <c r="U52" s="23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</row>
    <row r="53" spans="1:74" ht="12" customHeight="1" outlineLevel="1" x14ac:dyDescent="0.2">
      <c r="B53" s="26" t="s">
        <v>54</v>
      </c>
      <c r="C53" s="26"/>
      <c r="D53" s="26"/>
      <c r="E53" s="27">
        <f>0*2</f>
        <v>0</v>
      </c>
      <c r="F53" s="28">
        <f>0*2</f>
        <v>0</v>
      </c>
      <c r="G53" s="28">
        <v>0</v>
      </c>
      <c r="H53" s="28">
        <v>0</v>
      </c>
      <c r="I53" s="29">
        <f>SUMIFS('Albañilerias '!$T:$T,'Albañilerias '!$C:$C,$B53)</f>
        <v>6495001.8153600004</v>
      </c>
      <c r="J53" s="30">
        <f>IFERROR(I53/E53-1,0)</f>
        <v>0</v>
      </c>
      <c r="K53" s="31">
        <f>I53/(UNITARIO!$D$9+UNITARIO!$I$9)</f>
        <v>2218.5414043448559</v>
      </c>
      <c r="L53" s="31">
        <f>E53/$D$1</f>
        <v>0</v>
      </c>
      <c r="M53" s="31">
        <f>I53/$D$1</f>
        <v>371142.96087771433</v>
      </c>
      <c r="N53" s="46"/>
      <c r="O53" s="29">
        <f>SUMIFS('Albañilerias '!$T:$T,'Albañilerias '!$C:$C,$B53,'Albañilerias '!$V:$V,$O$4)</f>
        <v>3247500.9076800002</v>
      </c>
      <c r="P53" s="29">
        <f>SUMIFS('Albañilerias '!$T:$T,'Albañilerias '!$C:$C,$B53,'Albañilerias '!$V:$V,$P$4)</f>
        <v>3247500.9076800002</v>
      </c>
      <c r="Q53" s="46"/>
      <c r="R53" s="29">
        <f>SUMIFS('Albañilerias '!$T:$T,'Albañilerias '!$C:$C,$B53,'Albañilerias '!$W:$W,$R$4)</f>
        <v>3247500.9076800002</v>
      </c>
      <c r="S53" s="29">
        <f>SUMIFS('Albañilerias '!$T:$T,'Albañilerias '!$C:$C,$B53,'Albañilerias '!$W:$W,$S$4)</f>
        <v>3247500.9076800002</v>
      </c>
      <c r="U53" s="32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</row>
    <row r="54" spans="1:74" ht="12" customHeight="1" outlineLevel="1" x14ac:dyDescent="0.2">
      <c r="B54" s="34" t="s">
        <v>55</v>
      </c>
      <c r="C54" s="34"/>
      <c r="D54" s="34"/>
      <c r="E54" s="35">
        <f>SUM(E53)</f>
        <v>0</v>
      </c>
      <c r="F54" s="36">
        <f>SUM(F53)</f>
        <v>0</v>
      </c>
      <c r="G54" s="36">
        <f>SUM(G53)</f>
        <v>0</v>
      </c>
      <c r="H54" s="36">
        <f>SUM(H53)</f>
        <v>0</v>
      </c>
      <c r="I54" s="37">
        <f>SUM(I53)</f>
        <v>6495001.8153600004</v>
      </c>
      <c r="J54" s="47">
        <f>IFERROR(I54/E54-1,0)</f>
        <v>0</v>
      </c>
      <c r="K54" s="39">
        <f>I54/(UNITARIO!$D$9+UNITARIO!$I$9)</f>
        <v>2218.5414043448559</v>
      </c>
      <c r="L54" s="39">
        <f>SUM(L53)</f>
        <v>0</v>
      </c>
      <c r="M54" s="39">
        <f>SUM(M53)</f>
        <v>371142.96087771433</v>
      </c>
      <c r="O54" s="37">
        <f>SUM(O53)</f>
        <v>3247500.9076800002</v>
      </c>
      <c r="P54" s="37">
        <f>SUM(P53)</f>
        <v>3247500.9076800002</v>
      </c>
      <c r="R54" s="37">
        <f>SUM(R53)</f>
        <v>3247500.9076800002</v>
      </c>
      <c r="S54" s="37">
        <f>SUM(S53)</f>
        <v>3247500.9076800002</v>
      </c>
      <c r="U54" s="40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</row>
    <row r="55" spans="1:74" ht="12" customHeight="1" outlineLevel="1" x14ac:dyDescent="0.2">
      <c r="B55" s="1"/>
      <c r="C55" s="1"/>
      <c r="D55" s="1"/>
      <c r="E55" s="42"/>
      <c r="F55" s="42"/>
      <c r="G55" s="42"/>
      <c r="H55" s="42"/>
      <c r="I55" s="42"/>
      <c r="K55" s="42"/>
      <c r="L55" s="42"/>
      <c r="M55" s="42"/>
      <c r="O55" s="42"/>
      <c r="P55" s="42"/>
      <c r="R55" s="42"/>
      <c r="S55" s="42"/>
    </row>
    <row r="56" spans="1:74" ht="12" customHeight="1" outlineLevel="1" x14ac:dyDescent="0.2">
      <c r="B56" s="22" t="s">
        <v>56</v>
      </c>
      <c r="C56" s="22"/>
      <c r="D56" s="22"/>
      <c r="E56" s="43"/>
      <c r="F56" s="44"/>
      <c r="G56" s="44"/>
      <c r="H56" s="44"/>
      <c r="I56" s="44"/>
      <c r="J56" s="24"/>
      <c r="K56" s="45"/>
      <c r="L56" s="45"/>
      <c r="M56" s="45"/>
      <c r="O56" s="44"/>
      <c r="P56" s="44"/>
      <c r="R56" s="44"/>
      <c r="S56" s="44"/>
      <c r="U56" s="23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</row>
    <row r="57" spans="1:74" ht="12" customHeight="1" outlineLevel="1" x14ac:dyDescent="0.2">
      <c r="A57" s="2"/>
      <c r="B57" s="53" t="s">
        <v>57</v>
      </c>
      <c r="C57" s="54"/>
      <c r="D57" s="65"/>
      <c r="E57" s="55">
        <v>1848728.9258999999</v>
      </c>
      <c r="F57" s="56">
        <v>1848728.9258999999</v>
      </c>
      <c r="G57" s="56">
        <v>1848728.9258999999</v>
      </c>
      <c r="H57" s="56">
        <v>2788215.5748998099</v>
      </c>
      <c r="I57" s="57">
        <f>SUMIFS(Impermeabilizacion!$T:$T,Impermeabilizacion!$B:$B,$B57&amp;"*")</f>
        <v>2788215.5748998132</v>
      </c>
      <c r="J57" s="58">
        <f>IFERROR(I57/E57-1,0)</f>
        <v>0.50817977467543085</v>
      </c>
      <c r="K57" s="59">
        <f>I57/(UNITARIO!$D$9+UNITARIO!$I$9)</f>
        <v>952.38952551571685</v>
      </c>
      <c r="L57" s="59">
        <f>E57/$D$1</f>
        <v>105641.65290857143</v>
      </c>
      <c r="M57" s="59">
        <f>I57/$D$1</f>
        <v>159326.60427998932</v>
      </c>
      <c r="N57" s="66"/>
      <c r="O57" s="57">
        <f>SUMIFS(Impermeabilizacion!$T:$T,Impermeabilizacion!$B:$B,$B57&amp;"*",Impermeabilizacion!$V:$V,$O$4)</f>
        <v>0</v>
      </c>
      <c r="P57" s="57">
        <f>SUMIFS(Impermeabilizacion!$T:$T,Impermeabilizacion!$B:$B,$B57&amp;"*",Impermeabilizacion!$V:$V,$P$4)</f>
        <v>2788215.5748998132</v>
      </c>
      <c r="Q57" s="66"/>
      <c r="R57" s="57">
        <f>SUMIFS(Impermeabilizacion!$T:$T,Impermeabilizacion!$B:$B,$B57&amp;"*",Impermeabilizacion!$W:$W,$R$4)</f>
        <v>0</v>
      </c>
      <c r="S57" s="57">
        <f>SUMIFS(Impermeabilizacion!$T:$T,Impermeabilizacion!$B:$B,$B57&amp;"*",Impermeabilizacion!$W:$W,$S$4)</f>
        <v>2788215.5748998132</v>
      </c>
      <c r="U57" s="60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2"/>
    </row>
    <row r="58" spans="1:74" ht="12" customHeight="1" outlineLevel="1" x14ac:dyDescent="0.2">
      <c r="A58" s="2"/>
      <c r="B58" s="67" t="s">
        <v>58</v>
      </c>
      <c r="C58" s="68"/>
      <c r="D58" s="68"/>
      <c r="E58" s="69">
        <f>SUM(E57)</f>
        <v>1848728.9258999999</v>
      </c>
      <c r="F58" s="69">
        <f>SUM(F57)</f>
        <v>1848728.9258999999</v>
      </c>
      <c r="G58" s="69">
        <f>SUM(G57)</f>
        <v>1848728.9258999999</v>
      </c>
      <c r="H58" s="69">
        <f>SUM(H57)</f>
        <v>2788215.5748998099</v>
      </c>
      <c r="I58" s="70">
        <f>SUM(I57)</f>
        <v>2788215.5748998132</v>
      </c>
      <c r="J58" s="71">
        <f>IFERROR(I58/E58-1,0)</f>
        <v>0.50817977467543085</v>
      </c>
      <c r="K58" s="69">
        <f>I58/(UNITARIO!$D$9+UNITARIO!$I$9)</f>
        <v>952.38952551571685</v>
      </c>
      <c r="L58" s="69">
        <f>E58/$D$1</f>
        <v>105641.65290857143</v>
      </c>
      <c r="M58" s="69">
        <f>I58/$D$1</f>
        <v>159326.60427998932</v>
      </c>
      <c r="N58" s="66"/>
      <c r="O58" s="70">
        <f>SUM(O57)</f>
        <v>0</v>
      </c>
      <c r="P58" s="70">
        <f>SUM(P57)</f>
        <v>2788215.5748998132</v>
      </c>
      <c r="Q58" s="66"/>
      <c r="R58" s="70">
        <f>SUM(R57)</f>
        <v>0</v>
      </c>
      <c r="S58" s="70">
        <f>SUM(S57)</f>
        <v>2788215.5748998132</v>
      </c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2"/>
    </row>
    <row r="59" spans="1:74" ht="12" customHeight="1" x14ac:dyDescent="0.2">
      <c r="B59" s="1"/>
      <c r="C59" s="1"/>
      <c r="D59" s="1"/>
    </row>
    <row r="60" spans="1:74" ht="12" customHeight="1" x14ac:dyDescent="0.2">
      <c r="B60" s="17" t="s">
        <v>59</v>
      </c>
      <c r="C60" s="17"/>
      <c r="D60" s="17"/>
      <c r="E60" s="18">
        <f>E63+E67+E71+E75+E79+E83</f>
        <v>112501783.36</v>
      </c>
      <c r="F60" s="19">
        <f>F63+F67+F71+F75+F79+F83</f>
        <v>112493277.19599999</v>
      </c>
      <c r="G60" s="19">
        <f>G63+G67+G71+G75+G79+G83</f>
        <v>104352615.43375999</v>
      </c>
      <c r="H60" s="18">
        <f>H63+H67+H71+H75+H79+H83</f>
        <v>101537145.91555999</v>
      </c>
      <c r="I60" s="18">
        <f>I63+I67+I71+I75+I79+I83</f>
        <v>91164432.195799991</v>
      </c>
      <c r="J60" s="20">
        <f>IFERROR(I60/E60-1,0)</f>
        <v>-0.18966233713755065</v>
      </c>
      <c r="K60" s="18">
        <f>I60/(UNITARIO!$D$9+UNITARIO!$I$9)</f>
        <v>31139.647559707602</v>
      </c>
      <c r="L60" s="18">
        <f>E60/$D$1</f>
        <v>6428673.3348571425</v>
      </c>
      <c r="M60" s="18">
        <f>I60/$D$1</f>
        <v>5209396.1254742853</v>
      </c>
      <c r="O60" s="18">
        <f>O63+O67+O71+O75+O79+O83</f>
        <v>41631272.195799999</v>
      </c>
      <c r="P60" s="18">
        <f>P63+P67+P71+P75+P79+P83</f>
        <v>49533160</v>
      </c>
      <c r="R60" s="18">
        <f>R63+R67+R71+R75+R79+R83</f>
        <v>0</v>
      </c>
      <c r="S60" s="18">
        <f>S63+S67+S71+S75+S79+S83</f>
        <v>91164432.195799991</v>
      </c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</row>
    <row r="61" spans="1:74" ht="15" customHeight="1" outlineLevel="1" x14ac:dyDescent="0.2">
      <c r="B61" s="22" t="s">
        <v>60</v>
      </c>
      <c r="C61" s="22"/>
      <c r="D61" s="22"/>
      <c r="E61" s="43"/>
      <c r="F61" s="44"/>
      <c r="G61" s="44"/>
      <c r="H61" s="44"/>
      <c r="I61" s="44"/>
      <c r="J61" s="24"/>
      <c r="K61" s="45"/>
      <c r="L61" s="45"/>
      <c r="M61" s="45"/>
      <c r="O61" s="44"/>
      <c r="P61" s="44"/>
      <c r="R61" s="44"/>
      <c r="S61" s="44"/>
      <c r="U61" s="23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</row>
    <row r="62" spans="1:74" ht="15" customHeight="1" outlineLevel="1" x14ac:dyDescent="0.2">
      <c r="B62" s="26" t="s">
        <v>61</v>
      </c>
      <c r="C62" s="26"/>
      <c r="D62" s="26"/>
      <c r="E62" s="27">
        <f>14866931.2*2</f>
        <v>29733862.399999999</v>
      </c>
      <c r="F62" s="28">
        <f>14866931.2*2</f>
        <v>29733862.399999999</v>
      </c>
      <c r="G62" s="28">
        <v>29733862.399999999</v>
      </c>
      <c r="H62" s="28">
        <v>29733862.399999999</v>
      </c>
      <c r="I62" s="29">
        <f>SUMIFS(Instalaciones_Electricas!$T:$T,Instalaciones_Electricas!$C:$C,$B62)</f>
        <v>29733862.400000002</v>
      </c>
      <c r="J62" s="30">
        <f>IFERROR(I62/E62-1,0)</f>
        <v>2.2204460492503131E-16</v>
      </c>
      <c r="K62" s="31">
        <f>I62/(UNITARIO!$D$9+UNITARIO!$I$9)</f>
        <v>10156.395135947534</v>
      </c>
      <c r="L62" s="31">
        <f>E62/$D$1</f>
        <v>1699077.8514285714</v>
      </c>
      <c r="M62" s="31">
        <f>I62/$D$1</f>
        <v>1699077.8514285716</v>
      </c>
      <c r="N62" s="46"/>
      <c r="O62" s="29">
        <f>SUMIFS(Instalaciones_Electricas!$T:$T,Instalaciones_Electricas!$C:$C,$B62,Instalaciones_Electricas!$V:$V,$O$4)</f>
        <v>0</v>
      </c>
      <c r="P62" s="29">
        <f>SUMIFS(Instalaciones_Electricas!$T:$T,Instalaciones_Electricas!$C:$C,$B62,Instalaciones_Electricas!$V:$V,$P$4)</f>
        <v>29733862.400000002</v>
      </c>
      <c r="Q62" s="46"/>
      <c r="R62" s="29">
        <f>SUMIFS(Instalaciones_Electricas!$T:$T,Instalaciones_Electricas!$C:$C,$B62,Instalaciones_Electricas!$W:$W,$R$4)</f>
        <v>0</v>
      </c>
      <c r="S62" s="29">
        <f>SUMIFS(Instalaciones_Electricas!$T:$T,Instalaciones_Electricas!$C:$C,$B62,Instalaciones_Electricas!$W:$W,$S$4)</f>
        <v>29733862.400000002</v>
      </c>
      <c r="U62" s="32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</row>
    <row r="63" spans="1:74" ht="15" customHeight="1" outlineLevel="1" x14ac:dyDescent="0.2">
      <c r="B63" s="34" t="s">
        <v>62</v>
      </c>
      <c r="C63" s="34"/>
      <c r="D63" s="34"/>
      <c r="E63" s="35">
        <f>SUM(E62)</f>
        <v>29733862.399999999</v>
      </c>
      <c r="F63" s="36">
        <f>SUM(F62)</f>
        <v>29733862.399999999</v>
      </c>
      <c r="G63" s="36">
        <f>SUM(G62)</f>
        <v>29733862.399999999</v>
      </c>
      <c r="H63" s="36">
        <f>SUM(H62)</f>
        <v>29733862.399999999</v>
      </c>
      <c r="I63" s="37">
        <f>SUM(I62)</f>
        <v>29733862.400000002</v>
      </c>
      <c r="J63" s="47">
        <f>IFERROR(I63/E63-1,0)</f>
        <v>2.2204460492503131E-16</v>
      </c>
      <c r="K63" s="39">
        <f>I63/(UNITARIO!$D$9+UNITARIO!$I$9)</f>
        <v>10156.395135947534</v>
      </c>
      <c r="L63" s="39">
        <f>SUM(L62)</f>
        <v>1699077.8514285714</v>
      </c>
      <c r="M63" s="39">
        <f>SUM(M62)</f>
        <v>1699077.8514285716</v>
      </c>
      <c r="O63" s="37">
        <f>SUM(O62)</f>
        <v>0</v>
      </c>
      <c r="P63" s="37">
        <f>SUM(P62)</f>
        <v>29733862.400000002</v>
      </c>
      <c r="R63" s="37">
        <f>SUM(R62)</f>
        <v>0</v>
      </c>
      <c r="S63" s="37">
        <f>SUM(S62)</f>
        <v>29733862.400000002</v>
      </c>
      <c r="U63" s="40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</row>
    <row r="64" spans="1:74" ht="15" customHeight="1" outlineLevel="1" x14ac:dyDescent="0.2">
      <c r="B64" s="1"/>
      <c r="C64" s="1"/>
      <c r="D64" s="1"/>
      <c r="E64" s="42"/>
      <c r="F64" s="42"/>
      <c r="G64" s="42"/>
      <c r="H64" s="42"/>
      <c r="I64" s="42"/>
      <c r="K64" s="42"/>
      <c r="L64" s="42"/>
      <c r="M64" s="42"/>
      <c r="O64" s="42"/>
      <c r="P64" s="42"/>
      <c r="R64" s="42"/>
      <c r="S64" s="42"/>
    </row>
    <row r="65" spans="1:73" ht="15" customHeight="1" outlineLevel="1" x14ac:dyDescent="0.2">
      <c r="B65" s="22" t="s">
        <v>63</v>
      </c>
      <c r="C65" s="22"/>
      <c r="D65" s="22"/>
      <c r="E65" s="43"/>
      <c r="F65" s="44"/>
      <c r="G65" s="44"/>
      <c r="H65" s="44"/>
      <c r="I65" s="44"/>
      <c r="J65" s="24"/>
      <c r="K65" s="45"/>
      <c r="L65" s="45"/>
      <c r="M65" s="45"/>
      <c r="O65" s="44"/>
      <c r="P65" s="44"/>
      <c r="R65" s="44"/>
      <c r="S65" s="44"/>
      <c r="U65" s="23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</row>
    <row r="66" spans="1:73" ht="15" customHeight="1" outlineLevel="1" x14ac:dyDescent="0.2">
      <c r="B66" s="26" t="s">
        <v>64</v>
      </c>
      <c r="C66" s="26"/>
      <c r="D66" s="26"/>
      <c r="E66" s="27">
        <f>8362648.8*2</f>
        <v>16725297.6</v>
      </c>
      <c r="F66" s="28">
        <f>8362648.8*2</f>
        <v>16725297.6</v>
      </c>
      <c r="G66" s="28">
        <v>16725297.6</v>
      </c>
      <c r="H66" s="28">
        <v>16725297.6</v>
      </c>
      <c r="I66" s="29">
        <f>SUMIFS(Instalaciones_Hidraulicas!$T:$T,Instalaciones_Hidraulicas!$C:$C,$B66)</f>
        <v>16725297.599999998</v>
      </c>
      <c r="J66" s="30">
        <f>IFERROR(I66/E66-1,0)</f>
        <v>-1.1102230246251565E-16</v>
      </c>
      <c r="K66" s="31">
        <f>I66/(UNITARIO!$D$9+UNITARIO!$I$9)</f>
        <v>5712.972263970486</v>
      </c>
      <c r="L66" s="31">
        <f>E66/$D$1</f>
        <v>955731.29142857145</v>
      </c>
      <c r="M66" s="31">
        <f>I66/$D$1</f>
        <v>955731.29142857133</v>
      </c>
      <c r="N66" s="46"/>
      <c r="O66" s="29">
        <f>SUMIFS(Instalaciones_Hidraulicas!$T:$T,Instalaciones_Hidraulicas!$C:$C,$B66,Instalaciones_Hidraulicas!$V:$V,$O$4)</f>
        <v>0</v>
      </c>
      <c r="P66" s="29">
        <f>SUMIFS(Instalaciones_Hidraulicas!$T:$T,Instalaciones_Hidraulicas!$C:$C,$B66,Instalaciones_Hidraulicas!$V:$V,$P$4)</f>
        <v>16725297.599999998</v>
      </c>
      <c r="Q66" s="46"/>
      <c r="R66" s="29">
        <f>SUMIFS(Instalaciones_Hidraulicas!$T:$T,Instalaciones_Hidraulicas!$C:$C,$B66,Instalaciones_Hidraulicas!$W:$W,$R$4)</f>
        <v>0</v>
      </c>
      <c r="S66" s="29">
        <f>SUMIFS(Instalaciones_Hidraulicas!$T:$T,Instalaciones_Hidraulicas!$C:$C,$B66,Instalaciones_Hidraulicas!$W:$W,$S$4)</f>
        <v>16725297.599999998</v>
      </c>
      <c r="U66" s="32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</row>
    <row r="67" spans="1:73" ht="15" customHeight="1" outlineLevel="1" x14ac:dyDescent="0.2">
      <c r="B67" s="34" t="s">
        <v>65</v>
      </c>
      <c r="C67" s="34"/>
      <c r="D67" s="34"/>
      <c r="E67" s="35">
        <f>SUM(E66)</f>
        <v>16725297.6</v>
      </c>
      <c r="F67" s="36">
        <f>SUM(F66)</f>
        <v>16725297.6</v>
      </c>
      <c r="G67" s="36">
        <f>SUM(G66)</f>
        <v>16725297.6</v>
      </c>
      <c r="H67" s="36">
        <f>SUM(H66)</f>
        <v>16725297.6</v>
      </c>
      <c r="I67" s="37">
        <f>SUM(I66)</f>
        <v>16725297.599999998</v>
      </c>
      <c r="J67" s="47">
        <f>IFERROR(I67/E67-1,0)</f>
        <v>-1.1102230246251565E-16</v>
      </c>
      <c r="K67" s="39">
        <f>I67/(UNITARIO!$D$9+UNITARIO!$I$9)</f>
        <v>5712.972263970486</v>
      </c>
      <c r="L67" s="39">
        <f>SUM(L66)</f>
        <v>955731.29142857145</v>
      </c>
      <c r="M67" s="39">
        <f>SUM(M66)</f>
        <v>955731.29142857133</v>
      </c>
      <c r="O67" s="37">
        <f>SUM(O66)</f>
        <v>0</v>
      </c>
      <c r="P67" s="37">
        <f>SUM(P66)</f>
        <v>16725297.599999998</v>
      </c>
      <c r="R67" s="37">
        <f>SUM(R66)</f>
        <v>0</v>
      </c>
      <c r="S67" s="37">
        <f>SUM(S66)</f>
        <v>16725297.599999998</v>
      </c>
      <c r="U67" s="40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</row>
    <row r="68" spans="1:73" ht="15" customHeight="1" outlineLevel="1" x14ac:dyDescent="0.2">
      <c r="B68" s="1"/>
      <c r="C68" s="1"/>
      <c r="D68" s="1"/>
      <c r="E68" s="42"/>
      <c r="F68" s="42"/>
      <c r="G68" s="42"/>
      <c r="H68" s="42"/>
      <c r="I68" s="42"/>
      <c r="K68" s="42"/>
      <c r="L68" s="42"/>
      <c r="M68" s="42"/>
      <c r="O68" s="42"/>
      <c r="P68" s="42"/>
      <c r="R68" s="42"/>
      <c r="S68" s="42"/>
    </row>
    <row r="69" spans="1:73" ht="15" customHeight="1" outlineLevel="1" x14ac:dyDescent="0.2">
      <c r="B69" s="22" t="s">
        <v>66</v>
      </c>
      <c r="C69" s="22"/>
      <c r="D69" s="22"/>
      <c r="E69" s="43"/>
      <c r="F69" s="44"/>
      <c r="G69" s="44"/>
      <c r="H69" s="44"/>
      <c r="I69" s="44"/>
      <c r="J69" s="24"/>
      <c r="K69" s="45"/>
      <c r="L69" s="45"/>
      <c r="M69" s="45"/>
      <c r="O69" s="44"/>
      <c r="P69" s="44"/>
      <c r="R69" s="44"/>
      <c r="S69" s="44"/>
      <c r="U69" s="23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</row>
    <row r="70" spans="1:73" ht="15" customHeight="1" outlineLevel="1" x14ac:dyDescent="0.2">
      <c r="B70" s="26" t="s">
        <v>67</v>
      </c>
      <c r="C70" s="26"/>
      <c r="D70" s="26"/>
      <c r="E70" s="27">
        <f>928000*2</f>
        <v>1856000</v>
      </c>
      <c r="F70" s="28">
        <f>928000*2</f>
        <v>1856000</v>
      </c>
      <c r="G70" s="28">
        <v>1856000</v>
      </c>
      <c r="H70" s="28">
        <v>1856000</v>
      </c>
      <c r="I70" s="29">
        <f>SUMIFS(Instalaciones_Gas!$T:$T,Instalaciones_Gas!$C:$C,$B70)</f>
        <v>1856000</v>
      </c>
      <c r="J70" s="30">
        <f>IFERROR(I70/E70-1,0)</f>
        <v>0</v>
      </c>
      <c r="K70" s="31">
        <f>I70/(UNITARIO!$D$9+UNITARIO!$I$9)</f>
        <v>633.9663888509358</v>
      </c>
      <c r="L70" s="31">
        <f>E70/$D$1</f>
        <v>106057.14285714286</v>
      </c>
      <c r="M70" s="31">
        <f>I70/$D$1</f>
        <v>106057.14285714286</v>
      </c>
      <c r="N70" s="46"/>
      <c r="O70" s="29">
        <f>SUMIFS(Instalaciones_Gas!$T:$T,Instalaciones_Gas!$C:$C,$B70,Instalaciones_Gas!$V:$V,$O$4)</f>
        <v>0</v>
      </c>
      <c r="P70" s="29">
        <f>SUMIFS(Instalaciones_Gas!$T:$T,Instalaciones_Gas!$C:$C,$B70,Instalaciones_Gas!$V:$V,$P$4)</f>
        <v>1856000</v>
      </c>
      <c r="Q70" s="46"/>
      <c r="R70" s="29">
        <f>SUMIFS(Instalaciones_Gas!$T:$T,Instalaciones_Gas!$C:$C,$B70,Instalaciones_Gas!$W:$W,$R$4)</f>
        <v>0</v>
      </c>
      <c r="S70" s="29">
        <f>SUMIFS(Instalaciones_Gas!$T:$T,Instalaciones_Gas!$C:$C,$B70,Instalaciones_Gas!$W:$W,$S$4)</f>
        <v>1856000</v>
      </c>
      <c r="U70" s="32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</row>
    <row r="71" spans="1:73" ht="15" customHeight="1" outlineLevel="1" x14ac:dyDescent="0.2">
      <c r="B71" s="34" t="s">
        <v>68</v>
      </c>
      <c r="C71" s="34"/>
      <c r="D71" s="34"/>
      <c r="E71" s="35">
        <f>SUM(E70)</f>
        <v>1856000</v>
      </c>
      <c r="F71" s="36">
        <f>SUM(F70)</f>
        <v>1856000</v>
      </c>
      <c r="G71" s="36">
        <f>SUM(G70)</f>
        <v>1856000</v>
      </c>
      <c r="H71" s="36">
        <f>SUM(H70)</f>
        <v>1856000</v>
      </c>
      <c r="I71" s="37">
        <f>SUM(I70)</f>
        <v>1856000</v>
      </c>
      <c r="J71" s="47">
        <f>IFERROR(I71/E71-1,0)</f>
        <v>0</v>
      </c>
      <c r="K71" s="39">
        <f>I71/(UNITARIO!$D$9+UNITARIO!$I$9)</f>
        <v>633.9663888509358</v>
      </c>
      <c r="L71" s="39">
        <f>SUM(L70)</f>
        <v>106057.14285714286</v>
      </c>
      <c r="M71" s="39">
        <f>SUM(M70)</f>
        <v>106057.14285714286</v>
      </c>
      <c r="O71" s="37">
        <f>SUM(O70)</f>
        <v>0</v>
      </c>
      <c r="P71" s="37">
        <f>SUM(P70)</f>
        <v>1856000</v>
      </c>
      <c r="R71" s="37">
        <f>SUM(R70)</f>
        <v>0</v>
      </c>
      <c r="S71" s="37">
        <f>SUM(S70)</f>
        <v>1856000</v>
      </c>
      <c r="U71" s="40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</row>
    <row r="72" spans="1:73" ht="15" customHeight="1" outlineLevel="1" x14ac:dyDescent="0.2">
      <c r="B72" s="1"/>
      <c r="C72" s="1"/>
      <c r="D72" s="1"/>
      <c r="E72" s="42"/>
      <c r="F72" s="42"/>
      <c r="G72" s="42"/>
      <c r="H72" s="42"/>
      <c r="I72" s="42"/>
      <c r="K72" s="42"/>
      <c r="L72" s="42"/>
      <c r="M72" s="42"/>
      <c r="O72" s="42"/>
      <c r="P72" s="42"/>
      <c r="R72" s="42"/>
      <c r="S72" s="42"/>
    </row>
    <row r="73" spans="1:73" ht="15" customHeight="1" outlineLevel="1" x14ac:dyDescent="0.2">
      <c r="B73" s="22" t="s">
        <v>69</v>
      </c>
      <c r="C73" s="22"/>
      <c r="D73" s="22"/>
      <c r="E73" s="43"/>
      <c r="F73" s="44"/>
      <c r="G73" s="44"/>
      <c r="H73" s="44"/>
      <c r="I73" s="44"/>
      <c r="J73" s="24"/>
      <c r="K73" s="45"/>
      <c r="L73" s="45"/>
      <c r="M73" s="45"/>
      <c r="O73" s="44"/>
      <c r="P73" s="44"/>
      <c r="R73" s="44"/>
      <c r="S73" s="44"/>
      <c r="U73" s="23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</row>
    <row r="74" spans="1:73" ht="15" customHeight="1" outlineLevel="1" x14ac:dyDescent="0.2">
      <c r="B74" s="73" t="s">
        <v>70</v>
      </c>
      <c r="C74" s="26"/>
      <c r="D74" s="26"/>
      <c r="E74" s="27">
        <f>20300000*2</f>
        <v>40600000</v>
      </c>
      <c r="F74" s="28">
        <f>20300000*2</f>
        <v>40600000</v>
      </c>
      <c r="G74" s="28">
        <v>30033561.317759998</v>
      </c>
      <c r="H74" s="28">
        <v>30033561.317759998</v>
      </c>
      <c r="I74" s="29">
        <f>SUMIFS(Automat_Control_Ilum!$T:$T,Automat_Control_Ilum!$B:$B,$B74)</f>
        <v>19660847.597999997</v>
      </c>
      <c r="J74" s="30">
        <f>IFERROR(I74/E74-1,0)</f>
        <v>-0.51574267000000007</v>
      </c>
      <c r="K74" s="31">
        <f>I74/(UNITARIO!$D$9+UNITARIO!$I$9)</f>
        <v>6715.6877981964735</v>
      </c>
      <c r="L74" s="31">
        <f>E74/$D$1</f>
        <v>2320000</v>
      </c>
      <c r="M74" s="31">
        <f>I74/$D$1</f>
        <v>1123477.0055999998</v>
      </c>
      <c r="N74" s="46"/>
      <c r="O74" s="29">
        <f>SUMIFS(Automat_Control_Ilum!$T:$T,Automat_Control_Ilum!$B:$B,$B74,Automat_Control_Ilum!$V:$V,$O$4)</f>
        <v>19660847.597999997</v>
      </c>
      <c r="P74" s="29">
        <f>SUMIFS(Automat_Control_Ilum!$T:$T,Automat_Control_Ilum!$B:$B,$B74,Automat_Control_Ilum!$V:$V,$P$4)</f>
        <v>0</v>
      </c>
      <c r="Q74" s="46"/>
      <c r="R74" s="29">
        <f>SUMIFS(Automat_Control_Ilum!$T:$T,Automat_Control_Ilum!$B:$B,$B74,Automat_Control_Ilum!$W:$W,$R$4)</f>
        <v>0</v>
      </c>
      <c r="S74" s="29">
        <f>SUMIFS(Automat_Control_Ilum!$T:$T,Automat_Control_Ilum!$B:$B,$B74,Automat_Control_Ilum!$W:$W,$S$4)</f>
        <v>19660847.597999997</v>
      </c>
      <c r="U74" s="32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</row>
    <row r="75" spans="1:73" ht="15" customHeight="1" outlineLevel="1" x14ac:dyDescent="0.2">
      <c r="B75" s="34" t="s">
        <v>71</v>
      </c>
      <c r="C75" s="34"/>
      <c r="D75" s="34"/>
      <c r="E75" s="35">
        <f>SUM(E74)</f>
        <v>40600000</v>
      </c>
      <c r="F75" s="35">
        <f>SUM(F74)</f>
        <v>40600000</v>
      </c>
      <c r="G75" s="36">
        <f>SUM(G74)</f>
        <v>30033561.317759998</v>
      </c>
      <c r="H75" s="36">
        <f>SUM(H74)</f>
        <v>30033561.317759998</v>
      </c>
      <c r="I75" s="37">
        <f>SUM(I74)</f>
        <v>19660847.597999997</v>
      </c>
      <c r="J75" s="47">
        <f>IFERROR(I75/E75-1,0)</f>
        <v>-0.51574267000000007</v>
      </c>
      <c r="K75" s="39">
        <f>I75/(UNITARIO!$D$9+UNITARIO!$I$9)</f>
        <v>6715.6877981964735</v>
      </c>
      <c r="L75" s="39">
        <f>SUM(L74)</f>
        <v>2320000</v>
      </c>
      <c r="M75" s="39">
        <f>SUM(M74)</f>
        <v>1123477.0055999998</v>
      </c>
      <c r="O75" s="37">
        <f>SUM(O74)</f>
        <v>19660847.597999997</v>
      </c>
      <c r="P75" s="37">
        <f>SUM(P74)</f>
        <v>0</v>
      </c>
      <c r="R75" s="37">
        <f>SUM(R74)</f>
        <v>0</v>
      </c>
      <c r="S75" s="37">
        <f>SUM(S74)</f>
        <v>19660847.597999997</v>
      </c>
      <c r="U75" s="40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</row>
    <row r="76" spans="1:73" ht="15" customHeight="1" outlineLevel="1" x14ac:dyDescent="0.2">
      <c r="B76" s="1"/>
      <c r="C76" s="62"/>
      <c r="D76" s="1"/>
      <c r="E76" s="42"/>
      <c r="F76" s="42"/>
      <c r="G76" s="42"/>
      <c r="H76" s="42"/>
      <c r="I76" s="42"/>
      <c r="K76" s="42"/>
      <c r="L76" s="42"/>
      <c r="M76" s="42"/>
      <c r="O76" s="42"/>
      <c r="P76" s="42"/>
      <c r="R76" s="42"/>
      <c r="S76" s="42"/>
    </row>
    <row r="77" spans="1:73" ht="15" customHeight="1" outlineLevel="1" x14ac:dyDescent="0.2">
      <c r="B77" s="22" t="s">
        <v>72</v>
      </c>
      <c r="C77" s="22"/>
      <c r="D77" s="22"/>
      <c r="E77" s="43"/>
      <c r="F77" s="44"/>
      <c r="G77" s="44"/>
      <c r="H77" s="44"/>
      <c r="I77" s="44"/>
      <c r="J77" s="24"/>
      <c r="K77" s="45"/>
      <c r="L77" s="45"/>
      <c r="M77" s="45"/>
      <c r="O77" s="44"/>
      <c r="P77" s="44"/>
      <c r="R77" s="44"/>
      <c r="S77" s="44"/>
      <c r="U77" s="23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</row>
    <row r="78" spans="1:73" ht="15" customHeight="1" outlineLevel="1" x14ac:dyDescent="0.2">
      <c r="B78" s="53" t="s">
        <v>73</v>
      </c>
      <c r="C78" s="26"/>
      <c r="D78" s="26"/>
      <c r="E78" s="27">
        <f>9291832*2</f>
        <v>18583664</v>
      </c>
      <c r="F78" s="28">
        <f>9287578.918*2</f>
        <v>18575157.835999999</v>
      </c>
      <c r="G78" s="28">
        <v>18575157.835999999</v>
      </c>
      <c r="H78" s="28">
        <v>15759688.3178</v>
      </c>
      <c r="I78" s="29">
        <f>SUMIFS(Aire_Acond_Y_Extraccion!$T:$T,Aire_Acond_Y_Extraccion!$B:$B,$B78&amp;"*")</f>
        <v>15759688.3178</v>
      </c>
      <c r="J78" s="30">
        <f>IFERROR(I78/E78-1,0)</f>
        <v>-0.15196011304336965</v>
      </c>
      <c r="K78" s="31">
        <f>I78/(UNITARIO!$D$9+UNITARIO!$I$9)</f>
        <v>5383.1426143598846</v>
      </c>
      <c r="L78" s="31">
        <f>E78/$D$1</f>
        <v>1061923.6571428571</v>
      </c>
      <c r="M78" s="31">
        <f>I78/$D$1</f>
        <v>900553.61816000007</v>
      </c>
      <c r="N78" s="46"/>
      <c r="O78" s="29">
        <f>SUMIFS(Aire_Acond_Y_Extraccion!$T:$T,Aire_Acond_Y_Extraccion!$B:$B,$B78&amp;"*",Aire_Acond_Y_Extraccion!$V:$V,$O$4)</f>
        <v>15759688.3178</v>
      </c>
      <c r="P78" s="29">
        <f>SUMIFS(Aire_Acond_Y_Extraccion!$T:$T,Aire_Acond_Y_Extraccion!$B:$B,$B78&amp;"*",Aire_Acond_Y_Extraccion!$V:$V,$P$4)</f>
        <v>0</v>
      </c>
      <c r="Q78" s="46"/>
      <c r="R78" s="29">
        <f>SUMIFS(Aire_Acond_Y_Extraccion!$T:$T,Aire_Acond_Y_Extraccion!$B:$B,$B78&amp;"*",Aire_Acond_Y_Extraccion!$W:$W,$R$4)</f>
        <v>0</v>
      </c>
      <c r="S78" s="29">
        <f>SUMIFS(Aire_Acond_Y_Extraccion!$T:$T,Aire_Acond_Y_Extraccion!$B:$B,$B78&amp;"*",Aire_Acond_Y_Extraccion!$W:$W,$S$4)</f>
        <v>15759688.3178</v>
      </c>
      <c r="U78" s="32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</row>
    <row r="79" spans="1:73" ht="15" customHeight="1" outlineLevel="1" x14ac:dyDescent="0.2">
      <c r="A79" s="2"/>
      <c r="B79" s="67" t="s">
        <v>74</v>
      </c>
      <c r="C79" s="68"/>
      <c r="D79" s="68"/>
      <c r="E79" s="69">
        <f>SUM(E78)</f>
        <v>18583664</v>
      </c>
      <c r="F79" s="69">
        <f>SUM(F78)</f>
        <v>18575157.835999999</v>
      </c>
      <c r="G79" s="69">
        <f>SUM(G78)</f>
        <v>18575157.835999999</v>
      </c>
      <c r="H79" s="69">
        <f>SUM(H78)</f>
        <v>15759688.3178</v>
      </c>
      <c r="I79" s="70">
        <f>SUM(I78)</f>
        <v>15759688.3178</v>
      </c>
      <c r="J79" s="71">
        <f>IFERROR(I79/E79-1,0)</f>
        <v>-0.15196011304336965</v>
      </c>
      <c r="K79" s="69">
        <f>I79/(UNITARIO!$D$9+UNITARIO!$I$9)</f>
        <v>5383.1426143598846</v>
      </c>
      <c r="L79" s="69">
        <f>E79/$D$1</f>
        <v>1061923.6571428571</v>
      </c>
      <c r="M79" s="69">
        <f>I79/$D$1</f>
        <v>900553.61816000007</v>
      </c>
      <c r="N79" s="66"/>
      <c r="O79" s="70">
        <f>SUM(O78)</f>
        <v>15759688.3178</v>
      </c>
      <c r="P79" s="70">
        <f>SUM(P78)</f>
        <v>0</v>
      </c>
      <c r="Q79" s="66"/>
      <c r="R79" s="70">
        <f>SUM(R78)</f>
        <v>0</v>
      </c>
      <c r="S79" s="70">
        <f>SUM(S78)</f>
        <v>15759688.3178</v>
      </c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</row>
    <row r="80" spans="1:73" ht="15" customHeight="1" outlineLevel="1" x14ac:dyDescent="0.2">
      <c r="B80" s="74"/>
      <c r="C80" s="1"/>
      <c r="D80" s="1"/>
      <c r="E80" s="42"/>
      <c r="F80" s="42"/>
      <c r="G80" s="42"/>
      <c r="H80" s="42"/>
      <c r="I80" s="42"/>
      <c r="K80" s="42"/>
      <c r="L80" s="42"/>
      <c r="M80" s="42"/>
      <c r="O80" s="42"/>
      <c r="P80" s="42"/>
      <c r="R80" s="42"/>
      <c r="S80" s="42"/>
    </row>
    <row r="81" spans="1:83" ht="15" customHeight="1" outlineLevel="1" x14ac:dyDescent="0.2">
      <c r="B81" s="22" t="s">
        <v>75</v>
      </c>
      <c r="C81" s="22"/>
      <c r="D81" s="22"/>
      <c r="E81" s="43"/>
      <c r="F81" s="44"/>
      <c r="G81" s="44"/>
      <c r="H81" s="44"/>
      <c r="I81" s="44"/>
      <c r="J81" s="24"/>
      <c r="K81" s="45"/>
      <c r="L81" s="45"/>
      <c r="M81" s="45"/>
      <c r="O81" s="44"/>
      <c r="P81" s="44"/>
      <c r="R81" s="44"/>
      <c r="S81" s="44"/>
      <c r="U81" s="23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</row>
    <row r="82" spans="1:83" ht="15" customHeight="1" outlineLevel="1" x14ac:dyDescent="0.2">
      <c r="B82" s="53" t="s">
        <v>76</v>
      </c>
      <c r="C82" s="26"/>
      <c r="D82" s="26"/>
      <c r="E82" s="27">
        <f>2501479.68*2</f>
        <v>5002959.3600000003</v>
      </c>
      <c r="F82" s="28">
        <f>2501479.68*2</f>
        <v>5002959.3600000003</v>
      </c>
      <c r="G82" s="28">
        <v>7428736.2800000003</v>
      </c>
      <c r="H82" s="28">
        <v>7428736.2800000003</v>
      </c>
      <c r="I82" s="29">
        <f>SUMIFS(Iluminacion!$T:$T,Iluminacion!$B:$B,$B82&amp;"*")</f>
        <v>7428736.2800000003</v>
      </c>
      <c r="J82" s="30">
        <f>IFERROR(I82/E82-1,0)</f>
        <v>0.48486840396800668</v>
      </c>
      <c r="K82" s="31">
        <f>I82/(UNITARIO!$D$9+UNITARIO!$I$9)</f>
        <v>2537.4833583822924</v>
      </c>
      <c r="L82" s="31">
        <f>E82/$D$1</f>
        <v>285883.39199999999</v>
      </c>
      <c r="M82" s="31">
        <f>I82/$D$1</f>
        <v>424499.21600000001</v>
      </c>
      <c r="N82" s="46"/>
      <c r="O82" s="29">
        <f>SUMIFS(Iluminacion!$T:$T,Iluminacion!$B:$B,$B82&amp;"*",Iluminacion!$V:$V,$O$4)</f>
        <v>6210736.2800000003</v>
      </c>
      <c r="P82" s="29">
        <f>SUMIFS(Iluminacion!$T:$T,Iluminacion!$B:$B,$B82&amp;"*",Iluminacion!$V:$V,$P$4)</f>
        <v>1218000</v>
      </c>
      <c r="Q82" s="46"/>
      <c r="R82" s="29">
        <f>SUMIFS(Iluminacion!$T:$T,Iluminacion!$B:$B,$B82&amp;"*",Iluminacion!$W:$W,$R$4)</f>
        <v>0</v>
      </c>
      <c r="S82" s="29">
        <f>SUMIFS(Iluminacion!$T:$T,Iluminacion!$B:$B,$B82&amp;"*",Iluminacion!$W:$W,$S$4)</f>
        <v>7428736.2800000003</v>
      </c>
      <c r="U82" s="32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</row>
    <row r="83" spans="1:83" ht="15" customHeight="1" outlineLevel="1" x14ac:dyDescent="0.2">
      <c r="A83" s="2"/>
      <c r="B83" s="67" t="s">
        <v>77</v>
      </c>
      <c r="C83" s="68"/>
      <c r="D83" s="68"/>
      <c r="E83" s="69">
        <f>SUM(E82)</f>
        <v>5002959.3600000003</v>
      </c>
      <c r="F83" s="69">
        <f>SUM(F82)</f>
        <v>5002959.3600000003</v>
      </c>
      <c r="G83" s="69">
        <f>SUM(G82)</f>
        <v>7428736.2800000003</v>
      </c>
      <c r="H83" s="69">
        <f>SUM(H82)</f>
        <v>7428736.2800000003</v>
      </c>
      <c r="I83" s="70">
        <f>SUM(I82)</f>
        <v>7428736.2800000003</v>
      </c>
      <c r="J83" s="71">
        <f>IFERROR(I83/E83-1,0)</f>
        <v>0.48486840396800668</v>
      </c>
      <c r="K83" s="69">
        <f>I83/(UNITARIO!$D$9+UNITARIO!$I$9)</f>
        <v>2537.4833583822924</v>
      </c>
      <c r="L83" s="69">
        <f>E83/$D$1</f>
        <v>285883.39199999999</v>
      </c>
      <c r="M83" s="69">
        <f>I83/$D$1</f>
        <v>424499.21600000001</v>
      </c>
      <c r="N83" s="66"/>
      <c r="O83" s="70">
        <f>SUM(O82)</f>
        <v>6210736.2800000003</v>
      </c>
      <c r="P83" s="70">
        <f>SUM(P82)</f>
        <v>1218000</v>
      </c>
      <c r="Q83" s="66"/>
      <c r="R83" s="70">
        <f>SUM(R82)</f>
        <v>0</v>
      </c>
      <c r="S83" s="70">
        <f>SUM(S82)</f>
        <v>7428736.2800000003</v>
      </c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</row>
    <row r="84" spans="1:83" ht="15" customHeight="1" x14ac:dyDescent="0.2">
      <c r="B84" s="1"/>
      <c r="C84" s="74"/>
      <c r="D84" s="1"/>
      <c r="E84" s="42"/>
      <c r="F84" s="42"/>
      <c r="G84" s="42"/>
      <c r="H84" s="42"/>
      <c r="I84" s="42"/>
      <c r="K84" s="42"/>
      <c r="L84" s="42"/>
      <c r="M84" s="42"/>
      <c r="O84" s="42"/>
      <c r="P84" s="42"/>
      <c r="R84" s="42"/>
      <c r="S84" s="42"/>
    </row>
    <row r="85" spans="1:83" ht="12" customHeight="1" x14ac:dyDescent="0.2">
      <c r="B85" s="17" t="s">
        <v>78</v>
      </c>
      <c r="C85" s="17"/>
      <c r="D85" s="17"/>
      <c r="E85" s="18">
        <f>E88</f>
        <v>11600000</v>
      </c>
      <c r="F85" s="19">
        <f>F88</f>
        <v>5096214.08</v>
      </c>
      <c r="G85" s="19">
        <f>G88</f>
        <v>16880129.760000002</v>
      </c>
      <c r="H85" s="18">
        <f>H88</f>
        <v>16880129.760000002</v>
      </c>
      <c r="I85" s="18">
        <f>I88</f>
        <v>16880129.760000005</v>
      </c>
      <c r="J85" s="20">
        <f>IFERROR(I85/E85-1,0)</f>
        <v>0.45518360000000047</v>
      </c>
      <c r="K85" s="18">
        <f>I85/(UNITARIO!$D$9+UNITARIO!$I$9)</f>
        <v>5765.8593250444064</v>
      </c>
      <c r="L85" s="18">
        <f>E85/$D$1</f>
        <v>662857.14285714284</v>
      </c>
      <c r="M85" s="18">
        <f>I85/$D$1</f>
        <v>964578.84342857171</v>
      </c>
      <c r="O85" s="18">
        <f>O88</f>
        <v>0</v>
      </c>
      <c r="P85" s="18">
        <f>P88</f>
        <v>16880129.760000005</v>
      </c>
      <c r="R85" s="18">
        <f>R88</f>
        <v>0</v>
      </c>
      <c r="S85" s="18">
        <f>S88</f>
        <v>16880129.760000005</v>
      </c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</row>
    <row r="86" spans="1:83" ht="12" customHeight="1" outlineLevel="1" x14ac:dyDescent="0.2">
      <c r="B86" s="22" t="s">
        <v>78</v>
      </c>
      <c r="C86" s="22"/>
      <c r="D86" s="22"/>
      <c r="E86" s="43"/>
      <c r="F86" s="44"/>
      <c r="G86" s="44"/>
      <c r="H86" s="44"/>
      <c r="I86" s="44"/>
      <c r="J86" s="24"/>
      <c r="K86" s="45"/>
      <c r="L86" s="45"/>
      <c r="M86" s="45"/>
      <c r="O86" s="44"/>
      <c r="P86" s="44"/>
      <c r="R86" s="44"/>
      <c r="S86" s="44"/>
      <c r="U86" s="23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</row>
    <row r="87" spans="1:83" ht="12" customHeight="1" outlineLevel="1" x14ac:dyDescent="0.2">
      <c r="A87" s="2"/>
      <c r="B87" s="53" t="s">
        <v>79</v>
      </c>
      <c r="C87" s="54"/>
      <c r="D87" s="54"/>
      <c r="E87" s="55">
        <f>5800000*2</f>
        <v>11600000</v>
      </c>
      <c r="F87" s="56">
        <f>2548107.04*2</f>
        <v>5096214.08</v>
      </c>
      <c r="G87" s="56">
        <v>16880129.760000002</v>
      </c>
      <c r="H87" s="56">
        <v>16880129.760000002</v>
      </c>
      <c r="I87" s="57">
        <f>SUMIFS(Acabados!$T:$T,Acabados!$B:$B,$B87&amp;"*")</f>
        <v>16880129.760000005</v>
      </c>
      <c r="J87" s="58">
        <f>IFERROR(I87/E87-1,0)</f>
        <v>0.45518360000000047</v>
      </c>
      <c r="K87" s="59">
        <f>I87/(UNITARIO!$D$9+UNITARIO!$I$9)</f>
        <v>5765.8593250444064</v>
      </c>
      <c r="L87" s="59">
        <f>E87/$D$1</f>
        <v>662857.14285714284</v>
      </c>
      <c r="M87" s="59">
        <f>I87/$D$1</f>
        <v>964578.84342857171</v>
      </c>
      <c r="N87" s="46"/>
      <c r="O87" s="57">
        <f>SUMIFS(Acabados!$T:$T,Acabados!$B:$B,$B87&amp;"*",Acabados!$V:$V,$O$4)</f>
        <v>0</v>
      </c>
      <c r="P87" s="57">
        <f>SUMIFS(Acabados!$T:$T,Acabados!$B:$B,$B87&amp;"*",Acabados!$V:$V,$P$4)</f>
        <v>16880129.760000005</v>
      </c>
      <c r="Q87" s="46"/>
      <c r="R87" s="57">
        <f>SUMIFS(Acabados!$T:$T,Acabados!$B:$B,$B87&amp;"*",Acabados!$W:$W,$R$4)</f>
        <v>0</v>
      </c>
      <c r="S87" s="57">
        <f>SUMIFS(Acabados!$T:$T,Acabados!$B:$B,$B87&amp;"*",Acabados!$W:$W,$S$4)</f>
        <v>16880129.760000005</v>
      </c>
      <c r="U87" s="60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2"/>
    </row>
    <row r="88" spans="1:83" ht="12" customHeight="1" outlineLevel="1" x14ac:dyDescent="0.2">
      <c r="A88" s="2"/>
      <c r="B88" s="67" t="s">
        <v>80</v>
      </c>
      <c r="C88" s="68"/>
      <c r="D88" s="68"/>
      <c r="E88" s="69">
        <f>SUM(E87)</f>
        <v>11600000</v>
      </c>
      <c r="F88" s="69">
        <f>SUM(F87)</f>
        <v>5096214.08</v>
      </c>
      <c r="G88" s="69">
        <f>SUM(G87)</f>
        <v>16880129.760000002</v>
      </c>
      <c r="H88" s="69">
        <f>SUM(H87)</f>
        <v>16880129.760000002</v>
      </c>
      <c r="I88" s="70">
        <f>SUM(I87)</f>
        <v>16880129.760000005</v>
      </c>
      <c r="J88" s="71">
        <f>IFERROR(I88/E88-1,0)</f>
        <v>0.45518360000000047</v>
      </c>
      <c r="K88" s="69">
        <f>I88/(UNITARIO!$D$9+UNITARIO!$I$9)</f>
        <v>5765.8593250444064</v>
      </c>
      <c r="L88" s="69">
        <f>E88/$D$1</f>
        <v>662857.14285714284</v>
      </c>
      <c r="M88" s="69">
        <f>I88/$D$1</f>
        <v>964578.84342857171</v>
      </c>
      <c r="N88" s="2"/>
      <c r="O88" s="70">
        <f>SUM(O87)</f>
        <v>0</v>
      </c>
      <c r="P88" s="70">
        <f>SUM(P87)</f>
        <v>16880129.760000005</v>
      </c>
      <c r="Q88" s="2"/>
      <c r="R88" s="70">
        <f>SUM(R87)</f>
        <v>0</v>
      </c>
      <c r="S88" s="70">
        <f>SUM(S87)</f>
        <v>16880129.760000005</v>
      </c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2"/>
    </row>
    <row r="89" spans="1:83" ht="15" customHeight="1" x14ac:dyDescent="0.2">
      <c r="B89" s="1"/>
      <c r="C89" s="62"/>
      <c r="D89" s="1"/>
      <c r="E89" s="42"/>
      <c r="F89" s="42"/>
      <c r="G89" s="42"/>
      <c r="H89" s="42"/>
      <c r="I89" s="42"/>
      <c r="K89" s="42"/>
      <c r="L89" s="42"/>
      <c r="M89" s="42"/>
      <c r="O89" s="42"/>
      <c r="P89" s="42"/>
      <c r="R89" s="42"/>
      <c r="S89" s="42"/>
    </row>
    <row r="90" spans="1:83" ht="12" customHeight="1" x14ac:dyDescent="0.2">
      <c r="B90" s="17" t="s">
        <v>81</v>
      </c>
      <c r="C90" s="17"/>
      <c r="D90" s="17"/>
      <c r="E90" s="18">
        <f>E94+E99+E104+E111+E117+E121+E130</f>
        <v>145986778.56239998</v>
      </c>
      <c r="F90" s="19">
        <f>F94+F99+F104+F111+F117+F121+F130</f>
        <v>126686973.72905964</v>
      </c>
      <c r="G90" s="19">
        <f>G94+G99+G104+G111+G117+G121+G130</f>
        <v>135994467.01363927</v>
      </c>
      <c r="H90" s="18">
        <f>H94+H99+H104+H111+H117+H121+H130</f>
        <v>144055760.55363929</v>
      </c>
      <c r="I90" s="18">
        <f>I94+I99+I104+I111+I117+I121+I130</f>
        <v>144493817.0011135</v>
      </c>
      <c r="J90" s="20">
        <f>IFERROR(I90/E90-1,0)</f>
        <v>-1.0226690224884538E-2</v>
      </c>
      <c r="K90" s="18">
        <f>I90/(UNITARIO!$D$9+UNITARIO!$I$9)</f>
        <v>49355.72380144606</v>
      </c>
      <c r="L90" s="18">
        <f>E90/$D$1</f>
        <v>8342101.6321371421</v>
      </c>
      <c r="M90" s="18">
        <f>I90/$D$1</f>
        <v>8256789.542920772</v>
      </c>
      <c r="O90" s="18">
        <f>O94+O99+O104+O111+O117+O121+O130</f>
        <v>109005591.90111351</v>
      </c>
      <c r="P90" s="18">
        <f>P94+P99+P104+P111+P117+P121+P130</f>
        <v>35488225.100000001</v>
      </c>
      <c r="R90" s="18">
        <f>R94+R99+R104+R111+R117+R121+R130</f>
        <v>40103520</v>
      </c>
      <c r="S90" s="18">
        <f>S94+S99+S104+S111+S117+S121+S130</f>
        <v>95444817.801113486</v>
      </c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</row>
    <row r="91" spans="1:83" ht="12" customHeight="1" outlineLevel="1" x14ac:dyDescent="0.2">
      <c r="B91" s="22" t="s">
        <v>82</v>
      </c>
      <c r="C91" s="22"/>
      <c r="D91" s="22"/>
      <c r="E91" s="43"/>
      <c r="F91" s="44"/>
      <c r="G91" s="44"/>
      <c r="H91" s="44"/>
      <c r="I91" s="44"/>
      <c r="J91" s="24"/>
      <c r="K91" s="45"/>
      <c r="L91" s="45"/>
      <c r="M91" s="45"/>
      <c r="O91" s="44"/>
      <c r="P91" s="44"/>
      <c r="R91" s="44"/>
      <c r="S91" s="44"/>
      <c r="U91" s="23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</row>
    <row r="92" spans="1:83" ht="12" customHeight="1" outlineLevel="1" x14ac:dyDescent="0.2">
      <c r="B92" s="26" t="s">
        <v>83</v>
      </c>
      <c r="C92" s="26"/>
      <c r="D92" s="26"/>
      <c r="E92" s="27">
        <f>2320000*2</f>
        <v>4640000</v>
      </c>
      <c r="F92" s="28">
        <v>2320000</v>
      </c>
      <c r="G92" s="28">
        <v>4640000</v>
      </c>
      <c r="H92" s="28">
        <v>4640000</v>
      </c>
      <c r="I92" s="29">
        <f>SUMIFS(Herreria!$T:$T,Herreria!$C:$C,$B92)</f>
        <v>4640000</v>
      </c>
      <c r="J92" s="30">
        <f>IFERROR(I92/E92-1,0)</f>
        <v>0</v>
      </c>
      <c r="K92" s="31">
        <f>I92/(UNITARIO!$D$9+UNITARIO!$I$9)</f>
        <v>1584.9159721273395</v>
      </c>
      <c r="L92" s="31">
        <f>E92/$D$1</f>
        <v>265142.85714285716</v>
      </c>
      <c r="M92" s="31">
        <f>I92/$D$1</f>
        <v>265142.85714285716</v>
      </c>
      <c r="N92" s="46"/>
      <c r="O92" s="29">
        <f>SUMIFS(Herreria!$T:$T,Herreria!$C:$C,$B92,Herreria!$V:$V,$O$4)</f>
        <v>0</v>
      </c>
      <c r="P92" s="29">
        <f>SUMIFS(Herreria!$T:$T,Herreria!$C:$C,$B92,Herreria!$V:$V,$P$4)</f>
        <v>4640000</v>
      </c>
      <c r="Q92" s="46"/>
      <c r="R92" s="29">
        <f>SUMIFS(Herreria!$T:$T,Herreria!$C:$C,$B92,Herreria!$W:$W,$R$4)</f>
        <v>0</v>
      </c>
      <c r="S92" s="29">
        <f>SUMIFS(Herreria!$T:$T,Herreria!$C:$C,$B92,Herreria!$W:$W,$S$4)</f>
        <v>4640000</v>
      </c>
      <c r="U92" s="32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</row>
    <row r="93" spans="1:83" ht="12" customHeight="1" outlineLevel="1" x14ac:dyDescent="0.2">
      <c r="B93" s="26" t="s">
        <v>84</v>
      </c>
      <c r="C93" s="26"/>
      <c r="D93" s="26"/>
      <c r="E93" s="27">
        <f>0*2</f>
        <v>0</v>
      </c>
      <c r="F93" s="28">
        <v>0</v>
      </c>
      <c r="G93" s="28">
        <v>0</v>
      </c>
      <c r="H93" s="28">
        <v>0</v>
      </c>
      <c r="I93" s="29">
        <f>SUMIFS(Herreria!$T:$T,Herreria!$C:$C,$B93)</f>
        <v>0</v>
      </c>
      <c r="J93" s="30">
        <f>IFERROR(I93/E93-1,0)</f>
        <v>0</v>
      </c>
      <c r="K93" s="31">
        <f>I93/(UNITARIO!$D$9+UNITARIO!$I$9)</f>
        <v>0</v>
      </c>
      <c r="L93" s="31">
        <f>E93/$D$1</f>
        <v>0</v>
      </c>
      <c r="M93" s="31">
        <f>I93/$D$1</f>
        <v>0</v>
      </c>
      <c r="N93" s="46"/>
      <c r="O93" s="29">
        <f>SUMIFS(Herreria!$T:$T,Herreria!$C:$C,$B93,Herreria!$V:$V,$O$4)</f>
        <v>0</v>
      </c>
      <c r="P93" s="29">
        <f>SUMIFS(Herreria!$T:$T,Herreria!$C:$C,$B93,Herreria!$V:$V,$P$4)</f>
        <v>0</v>
      </c>
      <c r="Q93" s="46"/>
      <c r="R93" s="29">
        <f>SUMIFS(Herreria!$T:$T,Herreria!$C:$C,$B93,Herreria!$W:$W,$R$4)</f>
        <v>0</v>
      </c>
      <c r="S93" s="29">
        <f>SUMIFS(Herreria!$T:$T,Herreria!$C:$C,$B93,Herreria!$W:$W,$S$4)</f>
        <v>0</v>
      </c>
      <c r="U93" s="32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</row>
    <row r="94" spans="1:83" ht="12" customHeight="1" outlineLevel="1" x14ac:dyDescent="0.2">
      <c r="B94" s="34" t="s">
        <v>85</v>
      </c>
      <c r="C94" s="34"/>
      <c r="D94" s="34"/>
      <c r="E94" s="35">
        <f>SUM(E92:E93)</f>
        <v>4640000</v>
      </c>
      <c r="F94" s="36">
        <f>SUM(F92:F93)</f>
        <v>2320000</v>
      </c>
      <c r="G94" s="36">
        <f>SUM(G92:G93)</f>
        <v>4640000</v>
      </c>
      <c r="H94" s="36">
        <f>SUM(H92:H93)</f>
        <v>4640000</v>
      </c>
      <c r="I94" s="37">
        <f>SUM(I92:I93)</f>
        <v>4640000</v>
      </c>
      <c r="J94" s="47">
        <f>IFERROR(I94/E94-1,0)</f>
        <v>0</v>
      </c>
      <c r="K94" s="39">
        <f>I94/(UNITARIO!$D$9+UNITARIO!$I$9)</f>
        <v>1584.9159721273395</v>
      </c>
      <c r="L94" s="39">
        <f>SUM(L92:L93)</f>
        <v>265142.85714285716</v>
      </c>
      <c r="M94" s="39">
        <f>SUM(M92:M93)</f>
        <v>265142.85714285716</v>
      </c>
      <c r="O94" s="37">
        <f>SUM(O92:O93)</f>
        <v>0</v>
      </c>
      <c r="P94" s="37">
        <f>SUM(P92:P93)</f>
        <v>4640000</v>
      </c>
      <c r="R94" s="37">
        <f>SUM(R92:R93)</f>
        <v>0</v>
      </c>
      <c r="S94" s="37">
        <f>SUM(S92:S93)</f>
        <v>4640000</v>
      </c>
      <c r="U94" s="40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</row>
    <row r="95" spans="1:83" ht="15" customHeight="1" outlineLevel="1" x14ac:dyDescent="0.2">
      <c r="B95" s="1"/>
      <c r="C95" s="74"/>
      <c r="D95" s="1"/>
      <c r="E95" s="42"/>
      <c r="F95" s="42"/>
      <c r="G95" s="42"/>
      <c r="H95" s="42"/>
      <c r="I95" s="42"/>
      <c r="K95" s="42"/>
      <c r="L95" s="42"/>
      <c r="M95" s="42"/>
      <c r="O95" s="42"/>
      <c r="P95" s="42"/>
      <c r="R95" s="42"/>
      <c r="S95" s="42"/>
    </row>
    <row r="96" spans="1:83" ht="12" customHeight="1" outlineLevel="1" x14ac:dyDescent="0.2">
      <c r="B96" s="22" t="s">
        <v>86</v>
      </c>
      <c r="C96" s="22"/>
      <c r="D96" s="22"/>
      <c r="E96" s="43"/>
      <c r="F96" s="44"/>
      <c r="G96" s="44"/>
      <c r="H96" s="44"/>
      <c r="I96" s="44"/>
      <c r="J96" s="24"/>
      <c r="K96" s="45"/>
      <c r="L96" s="45"/>
      <c r="M96" s="45"/>
      <c r="O96" s="44"/>
      <c r="P96" s="44"/>
      <c r="R96" s="44"/>
      <c r="S96" s="44"/>
      <c r="U96" s="23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CE96" s="1">
        <v>2</v>
      </c>
    </row>
    <row r="97" spans="1:81" ht="12" customHeight="1" outlineLevel="1" x14ac:dyDescent="0.2">
      <c r="A97" s="2"/>
      <c r="B97" s="53" t="s">
        <v>87</v>
      </c>
      <c r="C97" s="54"/>
      <c r="D97" s="54"/>
      <c r="E97" s="55">
        <f>7302034.2276091*2</f>
        <v>14604068.4552182</v>
      </c>
      <c r="F97" s="56">
        <f>7140971.6*2</f>
        <v>14281943.199999999</v>
      </c>
      <c r="G97" s="56">
        <v>8739576.3000000007</v>
      </c>
      <c r="H97" s="56">
        <v>8739576.3000000007</v>
      </c>
      <c r="I97" s="57">
        <f>SUMIFS(Sumin_Coloc_Marmol!$T:$T,Sumin_Coloc_Marmol!$B:$B,$B97&amp;"*")</f>
        <v>8739576.3000000007</v>
      </c>
      <c r="J97" s="58">
        <f>IFERROR(I97/E97-1,0)</f>
        <v>-0.40156564406699624</v>
      </c>
      <c r="K97" s="59">
        <f>I97/(UNITARIO!$D$9+UNITARIO!$I$9)</f>
        <v>2985.2357904085256</v>
      </c>
      <c r="L97" s="59">
        <f>E97/$D$1</f>
        <v>834518.19744103996</v>
      </c>
      <c r="M97" s="59">
        <f>I97/$D$1</f>
        <v>499404.36000000004</v>
      </c>
      <c r="N97" s="66"/>
      <c r="O97" s="57">
        <f>SUMIFS(Sumin_Coloc_Marmol!$T:$T,Sumin_Coloc_Marmol!$B:$B,$B97&amp;"*",Sumin_Coloc_Marmol!$V:$V,$O$4)</f>
        <v>0</v>
      </c>
      <c r="P97" s="57">
        <f>SUMIFS(Sumin_Coloc_Marmol!$T:$T,Sumin_Coloc_Marmol!$B:$B,$B97&amp;"*",Sumin_Coloc_Marmol!$V:$V,$P$4)</f>
        <v>8739576.3000000007</v>
      </c>
      <c r="Q97" s="66"/>
      <c r="R97" s="57">
        <f>SUMIFS(Sumin_Coloc_Marmol!$T:$T,Sumin_Coloc_Marmol!$B:$B,$B97&amp;"*",Sumin_Coloc_Marmol!$W:$W,$R$4)</f>
        <v>0</v>
      </c>
      <c r="S97" s="57">
        <f>SUMIFS(Sumin_Coloc_Marmol!$T:$T,Sumin_Coloc_Marmol!$B:$B,$B97&amp;"*",Sumin_Coloc_Marmol!$W:$W,$S$4)</f>
        <v>8739576.3000000007</v>
      </c>
      <c r="U97" s="60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2"/>
      <c r="CA97" s="75"/>
      <c r="CB97" s="42"/>
      <c r="CC97" s="42"/>
    </row>
    <row r="98" spans="1:81" ht="12" customHeight="1" outlineLevel="1" x14ac:dyDescent="0.2">
      <c r="A98" s="2"/>
      <c r="B98" s="53" t="s">
        <v>88</v>
      </c>
      <c r="C98" s="54"/>
      <c r="D98" s="54"/>
      <c r="E98" s="55">
        <f>7118641.4923909*2</f>
        <v>14237282.9847818</v>
      </c>
      <c r="F98" s="56">
        <f>6961624*2</f>
        <v>13923248</v>
      </c>
      <c r="G98" s="56">
        <v>12634102.880000001</v>
      </c>
      <c r="H98" s="56">
        <v>12634102.880000001</v>
      </c>
      <c r="I98" s="57">
        <f>SUMIFS(Sumin_Coloc_Marmol!$T:$T,Sumin_Coloc_Marmol!$B:$B,$B98&amp;"*")</f>
        <v>12634102.879999999</v>
      </c>
      <c r="J98" s="58">
        <f>IFERROR(I98/E98-1,0)</f>
        <v>-0.11260435762184662</v>
      </c>
      <c r="K98" s="59">
        <f>I98/(UNITARIO!$D$9+UNITARIO!$I$9)</f>
        <v>4315.5153982784523</v>
      </c>
      <c r="L98" s="59">
        <f>E98/$D$1</f>
        <v>813559.0277018171</v>
      </c>
      <c r="M98" s="59">
        <f>I98/$D$1</f>
        <v>721948.73599999992</v>
      </c>
      <c r="N98" s="66"/>
      <c r="O98" s="57">
        <f>SUMIFS(Sumin_Coloc_Marmol!$T:$T,Sumin_Coloc_Marmol!$B:$B,$B98&amp;"*",Sumin_Coloc_Marmol!$V:$V,$O$4)</f>
        <v>0</v>
      </c>
      <c r="P98" s="57">
        <f>SUMIFS(Sumin_Coloc_Marmol!$T:$T,Sumin_Coloc_Marmol!$B:$B,$B98&amp;"*",Sumin_Coloc_Marmol!$V:$V,$P$4)</f>
        <v>12634102.879999999</v>
      </c>
      <c r="Q98" s="66"/>
      <c r="R98" s="57">
        <f>SUMIFS(Sumin_Coloc_Marmol!$T:$T,Sumin_Coloc_Marmol!$B:$B,$B98&amp;"*",Sumin_Coloc_Marmol!$W:$W,$R$4)</f>
        <v>0</v>
      </c>
      <c r="S98" s="57">
        <f>SUMIFS(Sumin_Coloc_Marmol!$T:$T,Sumin_Coloc_Marmol!$B:$B,$B98&amp;"*",Sumin_Coloc_Marmol!$W:$W,$S$4)</f>
        <v>12634102.879999999</v>
      </c>
      <c r="U98" s="60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2"/>
      <c r="CA98" s="75"/>
      <c r="CB98" s="42"/>
      <c r="CC98" s="42"/>
    </row>
    <row r="99" spans="1:81" ht="12" customHeight="1" outlineLevel="1" x14ac:dyDescent="0.2">
      <c r="A99" s="2"/>
      <c r="B99" s="67" t="s">
        <v>89</v>
      </c>
      <c r="C99" s="68"/>
      <c r="D99" s="68"/>
      <c r="E99" s="69">
        <f>SUM(E97:E98)</f>
        <v>28841351.439999998</v>
      </c>
      <c r="F99" s="69">
        <f>SUM(F97:F98)</f>
        <v>28205191.199999999</v>
      </c>
      <c r="G99" s="69">
        <f>SUM(G97:G98)</f>
        <v>21373679.18</v>
      </c>
      <c r="H99" s="69">
        <f>SUM(H97:H98)</f>
        <v>21373679.18</v>
      </c>
      <c r="I99" s="70">
        <f>SUM(I97:I98)</f>
        <v>21373679.18</v>
      </c>
      <c r="J99" s="71">
        <f>IFERROR(I99/E99-1,0)</f>
        <v>-0.25892241130015503</v>
      </c>
      <c r="K99" s="69">
        <f>I99/(UNITARIO!$D$9+UNITARIO!$I$9)</f>
        <v>7300.7511886869779</v>
      </c>
      <c r="L99" s="69">
        <f>E99/$D$1</f>
        <v>1648077.2251428571</v>
      </c>
      <c r="M99" s="69">
        <f>I99/$D$1</f>
        <v>1221353.0959999999</v>
      </c>
      <c r="N99" s="66"/>
      <c r="O99" s="70">
        <f>SUM(O97:O98)</f>
        <v>0</v>
      </c>
      <c r="P99" s="70">
        <f>SUM(P97:P98)</f>
        <v>21373679.18</v>
      </c>
      <c r="Q99" s="66"/>
      <c r="R99" s="70">
        <f>SUM(R97:R98)</f>
        <v>0</v>
      </c>
      <c r="S99" s="70">
        <f>SUM(S97:S98)</f>
        <v>21373679.18</v>
      </c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2"/>
      <c r="CA99" s="75"/>
      <c r="CB99" s="42"/>
      <c r="CC99" s="42"/>
    </row>
    <row r="100" spans="1:81" ht="15" customHeight="1" outlineLevel="1" x14ac:dyDescent="0.2">
      <c r="B100" s="1"/>
      <c r="C100" s="62"/>
      <c r="D100" s="1"/>
      <c r="E100" s="42"/>
      <c r="F100" s="42"/>
      <c r="G100" s="42"/>
      <c r="H100" s="42"/>
      <c r="I100" s="42"/>
      <c r="K100" s="42"/>
      <c r="L100" s="42"/>
      <c r="M100" s="42"/>
      <c r="O100" s="42"/>
      <c r="P100" s="42"/>
      <c r="R100" s="42"/>
      <c r="S100" s="42"/>
      <c r="CA100" s="76"/>
      <c r="CB100" s="42"/>
      <c r="CC100" s="42"/>
    </row>
    <row r="101" spans="1:81" ht="12" customHeight="1" outlineLevel="1" x14ac:dyDescent="0.2">
      <c r="B101" s="22" t="s">
        <v>90</v>
      </c>
      <c r="C101" s="22"/>
      <c r="D101" s="22"/>
      <c r="E101" s="43"/>
      <c r="F101" s="44"/>
      <c r="G101" s="44"/>
      <c r="H101" s="44"/>
      <c r="I101" s="44"/>
      <c r="J101" s="24"/>
      <c r="K101" s="45"/>
      <c r="L101" s="45"/>
      <c r="M101" s="45"/>
      <c r="O101" s="44"/>
      <c r="P101" s="44"/>
      <c r="R101" s="44"/>
      <c r="S101" s="44"/>
      <c r="U101" s="23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CB101" s="42"/>
      <c r="CC101" s="42"/>
    </row>
    <row r="102" spans="1:81" ht="12" customHeight="1" outlineLevel="1" x14ac:dyDescent="0.2">
      <c r="B102" s="26" t="s">
        <v>91</v>
      </c>
      <c r="C102" s="26"/>
      <c r="D102" s="26"/>
      <c r="E102" s="27">
        <f>0*2</f>
        <v>0</v>
      </c>
      <c r="F102" s="28">
        <f>0*2</f>
        <v>0</v>
      </c>
      <c r="G102" s="28">
        <v>0</v>
      </c>
      <c r="H102" s="28">
        <v>0</v>
      </c>
      <c r="I102" s="29">
        <f>SUMIFS(Madera_De_Ingenieria!$T:$T,Madera_De_Ingenieria!$C:$C,$B102)</f>
        <v>0</v>
      </c>
      <c r="J102" s="30">
        <f>IFERROR(I102/E102-1,0)</f>
        <v>0</v>
      </c>
      <c r="K102" s="31">
        <f>I102/(UNITARIO!$D$9+UNITARIO!$I$9)</f>
        <v>0</v>
      </c>
      <c r="L102" s="31">
        <f>E102/$D$1</f>
        <v>0</v>
      </c>
      <c r="M102" s="31">
        <f>I102/$D$1</f>
        <v>0</v>
      </c>
      <c r="N102" s="46"/>
      <c r="O102" s="29">
        <f>SUMIFS(Madera_De_Ingenieria!$T:$T,Madera_De_Ingenieria!$C:$C,$B102,Madera_De_Ingenieria!$V:$V,$O$4)</f>
        <v>0</v>
      </c>
      <c r="P102" s="29">
        <f>SUMIFS(Madera_De_Ingenieria!$T:$T,Madera_De_Ingenieria!$C:$C,$B102,Madera_De_Ingenieria!$V:$V,$P$4)</f>
        <v>0</v>
      </c>
      <c r="Q102" s="46"/>
      <c r="R102" s="29">
        <f>SUMIFS(Madera_De_Ingenieria!$T:$T,Madera_De_Ingenieria!$C:$C,$B102,Madera_De_Ingenieria!$W:$W,$R$4)</f>
        <v>0</v>
      </c>
      <c r="S102" s="29">
        <f>SUMIFS(Madera_De_Ingenieria!$T:$T,Madera_De_Ingenieria!$C:$C,$B102,Madera_De_Ingenieria!$W:$W,$S$4)</f>
        <v>0</v>
      </c>
      <c r="U102" s="32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</row>
    <row r="103" spans="1:81" ht="12" customHeight="1" outlineLevel="1" x14ac:dyDescent="0.2">
      <c r="B103" s="26" t="s">
        <v>92</v>
      </c>
      <c r="C103" s="26"/>
      <c r="D103" s="26"/>
      <c r="E103" s="27">
        <f>0*2</f>
        <v>0</v>
      </c>
      <c r="F103" s="28">
        <f>0*2</f>
        <v>0</v>
      </c>
      <c r="G103" s="28">
        <v>0</v>
      </c>
      <c r="H103" s="28">
        <v>0</v>
      </c>
      <c r="I103" s="29">
        <f>SUMIFS(Madera_De_Ingenieria!$T:$T,Madera_De_Ingenieria!$C:$C,$B103)</f>
        <v>0</v>
      </c>
      <c r="J103" s="30">
        <f>IFERROR(I103/E103-1,0)</f>
        <v>0</v>
      </c>
      <c r="K103" s="31">
        <f>I103/(UNITARIO!$D$9+UNITARIO!$I$9)</f>
        <v>0</v>
      </c>
      <c r="L103" s="31">
        <f>E103/$D$1</f>
        <v>0</v>
      </c>
      <c r="M103" s="31">
        <f>I103/$D$1</f>
        <v>0</v>
      </c>
      <c r="N103" s="46"/>
      <c r="O103" s="29">
        <f>SUMIFS(Madera_De_Ingenieria!$T:$T,Madera_De_Ingenieria!$C:$C,$B103,Madera_De_Ingenieria!$V:$V,$O$4)</f>
        <v>0</v>
      </c>
      <c r="P103" s="29">
        <f>SUMIFS(Madera_De_Ingenieria!$T:$T,Madera_De_Ingenieria!$C:$C,$B103,Madera_De_Ingenieria!$V:$V,$P$4)</f>
        <v>0</v>
      </c>
      <c r="Q103" s="46"/>
      <c r="R103" s="29">
        <f>SUMIFS(Madera_De_Ingenieria!$T:$T,Madera_De_Ingenieria!$C:$C,$B103,Madera_De_Ingenieria!$W:$W,$R$4)</f>
        <v>0</v>
      </c>
      <c r="S103" s="29">
        <f>SUMIFS(Madera_De_Ingenieria!$T:$T,Madera_De_Ingenieria!$C:$C,$B103,Madera_De_Ingenieria!$W:$W,$S$4)</f>
        <v>0</v>
      </c>
      <c r="U103" s="32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CB103" s="77"/>
      <c r="CC103" s="77"/>
    </row>
    <row r="104" spans="1:81" ht="12" customHeight="1" outlineLevel="1" x14ac:dyDescent="0.2">
      <c r="B104" s="34" t="s">
        <v>93</v>
      </c>
      <c r="C104" s="34"/>
      <c r="D104" s="34"/>
      <c r="E104" s="35">
        <f>SUM(E102:E103)</f>
        <v>0</v>
      </c>
      <c r="F104" s="36">
        <f>SUM(F102:F103)</f>
        <v>0</v>
      </c>
      <c r="G104" s="36">
        <f>SUM(G102:G103)</f>
        <v>0</v>
      </c>
      <c r="H104" s="36">
        <f>SUM(H102:H103)</f>
        <v>0</v>
      </c>
      <c r="I104" s="37">
        <f>SUM(I102:I103)</f>
        <v>0</v>
      </c>
      <c r="J104" s="47">
        <f>IFERROR(I104/E104-1,0)</f>
        <v>0</v>
      </c>
      <c r="K104" s="39">
        <f>I104/(UNITARIO!$D$9+UNITARIO!$I$9)</f>
        <v>0</v>
      </c>
      <c r="L104" s="39">
        <f>SUM(L102:L103)</f>
        <v>0</v>
      </c>
      <c r="M104" s="39">
        <f>SUM(M102:M103)</f>
        <v>0</v>
      </c>
      <c r="O104" s="37">
        <f>SUM(O102:O103)</f>
        <v>0</v>
      </c>
      <c r="P104" s="37">
        <f>SUM(P102:P103)</f>
        <v>0</v>
      </c>
      <c r="R104" s="37">
        <f>SUM(R102:R103)</f>
        <v>0</v>
      </c>
      <c r="S104" s="37">
        <f>SUM(S102:S103)</f>
        <v>0</v>
      </c>
      <c r="U104" s="40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CB104" s="77"/>
      <c r="CC104" s="77"/>
    </row>
    <row r="105" spans="1:81" ht="15" customHeight="1" outlineLevel="1" x14ac:dyDescent="0.2">
      <c r="B105" s="1"/>
      <c r="C105" s="1"/>
      <c r="D105" s="1"/>
      <c r="E105" s="42"/>
      <c r="F105" s="42"/>
      <c r="G105" s="42"/>
      <c r="H105" s="42"/>
      <c r="I105" s="42"/>
      <c r="K105" s="42"/>
      <c r="L105" s="42"/>
      <c r="M105" s="42"/>
      <c r="O105" s="42"/>
      <c r="P105" s="42"/>
      <c r="R105" s="42"/>
      <c r="S105" s="42"/>
      <c r="CB105" s="77"/>
      <c r="CC105" s="77"/>
    </row>
    <row r="106" spans="1:81" ht="12" customHeight="1" outlineLevel="1" x14ac:dyDescent="0.2">
      <c r="B106" s="22" t="s">
        <v>94</v>
      </c>
      <c r="C106" s="22"/>
      <c r="D106" s="22"/>
      <c r="E106" s="43"/>
      <c r="F106" s="44"/>
      <c r="G106" s="44"/>
      <c r="H106" s="44"/>
      <c r="I106" s="44"/>
      <c r="J106" s="24"/>
      <c r="K106" s="45"/>
      <c r="L106" s="45"/>
      <c r="M106" s="45"/>
      <c r="O106" s="44"/>
      <c r="P106" s="44"/>
      <c r="R106" s="44"/>
      <c r="S106" s="44"/>
      <c r="U106" s="23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CB106" s="77"/>
      <c r="CC106" s="77"/>
    </row>
    <row r="107" spans="1:81" ht="12" customHeight="1" outlineLevel="1" x14ac:dyDescent="0.2">
      <c r="B107" s="26" t="s">
        <v>95</v>
      </c>
      <c r="C107" s="26"/>
      <c r="D107" s="26"/>
      <c r="E107" s="27">
        <f>14076186.5992*2</f>
        <v>28152373.198399998</v>
      </c>
      <c r="F107" s="28">
        <f>11872148.4816*2</f>
        <v>23744296.963199999</v>
      </c>
      <c r="G107" s="28">
        <v>28152373.198399998</v>
      </c>
      <c r="H107" s="28">
        <v>28152373.198399998</v>
      </c>
      <c r="I107" s="29">
        <f>SUMIFS(Vidrios_Y_Canceles!$T:$T,Vidrios_Y_Canceles!$C:$C,$B107)</f>
        <v>28152373.198400006</v>
      </c>
      <c r="J107" s="30">
        <f>IFERROR(I107/E107-1,0)</f>
        <v>2.2204460492503131E-16</v>
      </c>
      <c r="K107" s="31">
        <f>I107/(UNITARIO!$D$9+UNITARIO!$I$9)</f>
        <v>9616.195244705561</v>
      </c>
      <c r="L107" s="31">
        <f>E107/$D$1</f>
        <v>1608707.0399085714</v>
      </c>
      <c r="M107" s="31">
        <f>I107/$D$1</f>
        <v>1608707.0399085719</v>
      </c>
      <c r="N107" s="46"/>
      <c r="O107" s="29">
        <f>SUMIFS(Vidrios_Y_Canceles!$T:$T,Vidrios_Y_Canceles!$C:$C,$B107,Vidrios_Y_Canceles!$V:$V,$O$4)</f>
        <v>28152373.198400006</v>
      </c>
      <c r="P107" s="29">
        <f>SUMIFS(Vidrios_Y_Canceles!$T:$T,Vidrios_Y_Canceles!$C:$C,$B107,Vidrios_Y_Canceles!$V:$V,$P$4)</f>
        <v>0</v>
      </c>
      <c r="Q107" s="46"/>
      <c r="R107" s="29">
        <f>SUMIFS(Vidrios_Y_Canceles!$T:$T,Vidrios_Y_Canceles!$C:$C,$B107,Vidrios_Y_Canceles!$W:$W,$R$4)</f>
        <v>0</v>
      </c>
      <c r="S107" s="29">
        <f>SUMIFS(Vidrios_Y_Canceles!$T:$T,Vidrios_Y_Canceles!$C:$C,$B107,Vidrios_Y_Canceles!$W:$W,$S$4)</f>
        <v>28152373.198400006</v>
      </c>
      <c r="U107" s="32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CB107" s="77"/>
      <c r="CC107" s="77"/>
    </row>
    <row r="108" spans="1:81" ht="12" customHeight="1" outlineLevel="1" x14ac:dyDescent="0.2">
      <c r="B108" s="26" t="s">
        <v>96</v>
      </c>
      <c r="C108" s="26"/>
      <c r="D108" s="26"/>
      <c r="E108" s="27">
        <f>260736.68*2</f>
        <v>521473.36</v>
      </c>
      <c r="F108" s="28">
        <f>260736.68*2</f>
        <v>521473.36</v>
      </c>
      <c r="G108" s="28">
        <v>521473.36</v>
      </c>
      <c r="H108" s="28">
        <v>521473.36</v>
      </c>
      <c r="I108" s="29">
        <f>SUMIFS(Vidrios_Y_Canceles!$T:$T,Vidrios_Y_Canceles!$C:$C,$B108)</f>
        <v>521473.36</v>
      </c>
      <c r="J108" s="30">
        <f>IFERROR(I108/E108-1,0)</f>
        <v>0</v>
      </c>
      <c r="K108" s="31">
        <f>I108/(UNITARIO!$D$9+UNITARIO!$I$9)</f>
        <v>178.12315890148923</v>
      </c>
      <c r="L108" s="31">
        <f>E108/$D$1</f>
        <v>29798.477714285713</v>
      </c>
      <c r="M108" s="31">
        <f>I108/$D$1</f>
        <v>29798.477714285713</v>
      </c>
      <c r="N108" s="46"/>
      <c r="O108" s="29">
        <f>SUMIFS(Vidrios_Y_Canceles!$T:$T,Vidrios_Y_Canceles!$C:$C,$B108,Vidrios_Y_Canceles!$V:$V,$O$4)</f>
        <v>521473.36</v>
      </c>
      <c r="P108" s="29">
        <f>SUMIFS(Vidrios_Y_Canceles!$T:$T,Vidrios_Y_Canceles!$C:$C,$B108,Vidrios_Y_Canceles!$V:$V,$P$4)</f>
        <v>0</v>
      </c>
      <c r="Q108" s="46"/>
      <c r="R108" s="29">
        <f>SUMIFS(Vidrios_Y_Canceles!$T:$T,Vidrios_Y_Canceles!$C:$C,$B108,Vidrios_Y_Canceles!$W:$W,$R$4)</f>
        <v>0</v>
      </c>
      <c r="S108" s="29">
        <f>SUMIFS(Vidrios_Y_Canceles!$T:$T,Vidrios_Y_Canceles!$C:$C,$B108,Vidrios_Y_Canceles!$W:$W,$S$4)</f>
        <v>521473.36</v>
      </c>
      <c r="U108" s="32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</row>
    <row r="109" spans="1:81" ht="12" customHeight="1" outlineLevel="1" x14ac:dyDescent="0.2">
      <c r="B109" s="73" t="s">
        <v>97</v>
      </c>
      <c r="C109" s="26"/>
      <c r="D109" s="26"/>
      <c r="E109" s="27">
        <f>1329441.2*2</f>
        <v>2658882.4</v>
      </c>
      <c r="F109" s="28">
        <f>1329441.2*2</f>
        <v>2658882.4</v>
      </c>
      <c r="G109" s="28">
        <v>2596760.6184</v>
      </c>
      <c r="H109" s="28">
        <v>2596760.6184</v>
      </c>
      <c r="I109" s="29">
        <f>SUMIFS(Vidrios_Y_Canceles!$T:$T,Vidrios_Y_Canceles!$C:$C,$B109)</f>
        <v>2596760.6183999996</v>
      </c>
      <c r="J109" s="30">
        <f>IFERROR(I109/E109-1,0)</f>
        <v>-2.3363869571666807E-2</v>
      </c>
      <c r="K109" s="31">
        <f>I109/(UNITARIO!$D$9+UNITARIO!$I$9)</f>
        <v>886.99296980461781</v>
      </c>
      <c r="L109" s="31">
        <f>E109/$D$1</f>
        <v>151936.13714285713</v>
      </c>
      <c r="M109" s="31">
        <f>I109/$D$1</f>
        <v>148386.32105142856</v>
      </c>
      <c r="N109" s="46"/>
      <c r="O109" s="29">
        <f>SUMIFS(Vidrios_Y_Canceles!$T:$T,Vidrios_Y_Canceles!$C:$C,$B109,Vidrios_Y_Canceles!$V:$V,$O$4)</f>
        <v>2596760.6183999996</v>
      </c>
      <c r="P109" s="29">
        <f>SUMIFS(Vidrios_Y_Canceles!$T:$T,Vidrios_Y_Canceles!$C:$C,$B109,Vidrios_Y_Canceles!$V:$V,$P$4)</f>
        <v>0</v>
      </c>
      <c r="Q109" s="46"/>
      <c r="R109" s="29">
        <f>SUMIFS(Vidrios_Y_Canceles!$T:$T,Vidrios_Y_Canceles!$C:$C,$B109,Vidrios_Y_Canceles!$W:$W,$R$4)</f>
        <v>0</v>
      </c>
      <c r="S109" s="29">
        <f>SUMIFS(Vidrios_Y_Canceles!$T:$T,Vidrios_Y_Canceles!$C:$C,$B109,Vidrios_Y_Canceles!$W:$W,$S$4)</f>
        <v>2596760.6183999996</v>
      </c>
      <c r="U109" s="32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</row>
    <row r="110" spans="1:81" ht="12" customHeight="1" outlineLevel="1" x14ac:dyDescent="0.2">
      <c r="B110" s="73" t="s">
        <v>98</v>
      </c>
      <c r="C110" s="26"/>
      <c r="D110" s="26"/>
      <c r="E110" s="27">
        <v>0</v>
      </c>
      <c r="F110" s="27">
        <v>0</v>
      </c>
      <c r="G110" s="27">
        <v>0</v>
      </c>
      <c r="H110" s="28">
        <v>7045306.4000000004</v>
      </c>
      <c r="I110" s="29">
        <f>SUMIFS(Vidrios_Y_Canceles!$T:$T,Vidrios_Y_Canceles!$C:$C,$B110)</f>
        <v>7045306.4000000004</v>
      </c>
      <c r="J110" s="30">
        <f>IFERROR(I110/E110-1,0)</f>
        <v>0</v>
      </c>
      <c r="K110" s="31">
        <f>I110/(UNITARIO!$D$9+UNITARIO!$I$9)</f>
        <v>2406.5126383385705</v>
      </c>
      <c r="L110" s="31">
        <f>E110/$D$1</f>
        <v>0</v>
      </c>
      <c r="M110" s="31">
        <f>I110/$D$1</f>
        <v>402588.93714285718</v>
      </c>
      <c r="N110" s="46"/>
      <c r="O110" s="29">
        <f>SUMIFS(Vidrios_Y_Canceles!$T:$T,Vidrios_Y_Canceles!$C:$C,$B110,Vidrios_Y_Canceles!$V:$V,$O$4)</f>
        <v>0</v>
      </c>
      <c r="P110" s="29">
        <f>SUMIFS(Vidrios_Y_Canceles!$T:$T,Vidrios_Y_Canceles!$C:$C,$B110,Vidrios_Y_Canceles!$V:$V,$P$4)</f>
        <v>7045306.4000000004</v>
      </c>
      <c r="Q110" s="46"/>
      <c r="R110" s="29">
        <f>SUMIFS(Vidrios_Y_Canceles!$T:$T,Vidrios_Y_Canceles!$C:$C,$B110,Vidrios_Y_Canceles!$W:$W,$R$4)</f>
        <v>0</v>
      </c>
      <c r="S110" s="29">
        <f>SUMIFS(Vidrios_Y_Canceles!$T:$T,Vidrios_Y_Canceles!$C:$C,$B110,Vidrios_Y_Canceles!$W:$W,$S$4)</f>
        <v>7045306.4000000004</v>
      </c>
      <c r="U110" s="32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</row>
    <row r="111" spans="1:81" ht="12" customHeight="1" outlineLevel="1" x14ac:dyDescent="0.2">
      <c r="B111" s="34" t="s">
        <v>99</v>
      </c>
      <c r="C111" s="34"/>
      <c r="D111" s="34"/>
      <c r="E111" s="35">
        <f>SUM(E107:E110)</f>
        <v>31332728.958399996</v>
      </c>
      <c r="F111" s="36">
        <f>SUM(F107:F109)</f>
        <v>26924652.723199997</v>
      </c>
      <c r="G111" s="36">
        <f>SUM(G107:G109)</f>
        <v>31270607.176799998</v>
      </c>
      <c r="H111" s="36">
        <f>SUM(H107:H110)</f>
        <v>38315913.576799996</v>
      </c>
      <c r="I111" s="37">
        <f>SUM(I107:I110)</f>
        <v>38315913.576800004</v>
      </c>
      <c r="J111" s="79">
        <f>IFERROR(I111/E111-1,0)</f>
        <v>0.22287189308251687</v>
      </c>
      <c r="K111" s="39">
        <f>I111/(UNITARIO!$D$9+UNITARIO!$I$9)</f>
        <v>13087.824011750239</v>
      </c>
      <c r="L111" s="39">
        <f>SUM(L107:L110)</f>
        <v>1790441.6547657142</v>
      </c>
      <c r="M111" s="39">
        <f>SUM(M107:M110)</f>
        <v>2189480.7758171433</v>
      </c>
      <c r="O111" s="37">
        <f>SUM(O107:O110)</f>
        <v>31270607.176800005</v>
      </c>
      <c r="P111" s="37">
        <f>SUM(P107:P110)</f>
        <v>7045306.4000000004</v>
      </c>
      <c r="R111" s="37">
        <f>SUM(R107:R110)</f>
        <v>0</v>
      </c>
      <c r="S111" s="37">
        <f>SUM(S107:S110)</f>
        <v>38315913.576800004</v>
      </c>
      <c r="U111" s="40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</row>
    <row r="112" spans="1:81" ht="15" customHeight="1" outlineLevel="1" x14ac:dyDescent="0.2">
      <c r="B112" s="1"/>
      <c r="C112" s="74"/>
      <c r="D112" s="1"/>
      <c r="E112" s="42"/>
      <c r="F112" s="42"/>
      <c r="G112" s="42"/>
      <c r="H112" s="42"/>
      <c r="I112" s="42"/>
      <c r="K112" s="42"/>
      <c r="L112" s="42"/>
      <c r="M112" s="42"/>
      <c r="O112" s="42"/>
      <c r="P112" s="42"/>
      <c r="R112" s="42"/>
      <c r="S112" s="42"/>
    </row>
    <row r="113" spans="1:74" ht="12" customHeight="1" outlineLevel="1" x14ac:dyDescent="0.2">
      <c r="B113" s="22" t="s">
        <v>100</v>
      </c>
      <c r="C113" s="22"/>
      <c r="D113" s="22" t="s">
        <v>101</v>
      </c>
      <c r="E113" s="43"/>
      <c r="F113" s="44"/>
      <c r="G113" s="44"/>
      <c r="H113" s="44"/>
      <c r="I113" s="44"/>
      <c r="J113" s="24"/>
      <c r="K113" s="45"/>
      <c r="L113" s="45"/>
      <c r="M113" s="45"/>
      <c r="O113" s="44"/>
      <c r="P113" s="44"/>
      <c r="R113" s="44"/>
      <c r="S113" s="44"/>
      <c r="U113" s="23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</row>
    <row r="114" spans="1:74" ht="12" customHeight="1" outlineLevel="1" x14ac:dyDescent="0.2">
      <c r="A114" s="2"/>
      <c r="B114" s="53" t="s">
        <v>102</v>
      </c>
      <c r="C114" s="54"/>
      <c r="D114" s="80" t="s">
        <v>103</v>
      </c>
      <c r="E114" s="55">
        <f>7511812*2</f>
        <v>15023624</v>
      </c>
      <c r="F114" s="56">
        <f>4988525.73092982*2</f>
        <v>9977051.4618596397</v>
      </c>
      <c r="G114" s="56">
        <v>13681989.532558599</v>
      </c>
      <c r="H114" s="56">
        <v>13681989.532558599</v>
      </c>
      <c r="I114" s="57">
        <f>SUMIFS(Cocinas!$U:$U,Cocinas!$D:$D,$B114)</f>
        <v>14930687.606726568</v>
      </c>
      <c r="J114" s="58">
        <f>IFERROR(I114/E114-1,0)</f>
        <v>-6.1860169872084425E-3</v>
      </c>
      <c r="K114" s="59">
        <f>I114/(UNITARIO!$D$9+UNITARIO!$I$9)</f>
        <v>5099.975272143246</v>
      </c>
      <c r="L114" s="59">
        <f>E114/$D$1</f>
        <v>858492.8</v>
      </c>
      <c r="M114" s="59">
        <f>I114/$D$1</f>
        <v>853182.14895580395</v>
      </c>
      <c r="N114" s="66"/>
      <c r="O114" s="57">
        <f>SUMIFS(Cocinas!$U:$U,Cocinas!$D:$D,$B114,Cocinas!$W:$W,$O$4)</f>
        <v>14930687.606726568</v>
      </c>
      <c r="P114" s="57">
        <f>SUMIFS(Cocinas!$U:$U,Cocinas!$D:$D,$B114,Cocinas!$W:$W,$P$4)</f>
        <v>0</v>
      </c>
      <c r="Q114" s="66"/>
      <c r="R114" s="57">
        <f>SUMIFS(Cocinas!$U:$U,Cocinas!$D:$D,$B114,Cocinas!$X:$X,$R$4)</f>
        <v>0</v>
      </c>
      <c r="S114" s="57">
        <f>SUMIFS(Cocinas!$U:$U,Cocinas!$D:$D,$B114,Cocinas!$X:$X,$S$4)</f>
        <v>9320579.6067265533</v>
      </c>
      <c r="U114" s="60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2"/>
    </row>
    <row r="115" spans="1:74" ht="12" customHeight="1" outlineLevel="1" x14ac:dyDescent="0.2">
      <c r="B115" s="26" t="s">
        <v>104</v>
      </c>
      <c r="C115" s="26"/>
      <c r="D115" s="26"/>
      <c r="E115" s="27">
        <f>6799606.8*2</f>
        <v>13599213.6</v>
      </c>
      <c r="F115" s="28">
        <f>3748127.04*2</f>
        <v>7496254.0800000001</v>
      </c>
      <c r="G115" s="28">
        <v>9258152.9482807107</v>
      </c>
      <c r="H115" s="28">
        <v>9323632.6282807104</v>
      </c>
      <c r="I115" s="29">
        <f>SUMIFS(Cocinas!$U:$U,Cocinas!$D:$D,$B115)</f>
        <v>10322743.279673455</v>
      </c>
      <c r="J115" s="30">
        <f>IFERROR(I115/E115-1,0)</f>
        <v>-0.24093086679119036</v>
      </c>
      <c r="K115" s="31">
        <f>I115/(UNITARIO!$D$9+UNITARIO!$I$9)</f>
        <v>3526.0087715785812</v>
      </c>
      <c r="L115" s="31">
        <f>E115/$D$1</f>
        <v>777097.91999999993</v>
      </c>
      <c r="M115" s="31">
        <f>I115/$D$1</f>
        <v>589871.04455276893</v>
      </c>
      <c r="N115" s="46"/>
      <c r="O115" s="29">
        <f>SUMIFS(Cocinas!$U:$U,Cocinas!$D:$D,$B115,Cocinas!$W:$W,$O$4)</f>
        <v>9262303.7596734539</v>
      </c>
      <c r="P115" s="29">
        <f>SUMIFS(Cocinas!$U:$U,Cocinas!$D:$D,$B115,Cocinas!$W:$W,$P$4)</f>
        <v>1060439.5199999998</v>
      </c>
      <c r="Q115" s="46"/>
      <c r="R115" s="29">
        <f>SUMIFS(Cocinas!$U:$U,Cocinas!$D:$D,$B115,Cocinas!$X:$X,$R$4)</f>
        <v>0</v>
      </c>
      <c r="S115" s="29">
        <f>SUMIFS(Cocinas!$U:$U,Cocinas!$D:$D,$B115,Cocinas!$X:$X,$S$4)</f>
        <v>6987372.0796734467</v>
      </c>
      <c r="U115" s="32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</row>
    <row r="116" spans="1:74" ht="12" customHeight="1" outlineLevel="1" x14ac:dyDescent="0.2">
      <c r="B116" s="26" t="s">
        <v>105</v>
      </c>
      <c r="C116" s="26"/>
      <c r="D116" s="26"/>
      <c r="E116" s="27">
        <f>423255*2</f>
        <v>846510</v>
      </c>
      <c r="F116" s="28">
        <f>423255*2</f>
        <v>846510</v>
      </c>
      <c r="G116" s="28">
        <v>846510</v>
      </c>
      <c r="H116" s="28">
        <v>846510</v>
      </c>
      <c r="I116" s="29">
        <f>SUMIFS(Cocinas!$U:$U,Cocinas!$D:$D,$B116)</f>
        <v>626400</v>
      </c>
      <c r="J116" s="30">
        <f>IFERROR(I116/E116-1,0)</f>
        <v>-0.26002055498458376</v>
      </c>
      <c r="K116" s="31">
        <f>I116/(UNITARIO!$D$9+UNITARIO!$I$9)</f>
        <v>213.96365623719083</v>
      </c>
      <c r="L116" s="31">
        <f>E116/$D$1</f>
        <v>48372</v>
      </c>
      <c r="M116" s="31">
        <f>I116/$D$1</f>
        <v>35794.285714285717</v>
      </c>
      <c r="N116" s="46"/>
      <c r="O116" s="29">
        <f>SUMIFS(Cocinas!$U:$U,Cocinas!$D:$D,$B116,Cocinas!$W:$W,$O$4)</f>
        <v>0</v>
      </c>
      <c r="P116" s="29">
        <f>SUMIFS(Cocinas!$U:$U,Cocinas!$D:$D,$B116,Cocinas!$W:$W,$P$4)</f>
        <v>626400</v>
      </c>
      <c r="Q116" s="46"/>
      <c r="R116" s="29">
        <f>SUMIFS(Cocinas!$U:$U,Cocinas!$D:$D,$B116,Cocinas!$X:$X,$R$4)</f>
        <v>0</v>
      </c>
      <c r="S116" s="29">
        <f>SUMIFS(Cocinas!$U:$U,Cocinas!$D:$D,$B116,Cocinas!$X:$X,$S$4)</f>
        <v>626400</v>
      </c>
      <c r="U116" s="32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</row>
    <row r="117" spans="1:74" ht="12" customHeight="1" outlineLevel="1" x14ac:dyDescent="0.2">
      <c r="B117" s="34" t="s">
        <v>106</v>
      </c>
      <c r="C117" s="34"/>
      <c r="D117" s="34"/>
      <c r="E117" s="35">
        <f>SUM(E114:E116)</f>
        <v>29469347.600000001</v>
      </c>
      <c r="F117" s="36">
        <f>SUM(F114:F116)</f>
        <v>18319815.541859642</v>
      </c>
      <c r="G117" s="36">
        <f>SUM(G114:G116)</f>
        <v>23786652.480839312</v>
      </c>
      <c r="H117" s="36">
        <f>SUM(H114:H116)</f>
        <v>23852132.160839312</v>
      </c>
      <c r="I117" s="37">
        <f>SUM(I114:I116)</f>
        <v>25879830.886400022</v>
      </c>
      <c r="J117" s="79">
        <f>IFERROR(I117/E117-1,0)</f>
        <v>-0.12180509600422851</v>
      </c>
      <c r="K117" s="39">
        <f>I117/(UNITARIO!$D$9+UNITARIO!$I$9)</f>
        <v>8839.947699959017</v>
      </c>
      <c r="L117" s="39">
        <f>SUM(L114:L116)</f>
        <v>1683962.72</v>
      </c>
      <c r="M117" s="39">
        <f>SUM(M114:M116)</f>
        <v>1478847.4792228586</v>
      </c>
      <c r="O117" s="37">
        <f>SUM(O114:O116)</f>
        <v>24192991.366400022</v>
      </c>
      <c r="P117" s="37">
        <f>SUM(P114:P116)</f>
        <v>1686839.5199999998</v>
      </c>
      <c r="R117" s="37">
        <f>SUM(R114:R116)</f>
        <v>0</v>
      </c>
      <c r="S117" s="37">
        <f>SUM(S114:S116)</f>
        <v>16934351.6864</v>
      </c>
      <c r="U117" s="40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</row>
    <row r="118" spans="1:74" ht="15" customHeight="1" outlineLevel="1" x14ac:dyDescent="0.2">
      <c r="B118" s="1"/>
      <c r="C118" s="62"/>
      <c r="D118" s="1"/>
      <c r="E118" s="42"/>
      <c r="F118" s="42"/>
      <c r="G118" s="42"/>
      <c r="H118" s="42"/>
      <c r="I118" s="42"/>
      <c r="K118" s="42"/>
      <c r="L118" s="42"/>
      <c r="M118" s="42"/>
      <c r="O118" s="42"/>
      <c r="P118" s="42"/>
      <c r="R118" s="42"/>
      <c r="S118" s="42"/>
    </row>
    <row r="119" spans="1:74" ht="12" customHeight="1" outlineLevel="1" x14ac:dyDescent="0.2">
      <c r="B119" s="22" t="s">
        <v>107</v>
      </c>
      <c r="C119" s="22"/>
      <c r="D119" s="22" t="s">
        <v>101</v>
      </c>
      <c r="E119" s="43"/>
      <c r="F119" s="44"/>
      <c r="G119" s="44"/>
      <c r="H119" s="44"/>
      <c r="I119" s="44"/>
      <c r="J119" s="24"/>
      <c r="K119" s="45"/>
      <c r="L119" s="45"/>
      <c r="M119" s="45"/>
      <c r="O119" s="44"/>
      <c r="P119" s="44"/>
      <c r="R119" s="44"/>
      <c r="S119" s="44"/>
      <c r="U119" s="23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</row>
    <row r="120" spans="1:74" ht="12" customHeight="1" outlineLevel="1" x14ac:dyDescent="0.2">
      <c r="A120" s="2"/>
      <c r="B120" s="53" t="s">
        <v>108</v>
      </c>
      <c r="C120" s="54"/>
      <c r="D120" s="80" t="s">
        <v>109</v>
      </c>
      <c r="E120" s="55">
        <f>3636236.282*2</f>
        <v>7272472.5640000002</v>
      </c>
      <c r="F120" s="56">
        <f>3243218.132*2</f>
        <v>6486436.2640000004</v>
      </c>
      <c r="G120" s="56">
        <v>7794736.5509999897</v>
      </c>
      <c r="H120" s="56">
        <v>7794736.5509999897</v>
      </c>
      <c r="I120" s="57">
        <f>SUMIFS(Griferia_Y_Acces_Baño!$T:$T,Griferia_Y_Acces_Baño!$B:$B,$B120&amp;"*")</f>
        <v>8061094.2729134839</v>
      </c>
      <c r="J120" s="58">
        <f>IFERROR(I120/E120-1,0)</f>
        <v>0.1084392827849634</v>
      </c>
      <c r="K120" s="59">
        <f>I120/(UNITARIO!$D$9+UNITARIO!$I$9)</f>
        <v>2753.482126285518</v>
      </c>
      <c r="L120" s="59">
        <f>E120/$D$1</f>
        <v>415569.86080000002</v>
      </c>
      <c r="M120" s="59">
        <f>I120/$D$1</f>
        <v>460633.95845219906</v>
      </c>
      <c r="N120" s="66"/>
      <c r="O120" s="57">
        <f>SUMIFS(Griferia_Y_Acces_Baño!$T:$T,Griferia_Y_Acces_Baño!$B:$B,$B120&amp;"*",Griferia_Y_Acces_Baño!$V:$V,$O$4)</f>
        <v>8061094.2729134839</v>
      </c>
      <c r="P120" s="57">
        <f>SUMIFS(Griferia_Y_Acces_Baño!$T:$T,Griferia_Y_Acces_Baño!$B:$B,$B120&amp;"*",Griferia_Y_Acces_Baño!$V:$V,$P$4)</f>
        <v>0</v>
      </c>
      <c r="Q120" s="66"/>
      <c r="R120" s="57">
        <f>SUMIFS(Griferia_Y_Acces_Baño!$T:$T,Griferia_Y_Acces_Baño!$B:$B,$B120&amp;"*",Griferia_Y_Acces_Baño!$W:$W,$R$4)</f>
        <v>0</v>
      </c>
      <c r="S120" s="57">
        <f>SUMIFS(Griferia_Y_Acces_Baño!$T:$T,Griferia_Y_Acces_Baño!$B:$B,$B120&amp;"*",Griferia_Y_Acces_Baño!$W:$W,$S$4)</f>
        <v>8061094.2729134839</v>
      </c>
      <c r="U120" s="60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2"/>
    </row>
    <row r="121" spans="1:74" ht="12" customHeight="1" outlineLevel="1" x14ac:dyDescent="0.2">
      <c r="A121" s="2"/>
      <c r="B121" s="67" t="s">
        <v>110</v>
      </c>
      <c r="C121" s="68"/>
      <c r="D121" s="68"/>
      <c r="E121" s="69">
        <f>SUM(E120)</f>
        <v>7272472.5640000002</v>
      </c>
      <c r="F121" s="69">
        <f>SUM(F120)</f>
        <v>6486436.2640000004</v>
      </c>
      <c r="G121" s="69">
        <f>SUM(G120)</f>
        <v>7794736.5509999897</v>
      </c>
      <c r="H121" s="69">
        <f>SUM(H120)</f>
        <v>7794736.5509999897</v>
      </c>
      <c r="I121" s="70">
        <f>SUM(I120)</f>
        <v>8061094.2729134839</v>
      </c>
      <c r="J121" s="71">
        <f>IFERROR(I121/E121-1,0)</f>
        <v>0.1084392827849634</v>
      </c>
      <c r="K121" s="69">
        <f>I121/(UNITARIO!$D$9+UNITARIO!$I$9)</f>
        <v>2753.482126285518</v>
      </c>
      <c r="L121" s="69">
        <f>E121/$D$1</f>
        <v>415569.86080000002</v>
      </c>
      <c r="M121" s="69">
        <f>I121/$D$1</f>
        <v>460633.95845219906</v>
      </c>
      <c r="N121" s="66"/>
      <c r="O121" s="70">
        <f>SUM(O120)</f>
        <v>8061094.2729134839</v>
      </c>
      <c r="P121" s="70">
        <f>SUM(P120)</f>
        <v>0</v>
      </c>
      <c r="Q121" s="66"/>
      <c r="R121" s="70">
        <f>SUM(R120)</f>
        <v>0</v>
      </c>
      <c r="S121" s="70">
        <f>SUM(S120)</f>
        <v>8061094.2729134839</v>
      </c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2"/>
    </row>
    <row r="122" spans="1:74" ht="15" customHeight="1" outlineLevel="1" x14ac:dyDescent="0.2">
      <c r="B122" s="1"/>
      <c r="C122" s="62"/>
      <c r="D122" s="1"/>
      <c r="E122" s="42"/>
      <c r="F122" s="42"/>
      <c r="G122" s="42"/>
      <c r="H122" s="42"/>
      <c r="I122" s="42"/>
      <c r="K122" s="42"/>
      <c r="L122" s="42"/>
      <c r="M122" s="42"/>
      <c r="O122" s="42"/>
      <c r="P122" s="42"/>
      <c r="R122" s="42"/>
      <c r="S122" s="42"/>
    </row>
    <row r="123" spans="1:74" ht="12" customHeight="1" outlineLevel="1" x14ac:dyDescent="0.2">
      <c r="B123" s="22" t="s">
        <v>111</v>
      </c>
      <c r="C123" s="22"/>
      <c r="D123" s="22"/>
      <c r="E123" s="43"/>
      <c r="F123" s="44"/>
      <c r="G123" s="44"/>
      <c r="H123" s="44"/>
      <c r="I123" s="44"/>
      <c r="J123" s="24"/>
      <c r="K123" s="45"/>
      <c r="L123" s="45"/>
      <c r="M123" s="45"/>
      <c r="O123" s="44"/>
      <c r="P123" s="44"/>
      <c r="R123" s="44"/>
      <c r="S123" s="44"/>
      <c r="U123" s="23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</row>
    <row r="124" spans="1:74" ht="12" customHeight="1" outlineLevel="1" x14ac:dyDescent="0.2">
      <c r="A124" s="2"/>
      <c r="B124" s="54" t="s">
        <v>112</v>
      </c>
      <c r="C124" s="54"/>
      <c r="D124" s="54"/>
      <c r="E124" s="55">
        <f>3726887*2</f>
        <v>7453774</v>
      </c>
      <c r="F124" s="55">
        <f>3726887*2</f>
        <v>7453774</v>
      </c>
      <c r="G124" s="56">
        <v>11020000</v>
      </c>
      <c r="H124" s="56">
        <v>10579200</v>
      </c>
      <c r="I124" s="57">
        <f>SUMIFS(Carpinterias!$U:$U,Carpinterias!$C:$C,$B124)</f>
        <v>10579200</v>
      </c>
      <c r="J124" s="81">
        <f t="shared" ref="J124:J130" si="4">IFERROR(I124/E124-1,0)</f>
        <v>0.41930785666428849</v>
      </c>
      <c r="K124" s="82">
        <f>I124/(UNITARIO!$D$9+UNITARIO!$I$9)</f>
        <v>3613.6084164503345</v>
      </c>
      <c r="L124" s="82">
        <f t="shared" ref="L124:L129" si="5">E124/$D$1</f>
        <v>425929.94285714283</v>
      </c>
      <c r="M124" s="82">
        <f t="shared" ref="M124:M129" si="6">I124/$D$1</f>
        <v>604525.71428571432</v>
      </c>
      <c r="N124" s="66"/>
      <c r="O124" s="57">
        <f>SUMIFS(Carpinterias!$U:$U,Carpinterias!$C:$C,$B124,Carpinterias!$W:$W,$O$4)</f>
        <v>10579200</v>
      </c>
      <c r="P124" s="57">
        <f>SUMIFS(Carpinterias!$U:$U,Carpinterias!$C:$C,$B124,Carpinterias!$W:$W,$P$4)</f>
        <v>0</v>
      </c>
      <c r="Q124" s="66"/>
      <c r="R124" s="57">
        <f>SUMIFS(Carpinterias!$U:$U,Carpinterias!$C:$C,$B124,Carpinterias!$X:$X,$R$4)</f>
        <v>10579200</v>
      </c>
      <c r="S124" s="57">
        <f>SUMIFS(Carpinterias!$U:$U,Carpinterias!$C:$C,$B124,Carpinterias!$X:$X,$S$4)</f>
        <v>0</v>
      </c>
      <c r="U124" s="60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2"/>
    </row>
    <row r="125" spans="1:74" ht="12" customHeight="1" outlineLevel="1" x14ac:dyDescent="0.2">
      <c r="A125" s="2"/>
      <c r="B125" s="54" t="s">
        <v>113</v>
      </c>
      <c r="C125" s="54"/>
      <c r="D125" s="54"/>
      <c r="E125" s="55">
        <f>6449537*2</f>
        <v>12899074</v>
      </c>
      <c r="F125" s="55">
        <f>6449537*2</f>
        <v>12899074</v>
      </c>
      <c r="G125" s="56">
        <v>15024320</v>
      </c>
      <c r="H125" s="56">
        <v>14003520</v>
      </c>
      <c r="I125" s="57">
        <f>SUMIFS(Carpinterias!$U:$U,Carpinterias!$C:$C,$B125)</f>
        <v>14003520</v>
      </c>
      <c r="J125" s="81">
        <f t="shared" si="4"/>
        <v>8.5622115199897264E-2</v>
      </c>
      <c r="K125" s="82">
        <f>I125/(UNITARIO!$D$9+UNITARIO!$I$9)</f>
        <v>4783.2764038803107</v>
      </c>
      <c r="L125" s="82">
        <f t="shared" si="5"/>
        <v>737089.94285714289</v>
      </c>
      <c r="M125" s="82">
        <f t="shared" si="6"/>
        <v>800201.14285714284</v>
      </c>
      <c r="N125" s="66"/>
      <c r="O125" s="57">
        <f>SUMIFS(Carpinterias!$U:$U,Carpinterias!$C:$C,$B125,Carpinterias!$W:$W,$O$4)</f>
        <v>14003520</v>
      </c>
      <c r="P125" s="57">
        <f>SUMIFS(Carpinterias!$U:$U,Carpinterias!$C:$C,$B125,Carpinterias!$W:$W,$P$4)</f>
        <v>0</v>
      </c>
      <c r="Q125" s="66"/>
      <c r="R125" s="57">
        <f>SUMIFS(Carpinterias!$U:$U,Carpinterias!$C:$C,$B125,Carpinterias!$X:$X,$R$4)</f>
        <v>14003520</v>
      </c>
      <c r="S125" s="57">
        <f>SUMIFS(Carpinterias!$U:$U,Carpinterias!$C:$C,$B125,Carpinterias!$X:$X,$S$4)</f>
        <v>0</v>
      </c>
      <c r="U125" s="60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2"/>
    </row>
    <row r="126" spans="1:74" ht="12" customHeight="1" outlineLevel="1" x14ac:dyDescent="0.2">
      <c r="A126" s="2"/>
      <c r="B126" s="54" t="s">
        <v>114</v>
      </c>
      <c r="C126" s="54"/>
      <c r="D126" s="54"/>
      <c r="E126" s="55">
        <f>8557671*2</f>
        <v>17115342</v>
      </c>
      <c r="F126" s="55">
        <f>8557671*2</f>
        <v>17115342</v>
      </c>
      <c r="G126" s="56">
        <v>15706400</v>
      </c>
      <c r="H126" s="56">
        <v>15056800</v>
      </c>
      <c r="I126" s="57">
        <f>SUMIFS(Carpinterias!$U:$U,Carpinterias!$C:$C,$B126)</f>
        <v>15056800</v>
      </c>
      <c r="J126" s="81">
        <f t="shared" si="4"/>
        <v>-0.120274663515342</v>
      </c>
      <c r="K126" s="82">
        <f>I126/(UNITARIO!$D$9+UNITARIO!$I$9)</f>
        <v>5143.0523295532166</v>
      </c>
      <c r="L126" s="82">
        <f t="shared" si="5"/>
        <v>978019.54285714286</v>
      </c>
      <c r="M126" s="82">
        <f t="shared" si="6"/>
        <v>860388.57142857148</v>
      </c>
      <c r="N126" s="66"/>
      <c r="O126" s="57">
        <f>SUMIFS(Carpinterias!$U:$U,Carpinterias!$C:$C,$B126,Carpinterias!$W:$W,$O$4)</f>
        <v>15056800</v>
      </c>
      <c r="P126" s="57">
        <f>SUMIFS(Carpinterias!$U:$U,Carpinterias!$C:$C,$B126,Carpinterias!$W:$W,$P$4)</f>
        <v>0</v>
      </c>
      <c r="Q126" s="66"/>
      <c r="R126" s="57">
        <f>SUMIFS(Carpinterias!$U:$U,Carpinterias!$C:$C,$B126,Carpinterias!$X:$X,$R$4)</f>
        <v>15056800</v>
      </c>
      <c r="S126" s="57">
        <f>SUMIFS(Carpinterias!$U:$U,Carpinterias!$C:$C,$B126,Carpinterias!$X:$X,$S$4)</f>
        <v>0</v>
      </c>
      <c r="U126" s="60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2"/>
    </row>
    <row r="127" spans="1:74" ht="12" customHeight="1" outlineLevel="1" x14ac:dyDescent="0.2">
      <c r="A127" s="2"/>
      <c r="B127" s="54" t="s">
        <v>115</v>
      </c>
      <c r="C127" s="54"/>
      <c r="D127" s="54"/>
      <c r="E127" s="55">
        <v>0</v>
      </c>
      <c r="F127" s="55">
        <v>0</v>
      </c>
      <c r="G127" s="56">
        <v>0</v>
      </c>
      <c r="H127" s="56">
        <v>2320000</v>
      </c>
      <c r="I127" s="57">
        <f>SUMIFS(Carpinterias!$U:$U,Carpinterias!$C:$C,$B127)</f>
        <v>464000</v>
      </c>
      <c r="J127" s="81">
        <f t="shared" si="4"/>
        <v>0</v>
      </c>
      <c r="K127" s="82">
        <f>I127/(UNITARIO!$D$9+UNITARIO!$I$9)</f>
        <v>158.49159721273395</v>
      </c>
      <c r="L127" s="82">
        <f t="shared" si="5"/>
        <v>0</v>
      </c>
      <c r="M127" s="82">
        <f t="shared" si="6"/>
        <v>26514.285714285714</v>
      </c>
      <c r="N127" s="66"/>
      <c r="O127" s="57">
        <f>SUMIFS(Carpinterias!$U:$U,Carpinterias!$C:$C,$B127,Carpinterias!$W:$W,$O$4)</f>
        <v>464000</v>
      </c>
      <c r="P127" s="57">
        <f>SUMIFS(Carpinterias!$U:$U,Carpinterias!$C:$C,$B127,Carpinterias!$W:$W,$P$4)</f>
        <v>0</v>
      </c>
      <c r="Q127" s="66"/>
      <c r="R127" s="57">
        <f>SUMIFS(Carpinterias!$U:$U,Carpinterias!$C:$C,$B127,Carpinterias!$X:$X,$R$4)</f>
        <v>464000</v>
      </c>
      <c r="S127" s="57">
        <f>SUMIFS(Carpinterias!$U:$U,Carpinterias!$C:$C,$B127,Carpinterias!$X:$X,$S$4)</f>
        <v>0</v>
      </c>
      <c r="U127" s="60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2"/>
    </row>
    <row r="128" spans="1:74" ht="12" customHeight="1" outlineLevel="1" x14ac:dyDescent="0.2">
      <c r="B128" s="54" t="s">
        <v>116</v>
      </c>
      <c r="C128" s="26"/>
      <c r="D128" s="26"/>
      <c r="E128" s="27">
        <f>2843125*2</f>
        <v>5686250</v>
      </c>
      <c r="F128" s="27">
        <f>2843125*2</f>
        <v>5686250</v>
      </c>
      <c r="G128" s="56">
        <v>4635671.625</v>
      </c>
      <c r="H128" s="56">
        <v>5377379.085</v>
      </c>
      <c r="I128" s="57">
        <f>SUMIFS(Carpinterias!$U:$U,Carpinterias!$C:$C,$B128)</f>
        <v>5377379.084999999</v>
      </c>
      <c r="J128" s="30">
        <f t="shared" si="4"/>
        <v>-5.4318912288415233E-2</v>
      </c>
      <c r="K128" s="31">
        <f>I128/(UNITARIO!$D$9+UNITARIO!$I$9)</f>
        <v>1836.7874999999995</v>
      </c>
      <c r="L128" s="31">
        <f t="shared" si="5"/>
        <v>324928.57142857142</v>
      </c>
      <c r="M128" s="31">
        <f t="shared" si="6"/>
        <v>307278.80485714279</v>
      </c>
      <c r="N128" s="46"/>
      <c r="O128" s="57">
        <f>SUMIFS(Carpinterias!$U:$U,Carpinterias!$C:$C,$B128,Carpinterias!$W:$W,$O$4)</f>
        <v>5377379.084999999</v>
      </c>
      <c r="P128" s="57">
        <f>SUMIFS(Carpinterias!$U:$U,Carpinterias!$C:$C,$B128,Carpinterias!$W:$W,$P$4)</f>
        <v>0</v>
      </c>
      <c r="Q128" s="46"/>
      <c r="R128" s="57">
        <f>SUMIFS(Carpinterias!$U:$U,Carpinterias!$C:$C,$B128,Carpinterias!$X:$X,$R$4)</f>
        <v>0</v>
      </c>
      <c r="S128" s="57">
        <f>SUMIFS(Carpinterias!$U:$U,Carpinterias!$C:$C,$B128,Carpinterias!$X:$X,$S$4)</f>
        <v>5377379.084999999</v>
      </c>
      <c r="U128" s="32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</row>
    <row r="129" spans="2:73" ht="12" customHeight="1" outlineLevel="1" x14ac:dyDescent="0.2">
      <c r="B129" s="54" t="s">
        <v>117</v>
      </c>
      <c r="C129" s="26"/>
      <c r="D129" s="26"/>
      <c r="E129" s="27">
        <f>638219*2</f>
        <v>1276438</v>
      </c>
      <c r="F129" s="27">
        <f>638219*2</f>
        <v>1276438</v>
      </c>
      <c r="G129" s="56">
        <v>742400</v>
      </c>
      <c r="H129" s="56">
        <v>742400</v>
      </c>
      <c r="I129" s="57">
        <f>SUMIFS(Carpinterias!$U:$U,Carpinterias!$C:$C,$B129)</f>
        <v>742400</v>
      </c>
      <c r="J129" s="30">
        <f t="shared" si="4"/>
        <v>-0.41838146466965098</v>
      </c>
      <c r="K129" s="31">
        <f>I129/(UNITARIO!$D$9+UNITARIO!$I$9)</f>
        <v>253.58655554037435</v>
      </c>
      <c r="L129" s="31">
        <f t="shared" si="5"/>
        <v>72939.314285714281</v>
      </c>
      <c r="M129" s="31">
        <f t="shared" si="6"/>
        <v>42422.857142857145</v>
      </c>
      <c r="N129" s="46"/>
      <c r="O129" s="57">
        <f>SUMIFS(Carpinterias!$U:$U,Carpinterias!$C:$C,$B129,Carpinterias!$W:$W,$O$4)</f>
        <v>0</v>
      </c>
      <c r="P129" s="57">
        <f>SUMIFS(Carpinterias!$U:$U,Carpinterias!$C:$C,$B129,Carpinterias!$W:$W,$P$4)</f>
        <v>742400</v>
      </c>
      <c r="Q129" s="46"/>
      <c r="R129" s="57">
        <f>SUMIFS(Carpinterias!$U:$U,Carpinterias!$C:$C,$B129,Carpinterias!$X:$X,$R$4)</f>
        <v>0</v>
      </c>
      <c r="S129" s="57">
        <f>SUMIFS(Carpinterias!$U:$U,Carpinterias!$C:$C,$B129,Carpinterias!$X:$X,$S$4)</f>
        <v>742400</v>
      </c>
      <c r="U129" s="32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</row>
    <row r="130" spans="2:73" ht="12" customHeight="1" outlineLevel="1" x14ac:dyDescent="0.2">
      <c r="B130" s="34" t="s">
        <v>118</v>
      </c>
      <c r="C130" s="34"/>
      <c r="D130" s="34"/>
      <c r="E130" s="35">
        <f>SUM(E124:E129)</f>
        <v>44430878</v>
      </c>
      <c r="F130" s="35">
        <f>SUM(F124:F129)</f>
        <v>44430878</v>
      </c>
      <c r="G130" s="36">
        <f>SUM(G124:G129)</f>
        <v>47128791.625</v>
      </c>
      <c r="H130" s="36">
        <f>SUM(H124:H129)</f>
        <v>48079299.085000001</v>
      </c>
      <c r="I130" s="37">
        <f>SUM(I124:I129)</f>
        <v>46223299.085000001</v>
      </c>
      <c r="J130" s="47">
        <f t="shared" si="4"/>
        <v>4.0341788541743417E-2</v>
      </c>
      <c r="K130" s="39">
        <f>I130/(UNITARIO!$D$9+UNITARIO!$I$9)</f>
        <v>15788.80280263697</v>
      </c>
      <c r="L130" s="39">
        <f>SUM(L124:L129)</f>
        <v>2538907.3142857142</v>
      </c>
      <c r="M130" s="39">
        <f>SUM(M124:M129)</f>
        <v>2641331.3762857146</v>
      </c>
      <c r="O130" s="37">
        <f>SUM(O124:O129)</f>
        <v>45480899.085000001</v>
      </c>
      <c r="P130" s="37">
        <f>SUM(P124:P129)</f>
        <v>742400</v>
      </c>
      <c r="R130" s="37">
        <f>SUM(R124:R129)</f>
        <v>40103520</v>
      </c>
      <c r="S130" s="37">
        <f>SUM(S124:S129)</f>
        <v>6119779.084999999</v>
      </c>
      <c r="U130" s="40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</row>
    <row r="131" spans="2:73" ht="15" customHeight="1" x14ac:dyDescent="0.2">
      <c r="B131" s="74"/>
      <c r="C131" s="1"/>
      <c r="D131" s="1"/>
      <c r="E131" s="42"/>
      <c r="F131" s="42"/>
      <c r="G131" s="42"/>
      <c r="H131" s="42"/>
      <c r="I131" s="42"/>
      <c r="K131" s="42"/>
      <c r="L131" s="42"/>
      <c r="M131" s="42"/>
      <c r="O131" s="42"/>
      <c r="P131" s="42"/>
      <c r="R131" s="42"/>
      <c r="S131" s="42"/>
    </row>
    <row r="132" spans="2:73" ht="12" customHeight="1" x14ac:dyDescent="0.2">
      <c r="B132" s="17" t="s">
        <v>119</v>
      </c>
      <c r="C132" s="17"/>
      <c r="D132" s="17"/>
      <c r="E132" s="18">
        <f>E135</f>
        <v>31240192</v>
      </c>
      <c r="F132" s="19">
        <f>F135</f>
        <v>27762705.359999999</v>
      </c>
      <c r="G132" s="19">
        <f>G135</f>
        <v>27762705.359999999</v>
      </c>
      <c r="H132" s="18">
        <f>H135</f>
        <v>27762705.359999999</v>
      </c>
      <c r="I132" s="18">
        <f>I135</f>
        <v>23140259.999999996</v>
      </c>
      <c r="J132" s="20">
        <f>IFERROR(I132/E132-1,0)</f>
        <v>-0.25927920033269969</v>
      </c>
      <c r="K132" s="18">
        <f>I132/(UNITARIO!$D$9+UNITARIO!$I$9)</f>
        <v>7904.1740674955572</v>
      </c>
      <c r="L132" s="18">
        <f>E132/$D$1</f>
        <v>1785153.8285714285</v>
      </c>
      <c r="M132" s="18">
        <f>I132/$D$1</f>
        <v>1322300.5714285711</v>
      </c>
      <c r="O132" s="18">
        <f>O135</f>
        <v>23140259.999999996</v>
      </c>
      <c r="P132" s="18">
        <f>P135</f>
        <v>0</v>
      </c>
      <c r="R132" s="18">
        <f>R135</f>
        <v>0</v>
      </c>
      <c r="S132" s="18">
        <f>S135</f>
        <v>23140259.999999996</v>
      </c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</row>
    <row r="133" spans="2:73" ht="15" customHeight="1" outlineLevel="1" x14ac:dyDescent="0.2">
      <c r="B133" s="22" t="s">
        <v>119</v>
      </c>
      <c r="C133" s="22"/>
      <c r="D133" s="22"/>
      <c r="E133" s="43"/>
      <c r="F133" s="44"/>
      <c r="G133" s="44"/>
      <c r="H133" s="44"/>
      <c r="I133" s="44"/>
      <c r="J133" s="24"/>
      <c r="K133" s="45"/>
      <c r="L133" s="45"/>
      <c r="M133" s="45"/>
      <c r="O133" s="44"/>
      <c r="P133" s="44"/>
      <c r="R133" s="44"/>
      <c r="S133" s="44"/>
      <c r="U133" s="23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</row>
    <row r="134" spans="2:73" ht="15" customHeight="1" outlineLevel="1" x14ac:dyDescent="0.2">
      <c r="B134" s="26" t="s">
        <v>120</v>
      </c>
      <c r="C134" s="26"/>
      <c r="D134" s="26"/>
      <c r="E134" s="27">
        <f>15620096*2</f>
        <v>31240192</v>
      </c>
      <c r="F134" s="28">
        <f>13881352.68*2</f>
        <v>27762705.359999999</v>
      </c>
      <c r="G134" s="28">
        <v>27762705.359999999</v>
      </c>
      <c r="H134" s="28">
        <v>27762705.359999999</v>
      </c>
      <c r="I134" s="29">
        <f>SUMIFS(Albercas!$T:$T,Albercas!$C:$C,$B134)</f>
        <v>23140259.999999996</v>
      </c>
      <c r="J134" s="30">
        <f>IFERROR(I134/E134-1,0)</f>
        <v>-0.25927920033269969</v>
      </c>
      <c r="K134" s="31">
        <f>I134/(UNITARIO!$D$9+UNITARIO!$I$9)</f>
        <v>7904.1740674955572</v>
      </c>
      <c r="L134" s="31">
        <f>E134/$D$1</f>
        <v>1785153.8285714285</v>
      </c>
      <c r="M134" s="31">
        <f>I134/$D$1</f>
        <v>1322300.5714285711</v>
      </c>
      <c r="N134" s="46"/>
      <c r="O134" s="29">
        <f>SUMIFS(Albercas!$T:$T,Albercas!$C:$C,$B134,Albercas!$V:$V,$O$4)</f>
        <v>23140259.999999996</v>
      </c>
      <c r="P134" s="29">
        <f>SUMIFS(Albercas!$T:$T,Albercas!$C:$C,$B134,Albercas!$V:$V,$P$4)</f>
        <v>0</v>
      </c>
      <c r="Q134" s="46"/>
      <c r="R134" s="29">
        <f>SUMIFS(Albercas!$T:$T,Albercas!$C:$C,$B134,Albercas!$W:$W,$R$4)</f>
        <v>0</v>
      </c>
      <c r="S134" s="29">
        <f>SUMIFS(Albercas!$T:$T,Albercas!$C:$C,$B134,Albercas!$W:$W,$S$4)</f>
        <v>23140259.999999996</v>
      </c>
      <c r="U134" s="32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</row>
    <row r="135" spans="2:73" ht="15" customHeight="1" outlineLevel="1" x14ac:dyDescent="0.2">
      <c r="B135" s="34" t="s">
        <v>121</v>
      </c>
      <c r="C135" s="34"/>
      <c r="D135" s="34"/>
      <c r="E135" s="35">
        <f>SUM(E134)</f>
        <v>31240192</v>
      </c>
      <c r="F135" s="36">
        <f>SUM(F134)</f>
        <v>27762705.359999999</v>
      </c>
      <c r="G135" s="36">
        <f>SUM(G134)</f>
        <v>27762705.359999999</v>
      </c>
      <c r="H135" s="36">
        <f>SUM(H134)</f>
        <v>27762705.359999999</v>
      </c>
      <c r="I135" s="37">
        <f>SUM(I134)</f>
        <v>23140259.999999996</v>
      </c>
      <c r="J135" s="79">
        <f>IFERROR(I135/E135-1,0)</f>
        <v>-0.25927920033269969</v>
      </c>
      <c r="K135" s="39">
        <f>I135/(UNITARIO!$D$9+UNITARIO!$I$9)</f>
        <v>7904.1740674955572</v>
      </c>
      <c r="L135" s="39">
        <f>SUM(L134)</f>
        <v>1785153.8285714285</v>
      </c>
      <c r="M135" s="39">
        <f>SUM(M134)</f>
        <v>1322300.5714285711</v>
      </c>
      <c r="O135" s="37">
        <f>SUM(O134)</f>
        <v>23140259.999999996</v>
      </c>
      <c r="P135" s="37">
        <f>SUM(P134)</f>
        <v>0</v>
      </c>
      <c r="R135" s="37">
        <f>SUM(R134)</f>
        <v>0</v>
      </c>
      <c r="S135" s="37">
        <f>SUM(S134)</f>
        <v>23140259.999999996</v>
      </c>
      <c r="U135" s="40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</row>
    <row r="136" spans="2:73" ht="15" customHeight="1" x14ac:dyDescent="0.2">
      <c r="B136" s="1"/>
      <c r="C136" s="1"/>
      <c r="D136" s="1"/>
      <c r="E136" s="42"/>
      <c r="F136" s="42"/>
      <c r="G136" s="42"/>
      <c r="H136" s="42"/>
      <c r="I136" s="42"/>
      <c r="K136" s="42"/>
      <c r="L136" s="42"/>
      <c r="M136" s="42"/>
      <c r="O136" s="42"/>
      <c r="P136" s="42"/>
      <c r="R136" s="42"/>
      <c r="S136" s="42"/>
    </row>
    <row r="137" spans="2:73" ht="12" customHeight="1" x14ac:dyDescent="0.2">
      <c r="B137" s="17" t="s">
        <v>122</v>
      </c>
      <c r="C137" s="17"/>
      <c r="D137" s="17"/>
      <c r="E137" s="18">
        <f>E141</f>
        <v>6130600</v>
      </c>
      <c r="F137" s="19">
        <f>F141</f>
        <v>6130600</v>
      </c>
      <c r="G137" s="19">
        <f>G141</f>
        <v>6130600</v>
      </c>
      <c r="H137" s="18">
        <f>H141</f>
        <v>7400800</v>
      </c>
      <c r="I137" s="18">
        <f>I141</f>
        <v>7400800</v>
      </c>
      <c r="J137" s="20">
        <f>IFERROR(I137/E137-1,0)</f>
        <v>0.20719016083254505</v>
      </c>
      <c r="K137" s="18">
        <f>I137/(UNITARIO!$D$9+UNITARIO!$I$9)</f>
        <v>2527.9409755431066</v>
      </c>
      <c r="L137" s="18">
        <f>E137/$D$1</f>
        <v>350320</v>
      </c>
      <c r="M137" s="18">
        <f>I137/$D$1</f>
        <v>422902.85714285716</v>
      </c>
      <c r="O137" s="18">
        <f>O141</f>
        <v>0</v>
      </c>
      <c r="P137" s="18">
        <f>P141</f>
        <v>7400800</v>
      </c>
      <c r="R137" s="18">
        <f>R141</f>
        <v>0</v>
      </c>
      <c r="S137" s="18">
        <f>S141</f>
        <v>7400800</v>
      </c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</row>
    <row r="138" spans="2:73" ht="12" customHeight="1" outlineLevel="1" x14ac:dyDescent="0.2">
      <c r="B138" s="22" t="s">
        <v>122</v>
      </c>
      <c r="C138" s="22"/>
      <c r="D138" s="22"/>
      <c r="E138" s="43"/>
      <c r="F138" s="44"/>
      <c r="G138" s="44"/>
      <c r="H138" s="44"/>
      <c r="I138" s="44"/>
      <c r="J138" s="24"/>
      <c r="K138" s="45"/>
      <c r="L138" s="45"/>
      <c r="M138" s="45"/>
      <c r="O138" s="44"/>
      <c r="P138" s="44"/>
      <c r="R138" s="44"/>
      <c r="S138" s="44"/>
      <c r="U138" s="23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</row>
    <row r="139" spans="2:73" ht="12" customHeight="1" outlineLevel="1" x14ac:dyDescent="0.2">
      <c r="B139" s="26" t="s">
        <v>123</v>
      </c>
      <c r="C139" s="26"/>
      <c r="D139" s="26"/>
      <c r="E139" s="27">
        <f>2543300*2</f>
        <v>5086600</v>
      </c>
      <c r="F139" s="28">
        <f>2543300*2</f>
        <v>5086600</v>
      </c>
      <c r="G139" s="28">
        <v>5086600</v>
      </c>
      <c r="H139" s="28">
        <v>5544800</v>
      </c>
      <c r="I139" s="29">
        <f>SUMIFS(Jardineria_Y_Riego!$T:$T,Jardineria_Y_Riego!$C:$C,$B139)</f>
        <v>5544800</v>
      </c>
      <c r="J139" s="30">
        <f>IFERROR(I139/E139-1,0)</f>
        <v>9.0079817559863162E-2</v>
      </c>
      <c r="K139" s="31">
        <f>I139/(UNITARIO!$D$9+UNITARIO!$I$9)</f>
        <v>1893.9745866921708</v>
      </c>
      <c r="L139" s="31">
        <f>E139/$D$1</f>
        <v>290662.85714285716</v>
      </c>
      <c r="M139" s="31">
        <f>I139/$D$1</f>
        <v>316845.71428571426</v>
      </c>
      <c r="N139" s="46"/>
      <c r="O139" s="29">
        <f>SUMIFS(Jardineria_Y_Riego!$T:$T,Jardineria_Y_Riego!$C:$C,$B139,Jardineria_Y_Riego!$V:$V,$O$4)</f>
        <v>0</v>
      </c>
      <c r="P139" s="29">
        <f>SUMIFS(Jardineria_Y_Riego!$T:$T,Jardineria_Y_Riego!$C:$C,$B139,Jardineria_Y_Riego!$V:$V,$P$4)</f>
        <v>5544800</v>
      </c>
      <c r="Q139" s="46"/>
      <c r="R139" s="29">
        <f>SUMIFS(Jardineria_Y_Riego!$T:$T,Jardineria_Y_Riego!$C:$C,$B139,Jardineria_Y_Riego!$W:$W,$R$4)</f>
        <v>0</v>
      </c>
      <c r="S139" s="29">
        <f>SUMIFS(Jardineria_Y_Riego!$T:$T,Jardineria_Y_Riego!$C:$C,$B139,Jardineria_Y_Riego!$W:$W,$S$4)</f>
        <v>5544800</v>
      </c>
      <c r="U139" s="32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</row>
    <row r="140" spans="2:73" ht="12" customHeight="1" outlineLevel="1" x14ac:dyDescent="0.2">
      <c r="B140" s="26" t="s">
        <v>124</v>
      </c>
      <c r="C140" s="26"/>
      <c r="D140" s="26"/>
      <c r="E140" s="27">
        <f>522000*2</f>
        <v>1044000</v>
      </c>
      <c r="F140" s="28">
        <f>522000*2</f>
        <v>1044000</v>
      </c>
      <c r="G140" s="28">
        <v>1044000</v>
      </c>
      <c r="H140" s="28">
        <v>1856000</v>
      </c>
      <c r="I140" s="29">
        <f>SUMIFS(Jardineria_Y_Riego!$T:$T,Jardineria_Y_Riego!$C:$C,$B140)</f>
        <v>1856000</v>
      </c>
      <c r="J140" s="30">
        <f>IFERROR(I140/E140-1,0)</f>
        <v>0.77777777777777768</v>
      </c>
      <c r="K140" s="31">
        <f>I140/(UNITARIO!$D$9+UNITARIO!$I$9)</f>
        <v>633.9663888509358</v>
      </c>
      <c r="L140" s="31">
        <f>E140/$D$1</f>
        <v>59657.142857142855</v>
      </c>
      <c r="M140" s="31">
        <f>I140/$D$1</f>
        <v>106057.14285714286</v>
      </c>
      <c r="N140" s="46"/>
      <c r="O140" s="29">
        <f>SUMIFS(Jardineria_Y_Riego!$T:$T,Jardineria_Y_Riego!$C:$C,$B140,Jardineria_Y_Riego!$V:$V,$O$4)</f>
        <v>0</v>
      </c>
      <c r="P140" s="29">
        <f>SUMIFS(Jardineria_Y_Riego!$T:$T,Jardineria_Y_Riego!$C:$C,$B140,Jardineria_Y_Riego!$V:$V,$P$4)</f>
        <v>1856000</v>
      </c>
      <c r="Q140" s="46"/>
      <c r="R140" s="29">
        <f>SUMIFS(Jardineria_Y_Riego!$T:$T,Jardineria_Y_Riego!$C:$C,$B140,Jardineria_Y_Riego!$W:$W,$R$4)</f>
        <v>0</v>
      </c>
      <c r="S140" s="29">
        <f>SUMIFS(Jardineria_Y_Riego!$T:$T,Jardineria_Y_Riego!$C:$C,$B140,Jardineria_Y_Riego!$W:$W,$S$4)</f>
        <v>1856000</v>
      </c>
      <c r="U140" s="32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</row>
    <row r="141" spans="2:73" ht="12" customHeight="1" outlineLevel="1" x14ac:dyDescent="0.2">
      <c r="B141" s="34" t="s">
        <v>125</v>
      </c>
      <c r="C141" s="34"/>
      <c r="D141" s="34"/>
      <c r="E141" s="35">
        <f>SUM(E139:E140)</f>
        <v>6130600</v>
      </c>
      <c r="F141" s="36">
        <f>SUM(F139:F140)</f>
        <v>6130600</v>
      </c>
      <c r="G141" s="36">
        <f>SUM(G139:G140)</f>
        <v>6130600</v>
      </c>
      <c r="H141" s="36">
        <f>SUM(H139:H140)</f>
        <v>7400800</v>
      </c>
      <c r="I141" s="37">
        <f>SUM(I139:I140)</f>
        <v>7400800</v>
      </c>
      <c r="J141" s="47">
        <f>IFERROR(I141/E141-1,0)</f>
        <v>0.20719016083254505</v>
      </c>
      <c r="K141" s="39">
        <f>I141/(UNITARIO!$D$9+UNITARIO!$I$9)</f>
        <v>2527.9409755431066</v>
      </c>
      <c r="L141" s="39">
        <f>SUM(L139:L140)</f>
        <v>350320</v>
      </c>
      <c r="M141" s="39">
        <f>SUM(M139:M140)</f>
        <v>422902.8571428571</v>
      </c>
      <c r="O141" s="37">
        <f>SUM(O139:O140)</f>
        <v>0</v>
      </c>
      <c r="P141" s="37">
        <f>SUM(P139:P140)</f>
        <v>7400800</v>
      </c>
      <c r="R141" s="37">
        <f>SUM(R139:R140)</f>
        <v>0</v>
      </c>
      <c r="S141" s="37">
        <f>SUM(S139:S140)</f>
        <v>7400800</v>
      </c>
      <c r="U141" s="40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</row>
    <row r="142" spans="2:73" ht="15" customHeight="1" x14ac:dyDescent="0.2">
      <c r="B142" s="74"/>
      <c r="C142" s="1"/>
      <c r="D142" s="1"/>
      <c r="E142" s="42"/>
      <c r="F142" s="42"/>
      <c r="G142" s="42"/>
      <c r="H142" s="42"/>
      <c r="I142" s="42"/>
      <c r="K142" s="42"/>
      <c r="L142" s="42"/>
      <c r="M142" s="42"/>
      <c r="O142" s="42"/>
      <c r="P142" s="42"/>
      <c r="R142" s="42"/>
      <c r="S142" s="42"/>
    </row>
    <row r="143" spans="2:73" ht="12" customHeight="1" x14ac:dyDescent="0.2">
      <c r="B143" s="17" t="s">
        <v>126</v>
      </c>
      <c r="C143" s="17"/>
      <c r="D143" s="17"/>
      <c r="E143" s="18">
        <f>E146</f>
        <v>3000000</v>
      </c>
      <c r="F143" s="19">
        <f>F146</f>
        <v>3000000</v>
      </c>
      <c r="G143" s="19">
        <f>G146</f>
        <v>3000000</v>
      </c>
      <c r="H143" s="18">
        <f>H146</f>
        <v>3394998.68</v>
      </c>
      <c r="I143" s="18">
        <f>I146</f>
        <v>3394998.6799999997</v>
      </c>
      <c r="J143" s="20">
        <f>IFERROR(I143/E143-1,0)</f>
        <v>0.13166622666666661</v>
      </c>
      <c r="K143" s="18">
        <f>I143/(UNITARIO!$D$9+UNITARIO!$I$9)</f>
        <v>1159.6525071731107</v>
      </c>
      <c r="L143" s="18">
        <f>E143/$D$1</f>
        <v>171428.57142857142</v>
      </c>
      <c r="M143" s="18">
        <f>I143/$D$1</f>
        <v>193999.92457142856</v>
      </c>
      <c r="O143" s="18">
        <f>O146</f>
        <v>0</v>
      </c>
      <c r="P143" s="18">
        <f>P146</f>
        <v>3394998.6799999997</v>
      </c>
      <c r="R143" s="18">
        <f>R146</f>
        <v>1697499.3399999999</v>
      </c>
      <c r="S143" s="18">
        <f>S146</f>
        <v>1697499.3399999999</v>
      </c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</row>
    <row r="144" spans="2:73" ht="12" customHeight="1" outlineLevel="1" x14ac:dyDescent="0.2">
      <c r="B144" s="22" t="s">
        <v>126</v>
      </c>
      <c r="C144" s="22"/>
      <c r="D144" s="22"/>
      <c r="E144" s="43"/>
      <c r="F144" s="44"/>
      <c r="G144" s="44"/>
      <c r="H144" s="44"/>
      <c r="I144" s="44"/>
      <c r="J144" s="24"/>
      <c r="K144" s="45"/>
      <c r="L144" s="45"/>
      <c r="M144" s="45"/>
      <c r="O144" s="44"/>
      <c r="P144" s="44"/>
      <c r="R144" s="44"/>
      <c r="S144" s="44"/>
      <c r="U144" s="23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</row>
    <row r="145" spans="2:73" ht="12" customHeight="1" outlineLevel="1" x14ac:dyDescent="0.2">
      <c r="B145" s="26" t="s">
        <v>127</v>
      </c>
      <c r="C145" s="26"/>
      <c r="D145" s="26"/>
      <c r="E145" s="27">
        <f>1500000*2</f>
        <v>3000000</v>
      </c>
      <c r="F145" s="28">
        <f>1500000*2</f>
        <v>3000000</v>
      </c>
      <c r="G145" s="28">
        <v>3000000</v>
      </c>
      <c r="H145" s="28">
        <v>3394998.68</v>
      </c>
      <c r="I145" s="29">
        <f>SUMIFS(Elevador!$T:$T,Elevador!$C:$C,$B145)</f>
        <v>3394998.6799999997</v>
      </c>
      <c r="J145" s="30">
        <f>IFERROR(I145/E145-1,0)</f>
        <v>0.13166622666666661</v>
      </c>
      <c r="K145" s="31">
        <f>I145/(UNITARIO!$D$9+UNITARIO!$I$9)</f>
        <v>1159.6525071731107</v>
      </c>
      <c r="L145" s="31">
        <f>E145/$D$1</f>
        <v>171428.57142857142</v>
      </c>
      <c r="M145" s="31">
        <f>I145/$D$1</f>
        <v>193999.92457142856</v>
      </c>
      <c r="N145" s="46"/>
      <c r="O145" s="29">
        <f>SUMIFS(Elevador!$T:$T,Elevador!$C:$C,$B145,Elevador!$V:$V,$O$4)</f>
        <v>0</v>
      </c>
      <c r="P145" s="29">
        <f>SUMIFS(Elevador!$T:$T,Elevador!$C:$C,$B145,Elevador!$V:$V,$P$4)</f>
        <v>3394998.6799999997</v>
      </c>
      <c r="Q145" s="46"/>
      <c r="R145" s="29">
        <f>SUMIFS(Elevador!$T:$T,Elevador!$C:$C,$B145,Elevador!$W:$W,$R$4)</f>
        <v>1697499.3399999999</v>
      </c>
      <c r="S145" s="29">
        <f>SUMIFS(Elevador!$T:$T,Elevador!$C:$C,$B145,Elevador!$W:$W,$S$4)</f>
        <v>1697499.3399999999</v>
      </c>
      <c r="U145" s="32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</row>
    <row r="146" spans="2:73" ht="12" customHeight="1" outlineLevel="1" x14ac:dyDescent="0.2">
      <c r="B146" s="34" t="s">
        <v>128</v>
      </c>
      <c r="C146" s="34"/>
      <c r="D146" s="34"/>
      <c r="E146" s="35">
        <f>SUM(E145)</f>
        <v>3000000</v>
      </c>
      <c r="F146" s="36">
        <f>SUM(F145)</f>
        <v>3000000</v>
      </c>
      <c r="G146" s="36">
        <f>SUM(G145)</f>
        <v>3000000</v>
      </c>
      <c r="H146" s="36">
        <f>SUM(H145)</f>
        <v>3394998.68</v>
      </c>
      <c r="I146" s="37">
        <f>SUM(I145)</f>
        <v>3394998.6799999997</v>
      </c>
      <c r="J146" s="47">
        <f>IFERROR(I146/E146-1,0)</f>
        <v>0.13166622666666661</v>
      </c>
      <c r="K146" s="39">
        <f>I146/(UNITARIO!$D$9+UNITARIO!$I$9)</f>
        <v>1159.6525071731107</v>
      </c>
      <c r="L146" s="39">
        <f>SUM(L145)</f>
        <v>171428.57142857142</v>
      </c>
      <c r="M146" s="39">
        <f>SUM(M145)</f>
        <v>193999.92457142856</v>
      </c>
      <c r="O146" s="37">
        <f>SUM(O145)</f>
        <v>0</v>
      </c>
      <c r="P146" s="37">
        <f>SUM(P145)</f>
        <v>3394998.6799999997</v>
      </c>
      <c r="R146" s="37">
        <f>SUM(R145)</f>
        <v>1697499.3399999999</v>
      </c>
      <c r="S146" s="37">
        <f>SUM(S145)</f>
        <v>1697499.3399999999</v>
      </c>
      <c r="U146" s="40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</row>
    <row r="147" spans="2:73" ht="15" customHeight="1" x14ac:dyDescent="0.2">
      <c r="B147" s="1"/>
      <c r="C147" s="1"/>
      <c r="D147" s="1"/>
      <c r="E147" s="42"/>
      <c r="F147" s="42"/>
      <c r="G147" s="42"/>
      <c r="H147" s="42"/>
      <c r="I147" s="42"/>
      <c r="K147" s="42"/>
      <c r="L147" s="42"/>
      <c r="M147" s="42"/>
      <c r="O147" s="42"/>
      <c r="P147" s="42"/>
      <c r="R147" s="42"/>
      <c r="S147" s="42"/>
    </row>
    <row r="148" spans="2:73" ht="12" customHeight="1" x14ac:dyDescent="0.2">
      <c r="B148" s="17" t="s">
        <v>129</v>
      </c>
      <c r="C148" s="17"/>
      <c r="D148" s="17"/>
      <c r="E148" s="18">
        <f>E156+E160+E164</f>
        <v>20935328.288000003</v>
      </c>
      <c r="F148" s="19">
        <f>F156+F160+F164</f>
        <v>22851648.288000003</v>
      </c>
      <c r="G148" s="19">
        <f>G156+G160+G164</f>
        <v>21993539.836599998</v>
      </c>
      <c r="H148" s="18">
        <f>H156+H160+H164</f>
        <v>21993539.836599998</v>
      </c>
      <c r="I148" s="18">
        <f>I156+I160+I164</f>
        <v>21993539.836599998</v>
      </c>
      <c r="J148" s="20">
        <f>IFERROR(I148/E148-1,0)</f>
        <v>5.0546689979853676E-2</v>
      </c>
      <c r="K148" s="18">
        <f>I148/(UNITARIO!$D$9+UNITARIO!$I$9)</f>
        <v>7512.4811574668656</v>
      </c>
      <c r="L148" s="18">
        <f>E148/$D$1</f>
        <v>1196304.4736000001</v>
      </c>
      <c r="M148" s="18">
        <f>I148/$D$1</f>
        <v>1256773.7049485713</v>
      </c>
      <c r="O148" s="18">
        <f>O156+O160+O164</f>
        <v>960409.97660000017</v>
      </c>
      <c r="P148" s="18">
        <f>P156+P160+P164</f>
        <v>21033129.859999999</v>
      </c>
      <c r="R148" s="18">
        <f>R156+R160+R164</f>
        <v>0</v>
      </c>
      <c r="S148" s="18">
        <f>S156+S160+S164</f>
        <v>21993539.836599998</v>
      </c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</row>
    <row r="149" spans="2:73" ht="12" customHeight="1" outlineLevel="1" x14ac:dyDescent="0.2">
      <c r="B149" s="22" t="s">
        <v>129</v>
      </c>
      <c r="C149" s="22"/>
      <c r="D149" s="22"/>
      <c r="E149" s="43"/>
      <c r="F149" s="44"/>
      <c r="G149" s="44"/>
      <c r="H149" s="44"/>
      <c r="I149" s="44"/>
      <c r="J149" s="24"/>
      <c r="K149" s="45"/>
      <c r="L149" s="45"/>
      <c r="M149" s="45"/>
      <c r="O149" s="44"/>
      <c r="P149" s="44"/>
      <c r="R149" s="44"/>
      <c r="S149" s="44"/>
      <c r="U149" s="23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</row>
    <row r="150" spans="2:73" ht="12" customHeight="1" outlineLevel="1" x14ac:dyDescent="0.2">
      <c r="B150" s="26" t="s">
        <v>130</v>
      </c>
      <c r="C150" s="26"/>
      <c r="D150" s="26"/>
      <c r="E150" s="27">
        <f>4678939.344*2</f>
        <v>9357878.6879999992</v>
      </c>
      <c r="F150" s="28">
        <f>4678939.344*2</f>
        <v>9357878.6879999992</v>
      </c>
      <c r="G150" s="28">
        <v>7493029.8600000003</v>
      </c>
      <c r="H150" s="28">
        <v>7493029.8600000003</v>
      </c>
      <c r="I150" s="29">
        <f>SUMIFS(Exteriores!$T:$T,Exteriores!$C:$C,$B150)</f>
        <v>7493029.8600000003</v>
      </c>
      <c r="J150" s="30">
        <f t="shared" ref="J150:J156" si="7">IFERROR(I150/E150-1,0)</f>
        <v>-0.19928115015974435</v>
      </c>
      <c r="K150" s="31">
        <f>I150/(UNITARIO!$D$9+UNITARIO!$I$9)</f>
        <v>2559.4445484355783</v>
      </c>
      <c r="L150" s="31">
        <f t="shared" ref="L150:L155" si="8">E150/$D$1</f>
        <v>534735.92502857139</v>
      </c>
      <c r="M150" s="31">
        <f t="shared" ref="M150:M155" si="9">I150/$D$1</f>
        <v>428173.13485714287</v>
      </c>
      <c r="N150" s="46"/>
      <c r="O150" s="29">
        <f>SUMIFS(Exteriores!$T:$T,Exteriores!$C:$C,$B150,Exteriores!$V:$V,$O$4)</f>
        <v>0</v>
      </c>
      <c r="P150" s="29">
        <f>SUMIFS(Exteriores!$T:$T,Exteriores!$C:$C,$B150,Exteriores!$V:$V,$P$4)</f>
        <v>7493029.8600000003</v>
      </c>
      <c r="Q150" s="46"/>
      <c r="R150" s="29">
        <f>SUMIFS(Exteriores!$T:$T,Exteriores!$C:$C,$B150,Exteriores!$W:$W,$R$4)</f>
        <v>0</v>
      </c>
      <c r="S150" s="29">
        <f>SUMIFS(Exteriores!$T:$T,Exteriores!$C:$C,$B150,Exteriores!$W:$W,$S$4)</f>
        <v>7493029.8600000003</v>
      </c>
      <c r="U150" s="32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</row>
    <row r="151" spans="2:73" ht="12" customHeight="1" outlineLevel="1" x14ac:dyDescent="0.2">
      <c r="B151" s="26" t="s">
        <v>131</v>
      </c>
      <c r="C151" s="26"/>
      <c r="D151" s="26"/>
      <c r="E151" s="27">
        <f>0*2</f>
        <v>0</v>
      </c>
      <c r="F151" s="28">
        <f>726160*2</f>
        <v>1452320</v>
      </c>
      <c r="G151" s="28">
        <v>1162900</v>
      </c>
      <c r="H151" s="28">
        <v>1162900</v>
      </c>
      <c r="I151" s="29">
        <f>SUMIFS(Exteriores!$T:$T,Exteriores!$C:$C,$B151)</f>
        <v>1162900</v>
      </c>
      <c r="J151" s="30">
        <f t="shared" si="7"/>
        <v>0</v>
      </c>
      <c r="K151" s="31">
        <f>I151/(UNITARIO!$D$9+UNITARIO!$I$9)</f>
        <v>397.21956551441451</v>
      </c>
      <c r="L151" s="31">
        <f t="shared" si="8"/>
        <v>0</v>
      </c>
      <c r="M151" s="31">
        <f t="shared" si="9"/>
        <v>66451.428571428565</v>
      </c>
      <c r="N151" s="46"/>
      <c r="O151" s="29">
        <f>SUMIFS(Exteriores!$T:$T,Exteriores!$C:$C,$B151,Exteriores!$V:$V,$O$4)</f>
        <v>0</v>
      </c>
      <c r="P151" s="29">
        <f>SUMIFS(Exteriores!$T:$T,Exteriores!$C:$C,$B151,Exteriores!$V:$V,$P$4)</f>
        <v>1162900</v>
      </c>
      <c r="Q151" s="46"/>
      <c r="R151" s="29">
        <f>SUMIFS(Exteriores!$T:$T,Exteriores!$C:$C,$B151,Exteriores!$W:$W,$R$4)</f>
        <v>0</v>
      </c>
      <c r="S151" s="29">
        <f>SUMIFS(Exteriores!$T:$T,Exteriores!$C:$C,$B151,Exteriores!$W:$W,$S$4)</f>
        <v>1162900</v>
      </c>
      <c r="U151" s="32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</row>
    <row r="152" spans="2:73" ht="12" customHeight="1" outlineLevel="1" x14ac:dyDescent="0.2">
      <c r="B152" s="26" t="s">
        <v>132</v>
      </c>
      <c r="C152" s="26"/>
      <c r="D152" s="26"/>
      <c r="E152" s="27">
        <f>1160000*2</f>
        <v>2320000</v>
      </c>
      <c r="F152" s="28">
        <f>1160000*2</f>
        <v>2320000</v>
      </c>
      <c r="G152" s="28">
        <v>2320000</v>
      </c>
      <c r="H152" s="28">
        <v>2320000</v>
      </c>
      <c r="I152" s="29">
        <f>SUMIFS(Exteriores!$T:$T,Exteriores!$C:$C,$B152)</f>
        <v>2320000</v>
      </c>
      <c r="J152" s="30">
        <f t="shared" si="7"/>
        <v>0</v>
      </c>
      <c r="K152" s="31">
        <f>I152/(UNITARIO!$D$9+UNITARIO!$I$9)</f>
        <v>792.45798606366975</v>
      </c>
      <c r="L152" s="31">
        <f t="shared" si="8"/>
        <v>132571.42857142858</v>
      </c>
      <c r="M152" s="31">
        <f t="shared" si="9"/>
        <v>132571.42857142858</v>
      </c>
      <c r="N152" s="46"/>
      <c r="O152" s="29">
        <f>SUMIFS(Exteriores!$T:$T,Exteriores!$C:$C,$B152,Exteriores!$V:$V,$O$4)</f>
        <v>0</v>
      </c>
      <c r="P152" s="29">
        <f>SUMIFS(Exteriores!$T:$T,Exteriores!$C:$C,$B152,Exteriores!$V:$V,$P$4)</f>
        <v>2320000</v>
      </c>
      <c r="Q152" s="46"/>
      <c r="R152" s="29">
        <f>SUMIFS(Exteriores!$T:$T,Exteriores!$C:$C,$B152,Exteriores!$W:$W,$R$4)</f>
        <v>0</v>
      </c>
      <c r="S152" s="29">
        <f>SUMIFS(Exteriores!$T:$T,Exteriores!$C:$C,$B152,Exteriores!$W:$W,$S$4)</f>
        <v>2320000</v>
      </c>
      <c r="U152" s="32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</row>
    <row r="153" spans="2:73" ht="12" customHeight="1" outlineLevel="1" x14ac:dyDescent="0.2">
      <c r="B153" s="26" t="s">
        <v>133</v>
      </c>
      <c r="C153" s="26"/>
      <c r="D153" s="26"/>
      <c r="E153" s="27">
        <f>0*2</f>
        <v>0</v>
      </c>
      <c r="F153" s="28">
        <f>232000*2</f>
        <v>464000</v>
      </c>
      <c r="G153" s="28">
        <v>464000</v>
      </c>
      <c r="H153" s="28">
        <v>464000</v>
      </c>
      <c r="I153" s="29">
        <f>SUMIFS(Exteriores!$T:$T,Exteriores!$C:$C,$B153)</f>
        <v>464000</v>
      </c>
      <c r="J153" s="30">
        <f t="shared" si="7"/>
        <v>0</v>
      </c>
      <c r="K153" s="31">
        <f>I153/(UNITARIO!$D$9+UNITARIO!$I$9)</f>
        <v>158.49159721273395</v>
      </c>
      <c r="L153" s="31">
        <f t="shared" si="8"/>
        <v>0</v>
      </c>
      <c r="M153" s="31">
        <f t="shared" si="9"/>
        <v>26514.285714285714</v>
      </c>
      <c r="N153" s="46"/>
      <c r="O153" s="29">
        <f>SUMIFS(Exteriores!$T:$T,Exteriores!$C:$C,$B153,Exteriores!$V:$V,$O$4)</f>
        <v>0</v>
      </c>
      <c r="P153" s="29">
        <f>SUMIFS(Exteriores!$T:$T,Exteriores!$C:$C,$B153,Exteriores!$V:$V,$P$4)</f>
        <v>464000</v>
      </c>
      <c r="Q153" s="46"/>
      <c r="R153" s="29">
        <f>SUMIFS(Exteriores!$T:$T,Exteriores!$C:$C,$B153,Exteriores!$W:$W,$R$4)</f>
        <v>0</v>
      </c>
      <c r="S153" s="29">
        <f>SUMIFS(Exteriores!$T:$T,Exteriores!$C:$C,$B153,Exteriores!$W:$W,$S$4)</f>
        <v>464000</v>
      </c>
      <c r="U153" s="32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</row>
    <row r="154" spans="2:73" ht="12" customHeight="1" outlineLevel="1" x14ac:dyDescent="0.2">
      <c r="B154" s="26" t="s">
        <v>134</v>
      </c>
      <c r="C154" s="26"/>
      <c r="D154" s="26"/>
      <c r="E154" s="27">
        <f>0*2</f>
        <v>0</v>
      </c>
      <c r="F154" s="27">
        <f>0*2</f>
        <v>0</v>
      </c>
      <c r="G154" s="28">
        <v>580000</v>
      </c>
      <c r="H154" s="28">
        <v>580000</v>
      </c>
      <c r="I154" s="29">
        <f>SUMIFS(Exteriores!$T:$T,Exteriores!$C:$C,$B154)</f>
        <v>580000</v>
      </c>
      <c r="J154" s="30">
        <f t="shared" si="7"/>
        <v>0</v>
      </c>
      <c r="K154" s="31">
        <f>I154/(UNITARIO!$D$9+UNITARIO!$I$9)</f>
        <v>198.11449651591744</v>
      </c>
      <c r="L154" s="31">
        <f t="shared" si="8"/>
        <v>0</v>
      </c>
      <c r="M154" s="31">
        <f t="shared" si="9"/>
        <v>33142.857142857145</v>
      </c>
      <c r="N154" s="46"/>
      <c r="O154" s="29">
        <f>SUMIFS(Exteriores!$T:$T,Exteriores!$C:$C,$B154,Exteriores!$V:$V,$O$4)</f>
        <v>0</v>
      </c>
      <c r="P154" s="29">
        <f>SUMIFS(Exteriores!$T:$T,Exteriores!$C:$C,$B154,Exteriores!$V:$V,$P$4)</f>
        <v>580000</v>
      </c>
      <c r="Q154" s="46"/>
      <c r="R154" s="29">
        <f>SUMIFS(Exteriores!$T:$T,Exteriores!$C:$C,$B154,Exteriores!$W:$W,$R$4)</f>
        <v>0</v>
      </c>
      <c r="S154" s="29">
        <f>SUMIFS(Exteriores!$T:$T,Exteriores!$C:$C,$B154,Exteriores!$W:$W,$S$4)</f>
        <v>580000</v>
      </c>
      <c r="U154" s="32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</row>
    <row r="155" spans="2:73" ht="12" customHeight="1" outlineLevel="1" x14ac:dyDescent="0.2">
      <c r="B155" s="26" t="s">
        <v>135</v>
      </c>
      <c r="C155" s="26"/>
      <c r="D155" s="26"/>
      <c r="E155" s="27">
        <v>5844080</v>
      </c>
      <c r="F155" s="28">
        <v>5844080</v>
      </c>
      <c r="G155" s="28">
        <v>7969200</v>
      </c>
      <c r="H155" s="28">
        <v>7969200</v>
      </c>
      <c r="I155" s="29">
        <f>SUMIFS(Exteriores!$T:$T,Exteriores!$C:$C,$B155)</f>
        <v>7969200</v>
      </c>
      <c r="J155" s="30">
        <f t="shared" si="7"/>
        <v>0.36363636363636354</v>
      </c>
      <c r="K155" s="31">
        <f>I155/(UNITARIO!$D$9+UNITARIO!$I$9)</f>
        <v>2722.0931821287058</v>
      </c>
      <c r="L155" s="31">
        <f t="shared" si="8"/>
        <v>333947.42857142858</v>
      </c>
      <c r="M155" s="31">
        <f t="shared" si="9"/>
        <v>455382.85714285716</v>
      </c>
      <c r="N155" s="46"/>
      <c r="O155" s="29">
        <f>SUMIFS(Exteriores!$T:$T,Exteriores!$C:$C,$B155,Exteriores!$V:$V,$O$4)</f>
        <v>0</v>
      </c>
      <c r="P155" s="29">
        <f>SUMIFS(Exteriores!$T:$T,Exteriores!$C:$C,$B155,Exteriores!$V:$V,$P$4)</f>
        <v>7969200</v>
      </c>
      <c r="Q155" s="46"/>
      <c r="R155" s="29">
        <f>SUMIFS(Exteriores!$T:$T,Exteriores!$C:$C,$B155,Exteriores!$W:$W,$R$4)</f>
        <v>0</v>
      </c>
      <c r="S155" s="29">
        <f>SUMIFS(Exteriores!$T:$T,Exteriores!$C:$C,$B155,Exteriores!$W:$W,$S$4)</f>
        <v>7969200</v>
      </c>
      <c r="U155" s="32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</row>
    <row r="156" spans="2:73" ht="12" customHeight="1" outlineLevel="1" x14ac:dyDescent="0.2">
      <c r="B156" s="34" t="s">
        <v>136</v>
      </c>
      <c r="C156" s="34"/>
      <c r="D156" s="34"/>
      <c r="E156" s="35">
        <f>SUM(E150:E155)</f>
        <v>17521958.688000001</v>
      </c>
      <c r="F156" s="36">
        <f>SUM(F150:F155)</f>
        <v>19438278.688000001</v>
      </c>
      <c r="G156" s="36">
        <f>SUM(G150:G155)</f>
        <v>19989129.859999999</v>
      </c>
      <c r="H156" s="36">
        <f>SUM(H150:H155)</f>
        <v>19989129.859999999</v>
      </c>
      <c r="I156" s="37">
        <f>SUM(I150:I155)</f>
        <v>19989129.859999999</v>
      </c>
      <c r="J156" s="47">
        <f t="shared" si="7"/>
        <v>0.14080453081365008</v>
      </c>
      <c r="K156" s="39">
        <f>I156/(UNITARIO!$D$9+UNITARIO!$I$9)</f>
        <v>6827.8213758710199</v>
      </c>
      <c r="L156" s="39">
        <f>SUM(L150:L155)</f>
        <v>1001254.7821714287</v>
      </c>
      <c r="M156" s="39">
        <f>SUM(M150:M155)</f>
        <v>1142235.9920000001</v>
      </c>
      <c r="O156" s="37">
        <f>SUM(O150:O155)</f>
        <v>0</v>
      </c>
      <c r="P156" s="37">
        <f>SUM(P150:P155)</f>
        <v>19989129.859999999</v>
      </c>
      <c r="R156" s="37">
        <f>SUM(R150:R155)</f>
        <v>0</v>
      </c>
      <c r="S156" s="37">
        <f>SUM(S150:S155)</f>
        <v>19989129.859999999</v>
      </c>
      <c r="U156" s="40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</row>
    <row r="157" spans="2:73" ht="15" customHeight="1" outlineLevel="1" x14ac:dyDescent="0.2">
      <c r="B157" s="74"/>
      <c r="C157" s="1"/>
      <c r="D157" s="1"/>
      <c r="E157" s="42"/>
      <c r="F157" s="42"/>
      <c r="G157" s="42"/>
      <c r="H157" s="42"/>
      <c r="I157" s="42"/>
      <c r="K157" s="42"/>
      <c r="L157" s="42"/>
      <c r="M157" s="42"/>
      <c r="O157" s="42"/>
      <c r="P157" s="42"/>
      <c r="R157" s="42"/>
      <c r="S157" s="42"/>
    </row>
    <row r="158" spans="2:73" ht="12" customHeight="1" outlineLevel="1" x14ac:dyDescent="0.2">
      <c r="B158" s="22" t="s">
        <v>137</v>
      </c>
      <c r="C158" s="22"/>
      <c r="D158" s="22"/>
      <c r="E158" s="43"/>
      <c r="F158" s="44"/>
      <c r="G158" s="44"/>
      <c r="H158" s="44"/>
      <c r="I158" s="44"/>
      <c r="J158" s="24"/>
      <c r="K158" s="45"/>
      <c r="L158" s="45"/>
      <c r="M158" s="45"/>
      <c r="O158" s="44"/>
      <c r="P158" s="44"/>
      <c r="R158" s="44"/>
      <c r="S158" s="44"/>
      <c r="U158" s="23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</row>
    <row r="159" spans="2:73" ht="12" customHeight="1" outlineLevel="1" x14ac:dyDescent="0.2">
      <c r="B159" s="26" t="s">
        <v>138</v>
      </c>
      <c r="C159" s="26"/>
      <c r="D159" s="83" t="s">
        <v>139</v>
      </c>
      <c r="E159" s="27">
        <f>1300684.8*2</f>
        <v>2601369.6000000001</v>
      </c>
      <c r="F159" s="28">
        <f>1300684.8*2</f>
        <v>2601369.6000000001</v>
      </c>
      <c r="G159" s="28">
        <v>1192409.9765999999</v>
      </c>
      <c r="H159" s="28">
        <v>1192409.9765999999</v>
      </c>
      <c r="I159" s="29">
        <f>SUMIFS('Garden and Privacy Walls'!$T:$T,'Garden and Privacy Walls'!$B:$B,$B159)</f>
        <v>1192409.9766000002</v>
      </c>
      <c r="J159" s="30">
        <f>IFERROR(I159/E159-1,0)</f>
        <v>-0.54162223753210614</v>
      </c>
      <c r="K159" s="31">
        <f>I159/(UNITARIO!$D$9+UNITARIO!$I$9)</f>
        <v>407.29948647356196</v>
      </c>
      <c r="L159" s="31">
        <f>E159/$D$1</f>
        <v>148649.69142857144</v>
      </c>
      <c r="M159" s="31">
        <f>I159/$D$1</f>
        <v>68137.712948571439</v>
      </c>
      <c r="N159" s="46"/>
      <c r="O159" s="29">
        <f>SUMIFS('Garden and Privacy Walls'!$T:$T,'Garden and Privacy Walls'!$B:$B,$B159,'Garden and Privacy Walls'!$V:$V,$O$4)</f>
        <v>960409.97660000017</v>
      </c>
      <c r="P159" s="29">
        <f>SUMIFS('Garden and Privacy Walls'!$T:$T,'Garden and Privacy Walls'!$B:$B,$B159,'Garden and Privacy Walls'!$V:$V,$P$4)</f>
        <v>232000</v>
      </c>
      <c r="Q159" s="46"/>
      <c r="R159" s="29">
        <f>SUMIFS('Garden and Privacy Walls'!$T:$T,'Garden and Privacy Walls'!$B:$B,$B159,'Garden and Privacy Walls'!$W:$W,$R$4)</f>
        <v>0</v>
      </c>
      <c r="S159" s="29">
        <f>SUMIFS('Garden and Privacy Walls'!$T:$T,'Garden and Privacy Walls'!$B:$B,$B159,'Garden and Privacy Walls'!$W:$W,$S$4)</f>
        <v>1192409.9766000002</v>
      </c>
      <c r="U159" s="32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</row>
    <row r="160" spans="2:73" ht="12" customHeight="1" outlineLevel="1" x14ac:dyDescent="0.2">
      <c r="B160" s="34" t="s">
        <v>140</v>
      </c>
      <c r="C160" s="34"/>
      <c r="D160" s="34"/>
      <c r="E160" s="35">
        <f>SUM(E159)</f>
        <v>2601369.6000000001</v>
      </c>
      <c r="F160" s="36">
        <f>SUM(F159)</f>
        <v>2601369.6000000001</v>
      </c>
      <c r="G160" s="36">
        <f>SUM(G159)</f>
        <v>1192409.9765999999</v>
      </c>
      <c r="H160" s="36">
        <f>SUM(H159)</f>
        <v>1192409.9765999999</v>
      </c>
      <c r="I160" s="37">
        <f>SUM(I159)</f>
        <v>1192409.9766000002</v>
      </c>
      <c r="J160" s="47">
        <f>IFERROR(I160/E160-1,0)</f>
        <v>-0.54162223753210614</v>
      </c>
      <c r="K160" s="39">
        <f>I160/(UNITARIO!$D$9+UNITARIO!$I$9)</f>
        <v>407.29948647356196</v>
      </c>
      <c r="L160" s="39">
        <f>SUM(L159)</f>
        <v>148649.69142857144</v>
      </c>
      <c r="M160" s="39">
        <f>SUM(M159)</f>
        <v>68137.712948571439</v>
      </c>
      <c r="O160" s="37">
        <f>SUM(O159)</f>
        <v>960409.97660000017</v>
      </c>
      <c r="P160" s="37">
        <f>SUM(P159)</f>
        <v>232000</v>
      </c>
      <c r="R160" s="37">
        <f>SUM(R159)</f>
        <v>0</v>
      </c>
      <c r="S160" s="37">
        <f>SUM(S159)</f>
        <v>1192409.9766000002</v>
      </c>
      <c r="U160" s="40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</row>
    <row r="161" spans="2:74" ht="15" customHeight="1" outlineLevel="1" x14ac:dyDescent="0.2">
      <c r="B161" s="74"/>
      <c r="C161" s="1"/>
      <c r="D161" s="1"/>
      <c r="E161" s="42"/>
      <c r="F161" s="42"/>
      <c r="G161" s="42"/>
      <c r="H161" s="42"/>
      <c r="I161" s="42"/>
      <c r="K161" s="42"/>
      <c r="L161" s="42"/>
      <c r="M161" s="42"/>
      <c r="O161" s="42"/>
      <c r="P161" s="42"/>
      <c r="R161" s="42"/>
      <c r="S161" s="42"/>
    </row>
    <row r="162" spans="2:74" ht="12" customHeight="1" outlineLevel="1" x14ac:dyDescent="0.2">
      <c r="B162" s="22" t="s">
        <v>141</v>
      </c>
      <c r="C162" s="22"/>
      <c r="D162" s="22"/>
      <c r="E162" s="43"/>
      <c r="F162" s="44"/>
      <c r="G162" s="44"/>
      <c r="H162" s="44"/>
      <c r="I162" s="44"/>
      <c r="J162" s="24"/>
      <c r="K162" s="45">
        <f>I162/(UNITARIO!$D$9+UNITARIO!$I$9)</f>
        <v>0</v>
      </c>
      <c r="L162" s="45"/>
      <c r="M162" s="45"/>
      <c r="O162" s="44"/>
      <c r="P162" s="44"/>
      <c r="R162" s="44"/>
      <c r="S162" s="44"/>
      <c r="U162" s="23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</row>
    <row r="163" spans="2:74" ht="12" customHeight="1" outlineLevel="1" x14ac:dyDescent="0.2">
      <c r="B163" s="26" t="s">
        <v>142</v>
      </c>
      <c r="C163" s="26"/>
      <c r="D163" s="26"/>
      <c r="E163" s="27">
        <f>406000*2</f>
        <v>812000</v>
      </c>
      <c r="F163" s="28">
        <f>406000*2</f>
        <v>812000</v>
      </c>
      <c r="G163" s="28">
        <v>812000</v>
      </c>
      <c r="H163" s="28">
        <v>812000</v>
      </c>
      <c r="I163" s="29">
        <f>SUMIFS(Infraestructura!$T:$T,Infraestructura!$B:$B,$B163)</f>
        <v>812000</v>
      </c>
      <c r="J163" s="30">
        <f>IFERROR(I163/E163-1,0)</f>
        <v>0</v>
      </c>
      <c r="K163" s="31">
        <f>I163/(UNITARIO!$D$9+UNITARIO!$I$9)</f>
        <v>277.36029512228441</v>
      </c>
      <c r="L163" s="31">
        <f>E163/$D$1</f>
        <v>46400</v>
      </c>
      <c r="M163" s="31">
        <f>I163/$D$1</f>
        <v>46400</v>
      </c>
      <c r="N163" s="46"/>
      <c r="O163" s="29">
        <f>SUMIFS(Infraestructura!$T:$T,Infraestructura!$B:$B,$B163,Infraestructura!$V:$V,$O$4)</f>
        <v>0</v>
      </c>
      <c r="P163" s="29">
        <f>SUMIFS(Infraestructura!$T:$T,Infraestructura!$B:$B,$B163,Infraestructura!$V:$V,$P$4)</f>
        <v>812000</v>
      </c>
      <c r="Q163" s="46"/>
      <c r="R163" s="29">
        <f>SUMIFS(Infraestructura!$T:$T,Infraestructura!$B:$B,$B163,Infraestructura!$W:$W,$R$4)</f>
        <v>0</v>
      </c>
      <c r="S163" s="29">
        <f>SUMIFS(Infraestructura!$T:$T,Infraestructura!$B:$B,$B163,Infraestructura!$W:$W,$S$4)</f>
        <v>812000</v>
      </c>
      <c r="U163" s="32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</row>
    <row r="164" spans="2:74" ht="12" customHeight="1" outlineLevel="1" x14ac:dyDescent="0.2">
      <c r="B164" s="34" t="s">
        <v>143</v>
      </c>
      <c r="C164" s="34"/>
      <c r="D164" s="34"/>
      <c r="E164" s="35">
        <f>SUM(E163)</f>
        <v>812000</v>
      </c>
      <c r="F164" s="36">
        <f>SUM(F163)</f>
        <v>812000</v>
      </c>
      <c r="G164" s="36">
        <f>SUM(G163)</f>
        <v>812000</v>
      </c>
      <c r="H164" s="36">
        <f>SUM(H163)</f>
        <v>812000</v>
      </c>
      <c r="I164" s="37">
        <f>SUM(I163)</f>
        <v>812000</v>
      </c>
      <c r="J164" s="47">
        <f>IFERROR(I164/E164-1,0)</f>
        <v>0</v>
      </c>
      <c r="K164" s="39">
        <f>I164/(UNITARIO!$D$9+UNITARIO!$I$9)</f>
        <v>277.36029512228441</v>
      </c>
      <c r="L164" s="39">
        <f>SUM(L163)</f>
        <v>46400</v>
      </c>
      <c r="M164" s="39">
        <f>SUM(M163)</f>
        <v>46400</v>
      </c>
      <c r="O164" s="37">
        <f>SUM(O163)</f>
        <v>0</v>
      </c>
      <c r="P164" s="37">
        <f>SUM(P163)</f>
        <v>812000</v>
      </c>
      <c r="R164" s="37">
        <f>SUM(R163)</f>
        <v>0</v>
      </c>
      <c r="S164" s="37">
        <f>SUM(S163)</f>
        <v>812000</v>
      </c>
      <c r="U164" s="40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</row>
    <row r="165" spans="2:74" ht="15" customHeight="1" x14ac:dyDescent="0.2">
      <c r="B165" s="1"/>
      <c r="C165" s="1"/>
      <c r="D165" s="1"/>
      <c r="E165" s="42"/>
      <c r="F165" s="42"/>
      <c r="G165" s="42"/>
      <c r="H165" s="42"/>
      <c r="I165" s="42"/>
      <c r="K165" s="42"/>
      <c r="L165" s="42"/>
      <c r="M165" s="42"/>
      <c r="O165" s="42"/>
      <c r="P165" s="42"/>
      <c r="R165" s="42"/>
      <c r="S165" s="42"/>
    </row>
    <row r="166" spans="2:74" ht="12" customHeight="1" x14ac:dyDescent="0.2">
      <c r="B166" s="17" t="s">
        <v>144</v>
      </c>
      <c r="C166" s="17"/>
      <c r="D166" s="17"/>
      <c r="E166" s="18">
        <f>E170</f>
        <v>0</v>
      </c>
      <c r="F166" s="18">
        <f>F170</f>
        <v>1280000</v>
      </c>
      <c r="G166" s="18">
        <f>G170</f>
        <v>1280000</v>
      </c>
      <c r="H166" s="18">
        <f>H170</f>
        <v>2640000</v>
      </c>
      <c r="I166" s="18">
        <f>I170</f>
        <v>2640000</v>
      </c>
      <c r="J166" s="20">
        <f>IFERROR(I166/E166-1,0)</f>
        <v>0</v>
      </c>
      <c r="K166" s="18">
        <f>I166/(UNITARIO!$D$9+UNITARIO!$I$9)</f>
        <v>901.76253586555526</v>
      </c>
      <c r="L166" s="18">
        <f>E166/$D$1</f>
        <v>0</v>
      </c>
      <c r="M166" s="18">
        <f>I166/$D$1</f>
        <v>150857.14285714287</v>
      </c>
      <c r="O166" s="18">
        <f>O170</f>
        <v>0</v>
      </c>
      <c r="P166" s="18">
        <f>P170</f>
        <v>2640000</v>
      </c>
      <c r="R166" s="18">
        <f>R170</f>
        <v>0</v>
      </c>
      <c r="S166" s="18">
        <f>S170</f>
        <v>2640000</v>
      </c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</row>
    <row r="167" spans="2:74" ht="12" customHeight="1" outlineLevel="1" x14ac:dyDescent="0.2">
      <c r="B167" s="22" t="s">
        <v>145</v>
      </c>
      <c r="C167" s="22"/>
      <c r="D167" s="22"/>
      <c r="E167" s="43"/>
      <c r="F167" s="44"/>
      <c r="G167" s="44"/>
      <c r="H167" s="44"/>
      <c r="I167" s="44"/>
      <c r="J167" s="24"/>
      <c r="K167" s="45"/>
      <c r="L167" s="45"/>
      <c r="M167" s="45"/>
      <c r="O167" s="44"/>
      <c r="P167" s="44"/>
      <c r="R167" s="44"/>
      <c r="S167" s="44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</row>
    <row r="168" spans="2:74" ht="12" customHeight="1" outlineLevel="1" x14ac:dyDescent="0.2">
      <c r="B168" s="26" t="s">
        <v>146</v>
      </c>
      <c r="C168" s="26"/>
      <c r="D168" s="26"/>
      <c r="E168" s="27">
        <f>0*2</f>
        <v>0</v>
      </c>
      <c r="F168" s="28">
        <f>320000*2</f>
        <v>640000</v>
      </c>
      <c r="G168" s="28">
        <v>640000</v>
      </c>
      <c r="H168" s="28">
        <v>640000</v>
      </c>
      <c r="I168" s="29">
        <f>SUMIFS(Otros!$T:$T,Otros!$C:$C,$B168)</f>
        <v>640000</v>
      </c>
      <c r="J168" s="30">
        <f>IFERROR(I168/E168-1,0)</f>
        <v>0</v>
      </c>
      <c r="K168" s="31">
        <f>I168/(UNITARIO!$D$9+UNITARIO!$I$9)</f>
        <v>218.60909960377097</v>
      </c>
      <c r="L168" s="31">
        <f>E168/$D$1</f>
        <v>0</v>
      </c>
      <c r="M168" s="31">
        <f>I168/$D$1</f>
        <v>36571.428571428572</v>
      </c>
      <c r="N168" s="46"/>
      <c r="O168" s="29">
        <f>SUMIFS(Otros!$T:$T,Otros!$C:$C,$B168,Otros!$V:$V,$O$4)</f>
        <v>0</v>
      </c>
      <c r="P168" s="29">
        <f>SUMIFS(Otros!$T:$T,Otros!$C:$C,$B168,Otros!$V:$V,$P$4)</f>
        <v>640000</v>
      </c>
      <c r="Q168" s="46"/>
      <c r="R168" s="29">
        <f>SUMIFS(Otros!$T:$T,Otros!$C:$C,$B168,Otros!$W:$W,$R$4)</f>
        <v>0</v>
      </c>
      <c r="S168" s="29">
        <f>SUMIFS(Otros!$T:$T,Otros!$C:$C,$B168,Otros!$W:$W,$S$4)</f>
        <v>640000</v>
      </c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</row>
    <row r="169" spans="2:74" ht="12" customHeight="1" outlineLevel="1" x14ac:dyDescent="0.2">
      <c r="B169" s="26" t="s">
        <v>147</v>
      </c>
      <c r="C169" s="26"/>
      <c r="D169" s="26"/>
      <c r="E169" s="27">
        <f>0*2</f>
        <v>0</v>
      </c>
      <c r="F169" s="28">
        <f>320000*2</f>
        <v>640000</v>
      </c>
      <c r="G169" s="28">
        <v>640000</v>
      </c>
      <c r="H169" s="28">
        <v>2000000</v>
      </c>
      <c r="I169" s="29">
        <f>SUMIFS(Otros!$T:$T,Otros!$C:$C,$B169)</f>
        <v>2000000</v>
      </c>
      <c r="J169" s="30">
        <f>IFERROR(I169/E169-1,0)</f>
        <v>0</v>
      </c>
      <c r="K169" s="31">
        <f>I169/(UNITARIO!$D$9+UNITARIO!$I$9)</f>
        <v>683.15343626178435</v>
      </c>
      <c r="L169" s="31">
        <f>E169/$D$1</f>
        <v>0</v>
      </c>
      <c r="M169" s="31">
        <f>I169/$D$1</f>
        <v>114285.71428571429</v>
      </c>
      <c r="N169" s="46"/>
      <c r="O169" s="29">
        <f>SUMIFS(Otros!$T:$T,Otros!$C:$C,$B169,Otros!$V:$V,$O$4)</f>
        <v>0</v>
      </c>
      <c r="P169" s="29">
        <f>SUMIFS(Otros!$T:$T,Otros!$C:$C,$B169,Otros!$V:$V,$P$4)</f>
        <v>2000000</v>
      </c>
      <c r="Q169" s="46"/>
      <c r="R169" s="29">
        <f>SUMIFS(Otros!$T:$T,Otros!$C:$C,$B169,Otros!$W:$W,$R$4)</f>
        <v>0</v>
      </c>
      <c r="S169" s="29">
        <f>SUMIFS(Otros!$T:$T,Otros!$C:$C,$B169,Otros!$W:$W,$S$4)</f>
        <v>2000000</v>
      </c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</row>
    <row r="170" spans="2:74" ht="12" customHeight="1" outlineLevel="1" x14ac:dyDescent="0.2">
      <c r="B170" s="34" t="s">
        <v>148</v>
      </c>
      <c r="C170" s="34"/>
      <c r="D170" s="34"/>
      <c r="E170" s="35">
        <f>SUM(E168:E169)</f>
        <v>0</v>
      </c>
      <c r="F170" s="35">
        <f>SUM(F168:F169)</f>
        <v>1280000</v>
      </c>
      <c r="G170" s="35">
        <f>SUM(G168:G169)</f>
        <v>1280000</v>
      </c>
      <c r="H170" s="36">
        <f>SUM(H168:H169)</f>
        <v>2640000</v>
      </c>
      <c r="I170" s="37">
        <f>SUM(I168:I169)</f>
        <v>2640000</v>
      </c>
      <c r="J170" s="47">
        <f>IFERROR(I170/E170-1,0)</f>
        <v>0</v>
      </c>
      <c r="K170" s="39">
        <f>I170/(UNITARIO!$D$9+UNITARIO!$I$9)</f>
        <v>901.76253586555526</v>
      </c>
      <c r="L170" s="39">
        <f>SUM(L168)</f>
        <v>0</v>
      </c>
      <c r="M170" s="39">
        <f>SUM(M168)</f>
        <v>36571.428571428572</v>
      </c>
      <c r="O170" s="37">
        <f>SUM(O168:O169)</f>
        <v>0</v>
      </c>
      <c r="P170" s="37">
        <f>SUM(P168:P169)</f>
        <v>2640000</v>
      </c>
      <c r="R170" s="37">
        <f>SUM(R168:R169)</f>
        <v>0</v>
      </c>
      <c r="S170" s="37">
        <f>SUM(S168:S169)</f>
        <v>2640000</v>
      </c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</row>
    <row r="171" spans="2:74" ht="12" customHeight="1" x14ac:dyDescent="0.2">
      <c r="B171" s="84"/>
      <c r="C171" s="84"/>
      <c r="D171" s="84"/>
      <c r="E171" s="85"/>
      <c r="F171" s="86"/>
      <c r="G171" s="86"/>
      <c r="H171" s="87"/>
      <c r="I171" s="86"/>
      <c r="J171" s="88"/>
      <c r="K171" s="89"/>
      <c r="L171" s="89"/>
      <c r="M171" s="89"/>
      <c r="O171" s="86"/>
      <c r="P171" s="86"/>
      <c r="R171" s="86"/>
      <c r="S171" s="86"/>
    </row>
    <row r="172" spans="2:74" ht="13.5" customHeight="1" x14ac:dyDescent="0.2">
      <c r="B172" s="90" t="s">
        <v>149</v>
      </c>
      <c r="C172" s="90"/>
      <c r="D172" s="90"/>
      <c r="E172" s="91">
        <f>E15+E27+E36+E42+E46+E50+E32+E54+E58+E88+E94+E63+E67+E135+E71+E75+E79+E83+E99+E104+E111+E117+E121+E130+E141+E146+E156+E160+E164+E170</f>
        <v>427161130.0244537</v>
      </c>
      <c r="F172" s="91">
        <f>F15+F27+F36+F42+F46+F50+F32+F54+F58+F88+F94+F63+F67+F135+F71+F75+F79+F83+F99+F104+F111+F117+F121+F130+F141+F146+F156+F160+F164+F170</f>
        <v>398787044.0471133</v>
      </c>
      <c r="G172" s="91">
        <f>G15+G27+G36+G42+G46+G50+G32+G54+G58+G88+G94+G63+G67+G135+G71+G75+G79+G83+G99+G104+G111+G117+G121+G130+G141+G146+G156+G160+G164+G170</f>
        <v>414222329.39805293</v>
      </c>
      <c r="H172" s="91">
        <f>H15+H27+H36+H42+H46+H50+H32+H54+H58+H88+H94+H63+H67+H135+H71+H75+H79+H83+H99+H104+H111+H117+H121+H130+H141+H146+H156+H160+H164+H170</f>
        <v>434494741.95761263</v>
      </c>
      <c r="I172" s="91">
        <f>I15+I27+I36+I42+I46+I50+I32+I54+I58+I88+I94+I63+I67+I135+I71+I75+I79+I83+I99+I104+I111+I117+I121+I130+I141+I146+I156+I160+I164+I170</f>
        <v>420137639.32532692</v>
      </c>
      <c r="J172" s="92">
        <f>IFERROR(I172/E172-1,0)</f>
        <v>-1.6442251425649812E-2</v>
      </c>
      <c r="K172" s="93">
        <f>I172/(UNITARIO!$D$9+UNITARIO!$I$9)</f>
        <v>143509.23600400562</v>
      </c>
      <c r="L172" s="91">
        <f>L15+L27+L36+L42+L46+L50+L32+L54+L58+L88+L94+L63+L67+L135+L71+L75+L79+L83+L99+L104+L111+L117+L121+L130+L141+L146+L156+L160+L164+L170</f>
        <v>24397778.858540207</v>
      </c>
      <c r="M172" s="91">
        <f>M15+M27+M36+M42+M46+M50+M32+M54+M58+M88+M94+M63+M67+M135+M71+M75+M79+M83+M99+M104+M111+M117+M121+M130+M141+M146+M156+M160+M164+M170</f>
        <v>23882150.818590112</v>
      </c>
      <c r="O172" s="91">
        <f>O15+O27+O36+O42+O46+O50+O32+O54+O58+O88+O94+O63+O67+O135+O71+O75+O79+O83+O99+O104+O111+O117+O121+O130+O141+O146+O156+O160+O164+O170</f>
        <v>231155303.49154711</v>
      </c>
      <c r="P172" s="91">
        <f>P15+P27+P36+P42+P46+P50+P32+P54+P58+P88+P94+P63+P67+P135+P71+P75+P79+P83+P99+P104+P111+P117+P121+P130+P141+P146+P156+P160+P164+P170</f>
        <v>188982335.83377987</v>
      </c>
      <c r="R172" s="91">
        <f>R15+R27+R36+R42+R46+R50+R32+R54+R58+R88+R94+R63+R67+R135+R71+R75+R79+R83+R99+R104+R111+R117+R121+R130+R141+R146+R156+R160+R164+R170</f>
        <v>91361340.746456802</v>
      </c>
      <c r="S172" s="91">
        <f>S15+S27+S36+S42+S46+S50+S32+S54+S58+S88+S94+S63+S67+S135+S71+S75+S79+S83+S99+S104+S111+S117+S121+S130+S141+S146+S156+S160+S164+S170</f>
        <v>319830819.37887007</v>
      </c>
      <c r="U172" s="94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1" t="b">
        <f>O172+P172=I172</f>
        <v>1</v>
      </c>
    </row>
    <row r="173" spans="2:74" ht="9" customHeight="1" x14ac:dyDescent="0.2">
      <c r="B173" s="96"/>
      <c r="E173" s="97"/>
      <c r="F173" s="97"/>
      <c r="G173" s="97"/>
      <c r="H173" s="97"/>
      <c r="I173" s="97"/>
      <c r="O173" s="98">
        <f>O172/$I$172</f>
        <v>0.55018946615386599</v>
      </c>
      <c r="P173" s="98">
        <f>P172/$I$172</f>
        <v>0.44981053384613418</v>
      </c>
      <c r="R173" s="98">
        <f>R172/$I$172</f>
        <v>0.21745573877448432</v>
      </c>
      <c r="S173" s="98">
        <f>S172/$I$172</f>
        <v>0.76125247881257829</v>
      </c>
    </row>
    <row r="174" spans="2:74" ht="12" customHeight="1" x14ac:dyDescent="0.2">
      <c r="B174" s="26" t="s">
        <v>150</v>
      </c>
      <c r="C174" s="26"/>
      <c r="D174" s="26"/>
      <c r="E174" s="27">
        <f>6000000*2</f>
        <v>12000000</v>
      </c>
      <c r="F174" s="28">
        <f>6000000*2</f>
        <v>12000000</v>
      </c>
      <c r="G174" s="28">
        <v>12000000</v>
      </c>
      <c r="H174" s="28">
        <v>12000000</v>
      </c>
      <c r="I174" s="29">
        <f>SUMIFS(Contingencias!$T:$T,Contingencias!$C:$C,$B174)</f>
        <v>12000000</v>
      </c>
      <c r="J174" s="30">
        <f>IFERROR(I174/E174-1,0)</f>
        <v>0</v>
      </c>
      <c r="K174" s="31">
        <f>I174/(UNITARIO!$D$9+UNITARIO!$I$9)</f>
        <v>4098.9206175707059</v>
      </c>
      <c r="L174" s="31">
        <f>E174/$D$1</f>
        <v>685714.28571428568</v>
      </c>
      <c r="M174" s="31">
        <f>I174/$D$1</f>
        <v>685714.28571428568</v>
      </c>
      <c r="N174" s="46"/>
      <c r="O174" s="29">
        <f>SUMIFS(Contingencias!$T:$T,Contingencias!$C:$C,$B174,Contingencias!$V:$V,$O$4)</f>
        <v>0</v>
      </c>
      <c r="P174" s="29">
        <f>SUMIFS(Contingencias!$T:$T,Contingencias!$C:$C,$B174,Contingencias!$V:$V,$P$4)</f>
        <v>12000000</v>
      </c>
      <c r="Q174" s="46"/>
      <c r="R174" s="29">
        <f>SUMIFS(Contingencias!$T:$T,Contingencias!$C:$C,$B174,Contingencias!$W:$W,$R$4)</f>
        <v>0</v>
      </c>
      <c r="S174" s="29">
        <f>SUMIFS(Contingencias!$T:$T,Contingencias!$C:$C,$B174,Contingencias!$W:$W,$S$4)</f>
        <v>12000000</v>
      </c>
      <c r="U174" s="32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</row>
    <row r="175" spans="2:74" ht="15" customHeight="1" x14ac:dyDescent="0.2">
      <c r="B175" s="96" t="s">
        <v>151</v>
      </c>
      <c r="E175" s="97">
        <f>E172-E166-E148-E143-E137-E132-E90-E85-E60-E34-E29-E8</f>
        <v>1.3737007975578308E-7</v>
      </c>
      <c r="F175" s="97">
        <f>F172-F166-F148-F143-F137-F132-F90-F85-F60-F34-F29-F8</f>
        <v>4.7963112592697144E-8</v>
      </c>
      <c r="G175" s="97">
        <f>G172-G166-G148-G143-G137-G132-G90-G85-G60-G34-G29-G8</f>
        <v>6.3329935073852539E-8</v>
      </c>
      <c r="H175" s="97">
        <f>H172-H166-H148-H143-H137-H132-H90-H85-H60-H34-H29-H8</f>
        <v>-8.0093741416931152E-8</v>
      </c>
      <c r="I175" s="97">
        <f>I172-I166-I148-I143-I137-I132-I90-I85-I60-I34-I29-I8</f>
        <v>0</v>
      </c>
      <c r="O175" s="97">
        <f>O172-O166-O148-O143-O137-O132-O90-O85-O60-O34-O29-O8</f>
        <v>9.3132257461547852E-9</v>
      </c>
      <c r="P175" s="97">
        <f>P172-P166-P148-P143-P137-P132-P90-P85-P60-P34-P29-P8</f>
        <v>2.9802322387695312E-8</v>
      </c>
      <c r="R175" s="97">
        <f>R172-R166-R148-R143-R137-R132-R90-R85-R60-R34-R29-R8</f>
        <v>0</v>
      </c>
      <c r="S175" s="97">
        <f>S172-S166-S148-S143-S137-S132-S90-S85-S60-S34-S29-S8</f>
        <v>7.4505805969238281E-9</v>
      </c>
    </row>
    <row r="176" spans="2:74" ht="15" customHeight="1" x14ac:dyDescent="0.2">
      <c r="B176" s="96"/>
      <c r="E176" s="97"/>
      <c r="F176" s="97"/>
      <c r="G176" s="97"/>
      <c r="H176" s="97"/>
      <c r="I176" s="97"/>
      <c r="P176" s="99" t="b">
        <f>O172+P172=$I$172</f>
        <v>1</v>
      </c>
      <c r="Q176" s="99"/>
      <c r="R176" s="99"/>
      <c r="S176" s="99" t="b">
        <f>R172+S172=$I$172</f>
        <v>0</v>
      </c>
    </row>
    <row r="177" spans="2:19" ht="15" customHeight="1" x14ac:dyDescent="0.2">
      <c r="B177" s="100" t="s">
        <v>152</v>
      </c>
      <c r="C177" s="1"/>
      <c r="D177" s="1"/>
      <c r="P177" s="99"/>
      <c r="Q177" s="99"/>
      <c r="R177" s="99"/>
      <c r="S177" s="99"/>
    </row>
    <row r="178" spans="2:19" ht="15" customHeight="1" x14ac:dyDescent="0.2">
      <c r="B178" s="101" t="s">
        <v>153</v>
      </c>
      <c r="C178" s="101"/>
      <c r="D178" s="101"/>
      <c r="E178" s="102">
        <f>E172/$D$1</f>
        <v>24409207.429968782</v>
      </c>
      <c r="F178" s="102">
        <f>F172/$D$1</f>
        <v>22787831.088406473</v>
      </c>
      <c r="G178" s="103">
        <f>G172/$D$1</f>
        <v>23669847.394174453</v>
      </c>
      <c r="H178" s="102">
        <f>H172/$D$1</f>
        <v>24828270.969006438</v>
      </c>
      <c r="I178" s="102">
        <f>I172/$D$1</f>
        <v>24007865.104304396</v>
      </c>
      <c r="J178" s="101"/>
      <c r="K178" s="102"/>
      <c r="L178" s="101"/>
      <c r="M178" s="104"/>
    </row>
    <row r="179" spans="2:19" ht="15" customHeight="1" x14ac:dyDescent="0.2">
      <c r="B179" s="101" t="s">
        <v>154</v>
      </c>
      <c r="C179" s="101"/>
      <c r="D179" s="105">
        <f>UNITARIO!D9+UNITARIO!I9</f>
        <v>2927.6000000000004</v>
      </c>
      <c r="E179" s="102">
        <f>E178/$D$179</f>
        <v>8337.6169661049244</v>
      </c>
      <c r="F179" s="102">
        <f>F178/2/$D$179</f>
        <v>3891.8962782494996</v>
      </c>
      <c r="G179" s="103">
        <f>G178/2/$D$179</f>
        <v>4042.5343957805799</v>
      </c>
      <c r="H179" s="102">
        <f>H178/$D$179</f>
        <v>8480.759314457724</v>
      </c>
      <c r="I179" s="102">
        <f>I178/$D$179</f>
        <v>8200.5277716574637</v>
      </c>
      <c r="J179" s="101"/>
      <c r="K179" s="102"/>
      <c r="L179" s="101"/>
      <c r="M179" s="104"/>
    </row>
    <row r="180" spans="2:19" ht="15" customHeight="1" x14ac:dyDescent="0.2">
      <c r="B180" s="101" t="s">
        <v>155</v>
      </c>
      <c r="C180" s="101"/>
      <c r="D180" s="105">
        <f>UNITARIO!D9+UNITARIO!E9+UNITARIO!I9+UNITARIO!J9</f>
        <v>3970.1200000000008</v>
      </c>
      <c r="E180" s="102">
        <f>E178/$D$180</f>
        <v>6148.2291290864705</v>
      </c>
      <c r="F180" s="102">
        <f>F178/$D$180</f>
        <v>5739.8343345809371</v>
      </c>
      <c r="G180" s="102">
        <f>G178/$D$180</f>
        <v>5961.9979734049466</v>
      </c>
      <c r="H180" s="102">
        <f>H178/$D$180</f>
        <v>6253.7835050342137</v>
      </c>
      <c r="I180" s="102">
        <f>I178/$D$180</f>
        <v>6047.1383999235268</v>
      </c>
      <c r="J180" s="101"/>
      <c r="K180" s="102"/>
      <c r="L180" s="101"/>
      <c r="M180" s="104"/>
    </row>
    <row r="181" spans="2:19" ht="15" customHeight="1" x14ac:dyDescent="0.2">
      <c r="B181" s="101" t="s">
        <v>156</v>
      </c>
      <c r="C181" s="101"/>
      <c r="D181" s="106">
        <v>10.753</v>
      </c>
      <c r="E181" s="102">
        <f>E179/$D$181</f>
        <v>775.37589194689144</v>
      </c>
      <c r="F181" s="102">
        <f>F179/$D$181</f>
        <v>361.93585773732906</v>
      </c>
      <c r="G181" s="103">
        <f>G179/$D$181</f>
        <v>375.94479640849806</v>
      </c>
      <c r="H181" s="102">
        <f>H179/$D$181</f>
        <v>788.68774429998359</v>
      </c>
      <c r="I181" s="102">
        <f>I179/$D$181</f>
        <v>762.62696658211325</v>
      </c>
      <c r="J181" s="101"/>
      <c r="K181" s="102"/>
      <c r="L181" s="101"/>
      <c r="M181" s="104"/>
    </row>
    <row r="182" spans="2:19" ht="15" customHeight="1" x14ac:dyDescent="0.2">
      <c r="B182" s="101" t="s">
        <v>157</v>
      </c>
      <c r="C182" s="101"/>
      <c r="D182" s="106">
        <v>10.753</v>
      </c>
      <c r="E182" s="102">
        <f>E180/$D$182</f>
        <v>571.76872771193814</v>
      </c>
      <c r="F182" s="102">
        <f>F180/$D$182</f>
        <v>533.78911323174339</v>
      </c>
      <c r="G182" s="102">
        <f>G180/$D$182</f>
        <v>554.44973248441795</v>
      </c>
      <c r="H182" s="102">
        <f>H180/$D$182</f>
        <v>581.58500000318179</v>
      </c>
      <c r="I182" s="102">
        <f>I180/$D$182</f>
        <v>562.36756253357453</v>
      </c>
      <c r="J182" s="101"/>
      <c r="K182" s="102"/>
      <c r="L182" s="101"/>
      <c r="M182" s="104"/>
    </row>
    <row r="183" spans="2:19" ht="15" customHeight="1" x14ac:dyDescent="0.2">
      <c r="B183" s="101" t="s">
        <v>158</v>
      </c>
      <c r="C183" s="101"/>
      <c r="D183" s="106">
        <v>8</v>
      </c>
      <c r="E183" s="102">
        <f>E178/$D$183</f>
        <v>3051150.9287460977</v>
      </c>
      <c r="F183" s="102">
        <f>F178/$D$183</f>
        <v>2848478.8860508092</v>
      </c>
      <c r="G183" s="103">
        <f>G178/$D$183</f>
        <v>2958730.9242718066</v>
      </c>
      <c r="H183" s="102">
        <f>H178/$D$183</f>
        <v>3103533.8711258047</v>
      </c>
      <c r="I183" s="102">
        <f>I178/$D$183</f>
        <v>3000983.1380380495</v>
      </c>
      <c r="J183" s="101"/>
      <c r="K183" s="102"/>
      <c r="L183" s="101"/>
      <c r="M183" s="104"/>
    </row>
    <row r="186" spans="2:19" ht="15" customHeight="1" outlineLevel="1" x14ac:dyDescent="0.2">
      <c r="B186" s="100" t="s">
        <v>159</v>
      </c>
    </row>
    <row r="187" spans="2:19" ht="15" customHeight="1" outlineLevel="1" x14ac:dyDescent="0.2">
      <c r="B187" s="74" t="s">
        <v>160</v>
      </c>
    </row>
    <row r="188" spans="2:19" ht="15" customHeight="1" outlineLevel="1" x14ac:dyDescent="0.2">
      <c r="B188" s="74" t="s">
        <v>161</v>
      </c>
    </row>
    <row r="189" spans="2:19" ht="15" customHeight="1" outlineLevel="1" x14ac:dyDescent="0.2">
      <c r="B189" s="62"/>
    </row>
    <row r="190" spans="2:19" ht="15" customHeight="1" outlineLevel="1" x14ac:dyDescent="0.2">
      <c r="B190" s="100" t="s">
        <v>79</v>
      </c>
    </row>
    <row r="191" spans="2:19" ht="15" customHeight="1" outlineLevel="1" x14ac:dyDescent="0.2">
      <c r="B191" s="62" t="s">
        <v>162</v>
      </c>
    </row>
    <row r="192" spans="2:19" ht="15" customHeight="1" outlineLevel="1" x14ac:dyDescent="0.2">
      <c r="B192" s="62"/>
    </row>
    <row r="193" spans="2:2" ht="15" customHeight="1" outlineLevel="1" x14ac:dyDescent="0.2">
      <c r="B193" s="66" t="s">
        <v>127</v>
      </c>
    </row>
    <row r="194" spans="2:2" ht="15" customHeight="1" outlineLevel="1" x14ac:dyDescent="0.2">
      <c r="B194" s="74" t="s">
        <v>163</v>
      </c>
    </row>
    <row r="195" spans="2:2" ht="15" customHeight="1" outlineLevel="1" x14ac:dyDescent="0.2"/>
    <row r="196" spans="2:2" ht="15" customHeight="1" outlineLevel="1" x14ac:dyDescent="0.2">
      <c r="B196" s="107" t="s">
        <v>164</v>
      </c>
    </row>
    <row r="197" spans="2:2" ht="15" customHeight="1" outlineLevel="1" x14ac:dyDescent="0.2"/>
    <row r="198" spans="2:2" ht="15" customHeight="1" outlineLevel="1" x14ac:dyDescent="0.2">
      <c r="B198" s="107" t="s">
        <v>165</v>
      </c>
    </row>
    <row r="199" spans="2:2" ht="15" customHeight="1" outlineLevel="1" x14ac:dyDescent="0.2">
      <c r="B199" s="108" t="s">
        <v>166</v>
      </c>
    </row>
    <row r="200" spans="2:2" ht="15" customHeight="1" outlineLevel="1" x14ac:dyDescent="0.2">
      <c r="B200" s="108" t="s">
        <v>167</v>
      </c>
    </row>
    <row r="201" spans="2:2" ht="15" customHeight="1" x14ac:dyDescent="0.2">
      <c r="B201" s="108"/>
    </row>
  </sheetData>
  <conditionalFormatting sqref="J36:J58 J61:J84 J91:J131 J167:J176 J178:J182">
    <cfRule type="cellIs" dxfId="7" priority="4" operator="lessThan">
      <formula>0</formula>
    </cfRule>
    <cfRule type="cellIs" dxfId="6" priority="5" operator="greaterThan">
      <formula>0</formula>
    </cfRule>
  </conditionalFormatting>
  <conditionalFormatting sqref="J86:J89">
    <cfRule type="cellIs" dxfId="5" priority="6" operator="lessThan">
      <formula>0</formula>
    </cfRule>
    <cfRule type="cellIs" dxfId="4" priority="7" operator="greaterThan">
      <formula>0</formula>
    </cfRule>
  </conditionalFormatting>
  <conditionalFormatting sqref="J6:K7 J9:J28 J30:J33 J133:J136 J138:J142 J144:J147 J149:J165">
    <cfRule type="cellIs" dxfId="3" priority="8" operator="lessThan">
      <formula>0</formula>
    </cfRule>
    <cfRule type="cellIs" dxfId="2" priority="9" operator="greaterThan">
      <formula>0</formula>
    </cfRule>
  </conditionalFormatting>
  <conditionalFormatting sqref="O6:P6">
    <cfRule type="cellIs" dxfId="1" priority="2" operator="lessThan">
      <formula>0</formula>
    </cfRule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landscape" horizontalDpi="300" verticalDpi="300"/>
  <ignoredErrors>
    <ignoredError sqref="E152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B1:K28"/>
  <sheetViews>
    <sheetView showGridLines="0" zoomScale="130" zoomScaleNormal="130" workbookViewId="0">
      <selection activeCell="D18" sqref="D18"/>
    </sheetView>
  </sheetViews>
  <sheetFormatPr baseColWidth="10" defaultColWidth="8.6640625" defaultRowHeight="15" customHeight="1" x14ac:dyDescent="0.15"/>
  <cols>
    <col min="1" max="1" width="1.83203125" style="1" customWidth="1"/>
    <col min="2" max="2" width="1.83203125" style="2" customWidth="1"/>
    <col min="3" max="3" width="12.6640625" style="2" customWidth="1"/>
    <col min="4" max="4" width="21.1640625" style="1" customWidth="1"/>
    <col min="5" max="6" width="18" style="1" customWidth="1"/>
    <col min="7" max="7" width="7.1640625" style="1" customWidth="1"/>
    <col min="8" max="11" width="16" style="1" customWidth="1"/>
    <col min="12" max="16384" width="8.6640625" style="1"/>
  </cols>
  <sheetData>
    <row r="1" spans="3:11" s="1" customFormat="1" ht="12.75" customHeight="1" x14ac:dyDescent="0.15"/>
    <row r="2" spans="3:11" s="1" customFormat="1" ht="15" customHeight="1" x14ac:dyDescent="0.15">
      <c r="C2" s="1" t="s">
        <v>0</v>
      </c>
      <c r="D2" s="109">
        <f>'Glosario Partidas'!M9</f>
        <v>17.5</v>
      </c>
    </row>
    <row r="3" spans="3:11" s="1" customFormat="1" ht="15" customHeight="1" x14ac:dyDescent="0.15"/>
    <row r="4" spans="3:11" ht="15" customHeight="1" x14ac:dyDescent="0.15">
      <c r="C4" s="110" t="s">
        <v>168</v>
      </c>
      <c r="D4" s="111" t="s">
        <v>169</v>
      </c>
      <c r="E4" s="111" t="s">
        <v>170</v>
      </c>
      <c r="F4" s="111" t="s">
        <v>171</v>
      </c>
      <c r="H4" s="110" t="s">
        <v>168</v>
      </c>
      <c r="I4" s="111" t="s">
        <v>169</v>
      </c>
      <c r="J4" s="111" t="s">
        <v>170</v>
      </c>
      <c r="K4" s="111" t="s">
        <v>171</v>
      </c>
    </row>
    <row r="5" spans="3:11" ht="15" customHeight="1" x14ac:dyDescent="0.15">
      <c r="C5" s="112" t="s">
        <v>172</v>
      </c>
      <c r="D5" s="113">
        <v>322.72000000000003</v>
      </c>
      <c r="E5" s="113">
        <v>106.72</v>
      </c>
      <c r="F5" s="114">
        <f>D5+E5</f>
        <v>429.44000000000005</v>
      </c>
      <c r="H5" s="112" t="s">
        <v>172</v>
      </c>
      <c r="I5" s="113">
        <v>322.72000000000003</v>
      </c>
      <c r="J5" s="113">
        <v>106.72</v>
      </c>
      <c r="K5" s="114">
        <f>I5+J5</f>
        <v>429.44000000000005</v>
      </c>
    </row>
    <row r="6" spans="3:11" ht="15" customHeight="1" x14ac:dyDescent="0.15">
      <c r="C6" s="112" t="s">
        <v>173</v>
      </c>
      <c r="D6" s="113">
        <v>322.72000000000003</v>
      </c>
      <c r="E6" s="113">
        <v>106.72</v>
      </c>
      <c r="F6" s="114">
        <f>D6+E6</f>
        <v>429.44000000000005</v>
      </c>
      <c r="H6" s="112" t="s">
        <v>173</v>
      </c>
      <c r="I6" s="113">
        <v>322.72000000000003</v>
      </c>
      <c r="J6" s="113">
        <v>106.72</v>
      </c>
      <c r="K6" s="114">
        <f>I6+J6</f>
        <v>429.44000000000005</v>
      </c>
    </row>
    <row r="7" spans="3:11" ht="15" customHeight="1" x14ac:dyDescent="0.15">
      <c r="C7" s="112" t="s">
        <v>174</v>
      </c>
      <c r="D7" s="113">
        <v>409.18</v>
      </c>
      <c r="E7" s="113">
        <v>153.91</v>
      </c>
      <c r="F7" s="114">
        <f>D7+E7</f>
        <v>563.09</v>
      </c>
      <c r="H7" s="112" t="s">
        <v>174</v>
      </c>
      <c r="I7" s="113">
        <v>409.18</v>
      </c>
      <c r="J7" s="113">
        <v>153.91</v>
      </c>
      <c r="K7" s="114">
        <f>I7+J7</f>
        <v>563.09</v>
      </c>
    </row>
    <row r="8" spans="3:11" ht="15" customHeight="1" x14ac:dyDescent="0.15">
      <c r="C8" s="112" t="s">
        <v>175</v>
      </c>
      <c r="D8" s="113">
        <v>409.18</v>
      </c>
      <c r="E8" s="113">
        <v>153.91</v>
      </c>
      <c r="F8" s="114">
        <f>D8+E8</f>
        <v>563.09</v>
      </c>
      <c r="H8" s="112" t="s">
        <v>175</v>
      </c>
      <c r="I8" s="113">
        <v>409.18</v>
      </c>
      <c r="J8" s="113">
        <v>153.91</v>
      </c>
      <c r="K8" s="114">
        <f>I8+J8</f>
        <v>563.09</v>
      </c>
    </row>
    <row r="9" spans="3:11" ht="15" customHeight="1" x14ac:dyDescent="0.15">
      <c r="C9" s="115" t="s">
        <v>176</v>
      </c>
      <c r="D9" s="116">
        <f>SUM(D5:D8)</f>
        <v>1463.8000000000002</v>
      </c>
      <c r="E9" s="117">
        <v>521.26</v>
      </c>
      <c r="F9" s="116">
        <f>D9+E9</f>
        <v>1985.0600000000002</v>
      </c>
      <c r="H9" s="115" t="s">
        <v>176</v>
      </c>
      <c r="I9" s="116">
        <f>SUM(I5:I8)</f>
        <v>1463.8000000000002</v>
      </c>
      <c r="J9" s="117">
        <v>521.26</v>
      </c>
      <c r="K9" s="116">
        <f>I9+J9</f>
        <v>1985.0600000000002</v>
      </c>
    </row>
    <row r="10" spans="3:11" ht="15" customHeight="1" x14ac:dyDescent="0.15">
      <c r="C10" s="118"/>
      <c r="D10" s="119"/>
      <c r="E10" s="4"/>
      <c r="F10" s="4"/>
      <c r="H10" s="118"/>
      <c r="I10" s="119"/>
      <c r="J10" s="4"/>
      <c r="K10" s="4"/>
    </row>
    <row r="11" spans="3:11" ht="15" customHeight="1" x14ac:dyDescent="0.15">
      <c r="C11" s="120" t="s">
        <v>169</v>
      </c>
      <c r="D11" s="121"/>
      <c r="E11" s="122"/>
      <c r="F11" s="122"/>
      <c r="H11" s="123" t="s">
        <v>169</v>
      </c>
      <c r="I11" s="121"/>
      <c r="J11" s="122"/>
      <c r="K11" s="122"/>
    </row>
    <row r="12" spans="3:11" ht="5.25" customHeight="1" x14ac:dyDescent="0.15">
      <c r="C12" s="118"/>
      <c r="D12" s="119"/>
      <c r="E12" s="4"/>
      <c r="F12" s="4"/>
      <c r="H12" s="118"/>
      <c r="I12" s="119"/>
      <c r="J12" s="4"/>
      <c r="K12" s="4"/>
    </row>
    <row r="13" spans="3:11" ht="15" customHeight="1" x14ac:dyDescent="0.15">
      <c r="C13" s="124" t="s">
        <v>177</v>
      </c>
      <c r="D13" s="125" t="s">
        <v>178</v>
      </c>
      <c r="E13" s="126" t="s">
        <v>179</v>
      </c>
      <c r="F13" s="126" t="s">
        <v>180</v>
      </c>
      <c r="H13" s="124" t="s">
        <v>181</v>
      </c>
      <c r="I13" s="125" t="s">
        <v>178</v>
      </c>
      <c r="J13" s="126" t="s">
        <v>179</v>
      </c>
      <c r="K13" s="126" t="s">
        <v>180</v>
      </c>
    </row>
    <row r="14" spans="3:11" ht="15" customHeight="1" x14ac:dyDescent="0.15">
      <c r="C14" s="46" t="s">
        <v>182</v>
      </c>
      <c r="D14" s="5">
        <f>('BUY OUT'!E172/2)/$D$9</f>
        <v>145908.29690683619</v>
      </c>
      <c r="E14" s="5">
        <f>('BUY OUT'!F172/2)/$D$9</f>
        <v>136216.36973873249</v>
      </c>
      <c r="F14" s="5">
        <f>('BUY OUT'!G172/2)/$D$9</f>
        <v>141488.70385232029</v>
      </c>
      <c r="H14" s="46" t="s">
        <v>182</v>
      </c>
      <c r="I14" s="5">
        <f>('BUY OUT'!E172/2)/$D$9</f>
        <v>145908.29690683619</v>
      </c>
      <c r="J14" s="5">
        <f>('BUY OUT'!F172/2)/$D$9</f>
        <v>136216.36973873249</v>
      </c>
      <c r="K14" s="5">
        <f>('BUY OUT'!G172/2)/$D$9</f>
        <v>141488.70385232029</v>
      </c>
    </row>
    <row r="15" spans="3:11" ht="15" customHeight="1" x14ac:dyDescent="0.15">
      <c r="C15" s="46"/>
      <c r="D15" s="5"/>
      <c r="E15" s="5"/>
      <c r="F15" s="5"/>
      <c r="H15" s="46"/>
      <c r="I15" s="5"/>
      <c r="J15" s="5"/>
      <c r="K15" s="5"/>
    </row>
    <row r="16" spans="3:11" ht="15" customHeight="1" x14ac:dyDescent="0.15">
      <c r="C16" s="112" t="s">
        <v>172</v>
      </c>
      <c r="D16" s="127">
        <f>$D$14*D5</f>
        <v>47087525.577774175</v>
      </c>
      <c r="E16" s="127">
        <f>$E$14*D5</f>
        <v>43959746.842083752</v>
      </c>
      <c r="F16" s="127">
        <f>$F$14*D5</f>
        <v>45661234.507220812</v>
      </c>
      <c r="H16" s="112" t="s">
        <v>172</v>
      </c>
      <c r="I16" s="127">
        <f>$I$14*I5</f>
        <v>47087525.577774175</v>
      </c>
      <c r="J16" s="127">
        <f>$J$14*I5</f>
        <v>43959746.842083752</v>
      </c>
      <c r="K16" s="127">
        <f>$K$14*I5</f>
        <v>45661234.507220812</v>
      </c>
    </row>
    <row r="17" spans="3:11" ht="15" customHeight="1" x14ac:dyDescent="0.15">
      <c r="C17" s="112" t="s">
        <v>173</v>
      </c>
      <c r="D17" s="127">
        <f>$D$14*D6</f>
        <v>47087525.577774175</v>
      </c>
      <c r="E17" s="127">
        <f>$E$14*D6</f>
        <v>43959746.842083752</v>
      </c>
      <c r="F17" s="127">
        <f>$F$14*D6</f>
        <v>45661234.507220812</v>
      </c>
      <c r="H17" s="112" t="s">
        <v>173</v>
      </c>
      <c r="I17" s="127">
        <f>$I$14*I6</f>
        <v>47087525.577774175</v>
      </c>
      <c r="J17" s="127">
        <f>$J$14*I6</f>
        <v>43959746.842083752</v>
      </c>
      <c r="K17" s="127">
        <f>$K$14*I6</f>
        <v>45661234.507220812</v>
      </c>
    </row>
    <row r="18" spans="3:11" ht="15" customHeight="1" x14ac:dyDescent="0.15">
      <c r="C18" s="112" t="s">
        <v>174</v>
      </c>
      <c r="D18" s="127">
        <f>$D$14*D7</f>
        <v>59702756.928339228</v>
      </c>
      <c r="E18" s="127">
        <f>$E$14*D7</f>
        <v>55737014.169694565</v>
      </c>
      <c r="F18" s="127">
        <f>$F$14*D7</f>
        <v>57894347.842292421</v>
      </c>
      <c r="H18" s="112" t="s">
        <v>174</v>
      </c>
      <c r="I18" s="127">
        <f>$I$14*I7</f>
        <v>59702756.928339228</v>
      </c>
      <c r="J18" s="127">
        <f>$J$14*I7</f>
        <v>55737014.169694565</v>
      </c>
      <c r="K18" s="127">
        <f>$K$14*I7</f>
        <v>57894347.842292421</v>
      </c>
    </row>
    <row r="19" spans="3:11" ht="15" customHeight="1" x14ac:dyDescent="0.15">
      <c r="C19" s="112" t="s">
        <v>175</v>
      </c>
      <c r="D19" s="127">
        <f>$D$14*D8</f>
        <v>59702756.928339228</v>
      </c>
      <c r="E19" s="127">
        <f>$E$14*D8</f>
        <v>55737014.169694565</v>
      </c>
      <c r="F19" s="127">
        <f>$F$14*D8</f>
        <v>57894347.842292421</v>
      </c>
      <c r="H19" s="112" t="s">
        <v>175</v>
      </c>
      <c r="I19" s="127">
        <f>$I$14*I8</f>
        <v>59702756.928339228</v>
      </c>
      <c r="J19" s="127">
        <f>$J$14*I8</f>
        <v>55737014.169694565</v>
      </c>
      <c r="K19" s="127">
        <f>$K$14*I8</f>
        <v>57894347.842292421</v>
      </c>
    </row>
    <row r="20" spans="3:11" ht="15" customHeight="1" x14ac:dyDescent="0.15">
      <c r="C20" s="115" t="s">
        <v>176</v>
      </c>
      <c r="D20" s="128">
        <f>SUM(D16:D19)</f>
        <v>213580565.01222682</v>
      </c>
      <c r="E20" s="128">
        <f>SUM(E16:E19)</f>
        <v>199393522.02355665</v>
      </c>
      <c r="F20" s="128">
        <f>SUM(F16:F19)</f>
        <v>207111164.69902647</v>
      </c>
      <c r="H20" s="115" t="s">
        <v>176</v>
      </c>
      <c r="I20" s="128">
        <f>SUM(I16:I19)</f>
        <v>213580565.01222682</v>
      </c>
      <c r="J20" s="128">
        <f>SUM(J16:J19)</f>
        <v>199393522.02355665</v>
      </c>
      <c r="K20" s="128">
        <f>SUM(K16:K19)</f>
        <v>207111164.69902647</v>
      </c>
    </row>
    <row r="21" spans="3:11" s="1" customFormat="1" ht="15" customHeight="1" x14ac:dyDescent="0.15">
      <c r="C21" s="118"/>
      <c r="D21" s="5"/>
      <c r="E21" s="5"/>
      <c r="H21" s="118"/>
      <c r="I21" s="5"/>
      <c r="J21" s="5"/>
    </row>
    <row r="22" spans="3:11" ht="15" customHeight="1" x14ac:dyDescent="0.15">
      <c r="C22" s="46" t="s">
        <v>183</v>
      </c>
      <c r="D22" s="5">
        <f>D14/$D$2</f>
        <v>8337.6169661049244</v>
      </c>
      <c r="E22" s="5">
        <f>E14/$D$2</f>
        <v>7783.7925564990001</v>
      </c>
      <c r="F22" s="5">
        <f>F14/$D$2</f>
        <v>8085.0687915611597</v>
      </c>
      <c r="H22" s="46" t="s">
        <v>183</v>
      </c>
      <c r="I22" s="5">
        <f>I14/$D$2</f>
        <v>8337.6169661049244</v>
      </c>
      <c r="J22" s="5">
        <f>J14/$D$2</f>
        <v>7783.7925564990001</v>
      </c>
      <c r="K22" s="5">
        <f>K14/$D$2</f>
        <v>8085.0687915611597</v>
      </c>
    </row>
    <row r="24" spans="3:11" ht="15" customHeight="1" x14ac:dyDescent="0.15">
      <c r="C24" s="112" t="s">
        <v>172</v>
      </c>
      <c r="D24" s="127">
        <f t="shared" ref="D24:F27" si="0">D16/$D$2</f>
        <v>2690715.7473013815</v>
      </c>
      <c r="E24" s="127">
        <f t="shared" si="0"/>
        <v>2511985.533833357</v>
      </c>
      <c r="F24" s="127">
        <f t="shared" si="0"/>
        <v>2609213.4004126177</v>
      </c>
      <c r="H24" s="112" t="s">
        <v>172</v>
      </c>
      <c r="I24" s="127">
        <f t="shared" ref="I24:K27" si="1">I16/$D$2</f>
        <v>2690715.7473013815</v>
      </c>
      <c r="J24" s="127">
        <f t="shared" si="1"/>
        <v>2511985.533833357</v>
      </c>
      <c r="K24" s="127">
        <f t="shared" si="1"/>
        <v>2609213.4004126177</v>
      </c>
    </row>
    <row r="25" spans="3:11" ht="15" customHeight="1" x14ac:dyDescent="0.15">
      <c r="C25" s="112" t="s">
        <v>173</v>
      </c>
      <c r="D25" s="127">
        <f t="shared" si="0"/>
        <v>2690715.7473013815</v>
      </c>
      <c r="E25" s="127">
        <f t="shared" si="0"/>
        <v>2511985.533833357</v>
      </c>
      <c r="F25" s="127">
        <f t="shared" si="0"/>
        <v>2609213.4004126177</v>
      </c>
      <c r="H25" s="112" t="s">
        <v>173</v>
      </c>
      <c r="I25" s="127">
        <f t="shared" si="1"/>
        <v>2690715.7473013815</v>
      </c>
      <c r="J25" s="127">
        <f t="shared" si="1"/>
        <v>2511985.533833357</v>
      </c>
      <c r="K25" s="127">
        <f t="shared" si="1"/>
        <v>2609213.4004126177</v>
      </c>
    </row>
    <row r="26" spans="3:11" ht="15" customHeight="1" x14ac:dyDescent="0.15">
      <c r="C26" s="112" t="s">
        <v>174</v>
      </c>
      <c r="D26" s="127">
        <f t="shared" si="0"/>
        <v>3411586.110190813</v>
      </c>
      <c r="E26" s="127">
        <f t="shared" si="0"/>
        <v>3184972.2382682608</v>
      </c>
      <c r="F26" s="127">
        <f t="shared" si="0"/>
        <v>3308248.4481309955</v>
      </c>
      <c r="H26" s="112" t="s">
        <v>174</v>
      </c>
      <c r="I26" s="127">
        <f t="shared" si="1"/>
        <v>3411586.110190813</v>
      </c>
      <c r="J26" s="127">
        <f t="shared" si="1"/>
        <v>3184972.2382682608</v>
      </c>
      <c r="K26" s="127">
        <f t="shared" si="1"/>
        <v>3308248.4481309955</v>
      </c>
    </row>
    <row r="27" spans="3:11" ht="15" customHeight="1" x14ac:dyDescent="0.15">
      <c r="C27" s="112" t="s">
        <v>175</v>
      </c>
      <c r="D27" s="127">
        <f t="shared" si="0"/>
        <v>3411586.110190813</v>
      </c>
      <c r="E27" s="127">
        <f t="shared" si="0"/>
        <v>3184972.2382682608</v>
      </c>
      <c r="F27" s="127">
        <f t="shared" si="0"/>
        <v>3308248.4481309955</v>
      </c>
      <c r="H27" s="112" t="s">
        <v>175</v>
      </c>
      <c r="I27" s="127">
        <f t="shared" si="1"/>
        <v>3411586.110190813</v>
      </c>
      <c r="J27" s="127">
        <f t="shared" si="1"/>
        <v>3184972.2382682608</v>
      </c>
      <c r="K27" s="127">
        <f t="shared" si="1"/>
        <v>3308248.4481309955</v>
      </c>
    </row>
    <row r="28" spans="3:11" ht="15" customHeight="1" x14ac:dyDescent="0.15">
      <c r="C28" s="115" t="s">
        <v>176</v>
      </c>
      <c r="D28" s="128">
        <f>SUM(D24:D27)</f>
        <v>12204603.714984389</v>
      </c>
      <c r="E28" s="128">
        <f>SUM(E24:E27)</f>
        <v>11393915.544203237</v>
      </c>
      <c r="F28" s="128">
        <f>SUM(F24:F27)</f>
        <v>11834923.697087226</v>
      </c>
      <c r="H28" s="115" t="s">
        <v>176</v>
      </c>
      <c r="I28" s="128">
        <f>SUM(I24:I27)</f>
        <v>12204603.714984389</v>
      </c>
      <c r="J28" s="128">
        <f>SUM(J24:J27)</f>
        <v>11393915.544203237</v>
      </c>
      <c r="K28" s="128">
        <f>SUM(K24:K27)</f>
        <v>11834923.697087226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2:K38"/>
  <sheetViews>
    <sheetView showGridLines="0" zoomScale="180" zoomScaleNormal="180" workbookViewId="0">
      <pane xSplit="3" ySplit="2" topLeftCell="D11" activePane="bottomRight" state="frozen"/>
      <selection pane="topRight" activeCell="D1" sqref="D1"/>
      <selection pane="bottomLeft" activeCell="A11" sqref="A11"/>
      <selection pane="bottomRight" activeCell="G48" sqref="G48"/>
    </sheetView>
  </sheetViews>
  <sheetFormatPr baseColWidth="10" defaultColWidth="8.6640625" defaultRowHeight="15" customHeight="1" x14ac:dyDescent="0.2"/>
  <cols>
    <col min="1" max="1" width="1.6640625" customWidth="1"/>
    <col min="2" max="2" width="8.5" customWidth="1"/>
    <col min="3" max="3" width="26.33203125" customWidth="1"/>
    <col min="4" max="4" width="14.83203125" customWidth="1"/>
    <col min="5" max="5" width="12.5" customWidth="1"/>
    <col min="6" max="6" width="15.83203125" customWidth="1"/>
    <col min="7" max="7" width="15.1640625" customWidth="1"/>
    <col min="8" max="9" width="27.33203125" style="1" customWidth="1"/>
    <col min="10" max="10" width="14.6640625" customWidth="1"/>
    <col min="11" max="11" width="10" customWidth="1"/>
  </cols>
  <sheetData>
    <row r="2" spans="2:11" ht="15" customHeight="1" x14ac:dyDescent="0.2">
      <c r="B2" s="129" t="s">
        <v>184</v>
      </c>
      <c r="C2" s="130"/>
      <c r="D2" s="131" t="s">
        <v>185</v>
      </c>
      <c r="E2" s="132" t="s">
        <v>186</v>
      </c>
      <c r="F2" s="132" t="s">
        <v>12</v>
      </c>
      <c r="G2" s="132" t="s">
        <v>13</v>
      </c>
      <c r="J2" s="132" t="s">
        <v>187</v>
      </c>
      <c r="K2" s="132" t="s">
        <v>158</v>
      </c>
    </row>
    <row r="3" spans="2:11" ht="15" customHeight="1" x14ac:dyDescent="0.2">
      <c r="B3" s="133" t="s">
        <v>52</v>
      </c>
      <c r="C3" s="134"/>
      <c r="D3" s="135">
        <f>SUMIFS(Obra_Civil!$T:$T,Obra_Civil!$B:$B,'PPTO vs PAR'!B3)</f>
        <v>65999999.902400009</v>
      </c>
      <c r="E3" s="136">
        <f t="shared" ref="E3:E34" si="0">IFERROR(D3/$D$36,0)</f>
        <v>0.15270544065752342</v>
      </c>
      <c r="F3" s="137">
        <f>SUMIFS(Obra_Civil!$T:$T,Obra_Civil!$V:$V,'PPTO vs PAR'!F2)</f>
        <v>32999999.951200005</v>
      </c>
      <c r="G3" s="137">
        <f>SUMIFS(Obra_Civil!$T:$T,Obra_Civil!$V:$V,'PPTO vs PAR'!G2)</f>
        <v>32999999.951200005</v>
      </c>
      <c r="H3" s="42"/>
      <c r="I3" s="42"/>
      <c r="J3" s="138">
        <f t="shared" ref="J3:J32" si="1">D3/8</f>
        <v>8249999.9878000012</v>
      </c>
      <c r="K3" s="138">
        <f t="shared" ref="K3:K32" si="2">J3/17.5</f>
        <v>471428.57073142863</v>
      </c>
    </row>
    <row r="4" spans="2:11" ht="15" customHeight="1" x14ac:dyDescent="0.2">
      <c r="B4" s="133" t="s">
        <v>188</v>
      </c>
      <c r="C4" s="139"/>
      <c r="D4" s="135">
        <f>SUMIFS(Carpinterias!$U:$U,Carpinterias!$B:$B,'PPTO vs PAR'!B4)</f>
        <v>46223299.084999993</v>
      </c>
      <c r="E4" s="136">
        <f t="shared" si="0"/>
        <v>0.10694771614935634</v>
      </c>
      <c r="F4" s="137">
        <f>SUMIFS(Carpinterias!$U:$U,Carpinterias!$W:$W,F$2)</f>
        <v>45480899.084999993</v>
      </c>
      <c r="G4" s="137">
        <f>SUMIFS(Carpinterias!$U:$U,Carpinterias!$W:$W,G$2)</f>
        <v>742400</v>
      </c>
      <c r="H4" s="42"/>
      <c r="I4" s="42"/>
      <c r="J4" s="138">
        <f t="shared" si="1"/>
        <v>5777912.3856249992</v>
      </c>
      <c r="K4" s="138">
        <f t="shared" si="2"/>
        <v>330166.42203571426</v>
      </c>
    </row>
    <row r="5" spans="2:11" ht="15" customHeight="1" x14ac:dyDescent="0.2">
      <c r="B5" s="140" t="s">
        <v>70</v>
      </c>
      <c r="C5" s="141"/>
      <c r="D5" s="142">
        <f>SUMIFS(Automat_Control_Ilum!$T:$T,Automat_Control_Ilum!$B:$B,'PPTO vs PAR'!B5)</f>
        <v>19660847.597999997</v>
      </c>
      <c r="E5" s="143">
        <f t="shared" si="0"/>
        <v>4.548967273625442E-2</v>
      </c>
      <c r="F5" s="138">
        <f>SUMIFS(Automat_Control_Ilum!$T:$T,Automat_Control_Ilum!$V:$V,F$2)</f>
        <v>19660847.597999997</v>
      </c>
      <c r="G5" s="138">
        <f>SUMIFS(Automat_Control_Ilum!$T:$T,Automat_Control_Ilum!$V:$V,G$2)</f>
        <v>0</v>
      </c>
      <c r="H5" s="42"/>
      <c r="I5" s="42"/>
      <c r="J5" s="138">
        <f t="shared" si="1"/>
        <v>2457605.9497499997</v>
      </c>
      <c r="K5" s="138">
        <f t="shared" si="2"/>
        <v>140434.62569999998</v>
      </c>
    </row>
    <row r="6" spans="2:11" ht="15" customHeight="1" x14ac:dyDescent="0.2">
      <c r="B6" s="140" t="s">
        <v>189</v>
      </c>
      <c r="C6" s="141"/>
      <c r="D6" s="142">
        <f>SUMIFS(Instalaciones_Electricas!$T:$T,Instalaciones_Electricas!$B:$B,'PPTO vs PAR'!B6)</f>
        <v>29733862.400000002</v>
      </c>
      <c r="E6" s="143">
        <f t="shared" si="0"/>
        <v>6.8795796469039938E-2</v>
      </c>
      <c r="F6" s="138">
        <f>SUMIFS(Instalaciones_Electricas!$T:$T,Instalaciones_Electricas!$V:$V,F$2)</f>
        <v>0</v>
      </c>
      <c r="G6" s="138">
        <f>SUMIFS(Instalaciones_Electricas!$T:$T,Instalaciones_Electricas!$V:$V,G$2)</f>
        <v>29733862.400000002</v>
      </c>
      <c r="H6" s="42"/>
      <c r="I6" s="42"/>
      <c r="J6" s="138">
        <f t="shared" si="1"/>
        <v>3716732.8000000003</v>
      </c>
      <c r="K6" s="138">
        <f t="shared" si="2"/>
        <v>212384.73142857145</v>
      </c>
    </row>
    <row r="7" spans="2:11" ht="15" customHeight="1" x14ac:dyDescent="0.2">
      <c r="B7" s="133" t="s">
        <v>190</v>
      </c>
      <c r="C7" s="134"/>
      <c r="D7" s="135">
        <f>SUMIFS(Vidrios_Y_Canceles!$T:$T,Vidrios_Y_Canceles!$B:$B,'PPTO vs PAR'!B7)</f>
        <v>38315913.576800011</v>
      </c>
      <c r="E7" s="136">
        <f t="shared" si="0"/>
        <v>8.8652249630201338E-2</v>
      </c>
      <c r="F7" s="137">
        <f>SUMIFS(Vidrios_Y_Canceles!$T:$T,Vidrios_Y_Canceles!$V:$V,F$2)</f>
        <v>31270607.176800005</v>
      </c>
      <c r="G7" s="137">
        <f>SUMIFS(Vidrios_Y_Canceles!$T:$T,Vidrios_Y_Canceles!$V:$V,G$2)</f>
        <v>7045306.4000000004</v>
      </c>
      <c r="H7" s="42"/>
      <c r="I7" s="42"/>
      <c r="J7" s="138">
        <f t="shared" si="1"/>
        <v>4789489.1971000014</v>
      </c>
      <c r="K7" s="138">
        <f t="shared" si="2"/>
        <v>273685.09697714291</v>
      </c>
    </row>
    <row r="8" spans="2:11" ht="15" customHeight="1" x14ac:dyDescent="0.2">
      <c r="B8" s="133" t="s">
        <v>191</v>
      </c>
      <c r="C8" s="134"/>
      <c r="D8" s="135">
        <f>SUMIFS(Albercas!$T:$T,Albercas!$B:$B,'PPTO vs PAR'!B8)</f>
        <v>23140259.999999996</v>
      </c>
      <c r="E8" s="136">
        <f t="shared" si="0"/>
        <v>5.3540054628108652E-2</v>
      </c>
      <c r="F8" s="137">
        <f>SUMIFS(Albercas!$T:$T,Albercas!$V:$V,F$2)</f>
        <v>23140259.999999996</v>
      </c>
      <c r="G8" s="137">
        <f>SUMIFS(Albercas!$T:$T,Albercas!$V:$V,G$2)</f>
        <v>0</v>
      </c>
      <c r="H8" s="42"/>
      <c r="I8" s="42"/>
      <c r="J8" s="138">
        <f t="shared" si="1"/>
        <v>2892532.4999999995</v>
      </c>
      <c r="K8" s="138">
        <f t="shared" si="2"/>
        <v>165287.57142857139</v>
      </c>
    </row>
    <row r="9" spans="2:11" ht="15" customHeight="1" x14ac:dyDescent="0.2">
      <c r="B9" s="140" t="s">
        <v>192</v>
      </c>
      <c r="D9" s="142">
        <f>SUMIFS(Exteriores!$T:$T,Exteriores!$B:$B,'PPTO vs PAR'!B9)</f>
        <v>19989129.859999999</v>
      </c>
      <c r="E9" s="143">
        <f t="shared" si="0"/>
        <v>4.6249225577964896E-2</v>
      </c>
      <c r="F9" s="138">
        <f>SUMIFS(Exteriores!$T:$T,Exteriores!$V:$V,F$2)</f>
        <v>0</v>
      </c>
      <c r="G9" s="138">
        <f>SUMIFS(Exteriores!$T:$T,Exteriores!$V:$V,G$2)</f>
        <v>19989129.859999999</v>
      </c>
      <c r="H9" s="42"/>
      <c r="I9" s="42"/>
      <c r="J9" s="138">
        <f t="shared" si="1"/>
        <v>2498641.2324999999</v>
      </c>
      <c r="K9" s="138">
        <f t="shared" si="2"/>
        <v>142779.49899999998</v>
      </c>
    </row>
    <row r="10" spans="2:11" ht="15" customHeight="1" x14ac:dyDescent="0.2">
      <c r="B10" s="133" t="s">
        <v>73</v>
      </c>
      <c r="C10" s="139"/>
      <c r="D10" s="135">
        <f>SUMIFS(Aire_Acond_Y_Extraccion!$T:$T,Aire_Acond_Y_Extraccion!$B:$B,'PPTO vs PAR'!B10)</f>
        <v>15759688.3178</v>
      </c>
      <c r="E10" s="136">
        <f t="shared" si="0"/>
        <v>3.6463487162934981E-2</v>
      </c>
      <c r="F10" s="137">
        <f>SUMIFS(Aire_Acond_Y_Extraccion!$T:$T,Aire_Acond_Y_Extraccion!$V:$V,F$2)</f>
        <v>15759688.3178</v>
      </c>
      <c r="G10" s="137">
        <f>SUMIFS(Aire_Acond_Y_Extraccion!$T:$T,Aire_Acond_Y_Extraccion!$V:$V,G$2)</f>
        <v>0</v>
      </c>
      <c r="H10" s="42"/>
      <c r="I10" s="42"/>
      <c r="J10" s="138">
        <f t="shared" si="1"/>
        <v>1969961.039725</v>
      </c>
      <c r="K10" s="138">
        <f t="shared" si="2"/>
        <v>112569.20227000001</v>
      </c>
    </row>
    <row r="11" spans="2:11" ht="15" customHeight="1" x14ac:dyDescent="0.2">
      <c r="B11" s="133" t="s">
        <v>193</v>
      </c>
      <c r="C11" s="134"/>
      <c r="D11" s="135">
        <f>SUMIFS(Cocinas!$U:$U,Cocinas!$B:$B,'PPTO vs PAR'!B11)</f>
        <v>25879830.886399992</v>
      </c>
      <c r="E11" s="136">
        <f t="shared" si="0"/>
        <v>5.9878651295364411E-2</v>
      </c>
      <c r="F11" s="137">
        <f>SUMIFS(Cocinas!$U:$U,Cocinas!$W:$W,F$2)</f>
        <v>24192991.3664</v>
      </c>
      <c r="G11" s="137">
        <f>SUMIFS(Cocinas!$U:$U,Cocinas!$W:$W,G$2)</f>
        <v>1686839.5199999998</v>
      </c>
      <c r="H11" s="42"/>
      <c r="I11" s="42"/>
      <c r="J11" s="138">
        <f t="shared" si="1"/>
        <v>3234978.860799999</v>
      </c>
      <c r="K11" s="138">
        <f t="shared" si="2"/>
        <v>184855.93490285709</v>
      </c>
    </row>
    <row r="12" spans="2:11" ht="15" customHeight="1" x14ac:dyDescent="0.2">
      <c r="B12" s="140" t="s">
        <v>79</v>
      </c>
      <c r="C12" s="141"/>
      <c r="D12" s="142">
        <f>SUMIFS(Acabados!$T:$T,Acabados!$B:$B,'PPTO vs PAR'!B12)</f>
        <v>16880129.760000005</v>
      </c>
      <c r="E12" s="143">
        <f t="shared" si="0"/>
        <v>3.90558735934671E-2</v>
      </c>
      <c r="F12" s="138">
        <f>SUMIFS(Acabados!$T:$T,Acabados!$V:$V,F$2)</f>
        <v>0</v>
      </c>
      <c r="G12" s="138">
        <f>SUMIFS(Acabados!$T:$T,Acabados!$V:$V,G$2)</f>
        <v>16880129.760000005</v>
      </c>
      <c r="H12" s="42"/>
      <c r="I12" s="42"/>
      <c r="J12" s="138">
        <f t="shared" si="1"/>
        <v>2110016.2200000007</v>
      </c>
      <c r="K12" s="138">
        <f t="shared" si="2"/>
        <v>120572.35542857146</v>
      </c>
    </row>
    <row r="13" spans="2:11" ht="15" customHeight="1" x14ac:dyDescent="0.2">
      <c r="B13" s="140" t="s">
        <v>194</v>
      </c>
      <c r="D13" s="142">
        <f>SUMIFS(Instalaciones_Hidraulicas!$T:$T,Instalaciones_Hidraulicas!$B:$B,'PPTO vs PAR'!B13)</f>
        <v>16725297.599999998</v>
      </c>
      <c r="E13" s="143">
        <f t="shared" si="0"/>
        <v>3.8697635513834955E-2</v>
      </c>
      <c r="F13" s="138">
        <f>SUMIFS(Instalaciones_Hidraulicas!$T:$T,Instalaciones_Hidraulicas!$V:$V,F$2)</f>
        <v>0</v>
      </c>
      <c r="G13" s="138">
        <f>SUMIFS(Instalaciones_Hidraulicas!$T:$T,Instalaciones_Hidraulicas!$V:$V,G$2)</f>
        <v>16725297.599999998</v>
      </c>
      <c r="H13" s="42"/>
      <c r="I13" s="42"/>
      <c r="J13" s="138">
        <f t="shared" si="1"/>
        <v>2090662.1999999997</v>
      </c>
      <c r="K13" s="138">
        <f t="shared" si="2"/>
        <v>119466.41142857142</v>
      </c>
    </row>
    <row r="14" spans="2:11" ht="15" customHeight="1" x14ac:dyDescent="0.2">
      <c r="B14" s="78" t="s">
        <v>88</v>
      </c>
      <c r="D14" s="142">
        <f>SUMIFS(Sumin_Coloc_Marmol!$T:$T,Sumin_Coloc_Marmol!$B:$B,'PPTO vs PAR'!B14)</f>
        <v>12634102.879999999</v>
      </c>
      <c r="E14" s="143">
        <f t="shared" si="0"/>
        <v>2.9231761370544018E-2</v>
      </c>
      <c r="F14" s="138">
        <f>SUMIFS(Sumin_Coloc_Marmol!$T:$T,Sumin_Coloc_Marmol!$B:$B,$B14,Sumin_Coloc_Marmol!$V:$V,F$2)</f>
        <v>0</v>
      </c>
      <c r="G14" s="138">
        <f>SUMIFS(Sumin_Coloc_Marmol!$T:$T,Sumin_Coloc_Marmol!$B:$B,$B14,Sumin_Coloc_Marmol!$V:$V,G$2)</f>
        <v>12634102.879999999</v>
      </c>
      <c r="H14" s="42"/>
      <c r="I14" s="42"/>
      <c r="J14" s="138">
        <f t="shared" si="1"/>
        <v>1579262.8599999999</v>
      </c>
      <c r="K14" s="138">
        <f t="shared" si="2"/>
        <v>90243.59199999999</v>
      </c>
    </row>
    <row r="15" spans="2:11" ht="15" customHeight="1" x14ac:dyDescent="0.2">
      <c r="B15" s="140" t="s">
        <v>43</v>
      </c>
      <c r="D15" s="142">
        <f>SUMIFS('Condiciones Generales'!$T:$T,'Condiciones Generales'!$B:$B,'PPTO vs PAR'!B15)</f>
        <v>18600593.356753591</v>
      </c>
      <c r="E15" s="143">
        <f t="shared" si="0"/>
        <v>4.3036542564164025E-2</v>
      </c>
      <c r="F15" s="138">
        <f>SUMIFS('Condiciones Generales'!$T:$T,'Condiciones Generales'!$V:$V,F$2)</f>
        <v>5024417.3567535933</v>
      </c>
      <c r="G15" s="138">
        <f>SUMIFS('Condiciones Generales'!$T:$T,'Condiciones Generales'!$V:$V,G$2)</f>
        <v>13576176</v>
      </c>
      <c r="H15" s="42"/>
      <c r="I15" s="42"/>
      <c r="J15" s="138">
        <f t="shared" si="1"/>
        <v>2325074.1695941989</v>
      </c>
      <c r="K15" s="138">
        <f t="shared" si="2"/>
        <v>132861.38111966851</v>
      </c>
    </row>
    <row r="16" spans="2:11" ht="15" customHeight="1" x14ac:dyDescent="0.2">
      <c r="B16" s="140" t="s">
        <v>195</v>
      </c>
      <c r="D16" s="144">
        <f>SUMIFS(Contingencias!$T:$T,Contingencias!$B:$B,'PPTO vs PAR'!B16)</f>
        <v>12000000</v>
      </c>
      <c r="E16" s="143">
        <f t="shared" si="0"/>
        <v>2.7764625615153152E-2</v>
      </c>
      <c r="F16" s="138">
        <f>SUMIFS(Contingencias!$T:$T,Contingencias!$V:$V,F$2)</f>
        <v>0</v>
      </c>
      <c r="G16" s="138">
        <f>SUMIFS(Contingencias!$T:$T,Contingencias!$V:$V,G$2)</f>
        <v>12000000</v>
      </c>
      <c r="H16" s="42"/>
      <c r="I16" s="42"/>
      <c r="J16" s="138">
        <f t="shared" si="1"/>
        <v>1500000</v>
      </c>
      <c r="K16" s="138">
        <f t="shared" si="2"/>
        <v>85714.28571428571</v>
      </c>
    </row>
    <row r="17" spans="2:11" ht="15" customHeight="1" x14ac:dyDescent="0.2">
      <c r="B17" s="78" t="s">
        <v>87</v>
      </c>
      <c r="C17" s="141"/>
      <c r="D17" s="142">
        <f>SUMIFS(Sumin_Coloc_Marmol!$T:$T,Sumin_Coloc_Marmol!$B:$B,'PPTO vs PAR'!B17)</f>
        <v>8739576.3000000007</v>
      </c>
      <c r="E17" s="143">
        <f t="shared" si="0"/>
        <v>2.0220922000380455E-2</v>
      </c>
      <c r="F17" s="138">
        <f>SUMIFS(Sumin_Coloc_Marmol!$T:$T,Sumin_Coloc_Marmol!$B:$B,$B17,Sumin_Coloc_Marmol!$V:$V,F$2)</f>
        <v>0</v>
      </c>
      <c r="G17" s="138">
        <f>SUMIFS(Sumin_Coloc_Marmol!$T:$T,Sumin_Coloc_Marmol!$B:$B,$B17,Sumin_Coloc_Marmol!$V:$V,G$2)</f>
        <v>8739576.3000000007</v>
      </c>
      <c r="H17" s="42"/>
      <c r="I17" s="42"/>
      <c r="J17" s="138">
        <f t="shared" si="1"/>
        <v>1092447.0375000001</v>
      </c>
      <c r="K17" s="138">
        <f t="shared" si="2"/>
        <v>62425.545000000006</v>
      </c>
    </row>
    <row r="18" spans="2:11" ht="15" customHeight="1" x14ac:dyDescent="0.2">
      <c r="B18" s="133" t="s">
        <v>39</v>
      </c>
      <c r="C18" s="134"/>
      <c r="D18" s="135">
        <f>SUMIFS(Pilas!$T:$T,Pilas!$B:$B,'PPTO vs PAR'!B18)</f>
        <v>8365678.6664000005</v>
      </c>
      <c r="E18" s="136">
        <f t="shared" si="0"/>
        <v>1.9355828015772476E-2</v>
      </c>
      <c r="F18" s="137">
        <f>SUMIFS(Pilas!$T:$T,Pilas!$V:$V,F$2)</f>
        <v>8365678.6664000005</v>
      </c>
      <c r="G18" s="137">
        <f>SUMIFS(Pilas!$T:$T,Pilas!$V:$V,G$2)</f>
        <v>0</v>
      </c>
      <c r="H18" s="42"/>
      <c r="I18" s="42"/>
      <c r="J18" s="138">
        <f t="shared" si="1"/>
        <v>1045709.8333000001</v>
      </c>
      <c r="K18" s="138">
        <f t="shared" si="2"/>
        <v>59754.847617142863</v>
      </c>
    </row>
    <row r="19" spans="2:11" ht="15" customHeight="1" x14ac:dyDescent="0.2">
      <c r="B19" s="133" t="s">
        <v>108</v>
      </c>
      <c r="C19" s="134"/>
      <c r="D19" s="135">
        <f>SUMIFS(Griferia_Y_Acces_Baño!$T:$T,Griferia_Y_Acces_Baño!$B:$B,'PPTO vs PAR'!B19)</f>
        <v>8061094.2729134839</v>
      </c>
      <c r="E19" s="136">
        <f t="shared" si="0"/>
        <v>1.8651105377991507E-2</v>
      </c>
      <c r="F19" s="137">
        <f>SUMIFS(Griferia_Y_Acces_Baño!$T:$T,Griferia_Y_Acces_Baño!$V:$V,F$2)</f>
        <v>8061094.2729134839</v>
      </c>
      <c r="G19" s="137">
        <f>SUMIFS(Griferia_Y_Acces_Baño!$T:$T,Griferia_Y_Acces_Baño!$V:$V,G$2)</f>
        <v>0</v>
      </c>
      <c r="H19" s="42"/>
      <c r="I19" s="42"/>
      <c r="J19" s="138">
        <f t="shared" si="1"/>
        <v>1007636.7841141855</v>
      </c>
      <c r="K19" s="138">
        <f t="shared" si="2"/>
        <v>57579.244806524883</v>
      </c>
    </row>
    <row r="20" spans="2:11" ht="15" customHeight="1" x14ac:dyDescent="0.2">
      <c r="B20" s="140" t="s">
        <v>196</v>
      </c>
      <c r="D20" s="142">
        <f>SUMIFS(Jardineria_Y_Riego!$T:$T,Jardineria_Y_Riego!$B:$B,'PPTO vs PAR'!B20)</f>
        <v>7400800</v>
      </c>
      <c r="E20" s="143">
        <f t="shared" si="0"/>
        <v>1.7123370104385454E-2</v>
      </c>
      <c r="F20" s="138">
        <f>SUMIFS(Jardineria_Y_Riego!$T:$T,Jardineria_Y_Riego!$V:$V,F$2)</f>
        <v>0</v>
      </c>
      <c r="G20" s="138">
        <f>SUMIFS(Jardineria_Y_Riego!$T:$T,Jardineria_Y_Riego!$V:$V,G$2)</f>
        <v>7400800</v>
      </c>
      <c r="H20" s="42"/>
      <c r="I20" s="42"/>
      <c r="J20" s="138">
        <f t="shared" si="1"/>
        <v>925100</v>
      </c>
      <c r="K20" s="138">
        <f t="shared" si="2"/>
        <v>52862.857142857145</v>
      </c>
    </row>
    <row r="21" spans="2:11" ht="15" customHeight="1" x14ac:dyDescent="0.2">
      <c r="B21" s="133" t="s">
        <v>76</v>
      </c>
      <c r="C21" s="134"/>
      <c r="D21" s="135">
        <f>SUMIFS(Iluminacion!$T:$T,Iluminacion!$B:$B,'PPTO vs PAR'!B21)</f>
        <v>7428736.2800000003</v>
      </c>
      <c r="E21" s="136">
        <f t="shared" si="0"/>
        <v>1.7188006800658795E-2</v>
      </c>
      <c r="F21" s="137">
        <f>SUMIFS(Iluminacion!$T:$T,Iluminacion!$V:$V,F$2)</f>
        <v>6210736.2800000003</v>
      </c>
      <c r="G21" s="137">
        <f>SUMIFS(Iluminacion!$T:$T,Iluminacion!$V:$V,G$2)</f>
        <v>1218000</v>
      </c>
      <c r="H21" s="42"/>
      <c r="I21" s="42"/>
      <c r="J21" s="138">
        <f t="shared" si="1"/>
        <v>928592.03500000003</v>
      </c>
      <c r="K21" s="138">
        <f t="shared" si="2"/>
        <v>53062.402000000002</v>
      </c>
    </row>
    <row r="22" spans="2:11" ht="15" customHeight="1" x14ac:dyDescent="0.2">
      <c r="B22" s="133" t="s">
        <v>197</v>
      </c>
      <c r="C22" s="134"/>
      <c r="D22" s="135">
        <f>SUMIFS(Preliminares!$T:$T,Preliminares!$B:$B,'PPTO vs PAR'!B22)</f>
        <v>1688616.436</v>
      </c>
      <c r="E22" s="136">
        <f t="shared" si="0"/>
        <v>3.9069835960945185E-3</v>
      </c>
      <c r="F22" s="137">
        <f>SUMIFS(Preliminares!$T:$T,Preliminares!$V:$V,F$2)</f>
        <v>1688616.436</v>
      </c>
      <c r="G22" s="137">
        <f>SUMIFS(Preliminares!$T:$T,Preliminares!$V:$V,G$2)</f>
        <v>0</v>
      </c>
      <c r="H22" s="42"/>
      <c r="I22" s="42"/>
      <c r="J22" s="138">
        <f t="shared" si="1"/>
        <v>211077.0545</v>
      </c>
      <c r="K22" s="138">
        <f t="shared" si="2"/>
        <v>12061.545971428572</v>
      </c>
    </row>
    <row r="23" spans="2:11" ht="15" customHeight="1" x14ac:dyDescent="0.2">
      <c r="B23" s="140" t="s">
        <v>127</v>
      </c>
      <c r="D23" s="142">
        <f>SUMIFS(Elevador!$T:$T,Elevador!$B:$B,'PPTO vs PAR'!B23)</f>
        <v>3394998.6799999997</v>
      </c>
      <c r="E23" s="143">
        <f t="shared" si="0"/>
        <v>7.855072276178262E-3</v>
      </c>
      <c r="F23" s="138">
        <f>SUMIFS(Elevador!$T:$T,Elevador!$V:$V,F$2)</f>
        <v>0</v>
      </c>
      <c r="G23" s="138">
        <f>SUMIFS(Elevador!$T:$T,Elevador!$V:$V,G$2)</f>
        <v>3394998.6799999997</v>
      </c>
      <c r="H23" s="42"/>
      <c r="I23" s="42"/>
      <c r="J23" s="138">
        <f t="shared" si="1"/>
        <v>424374.83499999996</v>
      </c>
      <c r="K23" s="138">
        <f t="shared" si="2"/>
        <v>24249.990571428571</v>
      </c>
    </row>
    <row r="24" spans="2:11" ht="15" customHeight="1" x14ac:dyDescent="0.2">
      <c r="B24" s="133" t="s">
        <v>138</v>
      </c>
      <c r="C24" s="139"/>
      <c r="D24" s="135">
        <f>SUMIFS('Garden and Privacy Walls'!$T:$T,'Garden and Privacy Walls'!$B:$B,'PPTO vs PAR'!B24)</f>
        <v>1192409.9766000002</v>
      </c>
      <c r="E24" s="136">
        <f t="shared" si="0"/>
        <v>2.7589013816727115E-3</v>
      </c>
      <c r="F24" s="137">
        <f>SUMIFS('Garden and Privacy Walls'!$T:$T,'Garden and Privacy Walls'!$V:$V,F$2)</f>
        <v>960409.97660000017</v>
      </c>
      <c r="G24" s="137">
        <f>SUMIFS('Garden and Privacy Walls'!$T:$T,'Garden and Privacy Walls'!$V:$V,G$2)</f>
        <v>232000</v>
      </c>
      <c r="H24" s="42"/>
      <c r="I24" s="42"/>
      <c r="J24" s="138">
        <f t="shared" si="1"/>
        <v>149051.24707500002</v>
      </c>
      <c r="K24" s="138">
        <f t="shared" si="2"/>
        <v>8517.2141185714299</v>
      </c>
    </row>
    <row r="25" spans="2:11" ht="15" customHeight="1" x14ac:dyDescent="0.2">
      <c r="B25" s="140" t="s">
        <v>198</v>
      </c>
      <c r="D25" s="142">
        <f>SUMIFS(Herreria!$T:$T,Herreria!$B:$B,'PPTO vs PAR'!B25)</f>
        <v>4640000</v>
      </c>
      <c r="E25" s="143">
        <f t="shared" si="0"/>
        <v>1.0735655237859219E-2</v>
      </c>
      <c r="F25" s="138">
        <f>SUMIFS(Herreria!$T:$T,Herreria!$V:$V,F$2)</f>
        <v>0</v>
      </c>
      <c r="G25" s="138">
        <f>SUMIFS(Herreria!$T:$T,Herreria!$V:$V,G$2)</f>
        <v>4640000</v>
      </c>
      <c r="H25" s="42"/>
      <c r="I25" s="42"/>
      <c r="J25" s="138">
        <f t="shared" si="1"/>
        <v>580000</v>
      </c>
      <c r="K25" s="138">
        <f t="shared" si="2"/>
        <v>33142.857142857145</v>
      </c>
    </row>
    <row r="26" spans="2:11" ht="15" customHeight="1" x14ac:dyDescent="0.2">
      <c r="B26" s="133" t="s">
        <v>199</v>
      </c>
      <c r="C26" s="134"/>
      <c r="D26" s="135">
        <f>SUMIFS(Ingenierias_Y_Topografia!$T:$T,Ingenierias_Y_Topografia!$B:$B,'PPTO vs PAR'!B26)</f>
        <v>2229156.0999999996</v>
      </c>
      <c r="E26" s="136">
        <f t="shared" si="0"/>
        <v>5.1576403795195744E-3</v>
      </c>
      <c r="F26" s="137">
        <f>SUMIFS(Ingenierias_Y_Topografia!$T:$T,Ingenierias_Y_Topografia!$V:$V,F$2)</f>
        <v>2229156.0999999996</v>
      </c>
      <c r="G26" s="137">
        <f>SUMIFS(Ingenierias_Y_Topografia!$T:$T,Ingenierias_Y_Topografia!$V:$V,G$2)</f>
        <v>0</v>
      </c>
      <c r="H26" s="42"/>
      <c r="I26" s="42"/>
      <c r="J26" s="138">
        <f t="shared" si="1"/>
        <v>278644.51249999995</v>
      </c>
      <c r="K26" s="138">
        <f t="shared" si="2"/>
        <v>15922.543571428569</v>
      </c>
    </row>
    <row r="27" spans="2:11" ht="15" customHeight="1" x14ac:dyDescent="0.2">
      <c r="B27" s="140" t="s">
        <v>200</v>
      </c>
      <c r="D27" s="142">
        <f>SUMIFS(Instalaciones_Gas!$T:$T,Instalaciones_Gas!$B:$B,'PPTO vs PAR'!B27)</f>
        <v>1856000</v>
      </c>
      <c r="E27" s="143">
        <f t="shared" si="0"/>
        <v>4.2942620951436873E-3</v>
      </c>
      <c r="F27" s="138">
        <f>SUMIFS(Instalaciones_Gas!$T:$T,Instalaciones_Gas!$V:$V,F$2)</f>
        <v>0</v>
      </c>
      <c r="G27" s="138">
        <f>SUMIFS(Instalaciones_Gas!$T:$T,Instalaciones_Gas!$V:$V,G$2)</f>
        <v>1856000</v>
      </c>
      <c r="H27" s="42"/>
      <c r="I27" s="42"/>
      <c r="J27" s="138">
        <f t="shared" si="1"/>
        <v>232000</v>
      </c>
      <c r="K27" s="138">
        <f t="shared" si="2"/>
        <v>13257.142857142857</v>
      </c>
    </row>
    <row r="28" spans="2:11" ht="15" customHeight="1" x14ac:dyDescent="0.2">
      <c r="B28" s="133" t="s">
        <v>57</v>
      </c>
      <c r="C28" s="134"/>
      <c r="D28" s="135">
        <f>SUMIFS(Impermeabilizacion!$T:$T,Impermeabilizacion!$B:$B,'PPTO vs PAR'!B28)</f>
        <v>2788215.5748998132</v>
      </c>
      <c r="E28" s="136">
        <f t="shared" si="0"/>
        <v>6.4511467976193608E-3</v>
      </c>
      <c r="F28" s="137">
        <f>SUMIFS(Impermeabilizacion!$T:$T,Impermeabilizacion!$V:$V,F$2)</f>
        <v>0</v>
      </c>
      <c r="G28" s="137">
        <f>SUMIFS(Impermeabilizacion!$T:$T,Impermeabilizacion!$V:$V,G$2)</f>
        <v>2788215.5748998132</v>
      </c>
      <c r="H28" s="42"/>
      <c r="I28" s="42"/>
      <c r="J28" s="138">
        <f t="shared" si="1"/>
        <v>348526.94686247665</v>
      </c>
      <c r="K28" s="138">
        <f t="shared" si="2"/>
        <v>19915.825534998665</v>
      </c>
    </row>
    <row r="29" spans="2:11" ht="15" customHeight="1" x14ac:dyDescent="0.2">
      <c r="B29" s="140" t="s">
        <v>142</v>
      </c>
      <c r="D29" s="142">
        <f>SUMIFS(Infraestructura!$T:$T,Infraestructura!$B:$B,'PPTO vs PAR'!B29)</f>
        <v>812000</v>
      </c>
      <c r="E29" s="143">
        <f t="shared" si="0"/>
        <v>1.8787396666253633E-3</v>
      </c>
      <c r="F29" s="138">
        <f>SUMIFS(Infraestructura!$T:$T,Infraestructura!$V:$V,F$2)</f>
        <v>0</v>
      </c>
      <c r="G29" s="138">
        <f>SUMIFS(Infraestructura!$T:$T,Infraestructura!$V:$V,G$2)</f>
        <v>812000</v>
      </c>
      <c r="H29" s="42"/>
      <c r="I29" s="42"/>
      <c r="J29" s="138">
        <f t="shared" si="1"/>
        <v>101500</v>
      </c>
      <c r="K29" s="138">
        <f t="shared" si="2"/>
        <v>5800</v>
      </c>
    </row>
    <row r="30" spans="2:11" ht="15" customHeight="1" x14ac:dyDescent="0.2">
      <c r="B30" s="140" t="s">
        <v>145</v>
      </c>
      <c r="D30" s="142">
        <f>SUMIFS(Otros!$T:$T,Otros!$B:$B,'PPTO vs PAR'!B30)</f>
        <v>2640000</v>
      </c>
      <c r="E30" s="143">
        <f t="shared" si="0"/>
        <v>6.1082176353336936E-3</v>
      </c>
      <c r="F30" s="138">
        <f>SUMIFS(Otros!$T:$T,Otros!$V:$V,F$2)</f>
        <v>0</v>
      </c>
      <c r="G30" s="138">
        <f>SUMIFS(Otros!$T:$T,Otros!$V:$V,G$2)</f>
        <v>2640000</v>
      </c>
      <c r="H30" s="42"/>
      <c r="I30" s="42"/>
      <c r="J30" s="138">
        <f t="shared" si="1"/>
        <v>330000</v>
      </c>
      <c r="K30" s="138">
        <f t="shared" si="2"/>
        <v>18857.142857142859</v>
      </c>
    </row>
    <row r="31" spans="2:11" ht="15" customHeight="1" x14ac:dyDescent="0.2">
      <c r="B31" s="133" t="s">
        <v>201</v>
      </c>
      <c r="C31" s="134"/>
      <c r="D31" s="135">
        <f>SUMIFS(Arquitectura!$T:$T,Arquitectura!$B:$B,'PPTO vs PAR'!B31)</f>
        <v>2929400</v>
      </c>
      <c r="E31" s="136">
        <f t="shared" si="0"/>
        <v>6.7778078564191373E-3</v>
      </c>
      <c r="F31" s="137">
        <f>SUMIFS(Arquitectura!$T:$T,Arquitectura!$V:$V,F$2)</f>
        <v>2929400</v>
      </c>
      <c r="G31" s="137">
        <f>SUMIFS(Arquitectura!$T:$T,Arquitectura!$V:$V,G$2)</f>
        <v>0</v>
      </c>
      <c r="H31" s="42"/>
      <c r="I31" s="42"/>
      <c r="J31" s="138">
        <f t="shared" si="1"/>
        <v>366175</v>
      </c>
      <c r="K31" s="138">
        <f t="shared" si="2"/>
        <v>20924.285714285714</v>
      </c>
    </row>
    <row r="32" spans="2:11" ht="15" customHeight="1" x14ac:dyDescent="0.2">
      <c r="B32" s="140" t="s">
        <v>50</v>
      </c>
      <c r="D32" s="142">
        <f>SUMIFS(Excavacion!$T:$T,Excavacion!$B:$B,'PPTO vs PAR'!B32)</f>
        <v>0</v>
      </c>
      <c r="E32" s="143">
        <f t="shared" si="0"/>
        <v>0</v>
      </c>
      <c r="F32" s="138">
        <f>SUMIFS(Excavacion!$T:$T,Excavacion!$V:$V,F$2)</f>
        <v>0</v>
      </c>
      <c r="G32" s="138">
        <f>SUMIFS(Excavacion!$T:$T,Excavacion!$V:$V,G$2)</f>
        <v>0</v>
      </c>
      <c r="H32" s="42"/>
      <c r="I32" s="42"/>
      <c r="J32" s="138">
        <f t="shared" si="1"/>
        <v>0</v>
      </c>
      <c r="K32" s="138">
        <f t="shared" si="2"/>
        <v>0</v>
      </c>
    </row>
    <row r="33" spans="2:10" ht="15" customHeight="1" x14ac:dyDescent="0.2">
      <c r="B33" s="140" t="s">
        <v>202</v>
      </c>
      <c r="D33" s="142">
        <f>SUMIFS('Albañilerias '!$T:$T,'Albañilerias '!$B:$B,'PPTO vs PAR'!B33)</f>
        <v>6495001.8153600004</v>
      </c>
      <c r="E33" s="143">
        <f t="shared" si="0"/>
        <v>1.5027607814434208E-2</v>
      </c>
      <c r="F33" s="138">
        <f>SUMIFS('Albañilerias '!$T:$T,'Albañilerias '!$V:$V,F$2)</f>
        <v>3247500.9076800002</v>
      </c>
      <c r="G33" s="138">
        <f>SUMIFS('Albañilerias '!$T:$T,'Albañilerias '!$V:$V,G$2)</f>
        <v>3247500.9076800002</v>
      </c>
      <c r="H33" s="42"/>
      <c r="I33" s="42"/>
      <c r="J33" s="145"/>
    </row>
    <row r="34" spans="2:10" ht="15" customHeight="1" x14ac:dyDescent="0.2">
      <c r="B34" s="140" t="s">
        <v>203</v>
      </c>
      <c r="D34" s="142">
        <f>SUMIFS(Madera_De_Ingenieria!$T:$T,Madera_De_Ingenieria!$B:$B,'PPTO vs PAR'!B34)</f>
        <v>0</v>
      </c>
      <c r="E34" s="143">
        <f t="shared" si="0"/>
        <v>0</v>
      </c>
      <c r="F34" s="138">
        <f>SUMIFS(Madera_De_Ingenieria!$T$2:$T$61,Madera_De_Ingenieria!$V$2:$V$61,F$2)</f>
        <v>0</v>
      </c>
      <c r="G34" s="138">
        <f>SUMIFS(Madera_De_Ingenieria!$T$2:$T$61,Madera_De_Ingenieria!$V$2:$V$61,G$2)</f>
        <v>0</v>
      </c>
      <c r="H34" s="42"/>
      <c r="I34" s="42"/>
      <c r="J34" s="145"/>
    </row>
    <row r="35" spans="2:10" ht="15" customHeight="1" x14ac:dyDescent="0.2">
      <c r="B35" s="140"/>
      <c r="D35" s="142"/>
      <c r="E35" s="143"/>
      <c r="F35" s="138"/>
      <c r="G35" s="138"/>
      <c r="H35" s="42"/>
      <c r="I35" s="42"/>
      <c r="J35" s="145"/>
    </row>
    <row r="36" spans="2:10" ht="15" customHeight="1" x14ac:dyDescent="0.2">
      <c r="B36" s="146" t="s">
        <v>185</v>
      </c>
      <c r="C36" s="147"/>
      <c r="D36" s="148">
        <f>SUM(D3:D34)</f>
        <v>432204639.32532686</v>
      </c>
      <c r="E36" s="148"/>
      <c r="F36" s="148">
        <f>SUM(F3:F34)</f>
        <v>231222303.49154711</v>
      </c>
      <c r="G36" s="148">
        <f>SUM(G3:G34)</f>
        <v>200982335.83377987</v>
      </c>
      <c r="H36" s="42"/>
      <c r="I36" s="42"/>
      <c r="J36" s="145"/>
    </row>
    <row r="37" spans="2:10" ht="15" customHeight="1" x14ac:dyDescent="0.2">
      <c r="D37" s="149">
        <f>D36-'BUY OUT'!I172</f>
        <v>12066999.99999994</v>
      </c>
      <c r="E37" s="150"/>
      <c r="F37" s="150">
        <f>F36/D36</f>
        <v>0.53498339085967705</v>
      </c>
      <c r="G37" s="150">
        <f>G36/D36</f>
        <v>0.46501660914032317</v>
      </c>
    </row>
    <row r="38" spans="2:10" ht="15" customHeight="1" x14ac:dyDescent="0.2">
      <c r="D38" s="151"/>
    </row>
  </sheetData>
  <autoFilter ref="B2:G2" xr:uid="{00000000-0009-0000-0000-000002000000}">
    <sortState xmlns:xlrd2="http://schemas.microsoft.com/office/spreadsheetml/2017/richdata2" ref="B2:G3">
      <sortCondition descending="1" ref="B2:B3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B2:J38"/>
  <sheetViews>
    <sheetView showGridLines="0" zoomScale="180" zoomScaleNormal="180" workbookViewId="0">
      <selection activeCell="C20" sqref="C20"/>
    </sheetView>
  </sheetViews>
  <sheetFormatPr baseColWidth="10" defaultColWidth="8.6640625" defaultRowHeight="15" customHeight="1" x14ac:dyDescent="0.2"/>
  <cols>
    <col min="1" max="1" width="1.6640625" customWidth="1"/>
    <col min="2" max="2" width="8.5" customWidth="1"/>
    <col min="3" max="3" width="26.33203125" customWidth="1"/>
    <col min="4" max="4" width="14.83203125" customWidth="1"/>
    <col min="5" max="5" width="15.83203125" customWidth="1"/>
    <col min="6" max="6" width="15.1640625" customWidth="1"/>
    <col min="7" max="7" width="5.6640625" customWidth="1"/>
    <col min="8" max="8" width="14.6640625" customWidth="1"/>
  </cols>
  <sheetData>
    <row r="2" spans="2:10" ht="15" customHeight="1" x14ac:dyDescent="0.2">
      <c r="B2" s="129" t="s">
        <v>184</v>
      </c>
      <c r="C2" s="130"/>
      <c r="D2" s="131" t="s">
        <v>185</v>
      </c>
      <c r="E2" s="132" t="s">
        <v>204</v>
      </c>
      <c r="F2" s="132" t="s">
        <v>205</v>
      </c>
      <c r="H2" s="132" t="s">
        <v>206</v>
      </c>
      <c r="I2" s="132" t="s">
        <v>207</v>
      </c>
      <c r="J2" s="132" t="s">
        <v>205</v>
      </c>
    </row>
    <row r="3" spans="2:10" ht="15" customHeight="1" x14ac:dyDescent="0.2">
      <c r="B3" s="140" t="s">
        <v>52</v>
      </c>
      <c r="C3" s="141"/>
      <c r="D3" s="142">
        <f>SUMIFS(Obra_Civil!$T:$T,Obra_Civil!$B:$B,'BF vs Golf'!B3)</f>
        <v>65999999.902400009</v>
      </c>
      <c r="E3" s="152">
        <v>3970</v>
      </c>
      <c r="F3" s="138">
        <f t="shared" ref="F3:F34" si="0">IFERROR(D3/E3,0)</f>
        <v>16624.685113954663</v>
      </c>
      <c r="G3" s="151"/>
      <c r="H3" s="153">
        <v>6200000</v>
      </c>
      <c r="I3" s="154">
        <v>633</v>
      </c>
      <c r="J3" s="155">
        <f>IFERROR(H3/I3,0)</f>
        <v>9794.6287519747239</v>
      </c>
    </row>
    <row r="4" spans="2:10" ht="15" customHeight="1" x14ac:dyDescent="0.2">
      <c r="B4" s="140" t="s">
        <v>188</v>
      </c>
      <c r="D4" s="142">
        <f>SUMIFS(Carpinterias!$U:$U,Carpinterias!$B:$B,'BF vs Golf'!B4)</f>
        <v>46223299.084999993</v>
      </c>
      <c r="E4" s="152">
        <v>3970</v>
      </c>
      <c r="F4" s="138">
        <f t="shared" si="0"/>
        <v>11643.14838413098</v>
      </c>
      <c r="G4" s="151"/>
      <c r="H4" s="153">
        <v>3298000</v>
      </c>
      <c r="I4" s="156">
        <v>255</v>
      </c>
      <c r="J4" s="155">
        <f>IFERROR(H4/I4,0)</f>
        <v>12933.333333333334</v>
      </c>
    </row>
    <row r="5" spans="2:10" ht="15" customHeight="1" x14ac:dyDescent="0.2">
      <c r="B5" s="140" t="s">
        <v>70</v>
      </c>
      <c r="C5" s="141"/>
      <c r="D5" s="142">
        <f>SUMIFS(Automat_Control_Ilum!$T:$T,Automat_Control_Ilum!$B:$B,'BF vs Golf'!B5)</f>
        <v>19660847.597999997</v>
      </c>
      <c r="E5" s="152">
        <v>5996</v>
      </c>
      <c r="F5" s="138">
        <f t="shared" si="0"/>
        <v>3278.9939289526346</v>
      </c>
      <c r="G5" s="151"/>
      <c r="H5" s="153">
        <v>585000</v>
      </c>
      <c r="I5" s="154">
        <v>255</v>
      </c>
      <c r="J5" s="155">
        <f>IFERROR(H5/I5,0)</f>
        <v>2294.1176470588234</v>
      </c>
    </row>
    <row r="6" spans="2:10" ht="15" customHeight="1" x14ac:dyDescent="0.2">
      <c r="B6" s="140" t="s">
        <v>189</v>
      </c>
      <c r="C6" s="141"/>
      <c r="D6" s="142">
        <f>SUMIFS(Instalaciones_Electricas!$T:$T,Instalaciones_Electricas!$B:$B,'BF vs Golf'!B6)</f>
        <v>29733862.400000002</v>
      </c>
      <c r="E6" s="152">
        <v>3970</v>
      </c>
      <c r="F6" s="138">
        <f t="shared" si="0"/>
        <v>7489.6378841309834</v>
      </c>
      <c r="G6" s="151"/>
      <c r="H6" s="153">
        <v>1718000</v>
      </c>
      <c r="I6" s="154">
        <v>633</v>
      </c>
      <c r="J6" s="155">
        <f>IFERROR(H6/I6,0)</f>
        <v>2714.0600315955767</v>
      </c>
    </row>
    <row r="7" spans="2:10" ht="15" customHeight="1" x14ac:dyDescent="0.2">
      <c r="B7" s="78" t="s">
        <v>87</v>
      </c>
      <c r="C7" s="141"/>
      <c r="D7" s="142">
        <f>SUMIFS(Sumin_Coloc_Marmol!$T:$T,Sumin_Coloc_Marmol!$B:$B,'BF vs Golf'!B7)</f>
        <v>8739576.3000000007</v>
      </c>
      <c r="E7" s="152">
        <v>3970</v>
      </c>
      <c r="F7" s="138">
        <f t="shared" si="0"/>
        <v>2201.4046095717886</v>
      </c>
      <c r="G7" s="151"/>
      <c r="H7" s="153">
        <v>625000</v>
      </c>
      <c r="I7" s="154">
        <v>633</v>
      </c>
      <c r="J7" s="155">
        <f>IFERROR(H7/I7,0)</f>
        <v>987.36176935229071</v>
      </c>
    </row>
    <row r="8" spans="2:10" ht="15" customHeight="1" x14ac:dyDescent="0.2">
      <c r="B8" s="78" t="s">
        <v>88</v>
      </c>
      <c r="D8" s="142">
        <f>SUMIFS(Sumin_Coloc_Marmol!$T:$T,Sumin_Coloc_Marmol!$B:$B,'BF vs Golf'!B8)</f>
        <v>12634102.879999999</v>
      </c>
      <c r="E8" s="152">
        <v>3970</v>
      </c>
      <c r="F8" s="138">
        <f t="shared" si="0"/>
        <v>3182.3936725440803</v>
      </c>
      <c r="G8" s="151"/>
      <c r="H8" s="153"/>
      <c r="I8" s="154"/>
      <c r="J8" s="155"/>
    </row>
    <row r="9" spans="2:10" ht="15" customHeight="1" x14ac:dyDescent="0.2">
      <c r="B9" s="140" t="s">
        <v>191</v>
      </c>
      <c r="C9" s="141"/>
      <c r="D9" s="142">
        <f>SUMIFS(Albercas!$T:$T,Albercas!$B:$B,'BF vs Golf'!B9)</f>
        <v>23140259.999999996</v>
      </c>
      <c r="E9" s="152">
        <v>286</v>
      </c>
      <c r="F9" s="138">
        <f t="shared" si="0"/>
        <v>80909.999999999985</v>
      </c>
      <c r="G9" s="151"/>
      <c r="H9" s="153">
        <v>2325000</v>
      </c>
      <c r="I9" s="154">
        <v>45</v>
      </c>
      <c r="J9" s="155">
        <f t="shared" ref="J9:J14" si="1">IFERROR(H9/I9,0)</f>
        <v>51666.666666666664</v>
      </c>
    </row>
    <row r="10" spans="2:10" ht="15" customHeight="1" x14ac:dyDescent="0.2">
      <c r="B10" s="140" t="s">
        <v>190</v>
      </c>
      <c r="C10" s="141"/>
      <c r="D10" s="142">
        <f>SUMIFS(Vidrios_Y_Canceles!$T:$T,Vidrios_Y_Canceles!$B:$B,'BF vs Golf'!B10)</f>
        <v>38315913.576800011</v>
      </c>
      <c r="E10" s="152">
        <v>3970</v>
      </c>
      <c r="F10" s="138">
        <f t="shared" si="0"/>
        <v>9651.363621360204</v>
      </c>
      <c r="G10" s="151"/>
      <c r="H10" s="153">
        <v>2690000</v>
      </c>
      <c r="I10" s="154">
        <v>633</v>
      </c>
      <c r="J10" s="155">
        <f t="shared" si="1"/>
        <v>4249.6050552922588</v>
      </c>
    </row>
    <row r="11" spans="2:10" ht="15" customHeight="1" x14ac:dyDescent="0.2">
      <c r="B11" s="140" t="s">
        <v>192</v>
      </c>
      <c r="D11" s="142">
        <f>SUMIFS(Exteriores!$T:$T,Exteriores!$B:$B,'BF vs Golf'!B11)</f>
        <v>19989129.859999999</v>
      </c>
      <c r="E11" s="152">
        <v>3970</v>
      </c>
      <c r="F11" s="138">
        <f t="shared" si="0"/>
        <v>5035.0453047858937</v>
      </c>
      <c r="G11" s="151"/>
      <c r="H11" s="153" t="s">
        <v>208</v>
      </c>
      <c r="I11" s="154">
        <f>+I9</f>
        <v>45</v>
      </c>
      <c r="J11" s="155">
        <f t="shared" si="1"/>
        <v>0</v>
      </c>
    </row>
    <row r="12" spans="2:10" ht="15" customHeight="1" x14ac:dyDescent="0.2">
      <c r="B12" s="140" t="s">
        <v>73</v>
      </c>
      <c r="D12" s="142">
        <f>SUMIFS(Aire_Acond_Y_Extraccion!$T:$T,Aire_Acond_Y_Extraccion!$B:$B,'BF vs Golf'!B12)</f>
        <v>15759688.3178</v>
      </c>
      <c r="E12" s="152">
        <v>2998</v>
      </c>
      <c r="F12" s="138">
        <f t="shared" si="0"/>
        <v>5256.7339285523685</v>
      </c>
      <c r="G12" s="151"/>
      <c r="H12" s="153">
        <v>1589000</v>
      </c>
      <c r="I12" s="154">
        <v>255</v>
      </c>
      <c r="J12" s="155">
        <f t="shared" si="1"/>
        <v>6231.3725490196075</v>
      </c>
    </row>
    <row r="13" spans="2:10" ht="15" customHeight="1" x14ac:dyDescent="0.2">
      <c r="B13" s="140" t="s">
        <v>193</v>
      </c>
      <c r="C13" s="141"/>
      <c r="D13" s="142">
        <f>SUMIFS(Cocinas!$U:$U,Cocinas!$B:$B,'BF vs Golf'!B13)</f>
        <v>25879830.886399992</v>
      </c>
      <c r="E13" s="152">
        <v>2998</v>
      </c>
      <c r="F13" s="138">
        <f t="shared" si="0"/>
        <v>8632.3652056037336</v>
      </c>
      <c r="G13" s="151"/>
      <c r="H13" s="153">
        <v>1370000</v>
      </c>
      <c r="I13" s="154">
        <v>255</v>
      </c>
      <c r="J13" s="155">
        <f t="shared" si="1"/>
        <v>5372.5490196078435</v>
      </c>
    </row>
    <row r="14" spans="2:10" ht="15" customHeight="1" x14ac:dyDescent="0.2">
      <c r="B14" s="140" t="s">
        <v>194</v>
      </c>
      <c r="D14" s="142">
        <f>SUMIFS(Instalaciones_Hidraulicas!$T:$T,Instalaciones_Hidraulicas!$B:$B,'BF vs Golf'!B14)</f>
        <v>16725297.599999998</v>
      </c>
      <c r="E14" s="152">
        <v>3970</v>
      </c>
      <c r="F14" s="138">
        <f t="shared" si="0"/>
        <v>4212.9213098236769</v>
      </c>
      <c r="G14" s="151"/>
      <c r="H14" s="153">
        <v>972000</v>
      </c>
      <c r="I14" s="154">
        <v>633</v>
      </c>
      <c r="J14" s="155">
        <f t="shared" si="1"/>
        <v>1535.5450236966824</v>
      </c>
    </row>
    <row r="15" spans="2:10" ht="15" customHeight="1" x14ac:dyDescent="0.2">
      <c r="B15" s="140" t="s">
        <v>43</v>
      </c>
      <c r="D15" s="142">
        <f>SUMIFS('Condiciones Generales'!$T:$T,'Condiciones Generales'!$B:$B,'BF vs Golf'!B15)</f>
        <v>18600593.356753591</v>
      </c>
      <c r="E15" s="152">
        <v>3970</v>
      </c>
      <c r="F15" s="138">
        <f t="shared" si="0"/>
        <v>4685.2879991822647</v>
      </c>
      <c r="G15" s="151"/>
      <c r="H15" s="145"/>
    </row>
    <row r="16" spans="2:10" ht="15" customHeight="1" x14ac:dyDescent="0.2">
      <c r="B16" s="140" t="s">
        <v>195</v>
      </c>
      <c r="D16" s="144">
        <f>SUMIFS(Contingencias!$T:$T,Contingencias!$B:$B,'BF vs Golf'!B16)</f>
        <v>12000000</v>
      </c>
      <c r="E16" s="152">
        <v>3970</v>
      </c>
      <c r="F16" s="138">
        <f t="shared" si="0"/>
        <v>3022.670025188917</v>
      </c>
      <c r="G16" s="151"/>
      <c r="H16" s="145"/>
    </row>
    <row r="17" spans="2:10" ht="15" customHeight="1" x14ac:dyDescent="0.2">
      <c r="B17" s="140" t="s">
        <v>39</v>
      </c>
      <c r="C17" s="141"/>
      <c r="D17" s="142">
        <f>SUMIFS(Pilas!$T:$T,Pilas!$B:$B,'BF vs Golf'!B17)</f>
        <v>8365678.6664000005</v>
      </c>
      <c r="E17" s="152">
        <v>2998</v>
      </c>
      <c r="F17" s="138">
        <f t="shared" si="0"/>
        <v>2790.419835356905</v>
      </c>
      <c r="G17" s="151"/>
      <c r="H17" s="153" t="s">
        <v>209</v>
      </c>
      <c r="I17" s="154">
        <v>255</v>
      </c>
      <c r="J17" s="155">
        <f t="shared" ref="J17:J28" si="2">IFERROR(H17/I17,0)</f>
        <v>0</v>
      </c>
    </row>
    <row r="18" spans="2:10" ht="15" customHeight="1" x14ac:dyDescent="0.2">
      <c r="B18" s="140" t="s">
        <v>108</v>
      </c>
      <c r="C18" s="141"/>
      <c r="D18" s="142">
        <f>SUMIFS(Griferia_Y_Acces_Baño!$T:$T,Griferia_Y_Acces_Baño!$B:$B,'BF vs Golf'!B18)</f>
        <v>8061094.2729134839</v>
      </c>
      <c r="E18" s="152">
        <v>2998</v>
      </c>
      <c r="F18" s="138">
        <f t="shared" si="0"/>
        <v>2688.8239736202413</v>
      </c>
      <c r="G18" s="151"/>
      <c r="H18" s="153">
        <v>557000</v>
      </c>
      <c r="I18" s="154">
        <v>255</v>
      </c>
      <c r="J18" s="155">
        <f t="shared" si="2"/>
        <v>2184.3137254901962</v>
      </c>
    </row>
    <row r="19" spans="2:10" ht="15" customHeight="1" x14ac:dyDescent="0.2">
      <c r="B19" s="140" t="s">
        <v>196</v>
      </c>
      <c r="D19" s="142">
        <f>SUMIFS(Jardineria_Y_Riego!$T:$T,Jardineria_Y_Riego!$B:$B,'BF vs Golf'!B19)</f>
        <v>7400800</v>
      </c>
      <c r="E19" s="152">
        <v>2998</v>
      </c>
      <c r="F19" s="138">
        <f t="shared" si="0"/>
        <v>2468.5790527018012</v>
      </c>
      <c r="G19" s="151"/>
      <c r="H19" s="153" t="s">
        <v>208</v>
      </c>
      <c r="I19" s="154">
        <v>255</v>
      </c>
      <c r="J19" s="155">
        <f t="shared" si="2"/>
        <v>0</v>
      </c>
    </row>
    <row r="20" spans="2:10" ht="15" customHeight="1" x14ac:dyDescent="0.2">
      <c r="B20" s="140" t="s">
        <v>76</v>
      </c>
      <c r="C20" s="141"/>
      <c r="D20" s="142">
        <f>SUMIFS(Iluminacion!$T:$T,Iluminacion!$B:$B,'BF vs Golf'!B20)</f>
        <v>7428736.2800000003</v>
      </c>
      <c r="E20" s="152">
        <v>3970</v>
      </c>
      <c r="F20" s="138">
        <f t="shared" si="0"/>
        <v>1871.2182065491183</v>
      </c>
      <c r="G20" s="151"/>
      <c r="H20" s="153">
        <v>321000</v>
      </c>
      <c r="I20" s="154">
        <v>633</v>
      </c>
      <c r="J20" s="155">
        <f t="shared" si="2"/>
        <v>507.10900473933651</v>
      </c>
    </row>
    <row r="21" spans="2:10" ht="15" customHeight="1" x14ac:dyDescent="0.2">
      <c r="B21" s="140" t="s">
        <v>197</v>
      </c>
      <c r="C21" s="141"/>
      <c r="D21" s="142">
        <f>SUMIFS(Preliminares!$T:$T,Preliminares!$B:$B,'BF vs Golf'!B21)</f>
        <v>1688616.436</v>
      </c>
      <c r="E21" s="152">
        <v>2998</v>
      </c>
      <c r="F21" s="138">
        <f t="shared" si="0"/>
        <v>563.24764376250835</v>
      </c>
      <c r="G21" s="151"/>
      <c r="H21" s="153" t="s">
        <v>210</v>
      </c>
      <c r="I21" s="154">
        <v>255</v>
      </c>
      <c r="J21" s="155">
        <f t="shared" si="2"/>
        <v>0</v>
      </c>
    </row>
    <row r="22" spans="2:10" ht="15" customHeight="1" x14ac:dyDescent="0.2">
      <c r="B22" s="140" t="s">
        <v>127</v>
      </c>
      <c r="D22" s="142">
        <f>SUMIFS(Elevador!$T:$T,Elevador!$B:$B,'BF vs Golf'!B22)</f>
        <v>3394998.6799999997</v>
      </c>
      <c r="E22" s="152">
        <v>2998</v>
      </c>
      <c r="F22" s="138">
        <f t="shared" si="0"/>
        <v>1132.4211741160773</v>
      </c>
      <c r="G22" s="151"/>
      <c r="H22" s="153" t="s">
        <v>209</v>
      </c>
      <c r="I22" s="154">
        <v>255</v>
      </c>
      <c r="J22" s="155">
        <f t="shared" si="2"/>
        <v>0</v>
      </c>
    </row>
    <row r="23" spans="2:10" ht="15" customHeight="1" x14ac:dyDescent="0.2">
      <c r="B23" s="140" t="s">
        <v>138</v>
      </c>
      <c r="D23" s="142">
        <f>SUMIFS('Garden and Privacy Walls'!$T:$T,'Garden and Privacy Walls'!$B:$B,'BF vs Golf'!B23)</f>
        <v>1192409.9766000002</v>
      </c>
      <c r="E23" s="152">
        <v>2998</v>
      </c>
      <c r="F23" s="138">
        <f t="shared" si="0"/>
        <v>397.73514896597737</v>
      </c>
      <c r="G23" s="151"/>
      <c r="H23" s="153" t="s">
        <v>209</v>
      </c>
      <c r="I23" s="154">
        <v>255</v>
      </c>
      <c r="J23" s="155">
        <f t="shared" si="2"/>
        <v>0</v>
      </c>
    </row>
    <row r="24" spans="2:10" ht="15" customHeight="1" x14ac:dyDescent="0.2">
      <c r="B24" s="140" t="s">
        <v>198</v>
      </c>
      <c r="D24" s="142">
        <f>SUMIFS(Herreria!$T:$T,Herreria!$B:$B,'BF vs Golf'!B24)</f>
        <v>4640000</v>
      </c>
      <c r="E24" s="152">
        <v>3970</v>
      </c>
      <c r="F24" s="138">
        <f t="shared" si="0"/>
        <v>1168.7657430730478</v>
      </c>
      <c r="G24" s="151"/>
      <c r="H24" s="153">
        <v>780000</v>
      </c>
      <c r="I24" s="154">
        <v>633</v>
      </c>
      <c r="J24" s="155">
        <f t="shared" si="2"/>
        <v>1232.2274881516587</v>
      </c>
    </row>
    <row r="25" spans="2:10" ht="15" customHeight="1" x14ac:dyDescent="0.2">
      <c r="B25" s="140" t="s">
        <v>199</v>
      </c>
      <c r="C25" s="141"/>
      <c r="D25" s="142">
        <f>SUMIFS(Ingenierias_Y_Topografia!$T:$T,Ingenierias_Y_Topografia!$B:$B,'BF vs Golf'!B25)</f>
        <v>2229156.0999999996</v>
      </c>
      <c r="E25" s="152">
        <v>3970</v>
      </c>
      <c r="F25" s="138">
        <f t="shared" si="0"/>
        <v>561.50027707808556</v>
      </c>
      <c r="G25" s="151"/>
      <c r="H25" s="153">
        <v>538000</v>
      </c>
      <c r="I25" s="154">
        <f>+I20</f>
        <v>633</v>
      </c>
      <c r="J25" s="155">
        <f t="shared" si="2"/>
        <v>849.92101105845177</v>
      </c>
    </row>
    <row r="26" spans="2:10" ht="15" customHeight="1" x14ac:dyDescent="0.2">
      <c r="B26" s="140" t="s">
        <v>200</v>
      </c>
      <c r="D26" s="142">
        <f>SUMIFS(Instalaciones_Gas!$T:$T,Instalaciones_Gas!$B:$B,'BF vs Golf'!B26)</f>
        <v>1856000</v>
      </c>
      <c r="E26" s="152">
        <v>3970</v>
      </c>
      <c r="F26" s="138">
        <f t="shared" si="0"/>
        <v>467.50629722921917</v>
      </c>
      <c r="G26" s="151"/>
      <c r="H26" s="153">
        <v>173000</v>
      </c>
      <c r="I26" s="154">
        <f>+I20</f>
        <v>633</v>
      </c>
      <c r="J26" s="155">
        <f t="shared" si="2"/>
        <v>273.30173775671403</v>
      </c>
    </row>
    <row r="27" spans="2:10" ht="15" customHeight="1" x14ac:dyDescent="0.2">
      <c r="B27" s="140" t="s">
        <v>211</v>
      </c>
      <c r="C27" s="141"/>
      <c r="D27" s="142">
        <f>SUMIFS(Impermeabilizacion!$T:$T,Impermeabilizacion!$B:$B,'BF vs Golf'!B27)</f>
        <v>0</v>
      </c>
      <c r="E27" s="152">
        <v>2998</v>
      </c>
      <c r="F27" s="138">
        <f t="shared" si="0"/>
        <v>0</v>
      </c>
      <c r="G27" s="151"/>
      <c r="H27" s="153" t="s">
        <v>212</v>
      </c>
      <c r="I27" s="154">
        <v>255</v>
      </c>
      <c r="J27" s="155">
        <f t="shared" si="2"/>
        <v>0</v>
      </c>
    </row>
    <row r="28" spans="2:10" ht="15" customHeight="1" x14ac:dyDescent="0.2">
      <c r="B28" s="140" t="s">
        <v>142</v>
      </c>
      <c r="D28" s="142">
        <f>SUMIFS(Infraestructura!$T:$T,Infraestructura!$B:$B,'BF vs Golf'!B28)</f>
        <v>812000</v>
      </c>
      <c r="E28" s="152">
        <v>3970</v>
      </c>
      <c r="F28" s="138">
        <f t="shared" si="0"/>
        <v>204.53400503778337</v>
      </c>
      <c r="G28" s="151"/>
      <c r="H28" s="153">
        <v>7012509.3399999999</v>
      </c>
      <c r="I28" s="154">
        <v>633</v>
      </c>
      <c r="J28" s="155">
        <f t="shared" si="2"/>
        <v>11078.213807266982</v>
      </c>
    </row>
    <row r="29" spans="2:10" ht="15" customHeight="1" x14ac:dyDescent="0.2">
      <c r="B29" s="140" t="s">
        <v>145</v>
      </c>
      <c r="D29" s="142">
        <f>SUMIFS(Otros!$T:$T,Otros!$B:$B,'BF vs Golf'!B29)</f>
        <v>2640000</v>
      </c>
      <c r="E29" s="152">
        <v>3970</v>
      </c>
      <c r="F29" s="138">
        <f t="shared" si="0"/>
        <v>664.98740554156166</v>
      </c>
      <c r="G29" s="151"/>
      <c r="H29" s="153"/>
      <c r="I29" s="154"/>
      <c r="J29" s="155"/>
    </row>
    <row r="30" spans="2:10" ht="15" customHeight="1" x14ac:dyDescent="0.2">
      <c r="B30" s="140" t="s">
        <v>201</v>
      </c>
      <c r="C30" s="141"/>
      <c r="D30" s="142">
        <f>SUMIFS(Arquitectura!$T:$T,Arquitectura!$B:$B,'BF vs Golf'!B30)</f>
        <v>2929400</v>
      </c>
      <c r="E30" s="152">
        <v>0</v>
      </c>
      <c r="F30" s="138">
        <f t="shared" si="0"/>
        <v>0</v>
      </c>
      <c r="G30" s="151"/>
      <c r="H30" s="153"/>
      <c r="I30" s="154">
        <v>255</v>
      </c>
      <c r="J30" s="155">
        <f>IFERROR(H30/I30,0)</f>
        <v>0</v>
      </c>
    </row>
    <row r="31" spans="2:10" ht="15" customHeight="1" x14ac:dyDescent="0.2">
      <c r="B31" s="140" t="s">
        <v>50</v>
      </c>
      <c r="D31" s="142">
        <f>SUMIFS(Excavacion!$T:$T,Excavacion!$B:$B,'BF vs Golf'!B31)</f>
        <v>0</v>
      </c>
      <c r="E31" s="152">
        <v>0</v>
      </c>
      <c r="F31" s="138">
        <f t="shared" si="0"/>
        <v>0</v>
      </c>
      <c r="G31" s="151"/>
      <c r="H31" s="153" t="s">
        <v>210</v>
      </c>
      <c r="I31" s="154">
        <v>0</v>
      </c>
      <c r="J31" s="155">
        <f>IFERROR(H31/I31,0)</f>
        <v>0</v>
      </c>
    </row>
    <row r="32" spans="2:10" ht="15" customHeight="1" x14ac:dyDescent="0.2">
      <c r="B32" s="140" t="s">
        <v>213</v>
      </c>
      <c r="D32" s="142" t="e">
        <f>SUMIFS(#REF!,#REF!,'BF vs Golf'!B32)</f>
        <v>#REF!</v>
      </c>
      <c r="E32" s="152">
        <v>0</v>
      </c>
      <c r="F32" s="138">
        <f t="shared" si="0"/>
        <v>0</v>
      </c>
      <c r="G32" s="151"/>
      <c r="H32" s="153" t="s">
        <v>210</v>
      </c>
      <c r="I32" s="154">
        <v>0</v>
      </c>
      <c r="J32" s="155">
        <f>IFERROR(H32/I32,0)</f>
        <v>0</v>
      </c>
    </row>
    <row r="33" spans="2:10" ht="15" customHeight="1" x14ac:dyDescent="0.2">
      <c r="B33" s="140" t="s">
        <v>79</v>
      </c>
      <c r="C33" s="141"/>
      <c r="D33" s="142">
        <f>SUMIFS(Acabados!$T:$T,Acabados!$B:$B,'BF vs Golf'!B33)</f>
        <v>16880129.760000005</v>
      </c>
      <c r="E33" s="152">
        <v>0</v>
      </c>
      <c r="F33" s="138">
        <f t="shared" si="0"/>
        <v>0</v>
      </c>
      <c r="G33" s="151"/>
      <c r="H33" s="153">
        <v>5095000</v>
      </c>
      <c r="I33" s="154">
        <v>633</v>
      </c>
      <c r="J33" s="155">
        <f>IFERROR(H33/I33,0)</f>
        <v>8048.9731437598739</v>
      </c>
    </row>
    <row r="34" spans="2:10" ht="15" customHeight="1" x14ac:dyDescent="0.2">
      <c r="B34" s="140" t="s">
        <v>203</v>
      </c>
      <c r="D34" s="142">
        <f>SUMIFS(Madera_De_Ingenieria!$T:$T,Madera_De_Ingenieria!$B:$B,'BF vs Golf'!B34)</f>
        <v>0</v>
      </c>
      <c r="E34" s="152">
        <v>0</v>
      </c>
      <c r="F34" s="138">
        <f t="shared" si="0"/>
        <v>0</v>
      </c>
      <c r="G34" s="151"/>
      <c r="H34" s="153" t="s">
        <v>209</v>
      </c>
      <c r="I34" s="154">
        <v>255</v>
      </c>
      <c r="J34" s="155">
        <f>IFERROR(H34/I34,0)</f>
        <v>0</v>
      </c>
    </row>
    <row r="35" spans="2:10" ht="15" customHeight="1" x14ac:dyDescent="0.2">
      <c r="B35" s="140"/>
      <c r="D35" s="142"/>
      <c r="E35" s="138"/>
      <c r="F35" s="138"/>
      <c r="G35" s="151"/>
      <c r="H35" s="145"/>
    </row>
    <row r="36" spans="2:10" ht="15" customHeight="1" x14ac:dyDescent="0.2">
      <c r="B36" s="146" t="s">
        <v>185</v>
      </c>
      <c r="C36" s="147"/>
      <c r="D36" s="148"/>
      <c r="E36" s="148"/>
      <c r="F36" s="148"/>
      <c r="G36" s="151"/>
      <c r="H36" s="145">
        <f>38000000/255</f>
        <v>149019.60784313726</v>
      </c>
    </row>
    <row r="37" spans="2:10" ht="15" customHeight="1" x14ac:dyDescent="0.2">
      <c r="D37" s="157"/>
      <c r="E37" s="150"/>
      <c r="F37" s="150"/>
    </row>
    <row r="38" spans="2:10" ht="15" customHeight="1" x14ac:dyDescent="0.2">
      <c r="D38" s="151"/>
    </row>
  </sheetData>
  <autoFilter ref="B2:F2" xr:uid="{00000000-0009-0000-0000-000003000000}">
    <sortState xmlns:xlrd2="http://schemas.microsoft.com/office/spreadsheetml/2017/richdata2" ref="B2:F3">
      <sortCondition descending="1" ref="B2:B3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zoomScaleNormal="100" workbookViewId="0">
      <selection activeCell="G4" sqref="G4"/>
    </sheetView>
  </sheetViews>
  <sheetFormatPr baseColWidth="10" defaultColWidth="10.6640625" defaultRowHeight="15" x14ac:dyDescent="0.2"/>
  <cols>
    <col min="1" max="1" width="15" customWidth="1"/>
    <col min="2" max="2" width="21.6640625" customWidth="1"/>
    <col min="3" max="4" width="15" customWidth="1"/>
    <col min="5" max="5" width="28.33203125" customWidth="1"/>
    <col min="6" max="6" width="18.33203125" customWidth="1"/>
  </cols>
  <sheetData>
    <row r="1" spans="1:7" ht="18.75" customHeight="1" x14ac:dyDescent="0.25">
      <c r="A1" s="459" t="s">
        <v>214</v>
      </c>
      <c r="B1" s="459"/>
      <c r="C1" s="459"/>
      <c r="D1" s="459"/>
      <c r="E1" s="459"/>
      <c r="F1" s="459"/>
    </row>
    <row r="3" spans="1:7" ht="15" customHeight="1" x14ac:dyDescent="0.2">
      <c r="A3" s="158" t="s">
        <v>215</v>
      </c>
      <c r="B3" s="158" t="s">
        <v>216</v>
      </c>
      <c r="C3" s="158" t="s">
        <v>217</v>
      </c>
      <c r="D3" s="158" t="s">
        <v>168</v>
      </c>
      <c r="E3" s="158" t="s">
        <v>218</v>
      </c>
      <c r="F3" s="158" t="s">
        <v>219</v>
      </c>
    </row>
    <row r="4" spans="1:7" ht="15" customHeight="1" x14ac:dyDescent="0.2">
      <c r="A4" s="159" t="s">
        <v>220</v>
      </c>
      <c r="B4" s="159" t="s">
        <v>221</v>
      </c>
      <c r="C4" s="159" t="s">
        <v>221</v>
      </c>
      <c r="D4" s="159">
        <v>101</v>
      </c>
      <c r="E4" s="159">
        <v>101</v>
      </c>
      <c r="F4" s="160" t="s">
        <v>222</v>
      </c>
      <c r="G4">
        <v>62</v>
      </c>
    </row>
    <row r="5" spans="1:7" ht="15" customHeight="1" x14ac:dyDescent="0.2">
      <c r="A5" s="159" t="s">
        <v>220</v>
      </c>
      <c r="B5" s="159" t="s">
        <v>221</v>
      </c>
      <c r="C5" s="159" t="s">
        <v>221</v>
      </c>
      <c r="D5" s="159">
        <v>201</v>
      </c>
      <c r="E5" s="159">
        <v>201</v>
      </c>
      <c r="F5" s="161" t="s">
        <v>222</v>
      </c>
      <c r="G5">
        <v>62</v>
      </c>
    </row>
    <row r="6" spans="1:7" ht="15" customHeight="1" x14ac:dyDescent="0.2">
      <c r="A6" s="159" t="s">
        <v>220</v>
      </c>
      <c r="B6" s="159" t="s">
        <v>223</v>
      </c>
      <c r="C6" s="159" t="s">
        <v>224</v>
      </c>
      <c r="D6" s="159" t="s">
        <v>225</v>
      </c>
      <c r="E6" s="159" t="s">
        <v>226</v>
      </c>
      <c r="F6" s="160" t="s">
        <v>222</v>
      </c>
      <c r="G6">
        <v>72</v>
      </c>
    </row>
    <row r="7" spans="1:7" ht="15" customHeight="1" x14ac:dyDescent="0.2">
      <c r="A7" s="159" t="s">
        <v>220</v>
      </c>
      <c r="B7" s="159" t="s">
        <v>223</v>
      </c>
      <c r="C7" s="159" t="s">
        <v>224</v>
      </c>
      <c r="D7" s="159" t="s">
        <v>227</v>
      </c>
      <c r="E7" s="159" t="s">
        <v>228</v>
      </c>
      <c r="F7" s="161" t="s">
        <v>222</v>
      </c>
      <c r="G7">
        <v>72</v>
      </c>
    </row>
    <row r="8" spans="1:7" ht="15" customHeight="1" x14ac:dyDescent="0.2">
      <c r="A8" s="162" t="s">
        <v>229</v>
      </c>
      <c r="B8" s="162" t="s">
        <v>221</v>
      </c>
      <c r="C8" s="162" t="s">
        <v>221</v>
      </c>
      <c r="D8" s="162">
        <v>301</v>
      </c>
      <c r="E8" s="162">
        <v>301</v>
      </c>
      <c r="F8" s="162" t="s">
        <v>222</v>
      </c>
      <c r="G8">
        <v>62</v>
      </c>
    </row>
    <row r="9" spans="1:7" ht="15" customHeight="1" x14ac:dyDescent="0.2">
      <c r="A9" s="162" t="s">
        <v>229</v>
      </c>
      <c r="B9" s="162" t="s">
        <v>221</v>
      </c>
      <c r="C9" s="162" t="s">
        <v>221</v>
      </c>
      <c r="D9" s="162">
        <v>401</v>
      </c>
      <c r="E9" s="162">
        <v>401</v>
      </c>
      <c r="F9" s="163" t="s">
        <v>230</v>
      </c>
      <c r="G9">
        <v>74</v>
      </c>
    </row>
    <row r="10" spans="1:7" ht="15" customHeight="1" x14ac:dyDescent="0.2">
      <c r="A10" s="162" t="s">
        <v>229</v>
      </c>
      <c r="B10" s="162" t="s">
        <v>223</v>
      </c>
      <c r="C10" s="162" t="s">
        <v>224</v>
      </c>
      <c r="D10" s="162" t="s">
        <v>231</v>
      </c>
      <c r="E10" s="162" t="s">
        <v>232</v>
      </c>
      <c r="F10" s="162" t="s">
        <v>222</v>
      </c>
      <c r="G10">
        <v>72</v>
      </c>
    </row>
    <row r="11" spans="1:7" ht="15" customHeight="1" x14ac:dyDescent="0.2">
      <c r="A11" s="162" t="s">
        <v>229</v>
      </c>
      <c r="B11" s="162" t="s">
        <v>223</v>
      </c>
      <c r="C11" s="162" t="s">
        <v>224</v>
      </c>
      <c r="D11" s="162" t="s">
        <v>233</v>
      </c>
      <c r="E11" s="162" t="s">
        <v>234</v>
      </c>
      <c r="F11" s="163" t="s">
        <v>230</v>
      </c>
      <c r="G11">
        <v>82</v>
      </c>
    </row>
    <row r="13" spans="1:7" ht="15" customHeight="1" x14ac:dyDescent="0.2">
      <c r="A13" s="164" t="s">
        <v>235</v>
      </c>
    </row>
    <row r="14" spans="1:7" ht="15" customHeight="1" x14ac:dyDescent="0.2">
      <c r="A14" s="165" t="s">
        <v>236</v>
      </c>
    </row>
    <row r="15" spans="1:7" ht="15" customHeight="1" x14ac:dyDescent="0.2">
      <c r="A15" s="166" t="s">
        <v>237</v>
      </c>
    </row>
    <row r="16" spans="1:7" ht="15" customHeight="1" x14ac:dyDescent="0.2">
      <c r="A16" s="166" t="s">
        <v>238</v>
      </c>
    </row>
    <row r="17" spans="1:1" ht="15" customHeight="1" x14ac:dyDescent="0.2">
      <c r="A17" s="166" t="s">
        <v>239</v>
      </c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B10:B37"/>
  <sheetViews>
    <sheetView zoomScaleNormal="100" workbookViewId="0">
      <selection activeCell="S1" sqref="S1"/>
    </sheetView>
  </sheetViews>
  <sheetFormatPr baseColWidth="10" defaultColWidth="10.6640625" defaultRowHeight="15" x14ac:dyDescent="0.2"/>
  <sheetData>
    <row r="10" spans="2:2" ht="18" customHeight="1" x14ac:dyDescent="0.2">
      <c r="B10" s="167" t="s">
        <v>240</v>
      </c>
    </row>
    <row r="12" spans="2:2" ht="18" customHeight="1" x14ac:dyDescent="0.2">
      <c r="B12" s="168" t="s">
        <v>241</v>
      </c>
    </row>
    <row r="14" spans="2:2" ht="18" customHeight="1" x14ac:dyDescent="0.2">
      <c r="B14" s="167" t="s">
        <v>242</v>
      </c>
    </row>
    <row r="16" spans="2:2" ht="18.75" customHeight="1" x14ac:dyDescent="0.25">
      <c r="B16" s="169" t="s">
        <v>243</v>
      </c>
    </row>
    <row r="17" spans="2:2" ht="18.75" customHeight="1" x14ac:dyDescent="0.25">
      <c r="B17" s="169" t="s">
        <v>244</v>
      </c>
    </row>
    <row r="18" spans="2:2" ht="18.75" customHeight="1" x14ac:dyDescent="0.25">
      <c r="B18" s="169" t="s">
        <v>245</v>
      </c>
    </row>
    <row r="19" spans="2:2" ht="18.75" customHeight="1" x14ac:dyDescent="0.25">
      <c r="B19" s="169" t="s">
        <v>246</v>
      </c>
    </row>
    <row r="20" spans="2:2" ht="18.75" customHeight="1" x14ac:dyDescent="0.25">
      <c r="B20" s="169" t="s">
        <v>247</v>
      </c>
    </row>
    <row r="21" spans="2:2" ht="18.75" customHeight="1" x14ac:dyDescent="0.25">
      <c r="B21" s="169" t="s">
        <v>248</v>
      </c>
    </row>
    <row r="22" spans="2:2" ht="18.75" customHeight="1" x14ac:dyDescent="0.25">
      <c r="B22" s="169" t="s">
        <v>249</v>
      </c>
    </row>
    <row r="23" spans="2:2" ht="18.75" customHeight="1" x14ac:dyDescent="0.25">
      <c r="B23" s="169" t="s">
        <v>250</v>
      </c>
    </row>
    <row r="24" spans="2:2" ht="18.75" customHeight="1" x14ac:dyDescent="0.25">
      <c r="B24" s="170" t="s">
        <v>251</v>
      </c>
    </row>
    <row r="25" spans="2:2" ht="18.75" customHeight="1" x14ac:dyDescent="0.25">
      <c r="B25" s="169" t="s">
        <v>252</v>
      </c>
    </row>
    <row r="27" spans="2:2" ht="18" customHeight="1" x14ac:dyDescent="0.2">
      <c r="B27" s="167" t="s">
        <v>253</v>
      </c>
    </row>
    <row r="29" spans="2:2" ht="18.75" customHeight="1" x14ac:dyDescent="0.25">
      <c r="B29" s="170" t="s">
        <v>254</v>
      </c>
    </row>
    <row r="30" spans="2:2" ht="18.75" customHeight="1" x14ac:dyDescent="0.25">
      <c r="B30" s="170" t="s">
        <v>255</v>
      </c>
    </row>
    <row r="31" spans="2:2" ht="18.75" customHeight="1" x14ac:dyDescent="0.25">
      <c r="B31" s="170" t="s">
        <v>256</v>
      </c>
    </row>
    <row r="32" spans="2:2" ht="18.75" customHeight="1" x14ac:dyDescent="0.25">
      <c r="B32" s="170" t="s">
        <v>257</v>
      </c>
    </row>
    <row r="33" spans="2:2" ht="18.75" customHeight="1" x14ac:dyDescent="0.25">
      <c r="B33" s="170" t="s">
        <v>258</v>
      </c>
    </row>
    <row r="34" spans="2:2" ht="18.75" customHeight="1" x14ac:dyDescent="0.25">
      <c r="B34" s="169" t="s">
        <v>259</v>
      </c>
    </row>
    <row r="35" spans="2:2" ht="18.75" customHeight="1" x14ac:dyDescent="0.25">
      <c r="B35" s="169" t="s">
        <v>260</v>
      </c>
    </row>
    <row r="37" spans="2:2" ht="18" customHeight="1" x14ac:dyDescent="0.2">
      <c r="B37" s="167" t="s">
        <v>261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82"/>
  <sheetViews>
    <sheetView topLeftCell="A18" zoomScale="150" zoomScaleNormal="150" workbookViewId="0">
      <selection activeCell="G37" sqref="G37"/>
    </sheetView>
  </sheetViews>
  <sheetFormatPr baseColWidth="10" defaultColWidth="8.6640625" defaultRowHeight="15" customHeight="1" x14ac:dyDescent="0.2"/>
  <cols>
    <col min="1" max="1" width="1.5" customWidth="1"/>
    <col min="2" max="2" width="31.6640625" customWidth="1"/>
    <col min="3" max="3" width="15.33203125" customWidth="1"/>
    <col min="6" max="6" width="14.1640625" customWidth="1"/>
    <col min="7" max="7" width="29.5" customWidth="1"/>
    <col min="8" max="8" width="16.1640625" customWidth="1"/>
    <col min="9" max="9" width="25" customWidth="1"/>
    <col min="10" max="10" width="12" customWidth="1"/>
    <col min="11" max="11" width="13" customWidth="1"/>
    <col min="12" max="12" width="29.5" customWidth="1"/>
    <col min="13" max="13" width="17.83203125" customWidth="1"/>
  </cols>
  <sheetData>
    <row r="2" spans="2:10" ht="15" customHeight="1" x14ac:dyDescent="0.2">
      <c r="C2" s="171"/>
      <c r="D2" s="171"/>
      <c r="E2" s="171"/>
      <c r="F2" s="63"/>
      <c r="G2" s="63"/>
      <c r="H2" s="63"/>
      <c r="I2" s="63"/>
      <c r="J2" s="63"/>
    </row>
    <row r="3" spans="2:10" ht="15" customHeight="1" x14ac:dyDescent="0.2">
      <c r="B3" s="172" t="s">
        <v>220</v>
      </c>
      <c r="C3" s="173"/>
      <c r="D3" s="173"/>
      <c r="E3" s="173"/>
      <c r="F3" s="174"/>
      <c r="G3" s="174"/>
      <c r="H3" s="174"/>
      <c r="I3" s="174"/>
      <c r="J3" s="63"/>
    </row>
    <row r="4" spans="2:10" ht="15" customHeight="1" x14ac:dyDescent="0.2">
      <c r="B4" s="175"/>
      <c r="C4" s="174"/>
      <c r="D4" s="174"/>
      <c r="E4" s="174"/>
      <c r="F4" s="171"/>
      <c r="G4" s="171"/>
      <c r="H4" s="171"/>
    </row>
    <row r="5" spans="2:10" ht="15" customHeight="1" x14ac:dyDescent="0.2">
      <c r="B5" s="176" t="s">
        <v>262</v>
      </c>
      <c r="C5" s="177" t="s">
        <v>207</v>
      </c>
      <c r="D5" s="177" t="s">
        <v>183</v>
      </c>
      <c r="E5" s="177" t="s">
        <v>153</v>
      </c>
      <c r="F5" s="171"/>
      <c r="G5" s="63" t="s">
        <v>263</v>
      </c>
    </row>
    <row r="6" spans="2:10" ht="15" customHeight="1" x14ac:dyDescent="0.2">
      <c r="B6" s="63" t="s">
        <v>264</v>
      </c>
      <c r="C6" s="178">
        <f>SUM($C$17:$C$18)</f>
        <v>429.44000000000005</v>
      </c>
      <c r="D6" s="179">
        <f>$D$14</f>
        <v>485.91923842532287</v>
      </c>
      <c r="E6" s="179">
        <f>C6*D6</f>
        <v>208673.15774937067</v>
      </c>
    </row>
    <row r="7" spans="2:10" ht="15" customHeight="1" x14ac:dyDescent="0.2">
      <c r="B7" s="63" t="s">
        <v>265</v>
      </c>
      <c r="C7" s="178">
        <f>SUM($C$17:$C$18)</f>
        <v>429.44000000000005</v>
      </c>
      <c r="D7" s="179">
        <f>$D$14</f>
        <v>485.91923842532287</v>
      </c>
      <c r="E7" s="179">
        <f>C7*D7</f>
        <v>208673.15774937067</v>
      </c>
    </row>
    <row r="8" spans="2:10" ht="15" customHeight="1" x14ac:dyDescent="0.2">
      <c r="B8" s="63" t="s">
        <v>266</v>
      </c>
      <c r="C8" s="178">
        <f>SUM($D$17:$D$18)</f>
        <v>563.09</v>
      </c>
      <c r="D8" s="179">
        <f>$D$14</f>
        <v>485.91923842532287</v>
      </c>
      <c r="E8" s="179">
        <f>C8*D8</f>
        <v>273616.26396491507</v>
      </c>
    </row>
    <row r="9" spans="2:10" ht="15" customHeight="1" x14ac:dyDescent="0.2">
      <c r="B9" s="63" t="s">
        <v>267</v>
      </c>
      <c r="C9" s="178">
        <f>SUM($D$17:$D$18)</f>
        <v>563.09</v>
      </c>
      <c r="D9" s="179">
        <f>$D$14</f>
        <v>485.91923842532287</v>
      </c>
      <c r="E9" s="179">
        <f>C9*D9</f>
        <v>273616.26396491507</v>
      </c>
    </row>
    <row r="10" spans="2:10" ht="15" customHeight="1" x14ac:dyDescent="0.2">
      <c r="B10" s="180" t="s">
        <v>176</v>
      </c>
      <c r="C10" s="181">
        <f>SUM(C6:C9)</f>
        <v>1985.0600000000004</v>
      </c>
      <c r="D10" s="182">
        <f>AVERAGE(D6:D9)</f>
        <v>485.91923842532287</v>
      </c>
      <c r="E10" s="182">
        <f>SUM(E6:E9)</f>
        <v>964578.84342857148</v>
      </c>
    </row>
    <row r="11" spans="2:10" ht="15" customHeight="1" x14ac:dyDescent="0.2">
      <c r="C11" s="183"/>
      <c r="D11" s="184"/>
      <c r="E11" s="184"/>
    </row>
    <row r="12" spans="2:10" ht="15" customHeight="1" x14ac:dyDescent="0.2">
      <c r="B12" s="176" t="s">
        <v>268</v>
      </c>
      <c r="C12" s="177" t="s">
        <v>269</v>
      </c>
      <c r="D12" s="177" t="s">
        <v>153</v>
      </c>
      <c r="E12" s="183"/>
    </row>
    <row r="13" spans="2:10" ht="15" customHeight="1" x14ac:dyDescent="0.2">
      <c r="B13" s="63" t="s">
        <v>270</v>
      </c>
      <c r="C13" s="179">
        <f>'PPTO vs PAR'!D12</f>
        <v>16880129.760000005</v>
      </c>
      <c r="D13" s="179">
        <f>C13/'Glosario Partidas'!$M$9</f>
        <v>964578.84342857171</v>
      </c>
      <c r="E13" s="183"/>
    </row>
    <row r="14" spans="2:10" ht="15" customHeight="1" x14ac:dyDescent="0.2">
      <c r="B14" s="63" t="s">
        <v>271</v>
      </c>
      <c r="C14" s="179">
        <f>C13/C10</f>
        <v>8503.5866724431507</v>
      </c>
      <c r="D14" s="179">
        <f>C14/'Glosario Partidas'!$M$9</f>
        <v>485.91923842532287</v>
      </c>
      <c r="E14" s="183"/>
    </row>
    <row r="15" spans="2:10" ht="15" customHeight="1" x14ac:dyDescent="0.2">
      <c r="C15" s="183"/>
      <c r="D15" s="183"/>
      <c r="E15" s="183"/>
      <c r="G15" s="185"/>
    </row>
    <row r="16" spans="2:10" ht="15" customHeight="1" x14ac:dyDescent="0.2">
      <c r="B16" s="176" t="s">
        <v>272</v>
      </c>
      <c r="C16" s="186" t="s">
        <v>221</v>
      </c>
      <c r="D16" s="186" t="s">
        <v>273</v>
      </c>
      <c r="E16" s="187"/>
    </row>
    <row r="17" spans="2:10" ht="15" customHeight="1" x14ac:dyDescent="0.2">
      <c r="B17" s="63" t="s">
        <v>274</v>
      </c>
      <c r="C17" s="178">
        <v>322.72000000000003</v>
      </c>
      <c r="D17" s="178">
        <v>409.18</v>
      </c>
      <c r="J17" s="188"/>
    </row>
    <row r="18" spans="2:10" ht="15" customHeight="1" x14ac:dyDescent="0.2">
      <c r="B18" s="63" t="s">
        <v>275</v>
      </c>
      <c r="C18" s="178">
        <v>106.72</v>
      </c>
      <c r="D18" s="178">
        <v>153.91</v>
      </c>
      <c r="J18" s="188"/>
    </row>
    <row r="19" spans="2:10" ht="15" customHeight="1" x14ac:dyDescent="0.2">
      <c r="B19" s="63" t="s">
        <v>276</v>
      </c>
      <c r="C19" s="178">
        <v>204.37</v>
      </c>
      <c r="D19" s="178">
        <v>258.64999999999998</v>
      </c>
    </row>
    <row r="20" spans="2:10" ht="15" customHeight="1" x14ac:dyDescent="0.2">
      <c r="B20" s="189" t="s">
        <v>185</v>
      </c>
      <c r="C20" s="190">
        <f>SUM(C17:C19)</f>
        <v>633.81000000000006</v>
      </c>
      <c r="D20" s="190">
        <f>SUM(D17:D19)</f>
        <v>821.74</v>
      </c>
    </row>
    <row r="22" spans="2:10" ht="15" customHeight="1" x14ac:dyDescent="0.2">
      <c r="B22" s="176" t="s">
        <v>277</v>
      </c>
      <c r="C22" s="186" t="s">
        <v>221</v>
      </c>
      <c r="D22" s="186" t="s">
        <v>273</v>
      </c>
    </row>
    <row r="23" spans="2:10" ht="15" customHeight="1" x14ac:dyDescent="0.2">
      <c r="B23" s="63" t="s">
        <v>274</v>
      </c>
      <c r="C23" s="191">
        <f t="shared" ref="C23:D25" si="0">C17*$D$14</f>
        <v>156815.85662462021</v>
      </c>
      <c r="D23" s="191">
        <f t="shared" si="0"/>
        <v>198828.43397887363</v>
      </c>
    </row>
    <row r="24" spans="2:10" ht="15" customHeight="1" x14ac:dyDescent="0.2">
      <c r="B24" s="63" t="s">
        <v>275</v>
      </c>
      <c r="C24" s="191">
        <f t="shared" si="0"/>
        <v>51857.301124750455</v>
      </c>
      <c r="D24" s="191">
        <f t="shared" si="0"/>
        <v>74787.829986041441</v>
      </c>
    </row>
    <row r="25" spans="2:10" ht="15" customHeight="1" x14ac:dyDescent="0.2">
      <c r="B25" s="63" t="s">
        <v>276</v>
      </c>
      <c r="C25" s="191">
        <f t="shared" si="0"/>
        <v>99307.314756983236</v>
      </c>
      <c r="D25" s="191">
        <f t="shared" si="0"/>
        <v>125683.01101870975</v>
      </c>
    </row>
    <row r="26" spans="2:10" ht="15" customHeight="1" x14ac:dyDescent="0.2">
      <c r="B26" s="189" t="s">
        <v>185</v>
      </c>
      <c r="C26" s="192">
        <f>SUM(C23:C25)</f>
        <v>307980.47250635392</v>
      </c>
      <c r="D26" s="192">
        <f>SUM(D23:D25)</f>
        <v>399299.27498362481</v>
      </c>
    </row>
    <row r="30" spans="2:10" ht="15" customHeight="1" x14ac:dyDescent="0.2">
      <c r="B30" s="193" t="s">
        <v>168</v>
      </c>
      <c r="C30" s="194" t="s">
        <v>169</v>
      </c>
      <c r="D30" s="194" t="s">
        <v>170</v>
      </c>
      <c r="E30" s="194" t="s">
        <v>278</v>
      </c>
      <c r="F30" s="194" t="s">
        <v>279</v>
      </c>
    </row>
    <row r="31" spans="2:10" ht="15" customHeight="1" x14ac:dyDescent="0.2">
      <c r="B31" s="195" t="s">
        <v>172</v>
      </c>
      <c r="C31" s="196">
        <v>322.72000000000003</v>
      </c>
      <c r="D31" s="196">
        <v>106.72</v>
      </c>
      <c r="E31" s="196">
        <v>204.37</v>
      </c>
      <c r="F31" s="197">
        <v>633.80999999999995</v>
      </c>
    </row>
    <row r="32" spans="2:10" ht="15" customHeight="1" x14ac:dyDescent="0.2">
      <c r="B32" s="195" t="s">
        <v>173</v>
      </c>
      <c r="C32" s="196">
        <v>322.72000000000003</v>
      </c>
      <c r="D32" s="196">
        <v>106.72</v>
      </c>
      <c r="E32" s="196">
        <v>204.37</v>
      </c>
      <c r="F32" s="197">
        <v>633.80999999999995</v>
      </c>
    </row>
    <row r="33" spans="1:8" ht="15" customHeight="1" x14ac:dyDescent="0.2">
      <c r="B33" s="195" t="s">
        <v>174</v>
      </c>
      <c r="C33" s="196">
        <v>409.18</v>
      </c>
      <c r="D33" s="196">
        <v>153.91</v>
      </c>
      <c r="E33" s="196">
        <v>258.64999999999998</v>
      </c>
      <c r="F33" s="197">
        <v>821.74</v>
      </c>
    </row>
    <row r="34" spans="1:8" ht="15" customHeight="1" x14ac:dyDescent="0.2">
      <c r="B34" s="195" t="s">
        <v>175</v>
      </c>
      <c r="C34" s="196">
        <v>409.18</v>
      </c>
      <c r="D34" s="196">
        <v>153.91</v>
      </c>
      <c r="E34" s="196">
        <v>258.64999999999998</v>
      </c>
      <c r="F34" s="197">
        <v>821.74</v>
      </c>
    </row>
    <row r="35" spans="1:8" ht="15" customHeight="1" x14ac:dyDescent="0.2">
      <c r="B35" s="198" t="s">
        <v>176</v>
      </c>
      <c r="C35" s="199">
        <v>1463.8</v>
      </c>
      <c r="D35" s="200">
        <v>521.26</v>
      </c>
      <c r="E35" s="200">
        <v>926.04</v>
      </c>
      <c r="F35" s="199">
        <v>2911.1</v>
      </c>
    </row>
    <row r="38" spans="1:8" ht="15" customHeight="1" x14ac:dyDescent="0.2">
      <c r="B38" s="194" t="s">
        <v>280</v>
      </c>
      <c r="C38" s="194" t="s">
        <v>281</v>
      </c>
      <c r="D38" s="194" t="s">
        <v>282</v>
      </c>
      <c r="E38" s="194" t="s">
        <v>183</v>
      </c>
    </row>
    <row r="39" spans="1:8" ht="15" customHeight="1" x14ac:dyDescent="0.2">
      <c r="B39" s="196" t="s">
        <v>169</v>
      </c>
      <c r="C39" s="201">
        <f>C35</f>
        <v>1463.8</v>
      </c>
      <c r="D39" s="202">
        <f>$D$13</f>
        <v>964578.84342857171</v>
      </c>
      <c r="E39" s="203">
        <f>D39/C39</f>
        <v>658.95535143364646</v>
      </c>
    </row>
    <row r="40" spans="1:8" ht="15" customHeight="1" x14ac:dyDescent="0.2">
      <c r="B40" s="196" t="s">
        <v>283</v>
      </c>
      <c r="C40" s="201">
        <f>C35+D35</f>
        <v>1985.06</v>
      </c>
      <c r="D40" s="202">
        <f>$D$13</f>
        <v>964578.84342857171</v>
      </c>
      <c r="E40" s="203">
        <f>D40/C40</f>
        <v>485.91923842532304</v>
      </c>
    </row>
    <row r="41" spans="1:8" ht="15" customHeight="1" x14ac:dyDescent="0.2">
      <c r="B41" s="196" t="s">
        <v>284</v>
      </c>
      <c r="C41" s="201">
        <f>C40+E35</f>
        <v>2911.1</v>
      </c>
      <c r="D41" s="202">
        <f>$D$13</f>
        <v>964578.84342857171</v>
      </c>
      <c r="E41" s="203">
        <f>D41/C41</f>
        <v>331.34514218974675</v>
      </c>
    </row>
    <row r="42" spans="1:8" ht="15" customHeight="1" x14ac:dyDescent="0.2">
      <c r="B42" s="196"/>
      <c r="C42" s="204"/>
      <c r="D42" s="205"/>
      <c r="E42" s="206"/>
      <c r="F42" s="207"/>
    </row>
    <row r="45" spans="1:8" ht="15" customHeight="1" x14ac:dyDescent="0.2">
      <c r="A45" s="63"/>
      <c r="B45" s="208" t="s">
        <v>285</v>
      </c>
      <c r="C45" s="209"/>
      <c r="D45" s="209"/>
      <c r="E45" s="209"/>
      <c r="F45" s="209"/>
      <c r="G45" s="209"/>
      <c r="H45" s="209"/>
    </row>
    <row r="47" spans="1:8" ht="15" customHeight="1" x14ac:dyDescent="0.2">
      <c r="B47" s="194" t="s">
        <v>280</v>
      </c>
      <c r="C47" s="194" t="s">
        <v>286</v>
      </c>
      <c r="D47" s="194" t="s">
        <v>287</v>
      </c>
      <c r="E47" s="194" t="s">
        <v>288</v>
      </c>
    </row>
    <row r="48" spans="1:8" ht="15" customHeight="1" x14ac:dyDescent="0.2">
      <c r="B48" s="196" t="s">
        <v>169</v>
      </c>
      <c r="C48" s="210">
        <f>C39</f>
        <v>1463.8</v>
      </c>
      <c r="D48" s="210">
        <v>1225</v>
      </c>
      <c r="E48" s="210">
        <v>328.06</v>
      </c>
    </row>
    <row r="49" spans="2:15" ht="15" customHeight="1" x14ac:dyDescent="0.2">
      <c r="B49" s="196" t="s">
        <v>283</v>
      </c>
      <c r="C49" s="210">
        <f>C40</f>
        <v>1985.06</v>
      </c>
      <c r="D49" s="210">
        <v>1457</v>
      </c>
      <c r="E49" s="210">
        <v>509.27</v>
      </c>
    </row>
    <row r="50" spans="2:15" ht="15" customHeight="1" x14ac:dyDescent="0.2">
      <c r="B50" s="211" t="s">
        <v>282</v>
      </c>
      <c r="C50" s="212">
        <f>D13</f>
        <v>964578.84342857171</v>
      </c>
      <c r="D50" s="212">
        <f>122259740.143488/19</f>
        <v>6434723.1654467368</v>
      </c>
      <c r="E50" s="212">
        <f>38000000/19</f>
        <v>2000000</v>
      </c>
    </row>
    <row r="52" spans="2:15" ht="15" customHeight="1" x14ac:dyDescent="0.2">
      <c r="B52" s="194" t="s">
        <v>183</v>
      </c>
      <c r="C52" s="194" t="s">
        <v>286</v>
      </c>
      <c r="D52" s="194" t="s">
        <v>287</v>
      </c>
      <c r="E52" s="194" t="s">
        <v>288</v>
      </c>
    </row>
    <row r="53" spans="2:15" ht="15" customHeight="1" x14ac:dyDescent="0.2">
      <c r="B53" s="196" t="s">
        <v>169</v>
      </c>
      <c r="C53" s="210">
        <f t="shared" ref="C53:E54" si="1">C$50/C48</f>
        <v>658.95535143364646</v>
      </c>
      <c r="D53" s="210">
        <f t="shared" si="1"/>
        <v>5252.8352370993771</v>
      </c>
      <c r="E53" s="210">
        <f t="shared" si="1"/>
        <v>6096.4457721148574</v>
      </c>
    </row>
    <row r="54" spans="2:15" ht="15" customHeight="1" x14ac:dyDescent="0.2">
      <c r="B54" s="196" t="s">
        <v>283</v>
      </c>
      <c r="C54" s="210">
        <f t="shared" si="1"/>
        <v>485.91923842532304</v>
      </c>
      <c r="D54" s="210">
        <f t="shared" si="1"/>
        <v>4416.4194683917203</v>
      </c>
      <c r="E54" s="210">
        <f t="shared" si="1"/>
        <v>3927.1898992675792</v>
      </c>
    </row>
    <row r="55" spans="2:15" ht="15" hidden="1" customHeight="1" x14ac:dyDescent="0.2">
      <c r="H55" s="213">
        <v>17.5</v>
      </c>
    </row>
    <row r="56" spans="2:15" ht="15" hidden="1" customHeight="1" x14ac:dyDescent="0.2">
      <c r="B56" s="193" t="s">
        <v>184</v>
      </c>
      <c r="C56" s="194" t="s">
        <v>286</v>
      </c>
      <c r="D56" s="194" t="s">
        <v>287</v>
      </c>
      <c r="E56" s="194" t="s">
        <v>288</v>
      </c>
      <c r="G56" s="193" t="s">
        <v>184</v>
      </c>
      <c r="H56" s="194" t="s">
        <v>286</v>
      </c>
      <c r="I56" s="194" t="s">
        <v>287</v>
      </c>
      <c r="J56" s="194" t="s">
        <v>288</v>
      </c>
      <c r="L56" s="193" t="s">
        <v>184</v>
      </c>
      <c r="M56" s="194" t="s">
        <v>286</v>
      </c>
      <c r="N56" s="194" t="s">
        <v>287</v>
      </c>
      <c r="O56" s="194" t="s">
        <v>288</v>
      </c>
    </row>
    <row r="57" spans="2:15" ht="15" hidden="1" customHeight="1" x14ac:dyDescent="0.2">
      <c r="B57" s="78" t="s">
        <v>52</v>
      </c>
      <c r="C57" s="212">
        <f>SUMIFS(BD!$T:$T,BD!$B:$B,PPT!B57)</f>
        <v>32427043</v>
      </c>
      <c r="D57" s="212">
        <v>38299999.969999999</v>
      </c>
      <c r="E57" s="212">
        <v>8097846.3200000003</v>
      </c>
      <c r="G57" s="78" t="s">
        <v>52</v>
      </c>
      <c r="H57" s="212">
        <f t="shared" ref="H57:H82" si="2">C57/$H$55</f>
        <v>1852973.8857142858</v>
      </c>
      <c r="I57" s="212">
        <f t="shared" ref="I57:I82" si="3">D57/$H$55</f>
        <v>2188571.4268571427</v>
      </c>
      <c r="J57" s="212">
        <f t="shared" ref="J57:J82" si="4">E57/$H$55</f>
        <v>462734.07542857144</v>
      </c>
      <c r="L57" s="78" t="s">
        <v>52</v>
      </c>
      <c r="M57" s="212">
        <f t="shared" ref="M57:M66" si="5">C57/C$49</f>
        <v>16335.548043887842</v>
      </c>
      <c r="N57" s="212">
        <f t="shared" ref="N57:N66" si="6">D57/D$49</f>
        <v>26286.890851063828</v>
      </c>
      <c r="O57" s="212">
        <f t="shared" ref="O57:O66" si="7">E57/E$49</f>
        <v>15900.890136862568</v>
      </c>
    </row>
    <row r="58" spans="2:15" ht="15" hidden="1" customHeight="1" x14ac:dyDescent="0.2">
      <c r="B58" s="78" t="s">
        <v>188</v>
      </c>
      <c r="C58" s="212">
        <f>SUMIFS(BD!$T:$T,BD!$B:$B,PPT!B58)</f>
        <v>26840469.759999994</v>
      </c>
      <c r="D58" s="212">
        <v>12893254.252</v>
      </c>
      <c r="E58" s="212">
        <v>5272477.4800000004</v>
      </c>
      <c r="G58" s="78" t="s">
        <v>188</v>
      </c>
      <c r="H58" s="212">
        <f t="shared" si="2"/>
        <v>1533741.1291428569</v>
      </c>
      <c r="I58" s="212">
        <f t="shared" si="3"/>
        <v>736757.38582857139</v>
      </c>
      <c r="J58" s="212">
        <f t="shared" si="4"/>
        <v>301284.42742857145</v>
      </c>
      <c r="L58" s="78" t="s">
        <v>188</v>
      </c>
      <c r="M58" s="212">
        <f t="shared" si="5"/>
        <v>13521.238531832789</v>
      </c>
      <c r="N58" s="212">
        <f t="shared" si="6"/>
        <v>8849.1793081674678</v>
      </c>
      <c r="O58" s="212">
        <f t="shared" si="7"/>
        <v>10353.010151785891</v>
      </c>
    </row>
    <row r="59" spans="2:15" ht="15" hidden="1" customHeight="1" x14ac:dyDescent="0.2">
      <c r="B59" s="78" t="s">
        <v>191</v>
      </c>
      <c r="C59" s="212">
        <f>SUMIFS(BD!$T:$T,BD!$B:$B,PPT!B59)</f>
        <v>15620096</v>
      </c>
      <c r="D59" s="212">
        <v>5125627.04</v>
      </c>
      <c r="E59" s="212">
        <v>2845876.28</v>
      </c>
      <c r="G59" s="78" t="s">
        <v>191</v>
      </c>
      <c r="H59" s="212">
        <f t="shared" si="2"/>
        <v>892576.91428571427</v>
      </c>
      <c r="I59" s="212">
        <f t="shared" si="3"/>
        <v>292892.9737142857</v>
      </c>
      <c r="J59" s="212">
        <f t="shared" si="4"/>
        <v>162621.5017142857</v>
      </c>
      <c r="L59" s="78" t="s">
        <v>191</v>
      </c>
      <c r="M59" s="212">
        <f t="shared" si="5"/>
        <v>7868.8281462525065</v>
      </c>
      <c r="N59" s="212">
        <f t="shared" si="6"/>
        <v>3517.9320796156485</v>
      </c>
      <c r="O59" s="212">
        <f t="shared" si="7"/>
        <v>5588.1482906905958</v>
      </c>
    </row>
    <row r="60" spans="2:15" ht="15" hidden="1" customHeight="1" x14ac:dyDescent="0.2">
      <c r="B60" s="78" t="s">
        <v>193</v>
      </c>
      <c r="C60" s="212">
        <f>SUMIFS(BD!$T:$T,BD!$B:$B,PPT!B60)</f>
        <v>14734673.799999999</v>
      </c>
      <c r="D60" s="212">
        <v>6390795.0199999996</v>
      </c>
      <c r="E60" s="212">
        <v>3585802.15</v>
      </c>
      <c r="G60" s="78" t="s">
        <v>193</v>
      </c>
      <c r="H60" s="212">
        <f t="shared" si="2"/>
        <v>841981.36</v>
      </c>
      <c r="I60" s="212">
        <f t="shared" si="3"/>
        <v>365188.28685714281</v>
      </c>
      <c r="J60" s="212">
        <f t="shared" si="4"/>
        <v>204902.97999999998</v>
      </c>
      <c r="L60" s="78" t="s">
        <v>193</v>
      </c>
      <c r="M60" s="212">
        <f t="shared" si="5"/>
        <v>7422.7851047323502</v>
      </c>
      <c r="N60" s="212">
        <f t="shared" si="6"/>
        <v>4386.2697460535346</v>
      </c>
      <c r="O60" s="212">
        <f t="shared" si="7"/>
        <v>7041.0629921259842</v>
      </c>
    </row>
    <row r="61" spans="2:15" ht="15" hidden="1" customHeight="1" x14ac:dyDescent="0.2">
      <c r="B61" s="78" t="s">
        <v>289</v>
      </c>
      <c r="C61" s="212">
        <f>SUMIFS(BD!$T:$T,BD!$B:$B,PPT!B61)</f>
        <v>11832617.120000001</v>
      </c>
      <c r="D61" s="212">
        <v>3710217.7747350498</v>
      </c>
      <c r="E61" s="212">
        <v>1876043.64</v>
      </c>
      <c r="G61" s="78" t="s">
        <v>289</v>
      </c>
      <c r="H61" s="212">
        <f t="shared" si="2"/>
        <v>676149.54971428576</v>
      </c>
      <c r="I61" s="212">
        <f t="shared" si="3"/>
        <v>212012.44427057428</v>
      </c>
      <c r="J61" s="212">
        <f t="shared" si="4"/>
        <v>107202.49371428571</v>
      </c>
      <c r="L61" s="78" t="s">
        <v>289</v>
      </c>
      <c r="M61" s="212">
        <f t="shared" si="5"/>
        <v>5960.8360049570301</v>
      </c>
      <c r="N61" s="212">
        <f t="shared" si="6"/>
        <v>2546.4775392828069</v>
      </c>
      <c r="O61" s="212">
        <f t="shared" si="7"/>
        <v>3683.7898167965909</v>
      </c>
    </row>
    <row r="62" spans="2:15" ht="15" hidden="1" customHeight="1" x14ac:dyDescent="0.2">
      <c r="B62" s="78" t="s">
        <v>290</v>
      </c>
      <c r="C62" s="212">
        <f>SUMIFS(BD!$T:$T,BD!$B:$B,PPT!B62)</f>
        <v>11555950.798</v>
      </c>
      <c r="D62" s="212">
        <v>3608000</v>
      </c>
      <c r="E62" s="212">
        <v>2082200</v>
      </c>
      <c r="G62" s="78" t="s">
        <v>290</v>
      </c>
      <c r="H62" s="212">
        <f t="shared" si="2"/>
        <v>660340.04560000007</v>
      </c>
      <c r="I62" s="212">
        <f t="shared" si="3"/>
        <v>206171.42857142858</v>
      </c>
      <c r="J62" s="212">
        <f t="shared" si="4"/>
        <v>118982.85714285714</v>
      </c>
      <c r="L62" s="78" t="s">
        <v>290</v>
      </c>
      <c r="M62" s="212">
        <f t="shared" si="5"/>
        <v>5821.4617180337118</v>
      </c>
      <c r="N62" s="212">
        <f t="shared" si="6"/>
        <v>2476.3212079615651</v>
      </c>
      <c r="O62" s="212">
        <f t="shared" si="7"/>
        <v>4088.5974041274767</v>
      </c>
    </row>
    <row r="63" spans="2:15" ht="15" hidden="1" customHeight="1" x14ac:dyDescent="0.2">
      <c r="B63" s="78" t="s">
        <v>190</v>
      </c>
      <c r="C63" s="212">
        <f>SUMIFS(BD!$T:$T,BD!$B:$B,PPT!B63)</f>
        <v>11735091.27999999</v>
      </c>
      <c r="D63" s="212">
        <v>9688739.9199999999</v>
      </c>
      <c r="E63" s="212">
        <v>2605041</v>
      </c>
      <c r="G63" s="78" t="s">
        <v>190</v>
      </c>
      <c r="H63" s="212">
        <f t="shared" si="2"/>
        <v>670576.64457142795</v>
      </c>
      <c r="I63" s="212">
        <f t="shared" si="3"/>
        <v>553642.28114285716</v>
      </c>
      <c r="J63" s="212">
        <f t="shared" si="4"/>
        <v>148859.48571428572</v>
      </c>
      <c r="L63" s="78" t="s">
        <v>190</v>
      </c>
      <c r="M63" s="212">
        <f t="shared" si="5"/>
        <v>5911.7060844508433</v>
      </c>
      <c r="N63" s="212">
        <f t="shared" si="6"/>
        <v>6649.787179135209</v>
      </c>
      <c r="O63" s="212">
        <f t="shared" si="7"/>
        <v>5115.2453511889571</v>
      </c>
    </row>
    <row r="64" spans="2:15" ht="15" hidden="1" customHeight="1" x14ac:dyDescent="0.2">
      <c r="B64" s="78" t="s">
        <v>70</v>
      </c>
      <c r="C64" s="212">
        <f>SUMIFS(BD!$T:$T,BD!$B:$B,PPT!B64)</f>
        <v>10438960.315400757</v>
      </c>
      <c r="D64" s="212">
        <v>5359006.7699999996</v>
      </c>
      <c r="E64" s="212">
        <v>2427819.484772</v>
      </c>
      <c r="G64" s="78" t="s">
        <v>70</v>
      </c>
      <c r="H64" s="212">
        <f t="shared" si="2"/>
        <v>596512.01802290045</v>
      </c>
      <c r="I64" s="212">
        <f t="shared" si="3"/>
        <v>306228.95828571427</v>
      </c>
      <c r="J64" s="212">
        <f t="shared" si="4"/>
        <v>138732.54198697142</v>
      </c>
      <c r="L64" s="78" t="s">
        <v>70</v>
      </c>
      <c r="M64" s="212">
        <f t="shared" si="5"/>
        <v>5258.763118193282</v>
      </c>
      <c r="N64" s="212">
        <f t="shared" si="6"/>
        <v>3678.1103431708989</v>
      </c>
      <c r="O64" s="212">
        <f t="shared" si="7"/>
        <v>4767.2540789208088</v>
      </c>
    </row>
    <row r="65" spans="2:15" ht="15" hidden="1" customHeight="1" x14ac:dyDescent="0.2">
      <c r="B65" s="78" t="s">
        <v>73</v>
      </c>
      <c r="C65" s="212">
        <f>SUMIFS(BD!$T:$T,BD!$B:$B,PPT!B65)</f>
        <v>8734322.0800000001</v>
      </c>
      <c r="D65" s="212">
        <v>5497575.1471999995</v>
      </c>
      <c r="E65" s="212">
        <v>2050247.468936</v>
      </c>
      <c r="G65" s="78" t="s">
        <v>73</v>
      </c>
      <c r="H65" s="212">
        <f t="shared" si="2"/>
        <v>499104.11885714286</v>
      </c>
      <c r="I65" s="212">
        <f t="shared" si="3"/>
        <v>314147.15126857138</v>
      </c>
      <c r="J65" s="212">
        <f t="shared" si="4"/>
        <v>117156.99822491429</v>
      </c>
      <c r="L65" s="78" t="s">
        <v>73</v>
      </c>
      <c r="M65" s="212">
        <f t="shared" si="5"/>
        <v>4400.0292585614543</v>
      </c>
      <c r="N65" s="212">
        <f t="shared" si="6"/>
        <v>3773.2156123541522</v>
      </c>
      <c r="O65" s="212">
        <f t="shared" si="7"/>
        <v>4025.8555755021894</v>
      </c>
    </row>
    <row r="66" spans="2:15" ht="15" hidden="1" customHeight="1" x14ac:dyDescent="0.2">
      <c r="B66" s="78" t="s">
        <v>194</v>
      </c>
      <c r="C66" s="212">
        <f>SUMIFS(BD!$T:$T,BD!$B:$B,PPT!B66)</f>
        <v>8362648.8000000007</v>
      </c>
      <c r="D66" s="212">
        <v>6874023.7812000001</v>
      </c>
      <c r="E66" s="212">
        <v>1168443.0547799999</v>
      </c>
      <c r="G66" s="78" t="s">
        <v>194</v>
      </c>
      <c r="H66" s="212">
        <f t="shared" si="2"/>
        <v>477865.64571428578</v>
      </c>
      <c r="I66" s="212">
        <f t="shared" si="3"/>
        <v>392801.35892571427</v>
      </c>
      <c r="J66" s="212">
        <f t="shared" si="4"/>
        <v>66768.174558857136</v>
      </c>
      <c r="L66" s="78" t="s">
        <v>194</v>
      </c>
      <c r="M66" s="212">
        <f t="shared" si="5"/>
        <v>4212.7939709630946</v>
      </c>
      <c r="N66" s="212">
        <f t="shared" si="6"/>
        <v>4717.9298429649971</v>
      </c>
      <c r="O66" s="212">
        <f t="shared" si="7"/>
        <v>2294.3488813006852</v>
      </c>
    </row>
    <row r="67" spans="2:15" ht="15" hidden="1" customHeight="1" x14ac:dyDescent="0.2">
      <c r="B67" s="78" t="s">
        <v>189</v>
      </c>
      <c r="C67" s="212">
        <f>SUMIFS(BD!$T:$T,BD!$B:$B,PPT!B67)</f>
        <v>8362648.8000000007</v>
      </c>
      <c r="D67" s="212">
        <v>6399092.9677999998</v>
      </c>
      <c r="E67" s="212">
        <v>0</v>
      </c>
      <c r="G67" s="78" t="s">
        <v>189</v>
      </c>
      <c r="H67" s="212">
        <f t="shared" si="2"/>
        <v>477865.64571428578</v>
      </c>
      <c r="I67" s="212">
        <f t="shared" si="3"/>
        <v>365662.45530285715</v>
      </c>
      <c r="J67" s="212">
        <f t="shared" si="4"/>
        <v>0</v>
      </c>
      <c r="L67" s="78" t="s">
        <v>189</v>
      </c>
      <c r="M67" s="212">
        <f t="shared" ref="M67:N71" si="8">C67/C$49</f>
        <v>4212.7939709630946</v>
      </c>
      <c r="N67" s="212">
        <f t="shared" si="8"/>
        <v>4391.9649744680846</v>
      </c>
      <c r="O67" s="212"/>
    </row>
    <row r="68" spans="2:15" ht="15" hidden="1" customHeight="1" x14ac:dyDescent="0.2">
      <c r="B68" s="78" t="s">
        <v>108</v>
      </c>
      <c r="C68" s="212">
        <f>SUMIFS(BD!$T:$T,BD!$B:$B,PPT!B68)</f>
        <v>3636236.2820000006</v>
      </c>
      <c r="D68" s="212">
        <v>1719206.6040000001</v>
      </c>
      <c r="E68" s="212">
        <v>628695.40800000005</v>
      </c>
      <c r="G68" s="78" t="s">
        <v>108</v>
      </c>
      <c r="H68" s="212">
        <f t="shared" si="2"/>
        <v>207784.93040000004</v>
      </c>
      <c r="I68" s="212">
        <f t="shared" si="3"/>
        <v>98240.377371428578</v>
      </c>
      <c r="J68" s="212">
        <f t="shared" si="4"/>
        <v>35925.45188571429</v>
      </c>
      <c r="L68" s="78" t="s">
        <v>108</v>
      </c>
      <c r="M68" s="212">
        <f t="shared" si="8"/>
        <v>1831.8016996967349</v>
      </c>
      <c r="N68" s="212">
        <f t="shared" si="8"/>
        <v>1179.9633520933426</v>
      </c>
      <c r="O68" s="212">
        <f>E68/E$49</f>
        <v>1234.5031280067549</v>
      </c>
    </row>
    <row r="69" spans="2:15" ht="15" hidden="1" customHeight="1" x14ac:dyDescent="0.2">
      <c r="B69" s="78" t="s">
        <v>203</v>
      </c>
      <c r="C69" s="212">
        <f>SUMIFS(BD!$T:$T,BD!$B:$B,PPT!B69)</f>
        <v>2952821.7600000002</v>
      </c>
      <c r="D69" s="212">
        <v>3803911.1939443201</v>
      </c>
      <c r="E69" s="212">
        <v>2335705.2400000002</v>
      </c>
      <c r="G69" s="78" t="s">
        <v>203</v>
      </c>
      <c r="H69" s="212">
        <f t="shared" si="2"/>
        <v>168732.67200000002</v>
      </c>
      <c r="I69" s="212">
        <f t="shared" si="3"/>
        <v>217366.35393967543</v>
      </c>
      <c r="J69" s="212">
        <f t="shared" si="4"/>
        <v>133468.87085714287</v>
      </c>
      <c r="L69" s="78" t="s">
        <v>203</v>
      </c>
      <c r="M69" s="212">
        <f t="shared" si="8"/>
        <v>1487.5226743776009</v>
      </c>
      <c r="N69" s="212">
        <f t="shared" si="8"/>
        <v>2610.7832491038571</v>
      </c>
      <c r="O69" s="212">
        <f>E69/E$49</f>
        <v>4586.3790130971793</v>
      </c>
    </row>
    <row r="70" spans="2:15" ht="15" hidden="1" customHeight="1" x14ac:dyDescent="0.2">
      <c r="B70" s="78" t="s">
        <v>76</v>
      </c>
      <c r="C70" s="212">
        <f>SUMIFS(BD!$T:$T,BD!$B:$B,PPT!B70)</f>
        <v>2501479.6800000002</v>
      </c>
      <c r="D70" s="212">
        <v>2777040</v>
      </c>
      <c r="E70" s="212">
        <v>742400</v>
      </c>
      <c r="G70" s="78" t="s">
        <v>76</v>
      </c>
      <c r="H70" s="212">
        <f t="shared" si="2"/>
        <v>142941.696</v>
      </c>
      <c r="I70" s="212">
        <f t="shared" si="3"/>
        <v>158688</v>
      </c>
      <c r="J70" s="212">
        <f t="shared" si="4"/>
        <v>42422.857142857145</v>
      </c>
      <c r="L70" s="78" t="s">
        <v>76</v>
      </c>
      <c r="M70" s="212">
        <f t="shared" si="8"/>
        <v>1260.1531842866211</v>
      </c>
      <c r="N70" s="212">
        <f t="shared" si="8"/>
        <v>1905.9986273164036</v>
      </c>
      <c r="O70" s="212">
        <f>E70/E$49</f>
        <v>1457.7728906081254</v>
      </c>
    </row>
    <row r="71" spans="2:15" ht="15" hidden="1" customHeight="1" x14ac:dyDescent="0.2">
      <c r="B71" s="78" t="s">
        <v>211</v>
      </c>
      <c r="C71" s="212">
        <f>SUMIFS(BD!$T:$T,BD!$B:$B,PPT!B71)</f>
        <v>1848728.9258999997</v>
      </c>
      <c r="D71" s="212">
        <v>887818.18070000003</v>
      </c>
      <c r="E71" s="212">
        <v>864339.22969599999</v>
      </c>
      <c r="G71" s="78" t="s">
        <v>211</v>
      </c>
      <c r="H71" s="212">
        <f t="shared" si="2"/>
        <v>105641.65290857141</v>
      </c>
      <c r="I71" s="212">
        <f t="shared" si="3"/>
        <v>50732.467468571427</v>
      </c>
      <c r="J71" s="212">
        <f t="shared" si="4"/>
        <v>49390.813125485714</v>
      </c>
      <c r="L71" s="78" t="s">
        <v>211</v>
      </c>
      <c r="M71" s="212">
        <f t="shared" si="8"/>
        <v>931.32143406244631</v>
      </c>
      <c r="N71" s="212">
        <f t="shared" si="8"/>
        <v>609.34672663006177</v>
      </c>
      <c r="O71" s="212">
        <f>E71/E$49</f>
        <v>1697.2121462014256</v>
      </c>
    </row>
    <row r="72" spans="2:15" ht="15" hidden="1" customHeight="1" x14ac:dyDescent="0.2">
      <c r="B72" s="78" t="s">
        <v>127</v>
      </c>
      <c r="C72" s="212">
        <f>SUMIFS(BD!$T:$T,BD!$B:$B,PPT!B72)</f>
        <v>900000</v>
      </c>
      <c r="D72" s="212">
        <v>0</v>
      </c>
      <c r="E72" s="212">
        <v>0</v>
      </c>
      <c r="G72" s="78" t="s">
        <v>127</v>
      </c>
      <c r="H72" s="212">
        <f t="shared" si="2"/>
        <v>51428.571428571428</v>
      </c>
      <c r="I72" s="212">
        <f t="shared" si="3"/>
        <v>0</v>
      </c>
      <c r="J72" s="212">
        <f t="shared" si="4"/>
        <v>0</v>
      </c>
      <c r="L72" s="78" t="s">
        <v>127</v>
      </c>
      <c r="M72" s="212">
        <f t="shared" ref="M72:M82" si="9">C72/C$49</f>
        <v>453.38679939145419</v>
      </c>
      <c r="N72" s="212"/>
      <c r="O72" s="212"/>
    </row>
    <row r="73" spans="2:15" ht="15" hidden="1" customHeight="1" x14ac:dyDescent="0.2">
      <c r="B73" s="78" t="s">
        <v>200</v>
      </c>
      <c r="C73" s="212">
        <f>SUMIFS(BD!$T:$T,BD!$B:$B,PPT!B73)</f>
        <v>928000</v>
      </c>
      <c r="D73" s="212">
        <v>536878.16</v>
      </c>
      <c r="E73" s="212">
        <v>199523.78159999999</v>
      </c>
      <c r="G73" s="78" t="s">
        <v>200</v>
      </c>
      <c r="H73" s="212">
        <f t="shared" si="2"/>
        <v>53028.571428571428</v>
      </c>
      <c r="I73" s="212">
        <f t="shared" si="3"/>
        <v>30678.752</v>
      </c>
      <c r="J73" s="212">
        <f t="shared" si="4"/>
        <v>11401.358948571427</v>
      </c>
      <c r="L73" s="78" t="s">
        <v>200</v>
      </c>
      <c r="M73" s="212">
        <f t="shared" si="9"/>
        <v>467.49216648363273</v>
      </c>
      <c r="N73" s="212">
        <f t="shared" ref="N73:O79" si="10">D73/D$49</f>
        <v>368.48192175703502</v>
      </c>
      <c r="O73" s="212">
        <f t="shared" si="10"/>
        <v>391.7838898815952</v>
      </c>
    </row>
    <row r="74" spans="2:15" ht="15" hidden="1" customHeight="1" x14ac:dyDescent="0.2">
      <c r="B74" s="78" t="s">
        <v>199</v>
      </c>
      <c r="C74" s="212">
        <f>SUMIFS(BD!$T:$T,BD!$B:$B,PPT!B74)</f>
        <v>441385</v>
      </c>
      <c r="D74" s="212">
        <v>0</v>
      </c>
      <c r="E74" s="212">
        <v>0</v>
      </c>
      <c r="G74" s="78" t="s">
        <v>199</v>
      </c>
      <c r="H74" s="212">
        <f t="shared" si="2"/>
        <v>25222</v>
      </c>
      <c r="I74" s="212">
        <f t="shared" si="3"/>
        <v>0</v>
      </c>
      <c r="J74" s="212">
        <f t="shared" si="4"/>
        <v>0</v>
      </c>
      <c r="L74" s="78" t="s">
        <v>199</v>
      </c>
      <c r="M74" s="212">
        <f t="shared" si="9"/>
        <v>222.35348049933</v>
      </c>
      <c r="N74" s="212">
        <f t="shared" si="10"/>
        <v>0</v>
      </c>
      <c r="O74" s="212">
        <f t="shared" si="10"/>
        <v>0</v>
      </c>
    </row>
    <row r="75" spans="2:15" ht="15" hidden="1" customHeight="1" x14ac:dyDescent="0.2">
      <c r="B75" s="78" t="s">
        <v>50</v>
      </c>
      <c r="C75" s="212">
        <f>SUMIFS(BD!$T:$T,BD!$B:$B,PPT!B75)</f>
        <v>232000</v>
      </c>
      <c r="D75" s="212">
        <v>0</v>
      </c>
      <c r="E75" s="212">
        <v>0</v>
      </c>
      <c r="G75" s="78" t="s">
        <v>50</v>
      </c>
      <c r="H75" s="212">
        <f t="shared" si="2"/>
        <v>13257.142857142857</v>
      </c>
      <c r="I75" s="212">
        <f t="shared" si="3"/>
        <v>0</v>
      </c>
      <c r="J75" s="212">
        <f t="shared" si="4"/>
        <v>0</v>
      </c>
      <c r="L75" s="78" t="s">
        <v>50</v>
      </c>
      <c r="M75" s="212">
        <f t="shared" si="9"/>
        <v>116.87304162090818</v>
      </c>
      <c r="N75" s="212">
        <f t="shared" si="10"/>
        <v>0</v>
      </c>
      <c r="O75" s="212">
        <f t="shared" si="10"/>
        <v>0</v>
      </c>
    </row>
    <row r="76" spans="2:15" ht="15" hidden="1" customHeight="1" x14ac:dyDescent="0.2">
      <c r="B76" s="78" t="s">
        <v>192</v>
      </c>
      <c r="C76" s="212">
        <f>SUMIFS(BD!$T:$T,BD!$B:$B,PPT!B76)</f>
        <v>9373352.9140000008</v>
      </c>
      <c r="D76" s="212">
        <v>0</v>
      </c>
      <c r="E76" s="212">
        <v>0</v>
      </c>
      <c r="G76" s="78" t="s">
        <v>192</v>
      </c>
      <c r="H76" s="212">
        <f t="shared" si="2"/>
        <v>535620.16651428572</v>
      </c>
      <c r="I76" s="212">
        <f t="shared" si="3"/>
        <v>0</v>
      </c>
      <c r="J76" s="212">
        <f t="shared" si="4"/>
        <v>0</v>
      </c>
      <c r="L76" s="78" t="s">
        <v>192</v>
      </c>
      <c r="M76" s="212">
        <f t="shared" si="9"/>
        <v>4721.9494191611338</v>
      </c>
      <c r="N76" s="212">
        <f t="shared" si="10"/>
        <v>0</v>
      </c>
      <c r="O76" s="212">
        <f t="shared" si="10"/>
        <v>0</v>
      </c>
    </row>
    <row r="77" spans="2:15" ht="15" hidden="1" customHeight="1" x14ac:dyDescent="0.2">
      <c r="B77" s="78" t="s">
        <v>213</v>
      </c>
      <c r="C77" s="212">
        <f>SUMIFS(BD!$T:$T,BD!$B:$B,PPT!B77)</f>
        <v>0</v>
      </c>
      <c r="D77" s="212">
        <v>2865375.9482681402</v>
      </c>
      <c r="E77" s="212">
        <v>0</v>
      </c>
      <c r="G77" s="78" t="s">
        <v>213</v>
      </c>
      <c r="H77" s="212">
        <f t="shared" si="2"/>
        <v>0</v>
      </c>
      <c r="I77" s="212">
        <f t="shared" si="3"/>
        <v>163735.76847246516</v>
      </c>
      <c r="J77" s="212">
        <f t="shared" si="4"/>
        <v>0</v>
      </c>
      <c r="L77" s="78" t="s">
        <v>213</v>
      </c>
      <c r="M77" s="212">
        <f t="shared" si="9"/>
        <v>0</v>
      </c>
      <c r="N77" s="212">
        <f t="shared" si="10"/>
        <v>1966.6272808978313</v>
      </c>
      <c r="O77" s="212">
        <f t="shared" si="10"/>
        <v>0</v>
      </c>
    </row>
    <row r="78" spans="2:15" ht="15" hidden="1" customHeight="1" x14ac:dyDescent="0.2">
      <c r="B78" s="78" t="s">
        <v>201</v>
      </c>
      <c r="C78" s="212">
        <f>SUMIFS(BD!$T:$T,BD!$B:$B,PPT!B78)</f>
        <v>0</v>
      </c>
      <c r="D78" s="212">
        <v>343360</v>
      </c>
      <c r="E78" s="212">
        <v>0</v>
      </c>
      <c r="G78" s="78" t="s">
        <v>201</v>
      </c>
      <c r="H78" s="212">
        <f t="shared" si="2"/>
        <v>0</v>
      </c>
      <c r="I78" s="212">
        <f t="shared" si="3"/>
        <v>19620.571428571428</v>
      </c>
      <c r="J78" s="212">
        <f t="shared" si="4"/>
        <v>0</v>
      </c>
      <c r="L78" s="78" t="s">
        <v>201</v>
      </c>
      <c r="M78" s="212">
        <f t="shared" si="9"/>
        <v>0</v>
      </c>
      <c r="N78" s="212">
        <f t="shared" si="10"/>
        <v>235.66231983527797</v>
      </c>
      <c r="O78" s="212">
        <f t="shared" si="10"/>
        <v>0</v>
      </c>
    </row>
    <row r="79" spans="2:15" ht="15" hidden="1" customHeight="1" x14ac:dyDescent="0.2">
      <c r="B79" s="78" t="s">
        <v>198</v>
      </c>
      <c r="C79" s="212">
        <f>SUMIFS(BD!$T:$T,BD!$B:$B,PPT!B79)</f>
        <v>2320000</v>
      </c>
      <c r="D79" s="212">
        <v>2830243.2028000001</v>
      </c>
      <c r="E79" s="212">
        <v>1032202.2986</v>
      </c>
      <c r="G79" s="78" t="s">
        <v>198</v>
      </c>
      <c r="H79" s="212">
        <f t="shared" si="2"/>
        <v>132571.42857142858</v>
      </c>
      <c r="I79" s="212">
        <f t="shared" si="3"/>
        <v>161728.18301714287</v>
      </c>
      <c r="J79" s="212">
        <f t="shared" si="4"/>
        <v>58982.988491428572</v>
      </c>
      <c r="L79" s="78" t="s">
        <v>198</v>
      </c>
      <c r="M79" s="212">
        <f t="shared" si="9"/>
        <v>1168.7304162090818</v>
      </c>
      <c r="N79" s="212">
        <f t="shared" si="10"/>
        <v>1942.5142091969801</v>
      </c>
      <c r="O79" s="212">
        <f t="shared" si="10"/>
        <v>2026.8272205313488</v>
      </c>
    </row>
    <row r="80" spans="2:15" ht="15" hidden="1" customHeight="1" x14ac:dyDescent="0.2">
      <c r="B80" s="78" t="s">
        <v>196</v>
      </c>
      <c r="C80" s="212">
        <f>SUMIFS(BD!$T:$T,BD!$B:$B,PPT!B80)</f>
        <v>2173741.0984</v>
      </c>
      <c r="D80" s="212">
        <v>1162900</v>
      </c>
      <c r="E80" s="212">
        <v>0</v>
      </c>
      <c r="G80" s="78" t="s">
        <v>196</v>
      </c>
      <c r="H80" s="212">
        <f t="shared" si="2"/>
        <v>124213.77705142857</v>
      </c>
      <c r="I80" s="212">
        <f t="shared" si="3"/>
        <v>66451.428571428565</v>
      </c>
      <c r="J80" s="212">
        <f t="shared" si="4"/>
        <v>0</v>
      </c>
      <c r="L80" s="78" t="s">
        <v>196</v>
      </c>
      <c r="M80" s="212">
        <f t="shared" si="9"/>
        <v>1095.0505770102668</v>
      </c>
      <c r="N80" s="212">
        <f>D80/D$49</f>
        <v>798.14687714481806</v>
      </c>
      <c r="O80" s="212"/>
    </row>
    <row r="81" spans="2:15" ht="15" hidden="1" customHeight="1" x14ac:dyDescent="0.2">
      <c r="B81" s="78" t="s">
        <v>79</v>
      </c>
      <c r="C81" s="212">
        <f>SUMIFS(BD!$T:$T,BD!$B:$B,PPT!B81)</f>
        <v>5800000</v>
      </c>
      <c r="D81" s="212">
        <v>1486674.2108400001</v>
      </c>
      <c r="E81" s="212">
        <v>5599356.5611479999</v>
      </c>
      <c r="G81" s="78" t="s">
        <v>79</v>
      </c>
      <c r="H81" s="212">
        <f t="shared" si="2"/>
        <v>331428.57142857142</v>
      </c>
      <c r="I81" s="212">
        <f t="shared" si="3"/>
        <v>84952.812048000007</v>
      </c>
      <c r="J81" s="212">
        <f t="shared" si="4"/>
        <v>319963.23206559999</v>
      </c>
      <c r="L81" s="78" t="s">
        <v>79</v>
      </c>
      <c r="M81" s="212">
        <f t="shared" si="9"/>
        <v>2921.8260405227047</v>
      </c>
      <c r="N81" s="212">
        <f>D81/D$49</f>
        <v>1020.3666512285519</v>
      </c>
      <c r="O81" s="212">
        <f>E81/E$49</f>
        <v>10994.868264669036</v>
      </c>
    </row>
    <row r="82" spans="2:15" ht="15" hidden="1" customHeight="1" x14ac:dyDescent="0.2">
      <c r="B82" s="214" t="s">
        <v>185</v>
      </c>
      <c r="C82" s="215">
        <f>SUM(C57:C81)</f>
        <v>193752267.41370079</v>
      </c>
      <c r="D82" s="215">
        <f>SUM(D57:D81)</f>
        <v>122259740.14348754</v>
      </c>
      <c r="E82" s="215">
        <f>SUM(E57:E81)</f>
        <v>43414019.397532001</v>
      </c>
      <c r="G82" s="214" t="s">
        <v>185</v>
      </c>
      <c r="H82" s="215">
        <f t="shared" si="2"/>
        <v>11071558.137925759</v>
      </c>
      <c r="I82" s="215">
        <f t="shared" si="3"/>
        <v>6986270.8653421449</v>
      </c>
      <c r="J82" s="215">
        <f t="shared" si="4"/>
        <v>2480801.1084304</v>
      </c>
      <c r="L82" s="214" t="s">
        <v>185</v>
      </c>
      <c r="M82" s="215">
        <f t="shared" si="9"/>
        <v>97605.244886149943</v>
      </c>
      <c r="N82" s="215">
        <f>D82/D$49</f>
        <v>83911.969899442382</v>
      </c>
      <c r="O82" s="215">
        <f>E82/E$49</f>
        <v>85247.549232297213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00"/>
  </sheetPr>
  <dimension ref="A1:L19"/>
  <sheetViews>
    <sheetView zoomScaleNormal="100" workbookViewId="0"/>
  </sheetViews>
  <sheetFormatPr baseColWidth="10" defaultColWidth="8.6640625" defaultRowHeight="15" customHeight="1" x14ac:dyDescent="0.2"/>
  <cols>
    <col min="1" max="1" width="1.5" customWidth="1"/>
    <col min="3" max="3" width="7.5" customWidth="1"/>
    <col min="5" max="6" width="7.5" customWidth="1"/>
    <col min="10" max="11" width="7.5" customWidth="1"/>
  </cols>
  <sheetData>
    <row r="1" spans="1:12" ht="15" customHeight="1" x14ac:dyDescent="0.2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</row>
    <row r="2" spans="1:12" ht="15" customHeight="1" x14ac:dyDescent="0.2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</row>
    <row r="3" spans="1:12" ht="15" customHeight="1" x14ac:dyDescent="0.2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</row>
    <row r="4" spans="1:12" ht="15" customHeight="1" x14ac:dyDescent="0.2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2" ht="15" customHeight="1" x14ac:dyDescent="0.2">
      <c r="A5" s="216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</row>
    <row r="6" spans="1:12" ht="15" customHeight="1" x14ac:dyDescent="0.2">
      <c r="A6" s="216"/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</row>
    <row r="7" spans="1:12" ht="15" customHeight="1" x14ac:dyDescent="0.2">
      <c r="A7" s="216"/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</row>
    <row r="8" spans="1:12" ht="15" customHeight="1" x14ac:dyDescent="0.2">
      <c r="A8" s="216"/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</row>
    <row r="9" spans="1:12" ht="15" customHeight="1" x14ac:dyDescent="0.2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</row>
    <row r="10" spans="1:12" ht="15" customHeight="1" x14ac:dyDescent="0.2">
      <c r="A10" s="216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</row>
    <row r="11" spans="1:12" ht="21" customHeight="1" x14ac:dyDescent="0.25">
      <c r="A11" s="216"/>
      <c r="B11" s="216"/>
      <c r="C11" s="216"/>
      <c r="D11" s="217"/>
      <c r="E11" s="216"/>
      <c r="F11" s="216"/>
      <c r="G11" s="216"/>
      <c r="H11" s="216"/>
      <c r="I11" s="216"/>
      <c r="J11" s="216"/>
      <c r="K11" s="216"/>
      <c r="L11" s="216"/>
    </row>
    <row r="12" spans="1:12" ht="18" customHeight="1" x14ac:dyDescent="0.2">
      <c r="A12" s="216"/>
      <c r="B12" s="216"/>
      <c r="C12" s="216"/>
      <c r="D12" s="218"/>
      <c r="E12" s="216"/>
      <c r="F12" s="216"/>
      <c r="G12" s="216"/>
      <c r="H12" s="216"/>
      <c r="I12" s="216"/>
      <c r="J12" s="216"/>
      <c r="K12" s="216"/>
      <c r="L12" s="216"/>
    </row>
    <row r="13" spans="1:12" ht="15" customHeight="1" x14ac:dyDescent="0.2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</row>
    <row r="14" spans="1:12" ht="15" customHeight="1" x14ac:dyDescent="0.2">
      <c r="A14" s="216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</row>
    <row r="15" spans="1:12" ht="15" customHeight="1" x14ac:dyDescent="0.2">
      <c r="A15" s="216"/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</row>
    <row r="16" spans="1:12" ht="15" customHeight="1" x14ac:dyDescent="0.2">
      <c r="A16" s="216"/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</row>
    <row r="17" spans="1:12" ht="15" customHeight="1" x14ac:dyDescent="0.2">
      <c r="A17" s="216"/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</row>
    <row r="18" spans="1:12" ht="15" customHeight="1" x14ac:dyDescent="0.2">
      <c r="A18" s="216"/>
      <c r="B18" s="216"/>
      <c r="C18" s="216"/>
      <c r="D18" s="216"/>
      <c r="E18" s="216"/>
      <c r="F18" s="216"/>
      <c r="G18" s="216"/>
      <c r="H18" s="216"/>
      <c r="I18" s="219"/>
      <c r="J18" s="216"/>
      <c r="K18" s="220"/>
      <c r="L18" s="216"/>
    </row>
    <row r="19" spans="1:12" ht="15" customHeight="1" x14ac:dyDescent="0.2">
      <c r="A19" s="216"/>
      <c r="B19" s="216"/>
      <c r="C19" s="216"/>
      <c r="D19" s="216"/>
      <c r="E19" s="216"/>
      <c r="F19" s="216"/>
      <c r="G19" s="216"/>
      <c r="H19" s="216"/>
      <c r="I19" s="219"/>
      <c r="J19" s="216"/>
      <c r="K19" s="216"/>
      <c r="L19" s="2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578"/>
  <sheetViews>
    <sheetView zoomScaleNormal="100" workbookViewId="0"/>
  </sheetViews>
  <sheetFormatPr baseColWidth="10" defaultColWidth="8.6640625" defaultRowHeight="15" customHeight="1" x14ac:dyDescent="0.2"/>
  <cols>
    <col min="1" max="1" width="1.5" customWidth="1"/>
    <col min="2" max="2" width="30.83203125" customWidth="1"/>
    <col min="3" max="3" width="32.1640625" customWidth="1"/>
    <col min="4" max="4" width="23.5" customWidth="1"/>
    <col min="5" max="5" width="11.5" customWidth="1"/>
    <col min="6" max="6" width="9.1640625" customWidth="1"/>
    <col min="7" max="7" width="20.5" customWidth="1"/>
    <col min="8" max="8" width="12.5" customWidth="1"/>
    <col min="21" max="21" width="54.5" customWidth="1"/>
    <col min="22" max="22" width="36.1640625" customWidth="1"/>
  </cols>
  <sheetData>
    <row r="1" spans="1:22" ht="12" customHeight="1" x14ac:dyDescent="0.2">
      <c r="G1" s="63"/>
    </row>
    <row r="2" spans="1:22" ht="10.5" customHeight="1" x14ac:dyDescent="0.2">
      <c r="B2" s="221" t="s">
        <v>291</v>
      </c>
      <c r="C2" s="221" t="s">
        <v>291</v>
      </c>
      <c r="D2" s="221" t="s">
        <v>291</v>
      </c>
      <c r="E2" s="221"/>
      <c r="F2" s="221"/>
      <c r="G2" s="221" t="s">
        <v>292</v>
      </c>
      <c r="H2" s="221" t="s">
        <v>292</v>
      </c>
      <c r="I2" s="221" t="s">
        <v>291</v>
      </c>
      <c r="J2" s="221" t="s">
        <v>292</v>
      </c>
      <c r="K2" s="221" t="s">
        <v>291</v>
      </c>
      <c r="L2" s="221" t="s">
        <v>292</v>
      </c>
      <c r="M2" s="221" t="s">
        <v>293</v>
      </c>
      <c r="N2" s="221"/>
      <c r="O2" s="221" t="s">
        <v>293</v>
      </c>
      <c r="P2" s="221"/>
      <c r="Q2" s="221" t="s">
        <v>293</v>
      </c>
      <c r="R2" s="221" t="s">
        <v>293</v>
      </c>
      <c r="S2" s="221" t="s">
        <v>292</v>
      </c>
      <c r="T2" s="221" t="s">
        <v>293</v>
      </c>
      <c r="U2" s="221" t="s">
        <v>292</v>
      </c>
      <c r="V2" s="221" t="s">
        <v>292</v>
      </c>
    </row>
    <row r="3" spans="1:22" ht="3.75" customHeight="1" x14ac:dyDescent="0.2"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</row>
    <row r="4" spans="1:22" ht="10.5" customHeight="1" x14ac:dyDescent="0.2">
      <c r="A4" s="63" t="s">
        <v>294</v>
      </c>
      <c r="B4" s="223" t="s">
        <v>295</v>
      </c>
      <c r="C4" s="223" t="s">
        <v>2</v>
      </c>
      <c r="D4" s="223" t="s">
        <v>296</v>
      </c>
      <c r="E4" s="223" t="s">
        <v>215</v>
      </c>
      <c r="F4" s="223" t="s">
        <v>297</v>
      </c>
      <c r="G4" s="223" t="s">
        <v>168</v>
      </c>
      <c r="H4" s="223" t="s">
        <v>298</v>
      </c>
      <c r="I4" s="223" t="s">
        <v>299</v>
      </c>
      <c r="J4" s="223" t="s">
        <v>300</v>
      </c>
      <c r="K4" s="223" t="s">
        <v>301</v>
      </c>
      <c r="L4" s="223" t="s">
        <v>302</v>
      </c>
      <c r="M4" s="223" t="s">
        <v>303</v>
      </c>
      <c r="N4" s="223" t="s">
        <v>304</v>
      </c>
      <c r="O4" s="223" t="s">
        <v>305</v>
      </c>
      <c r="P4" s="223" t="s">
        <v>306</v>
      </c>
      <c r="Q4" s="223" t="s">
        <v>307</v>
      </c>
      <c r="R4" s="223" t="s">
        <v>308</v>
      </c>
      <c r="S4" s="223" t="s">
        <v>309</v>
      </c>
      <c r="T4" s="223" t="s">
        <v>310</v>
      </c>
      <c r="U4" s="223" t="s">
        <v>311</v>
      </c>
      <c r="V4" s="223" t="s">
        <v>312</v>
      </c>
    </row>
    <row r="5" spans="1:22" ht="12" customHeight="1" x14ac:dyDescent="0.2">
      <c r="B5" s="63" t="s">
        <v>201</v>
      </c>
      <c r="C5" s="63" t="s">
        <v>35</v>
      </c>
      <c r="D5" s="78" t="s">
        <v>313</v>
      </c>
      <c r="E5" s="171" t="s">
        <v>220</v>
      </c>
      <c r="F5" s="78" t="s">
        <v>313</v>
      </c>
      <c r="G5" s="171" t="s">
        <v>313</v>
      </c>
      <c r="H5" s="224" t="s">
        <v>293</v>
      </c>
      <c r="I5" s="225" t="s">
        <v>314</v>
      </c>
      <c r="J5" s="224">
        <v>0</v>
      </c>
      <c r="K5" s="225" t="s">
        <v>269</v>
      </c>
      <c r="L5" s="226">
        <v>116000</v>
      </c>
      <c r="M5" s="227">
        <f t="shared" ref="M5:M68" si="0">J5*L5</f>
        <v>0</v>
      </c>
      <c r="N5" s="228">
        <v>0</v>
      </c>
      <c r="O5" s="227">
        <f t="shared" ref="O5:O68" si="1">M5*N5</f>
        <v>0</v>
      </c>
      <c r="P5" s="228">
        <v>0.16</v>
      </c>
      <c r="Q5" s="227">
        <f t="shared" ref="Q5:Q68" si="2">(M5+O5)*P5</f>
        <v>0</v>
      </c>
      <c r="R5" s="227">
        <f t="shared" ref="R5:R68" si="3">M5+O5+Q5</f>
        <v>0</v>
      </c>
      <c r="S5" s="229">
        <f>INDEX('Glosario Partidas'!$M$8:$M$10,MATCH(BD!K5,'Glosario Partidas'!$L$8:$L$10,0))</f>
        <v>1</v>
      </c>
      <c r="T5" s="227">
        <f t="shared" ref="T5:T68" si="4">R5*S5</f>
        <v>0</v>
      </c>
      <c r="U5" s="230" t="s">
        <v>315</v>
      </c>
      <c r="V5" s="231" t="s">
        <v>13</v>
      </c>
    </row>
    <row r="6" spans="1:22" ht="12" customHeight="1" x14ac:dyDescent="0.2">
      <c r="B6" s="63" t="s">
        <v>201</v>
      </c>
      <c r="C6" s="63" t="s">
        <v>21</v>
      </c>
      <c r="D6" s="78" t="s">
        <v>313</v>
      </c>
      <c r="E6" s="171" t="s">
        <v>220</v>
      </c>
      <c r="F6" s="78" t="s">
        <v>313</v>
      </c>
      <c r="G6" s="171" t="s">
        <v>313</v>
      </c>
      <c r="H6" s="224" t="s">
        <v>293</v>
      </c>
      <c r="I6" s="225" t="s">
        <v>314</v>
      </c>
      <c r="J6" s="224">
        <v>0</v>
      </c>
      <c r="K6" s="225" t="s">
        <v>269</v>
      </c>
      <c r="L6" s="226">
        <v>0</v>
      </c>
      <c r="M6" s="227">
        <f t="shared" si="0"/>
        <v>0</v>
      </c>
      <c r="N6" s="228">
        <v>0</v>
      </c>
      <c r="O6" s="227">
        <f t="shared" si="1"/>
        <v>0</v>
      </c>
      <c r="P6" s="228">
        <v>0</v>
      </c>
      <c r="Q6" s="227">
        <f t="shared" si="2"/>
        <v>0</v>
      </c>
      <c r="R6" s="227">
        <f t="shared" si="3"/>
        <v>0</v>
      </c>
      <c r="S6" s="229">
        <f>INDEX('Glosario Partidas'!$M$8:$M$10,MATCH(BD!K6,'Glosario Partidas'!$L$8:$L$10,0))</f>
        <v>1</v>
      </c>
      <c r="T6" s="227">
        <f t="shared" si="4"/>
        <v>0</v>
      </c>
      <c r="U6" s="230" t="s">
        <v>315</v>
      </c>
      <c r="V6" s="231" t="s">
        <v>13</v>
      </c>
    </row>
    <row r="7" spans="1:22" ht="12" customHeight="1" x14ac:dyDescent="0.2">
      <c r="B7" s="63" t="s">
        <v>201</v>
      </c>
      <c r="C7" s="63" t="s">
        <v>23</v>
      </c>
      <c r="D7" s="78" t="s">
        <v>313</v>
      </c>
      <c r="E7" s="171" t="s">
        <v>220</v>
      </c>
      <c r="F7" s="78" t="s">
        <v>313</v>
      </c>
      <c r="G7" s="171" t="s">
        <v>313</v>
      </c>
      <c r="H7" s="224" t="s">
        <v>293</v>
      </c>
      <c r="I7" s="225" t="s">
        <v>314</v>
      </c>
      <c r="J7" s="224">
        <v>0</v>
      </c>
      <c r="K7" s="225" t="s">
        <v>269</v>
      </c>
      <c r="L7" s="226">
        <v>180000</v>
      </c>
      <c r="M7" s="227">
        <f t="shared" si="0"/>
        <v>0</v>
      </c>
      <c r="N7" s="228">
        <v>0</v>
      </c>
      <c r="O7" s="227">
        <f t="shared" si="1"/>
        <v>0</v>
      </c>
      <c r="P7" s="228">
        <v>0.16</v>
      </c>
      <c r="Q7" s="227">
        <f t="shared" si="2"/>
        <v>0</v>
      </c>
      <c r="R7" s="227">
        <f t="shared" si="3"/>
        <v>0</v>
      </c>
      <c r="S7" s="229">
        <f>INDEX('Glosario Partidas'!$M$8:$M$10,MATCH(BD!K7,'Glosario Partidas'!$L$8:$L$10,0))</f>
        <v>1</v>
      </c>
      <c r="T7" s="227">
        <f t="shared" si="4"/>
        <v>0</v>
      </c>
      <c r="U7" s="230" t="s">
        <v>315</v>
      </c>
      <c r="V7" s="231" t="s">
        <v>13</v>
      </c>
    </row>
    <row r="8" spans="1:22" ht="12" customHeight="1" x14ac:dyDescent="0.2">
      <c r="B8" s="63" t="s">
        <v>201</v>
      </c>
      <c r="C8" s="63" t="s">
        <v>25</v>
      </c>
      <c r="D8" s="78" t="s">
        <v>313</v>
      </c>
      <c r="E8" s="171" t="s">
        <v>220</v>
      </c>
      <c r="F8" s="78" t="s">
        <v>313</v>
      </c>
      <c r="G8" s="171" t="s">
        <v>313</v>
      </c>
      <c r="H8" s="224" t="s">
        <v>293</v>
      </c>
      <c r="I8" s="225" t="s">
        <v>314</v>
      </c>
      <c r="J8" s="224">
        <v>0</v>
      </c>
      <c r="K8" s="225" t="s">
        <v>269</v>
      </c>
      <c r="L8" s="226">
        <v>0</v>
      </c>
      <c r="M8" s="227">
        <f t="shared" si="0"/>
        <v>0</v>
      </c>
      <c r="N8" s="228">
        <v>0</v>
      </c>
      <c r="O8" s="227">
        <f t="shared" si="1"/>
        <v>0</v>
      </c>
      <c r="P8" s="228">
        <v>0</v>
      </c>
      <c r="Q8" s="227">
        <f t="shared" si="2"/>
        <v>0</v>
      </c>
      <c r="R8" s="227">
        <f t="shared" si="3"/>
        <v>0</v>
      </c>
      <c r="S8" s="229">
        <f>INDEX('Glosario Partidas'!$M$8:$M$10,MATCH(BD!K8,'Glosario Partidas'!$L$8:$L$10,0))</f>
        <v>1</v>
      </c>
      <c r="T8" s="227">
        <f t="shared" si="4"/>
        <v>0</v>
      </c>
      <c r="U8" s="230" t="s">
        <v>315</v>
      </c>
      <c r="V8" s="231" t="s">
        <v>13</v>
      </c>
    </row>
    <row r="9" spans="1:22" ht="12" customHeight="1" x14ac:dyDescent="0.2">
      <c r="B9" s="63" t="s">
        <v>199</v>
      </c>
      <c r="C9" s="63" t="s">
        <v>28</v>
      </c>
      <c r="D9" s="78" t="s">
        <v>313</v>
      </c>
      <c r="E9" s="171" t="s">
        <v>220</v>
      </c>
      <c r="F9" s="78" t="s">
        <v>313</v>
      </c>
      <c r="G9" s="171" t="s">
        <v>313</v>
      </c>
      <c r="H9" s="224" t="s">
        <v>293</v>
      </c>
      <c r="I9" s="225" t="s">
        <v>314</v>
      </c>
      <c r="J9" s="224">
        <v>0</v>
      </c>
      <c r="K9" s="225" t="s">
        <v>269</v>
      </c>
      <c r="L9" s="226">
        <v>0</v>
      </c>
      <c r="M9" s="227">
        <f t="shared" si="0"/>
        <v>0</v>
      </c>
      <c r="N9" s="228">
        <v>0</v>
      </c>
      <c r="O9" s="227">
        <f t="shared" si="1"/>
        <v>0</v>
      </c>
      <c r="P9" s="228">
        <v>0</v>
      </c>
      <c r="Q9" s="227">
        <f t="shared" si="2"/>
        <v>0</v>
      </c>
      <c r="R9" s="227">
        <f t="shared" si="3"/>
        <v>0</v>
      </c>
      <c r="S9" s="229">
        <f>INDEX('Glosario Partidas'!$M$8:$M$10,MATCH(BD!K9,'Glosario Partidas'!$L$8:$L$10,0))</f>
        <v>1</v>
      </c>
      <c r="T9" s="227">
        <f t="shared" si="4"/>
        <v>0</v>
      </c>
      <c r="U9" s="230" t="s">
        <v>315</v>
      </c>
      <c r="V9" s="231" t="s">
        <v>13</v>
      </c>
    </row>
    <row r="10" spans="1:22" ht="12" customHeight="1" x14ac:dyDescent="0.2">
      <c r="B10" s="63" t="s">
        <v>199</v>
      </c>
      <c r="C10" s="63" t="s">
        <v>29</v>
      </c>
      <c r="D10" s="78" t="s">
        <v>313</v>
      </c>
      <c r="E10" s="171" t="s">
        <v>220</v>
      </c>
      <c r="F10" s="78" t="s">
        <v>313</v>
      </c>
      <c r="G10" s="171" t="s">
        <v>313</v>
      </c>
      <c r="H10" s="224" t="s">
        <v>293</v>
      </c>
      <c r="I10" s="225" t="s">
        <v>316</v>
      </c>
      <c r="J10" s="224">
        <v>0</v>
      </c>
      <c r="K10" s="225" t="s">
        <v>269</v>
      </c>
      <c r="L10" s="226">
        <v>0</v>
      </c>
      <c r="M10" s="227">
        <f t="shared" si="0"/>
        <v>0</v>
      </c>
      <c r="N10" s="228">
        <v>0</v>
      </c>
      <c r="O10" s="227">
        <f t="shared" si="1"/>
        <v>0</v>
      </c>
      <c r="P10" s="228">
        <v>0</v>
      </c>
      <c r="Q10" s="227">
        <f t="shared" si="2"/>
        <v>0</v>
      </c>
      <c r="R10" s="227">
        <f t="shared" si="3"/>
        <v>0</v>
      </c>
      <c r="S10" s="229">
        <f>INDEX('Glosario Partidas'!$M$8:$M$10,MATCH(BD!K10,'Glosario Partidas'!$L$8:$L$10,0))</f>
        <v>1</v>
      </c>
      <c r="T10" s="227">
        <f t="shared" si="4"/>
        <v>0</v>
      </c>
      <c r="U10" s="230" t="s">
        <v>315</v>
      </c>
      <c r="V10" s="231" t="s">
        <v>13</v>
      </c>
    </row>
    <row r="11" spans="1:22" ht="12" customHeight="1" x14ac:dyDescent="0.2">
      <c r="B11" s="63" t="s">
        <v>199</v>
      </c>
      <c r="C11" s="63" t="s">
        <v>30</v>
      </c>
      <c r="D11" s="78" t="s">
        <v>313</v>
      </c>
      <c r="E11" s="171" t="s">
        <v>220</v>
      </c>
      <c r="F11" s="78" t="s">
        <v>313</v>
      </c>
      <c r="G11" s="171" t="s">
        <v>313</v>
      </c>
      <c r="H11" s="224" t="s">
        <v>293</v>
      </c>
      <c r="I11" s="225" t="s">
        <v>314</v>
      </c>
      <c r="J11" s="224">
        <v>1</v>
      </c>
      <c r="K11" s="225" t="s">
        <v>269</v>
      </c>
      <c r="L11" s="226">
        <v>156385</v>
      </c>
      <c r="M11" s="227">
        <f t="shared" si="0"/>
        <v>156385</v>
      </c>
      <c r="N11" s="228">
        <v>0</v>
      </c>
      <c r="O11" s="227">
        <f t="shared" si="1"/>
        <v>0</v>
      </c>
      <c r="P11" s="228">
        <v>0</v>
      </c>
      <c r="Q11" s="227">
        <f t="shared" si="2"/>
        <v>0</v>
      </c>
      <c r="R11" s="227">
        <f t="shared" si="3"/>
        <v>156385</v>
      </c>
      <c r="S11" s="229">
        <f>INDEX('Glosario Partidas'!$M$8:$M$10,MATCH(BD!K11,'Glosario Partidas'!$L$8:$L$10,0))</f>
        <v>1</v>
      </c>
      <c r="T11" s="227">
        <f t="shared" si="4"/>
        <v>156385</v>
      </c>
      <c r="U11" s="230" t="s">
        <v>315</v>
      </c>
      <c r="V11" s="231" t="s">
        <v>12</v>
      </c>
    </row>
    <row r="12" spans="1:22" ht="12" customHeight="1" x14ac:dyDescent="0.2">
      <c r="B12" s="63" t="s">
        <v>199</v>
      </c>
      <c r="C12" s="63" t="s">
        <v>31</v>
      </c>
      <c r="D12" s="78" t="s">
        <v>313</v>
      </c>
      <c r="E12" s="171" t="s">
        <v>220</v>
      </c>
      <c r="F12" s="78" t="s">
        <v>313</v>
      </c>
      <c r="G12" s="171" t="s">
        <v>313</v>
      </c>
      <c r="H12" s="224" t="s">
        <v>293</v>
      </c>
      <c r="I12" s="225" t="s">
        <v>314</v>
      </c>
      <c r="J12" s="224">
        <v>1</v>
      </c>
      <c r="K12" s="225" t="s">
        <v>269</v>
      </c>
      <c r="L12" s="226">
        <v>285000</v>
      </c>
      <c r="M12" s="227">
        <f t="shared" si="0"/>
        <v>285000</v>
      </c>
      <c r="N12" s="228">
        <v>0</v>
      </c>
      <c r="O12" s="227">
        <f t="shared" si="1"/>
        <v>0</v>
      </c>
      <c r="P12" s="228">
        <v>0</v>
      </c>
      <c r="Q12" s="227">
        <f t="shared" si="2"/>
        <v>0</v>
      </c>
      <c r="R12" s="227">
        <f t="shared" si="3"/>
        <v>285000</v>
      </c>
      <c r="S12" s="229">
        <f>INDEX('Glosario Partidas'!$M$8:$M$10,MATCH(BD!K12,'Glosario Partidas'!$L$8:$L$10,0))</f>
        <v>1</v>
      </c>
      <c r="T12" s="227">
        <f t="shared" si="4"/>
        <v>285000</v>
      </c>
      <c r="U12" s="230" t="s">
        <v>315</v>
      </c>
      <c r="V12" s="231" t="s">
        <v>12</v>
      </c>
    </row>
    <row r="13" spans="1:22" ht="12" customHeight="1" x14ac:dyDescent="0.2">
      <c r="B13" s="63" t="s">
        <v>199</v>
      </c>
      <c r="C13" s="63" t="s">
        <v>317</v>
      </c>
      <c r="D13" s="78" t="s">
        <v>313</v>
      </c>
      <c r="E13" s="171" t="s">
        <v>220</v>
      </c>
      <c r="F13" s="78" t="s">
        <v>313</v>
      </c>
      <c r="G13" s="171" t="s">
        <v>313</v>
      </c>
      <c r="H13" s="224" t="s">
        <v>293</v>
      </c>
      <c r="I13" s="225" t="s">
        <v>314</v>
      </c>
      <c r="J13" s="224">
        <v>0</v>
      </c>
      <c r="K13" s="225" t="s">
        <v>269</v>
      </c>
      <c r="L13" s="226">
        <v>0</v>
      </c>
      <c r="M13" s="227">
        <f t="shared" si="0"/>
        <v>0</v>
      </c>
      <c r="N13" s="228">
        <v>0</v>
      </c>
      <c r="O13" s="227">
        <f t="shared" si="1"/>
        <v>0</v>
      </c>
      <c r="P13" s="228">
        <v>0</v>
      </c>
      <c r="Q13" s="227">
        <f t="shared" si="2"/>
        <v>0</v>
      </c>
      <c r="R13" s="227">
        <f t="shared" si="3"/>
        <v>0</v>
      </c>
      <c r="S13" s="229">
        <f>INDEX('Glosario Partidas'!$M$8:$M$10,MATCH(BD!K13,'Glosario Partidas'!$L$8:$L$10,0))</f>
        <v>1</v>
      </c>
      <c r="T13" s="227">
        <f t="shared" si="4"/>
        <v>0</v>
      </c>
      <c r="U13" s="230" t="s">
        <v>315</v>
      </c>
      <c r="V13" s="231" t="s">
        <v>13</v>
      </c>
    </row>
    <row r="14" spans="1:22" ht="12" customHeight="1" x14ac:dyDescent="0.2">
      <c r="B14" s="63" t="s">
        <v>290</v>
      </c>
      <c r="C14" s="63" t="s">
        <v>318</v>
      </c>
      <c r="D14" s="78" t="s">
        <v>319</v>
      </c>
      <c r="E14" s="171" t="s">
        <v>220</v>
      </c>
      <c r="F14" s="78" t="s">
        <v>313</v>
      </c>
      <c r="G14" s="171" t="s">
        <v>313</v>
      </c>
      <c r="H14" s="224" t="s">
        <v>293</v>
      </c>
      <c r="I14" s="225" t="s">
        <v>314</v>
      </c>
      <c r="J14" s="224">
        <v>1</v>
      </c>
      <c r="K14" s="225" t="s">
        <v>269</v>
      </c>
      <c r="L14" s="226">
        <v>58344</v>
      </c>
      <c r="M14" s="227">
        <f t="shared" si="0"/>
        <v>58344</v>
      </c>
      <c r="N14" s="228">
        <v>0</v>
      </c>
      <c r="O14" s="227">
        <f t="shared" si="1"/>
        <v>0</v>
      </c>
      <c r="P14" s="228">
        <v>0.16</v>
      </c>
      <c r="Q14" s="227">
        <f t="shared" si="2"/>
        <v>9335.0400000000009</v>
      </c>
      <c r="R14" s="227">
        <f t="shared" si="3"/>
        <v>67679.040000000008</v>
      </c>
      <c r="S14" s="229">
        <f>INDEX('Glosario Partidas'!$M$8:$M$10,MATCH(BD!K14,'Glosario Partidas'!$L$8:$L$10,0))</f>
        <v>1</v>
      </c>
      <c r="T14" s="227">
        <f t="shared" si="4"/>
        <v>67679.040000000008</v>
      </c>
      <c r="U14" s="230" t="s">
        <v>315</v>
      </c>
      <c r="V14" s="231" t="s">
        <v>12</v>
      </c>
    </row>
    <row r="15" spans="1:22" ht="12" customHeight="1" x14ac:dyDescent="0.2">
      <c r="B15" s="63" t="s">
        <v>290</v>
      </c>
      <c r="C15" s="63" t="s">
        <v>318</v>
      </c>
      <c r="D15" s="78" t="s">
        <v>320</v>
      </c>
      <c r="E15" s="171" t="s">
        <v>220</v>
      </c>
      <c r="F15" s="78" t="s">
        <v>313</v>
      </c>
      <c r="G15" s="171" t="s">
        <v>313</v>
      </c>
      <c r="H15" s="224" t="s">
        <v>293</v>
      </c>
      <c r="I15" s="225" t="s">
        <v>314</v>
      </c>
      <c r="J15" s="224">
        <v>1</v>
      </c>
      <c r="K15" s="225" t="s">
        <v>269</v>
      </c>
      <c r="L15" s="226">
        <v>206867.55</v>
      </c>
      <c r="M15" s="227">
        <f t="shared" si="0"/>
        <v>206867.55</v>
      </c>
      <c r="N15" s="228">
        <v>0</v>
      </c>
      <c r="O15" s="227">
        <f t="shared" si="1"/>
        <v>0</v>
      </c>
      <c r="P15" s="228">
        <v>0.16</v>
      </c>
      <c r="Q15" s="227">
        <f t="shared" si="2"/>
        <v>33098.807999999997</v>
      </c>
      <c r="R15" s="227">
        <f t="shared" si="3"/>
        <v>239966.35799999998</v>
      </c>
      <c r="S15" s="229">
        <f>INDEX('Glosario Partidas'!$M$8:$M$10,MATCH(BD!K15,'Glosario Partidas'!$L$8:$L$10,0))</f>
        <v>1</v>
      </c>
      <c r="T15" s="227">
        <f t="shared" si="4"/>
        <v>239966.35799999998</v>
      </c>
      <c r="U15" s="230" t="s">
        <v>315</v>
      </c>
      <c r="V15" s="231" t="s">
        <v>12</v>
      </c>
    </row>
    <row r="16" spans="1:22" ht="12" customHeight="1" x14ac:dyDescent="0.2">
      <c r="B16" s="63" t="s">
        <v>290</v>
      </c>
      <c r="C16" s="63" t="s">
        <v>318</v>
      </c>
      <c r="D16" s="78" t="s">
        <v>321</v>
      </c>
      <c r="E16" s="171" t="s">
        <v>220</v>
      </c>
      <c r="F16" s="78" t="s">
        <v>313</v>
      </c>
      <c r="G16" s="171" t="s">
        <v>313</v>
      </c>
      <c r="H16" s="224" t="s">
        <v>293</v>
      </c>
      <c r="I16" s="225" t="s">
        <v>314</v>
      </c>
      <c r="J16" s="224">
        <v>1</v>
      </c>
      <c r="K16" s="225" t="s">
        <v>269</v>
      </c>
      <c r="L16" s="226">
        <v>56815</v>
      </c>
      <c r="M16" s="227">
        <f t="shared" si="0"/>
        <v>56815</v>
      </c>
      <c r="N16" s="228">
        <v>0</v>
      </c>
      <c r="O16" s="227">
        <f t="shared" si="1"/>
        <v>0</v>
      </c>
      <c r="P16" s="228">
        <v>0.16</v>
      </c>
      <c r="Q16" s="227">
        <f t="shared" si="2"/>
        <v>9090.4</v>
      </c>
      <c r="R16" s="227">
        <f t="shared" si="3"/>
        <v>65905.399999999994</v>
      </c>
      <c r="S16" s="229">
        <f>INDEX('Glosario Partidas'!$M$8:$M$10,MATCH(BD!K16,'Glosario Partidas'!$L$8:$L$10,0))</f>
        <v>1</v>
      </c>
      <c r="T16" s="227">
        <f t="shared" si="4"/>
        <v>65905.399999999994</v>
      </c>
      <c r="U16" s="230" t="s">
        <v>315</v>
      </c>
      <c r="V16" s="231" t="s">
        <v>12</v>
      </c>
    </row>
    <row r="17" spans="2:22" ht="12" customHeight="1" x14ac:dyDescent="0.2">
      <c r="B17" s="63" t="s">
        <v>290</v>
      </c>
      <c r="C17" s="63" t="s">
        <v>322</v>
      </c>
      <c r="D17" s="78" t="s">
        <v>323</v>
      </c>
      <c r="E17" s="171" t="s">
        <v>220</v>
      </c>
      <c r="F17" s="78" t="s">
        <v>313</v>
      </c>
      <c r="G17" s="171" t="s">
        <v>313</v>
      </c>
      <c r="H17" s="224" t="s">
        <v>293</v>
      </c>
      <c r="I17" s="225" t="s">
        <v>314</v>
      </c>
      <c r="J17" s="224">
        <v>14</v>
      </c>
      <c r="K17" s="225" t="s">
        <v>269</v>
      </c>
      <c r="L17" s="226">
        <f>33600/2</f>
        <v>16800</v>
      </c>
      <c r="M17" s="227">
        <f t="shared" si="0"/>
        <v>235200</v>
      </c>
      <c r="N17" s="228">
        <v>0</v>
      </c>
      <c r="O17" s="227">
        <f t="shared" si="1"/>
        <v>0</v>
      </c>
      <c r="P17" s="228">
        <v>0.16</v>
      </c>
      <c r="Q17" s="227">
        <f t="shared" si="2"/>
        <v>37632</v>
      </c>
      <c r="R17" s="227">
        <f t="shared" si="3"/>
        <v>272832</v>
      </c>
      <c r="S17" s="229">
        <f>INDEX('Glosario Partidas'!$M$8:$M$10,MATCH(BD!K17,'Glosario Partidas'!$L$8:$L$10,0))</f>
        <v>1</v>
      </c>
      <c r="T17" s="227">
        <f t="shared" si="4"/>
        <v>272832</v>
      </c>
      <c r="U17" s="230" t="s">
        <v>315</v>
      </c>
      <c r="V17" s="231" t="s">
        <v>12</v>
      </c>
    </row>
    <row r="18" spans="2:22" ht="12" customHeight="1" x14ac:dyDescent="0.2">
      <c r="B18" s="63" t="s">
        <v>290</v>
      </c>
      <c r="C18" s="63" t="s">
        <v>322</v>
      </c>
      <c r="D18" s="78" t="s">
        <v>324</v>
      </c>
      <c r="E18" s="171" t="s">
        <v>220</v>
      </c>
      <c r="F18" s="78" t="s">
        <v>313</v>
      </c>
      <c r="G18" s="171" t="s">
        <v>313</v>
      </c>
      <c r="H18" s="224" t="s">
        <v>293</v>
      </c>
      <c r="I18" s="225" t="s">
        <v>314</v>
      </c>
      <c r="J18" s="224">
        <v>14</v>
      </c>
      <c r="K18" s="225" t="s">
        <v>269</v>
      </c>
      <c r="L18" s="226">
        <f>33600/2</f>
        <v>16800</v>
      </c>
      <c r="M18" s="227">
        <f t="shared" si="0"/>
        <v>235200</v>
      </c>
      <c r="N18" s="228">
        <v>0</v>
      </c>
      <c r="O18" s="227">
        <f t="shared" si="1"/>
        <v>0</v>
      </c>
      <c r="P18" s="228">
        <v>0.16</v>
      </c>
      <c r="Q18" s="227">
        <f t="shared" si="2"/>
        <v>37632</v>
      </c>
      <c r="R18" s="227">
        <f t="shared" si="3"/>
        <v>272832</v>
      </c>
      <c r="S18" s="229">
        <f>INDEX('Glosario Partidas'!$M$8:$M$10,MATCH(BD!K18,'Glosario Partidas'!$L$8:$L$10,0))</f>
        <v>1</v>
      </c>
      <c r="T18" s="227">
        <f t="shared" si="4"/>
        <v>272832</v>
      </c>
      <c r="U18" s="230" t="s">
        <v>315</v>
      </c>
      <c r="V18" s="231" t="s">
        <v>12</v>
      </c>
    </row>
    <row r="19" spans="2:22" ht="12" customHeight="1" x14ac:dyDescent="0.2">
      <c r="B19" s="63" t="s">
        <v>290</v>
      </c>
      <c r="C19" s="63" t="s">
        <v>322</v>
      </c>
      <c r="D19" s="78" t="s">
        <v>325</v>
      </c>
      <c r="E19" s="171" t="s">
        <v>220</v>
      </c>
      <c r="F19" s="78" t="s">
        <v>313</v>
      </c>
      <c r="G19" s="171" t="s">
        <v>313</v>
      </c>
      <c r="H19" s="224" t="s">
        <v>293</v>
      </c>
      <c r="I19" s="225" t="s">
        <v>314</v>
      </c>
      <c r="J19" s="224">
        <v>14</v>
      </c>
      <c r="K19" s="225" t="s">
        <v>269</v>
      </c>
      <c r="L19" s="226">
        <v>62400</v>
      </c>
      <c r="M19" s="227">
        <f t="shared" si="0"/>
        <v>873600</v>
      </c>
      <c r="N19" s="228">
        <v>0</v>
      </c>
      <c r="O19" s="227">
        <f t="shared" si="1"/>
        <v>0</v>
      </c>
      <c r="P19" s="228">
        <v>0.16</v>
      </c>
      <c r="Q19" s="227">
        <f t="shared" si="2"/>
        <v>139776</v>
      </c>
      <c r="R19" s="227">
        <f t="shared" si="3"/>
        <v>1013376</v>
      </c>
      <c r="S19" s="229">
        <f>INDEX('Glosario Partidas'!$M$8:$M$10,MATCH(BD!K19,'Glosario Partidas'!$L$8:$L$10,0))</f>
        <v>1</v>
      </c>
      <c r="T19" s="227">
        <f t="shared" si="4"/>
        <v>1013376</v>
      </c>
      <c r="U19" s="230" t="s">
        <v>315</v>
      </c>
      <c r="V19" s="231" t="s">
        <v>13</v>
      </c>
    </row>
    <row r="20" spans="2:22" ht="12" customHeight="1" x14ac:dyDescent="0.2">
      <c r="B20" s="63" t="s">
        <v>290</v>
      </c>
      <c r="C20" s="63" t="s">
        <v>322</v>
      </c>
      <c r="D20" s="78" t="s">
        <v>326</v>
      </c>
      <c r="E20" s="171" t="s">
        <v>220</v>
      </c>
      <c r="F20" s="78" t="s">
        <v>313</v>
      </c>
      <c r="G20" s="171" t="s">
        <v>313</v>
      </c>
      <c r="H20" s="224" t="s">
        <v>293</v>
      </c>
      <c r="I20" s="225" t="s">
        <v>314</v>
      </c>
      <c r="J20" s="224">
        <v>14</v>
      </c>
      <c r="K20" s="225" t="s">
        <v>269</v>
      </c>
      <c r="L20" s="226">
        <v>20000</v>
      </c>
      <c r="M20" s="227">
        <f t="shared" si="0"/>
        <v>280000</v>
      </c>
      <c r="N20" s="228">
        <v>0</v>
      </c>
      <c r="O20" s="227">
        <f t="shared" si="1"/>
        <v>0</v>
      </c>
      <c r="P20" s="228">
        <v>0.16</v>
      </c>
      <c r="Q20" s="227">
        <f t="shared" si="2"/>
        <v>44800</v>
      </c>
      <c r="R20" s="227">
        <f t="shared" si="3"/>
        <v>324800</v>
      </c>
      <c r="S20" s="229">
        <f>INDEX('Glosario Partidas'!$M$8:$M$10,MATCH(BD!K20,'Glosario Partidas'!$L$8:$L$10,0))</f>
        <v>1</v>
      </c>
      <c r="T20" s="227">
        <f t="shared" si="4"/>
        <v>324800</v>
      </c>
      <c r="U20" s="230" t="s">
        <v>315</v>
      </c>
      <c r="V20" s="231" t="s">
        <v>13</v>
      </c>
    </row>
    <row r="21" spans="2:22" ht="12" customHeight="1" x14ac:dyDescent="0.2">
      <c r="B21" s="63" t="s">
        <v>290</v>
      </c>
      <c r="C21" s="63" t="s">
        <v>327</v>
      </c>
      <c r="D21" s="78" t="s">
        <v>313</v>
      </c>
      <c r="E21" s="171" t="s">
        <v>220</v>
      </c>
      <c r="F21" s="78" t="s">
        <v>313</v>
      </c>
      <c r="G21" s="171" t="s">
        <v>313</v>
      </c>
      <c r="H21" s="224" t="s">
        <v>293</v>
      </c>
      <c r="I21" s="225" t="s">
        <v>328</v>
      </c>
      <c r="J21" s="224">
        <v>24</v>
      </c>
      <c r="K21" s="225" t="s">
        <v>269</v>
      </c>
      <c r="L21" s="226">
        <v>24000</v>
      </c>
      <c r="M21" s="227">
        <f t="shared" si="0"/>
        <v>576000</v>
      </c>
      <c r="N21" s="228">
        <v>0</v>
      </c>
      <c r="O21" s="227">
        <f t="shared" si="1"/>
        <v>0</v>
      </c>
      <c r="P21" s="228">
        <v>0.16</v>
      </c>
      <c r="Q21" s="227">
        <f t="shared" si="2"/>
        <v>92160</v>
      </c>
      <c r="R21" s="227">
        <f t="shared" si="3"/>
        <v>668160</v>
      </c>
      <c r="S21" s="229">
        <f>INDEX('Glosario Partidas'!$M$8:$M$10,MATCH(BD!K21,'Glosario Partidas'!$L$8:$L$10,0))</f>
        <v>1</v>
      </c>
      <c r="T21" s="227">
        <f t="shared" si="4"/>
        <v>668160</v>
      </c>
      <c r="U21" s="230" t="s">
        <v>315</v>
      </c>
      <c r="V21" s="231" t="s">
        <v>13</v>
      </c>
    </row>
    <row r="22" spans="2:22" ht="12" customHeight="1" x14ac:dyDescent="0.2">
      <c r="B22" s="63" t="s">
        <v>290</v>
      </c>
      <c r="C22" s="63" t="s">
        <v>329</v>
      </c>
      <c r="D22" s="78" t="s">
        <v>313</v>
      </c>
      <c r="E22" s="171" t="s">
        <v>220</v>
      </c>
      <c r="F22" s="78" t="s">
        <v>313</v>
      </c>
      <c r="G22" s="171" t="s">
        <v>313</v>
      </c>
      <c r="H22" s="224" t="s">
        <v>293</v>
      </c>
      <c r="I22" s="225" t="s">
        <v>328</v>
      </c>
      <c r="J22" s="224">
        <v>26</v>
      </c>
      <c r="K22" s="225" t="s">
        <v>269</v>
      </c>
      <c r="L22" s="226">
        <v>45000</v>
      </c>
      <c r="M22" s="227">
        <f t="shared" si="0"/>
        <v>1170000</v>
      </c>
      <c r="N22" s="228">
        <v>0</v>
      </c>
      <c r="O22" s="227">
        <f t="shared" si="1"/>
        <v>0</v>
      </c>
      <c r="P22" s="228">
        <v>0.16</v>
      </c>
      <c r="Q22" s="227">
        <f t="shared" si="2"/>
        <v>187200</v>
      </c>
      <c r="R22" s="227">
        <f t="shared" si="3"/>
        <v>1357200</v>
      </c>
      <c r="S22" s="229">
        <f>INDEX('Glosario Partidas'!$M$8:$M$10,MATCH(BD!K22,'Glosario Partidas'!$L$8:$L$10,0))</f>
        <v>1</v>
      </c>
      <c r="T22" s="227">
        <f t="shared" si="4"/>
        <v>1357200</v>
      </c>
      <c r="U22" s="230" t="s">
        <v>315</v>
      </c>
      <c r="V22" s="231" t="s">
        <v>13</v>
      </c>
    </row>
    <row r="23" spans="2:22" ht="12" customHeight="1" x14ac:dyDescent="0.2">
      <c r="B23" s="63" t="s">
        <v>290</v>
      </c>
      <c r="C23" s="63" t="s">
        <v>330</v>
      </c>
      <c r="D23" s="78" t="s">
        <v>313</v>
      </c>
      <c r="E23" s="171" t="s">
        <v>220</v>
      </c>
      <c r="F23" s="78" t="s">
        <v>313</v>
      </c>
      <c r="G23" s="171" t="s">
        <v>313</v>
      </c>
      <c r="H23" s="224" t="s">
        <v>293</v>
      </c>
      <c r="I23" s="225" t="s">
        <v>328</v>
      </c>
      <c r="J23" s="224">
        <v>26</v>
      </c>
      <c r="K23" s="225" t="s">
        <v>269</v>
      </c>
      <c r="L23" s="226">
        <v>70000</v>
      </c>
      <c r="M23" s="227">
        <f t="shared" si="0"/>
        <v>1820000</v>
      </c>
      <c r="N23" s="228">
        <v>0</v>
      </c>
      <c r="O23" s="227">
        <f t="shared" si="1"/>
        <v>0</v>
      </c>
      <c r="P23" s="228">
        <v>0.16</v>
      </c>
      <c r="Q23" s="227">
        <f t="shared" si="2"/>
        <v>291200</v>
      </c>
      <c r="R23" s="227">
        <f t="shared" si="3"/>
        <v>2111200</v>
      </c>
      <c r="S23" s="229">
        <f>INDEX('Glosario Partidas'!$M$8:$M$10,MATCH(BD!K23,'Glosario Partidas'!$L$8:$L$10,0))</f>
        <v>1</v>
      </c>
      <c r="T23" s="227">
        <f t="shared" si="4"/>
        <v>2111200</v>
      </c>
      <c r="U23" s="230" t="s">
        <v>315</v>
      </c>
      <c r="V23" s="231" t="s">
        <v>13</v>
      </c>
    </row>
    <row r="24" spans="2:22" ht="12" customHeight="1" x14ac:dyDescent="0.2">
      <c r="B24" s="63" t="s">
        <v>290</v>
      </c>
      <c r="C24" s="63" t="s">
        <v>331</v>
      </c>
      <c r="D24" s="78" t="s">
        <v>313</v>
      </c>
      <c r="E24" s="171" t="s">
        <v>220</v>
      </c>
      <c r="F24" s="78" t="s">
        <v>313</v>
      </c>
      <c r="G24" s="171" t="s">
        <v>313</v>
      </c>
      <c r="H24" s="224" t="s">
        <v>293</v>
      </c>
      <c r="I24" s="225" t="s">
        <v>328</v>
      </c>
      <c r="J24" s="224">
        <v>26</v>
      </c>
      <c r="K24" s="225" t="s">
        <v>269</v>
      </c>
      <c r="L24" s="226">
        <v>25000</v>
      </c>
      <c r="M24" s="227">
        <f t="shared" si="0"/>
        <v>650000</v>
      </c>
      <c r="N24" s="228">
        <v>0</v>
      </c>
      <c r="O24" s="227">
        <f t="shared" si="1"/>
        <v>0</v>
      </c>
      <c r="P24" s="228">
        <v>0.16</v>
      </c>
      <c r="Q24" s="227">
        <f t="shared" si="2"/>
        <v>104000</v>
      </c>
      <c r="R24" s="227">
        <f t="shared" si="3"/>
        <v>754000</v>
      </c>
      <c r="S24" s="229">
        <f>INDEX('Glosario Partidas'!$M$8:$M$10,MATCH(BD!K24,'Glosario Partidas'!$L$8:$L$10,0))</f>
        <v>1</v>
      </c>
      <c r="T24" s="227">
        <f t="shared" si="4"/>
        <v>754000</v>
      </c>
      <c r="U24" s="230" t="s">
        <v>315</v>
      </c>
      <c r="V24" s="231" t="s">
        <v>13</v>
      </c>
    </row>
    <row r="25" spans="2:22" ht="12" customHeight="1" x14ac:dyDescent="0.2">
      <c r="B25" s="63" t="s">
        <v>290</v>
      </c>
      <c r="C25" s="63" t="s">
        <v>332</v>
      </c>
      <c r="D25" s="78" t="s">
        <v>313</v>
      </c>
      <c r="E25" s="171" t="s">
        <v>220</v>
      </c>
      <c r="F25" s="78" t="s">
        <v>313</v>
      </c>
      <c r="G25" s="171" t="s">
        <v>313</v>
      </c>
      <c r="H25" s="224" t="s">
        <v>293</v>
      </c>
      <c r="I25" s="225" t="s">
        <v>328</v>
      </c>
      <c r="J25" s="224">
        <v>26</v>
      </c>
      <c r="K25" s="225" t="s">
        <v>269</v>
      </c>
      <c r="L25" s="226">
        <v>60000</v>
      </c>
      <c r="M25" s="227">
        <f t="shared" si="0"/>
        <v>1560000</v>
      </c>
      <c r="N25" s="228">
        <v>0</v>
      </c>
      <c r="O25" s="227">
        <f t="shared" si="1"/>
        <v>0</v>
      </c>
      <c r="P25" s="228">
        <v>0.16</v>
      </c>
      <c r="Q25" s="227">
        <f t="shared" si="2"/>
        <v>249600</v>
      </c>
      <c r="R25" s="227">
        <f t="shared" si="3"/>
        <v>1809600</v>
      </c>
      <c r="S25" s="229">
        <f>INDEX('Glosario Partidas'!$M$8:$M$10,MATCH(BD!K25,'Glosario Partidas'!$L$8:$L$10,0))</f>
        <v>1</v>
      </c>
      <c r="T25" s="227">
        <f t="shared" si="4"/>
        <v>1809600</v>
      </c>
      <c r="U25" s="230" t="s">
        <v>315</v>
      </c>
      <c r="V25" s="231" t="s">
        <v>13</v>
      </c>
    </row>
    <row r="26" spans="2:22" ht="12" customHeight="1" x14ac:dyDescent="0.2">
      <c r="B26" s="63" t="s">
        <v>290</v>
      </c>
      <c r="C26" s="63" t="s">
        <v>333</v>
      </c>
      <c r="D26" s="78" t="s">
        <v>313</v>
      </c>
      <c r="E26" s="171" t="s">
        <v>220</v>
      </c>
      <c r="F26" s="78" t="s">
        <v>313</v>
      </c>
      <c r="G26" s="171" t="s">
        <v>313</v>
      </c>
      <c r="H26" s="224" t="s">
        <v>293</v>
      </c>
      <c r="I26" s="225" t="s">
        <v>328</v>
      </c>
      <c r="J26" s="224">
        <v>14</v>
      </c>
      <c r="K26" s="225" t="s">
        <v>269</v>
      </c>
      <c r="L26" s="226">
        <v>40000</v>
      </c>
      <c r="M26" s="227">
        <f t="shared" si="0"/>
        <v>560000</v>
      </c>
      <c r="N26" s="228">
        <v>0</v>
      </c>
      <c r="O26" s="227">
        <f t="shared" si="1"/>
        <v>0</v>
      </c>
      <c r="P26" s="228">
        <v>0.16</v>
      </c>
      <c r="Q26" s="227">
        <f t="shared" si="2"/>
        <v>89600</v>
      </c>
      <c r="R26" s="227">
        <f t="shared" si="3"/>
        <v>649600</v>
      </c>
      <c r="S26" s="229">
        <f>INDEX('Glosario Partidas'!$M$8:$M$10,MATCH(BD!K26,'Glosario Partidas'!$L$8:$L$10,0))</f>
        <v>1</v>
      </c>
      <c r="T26" s="227">
        <f t="shared" si="4"/>
        <v>649600</v>
      </c>
      <c r="U26" s="230" t="s">
        <v>315</v>
      </c>
      <c r="V26" s="231" t="s">
        <v>13</v>
      </c>
    </row>
    <row r="27" spans="2:22" ht="12" customHeight="1" x14ac:dyDescent="0.2">
      <c r="B27" s="63" t="s">
        <v>290</v>
      </c>
      <c r="C27" s="63" t="s">
        <v>334</v>
      </c>
      <c r="D27" s="78" t="s">
        <v>313</v>
      </c>
      <c r="E27" s="171" t="s">
        <v>220</v>
      </c>
      <c r="F27" s="78" t="s">
        <v>313</v>
      </c>
      <c r="G27" s="171" t="s">
        <v>313</v>
      </c>
      <c r="H27" s="224" t="s">
        <v>293</v>
      </c>
      <c r="I27" s="225" t="s">
        <v>328</v>
      </c>
      <c r="J27" s="224">
        <v>14</v>
      </c>
      <c r="K27" s="225" t="s">
        <v>269</v>
      </c>
      <c r="L27" s="226">
        <v>60000</v>
      </c>
      <c r="M27" s="227">
        <f t="shared" si="0"/>
        <v>840000</v>
      </c>
      <c r="N27" s="228">
        <v>0</v>
      </c>
      <c r="O27" s="227">
        <f t="shared" si="1"/>
        <v>0</v>
      </c>
      <c r="P27" s="228">
        <v>0.16</v>
      </c>
      <c r="Q27" s="227">
        <f t="shared" si="2"/>
        <v>134400</v>
      </c>
      <c r="R27" s="227">
        <f t="shared" si="3"/>
        <v>974400</v>
      </c>
      <c r="S27" s="229">
        <f>INDEX('Glosario Partidas'!$M$8:$M$10,MATCH(BD!K27,'Glosario Partidas'!$L$8:$L$10,0))</f>
        <v>1</v>
      </c>
      <c r="T27" s="227">
        <f t="shared" si="4"/>
        <v>974400</v>
      </c>
      <c r="U27" s="230" t="s">
        <v>315</v>
      </c>
      <c r="V27" s="231" t="s">
        <v>13</v>
      </c>
    </row>
    <row r="28" spans="2:22" ht="12" customHeight="1" x14ac:dyDescent="0.2">
      <c r="B28" s="63" t="s">
        <v>290</v>
      </c>
      <c r="C28" s="63" t="s">
        <v>335</v>
      </c>
      <c r="D28" s="78" t="s">
        <v>313</v>
      </c>
      <c r="E28" s="171" t="s">
        <v>220</v>
      </c>
      <c r="F28" s="78" t="s">
        <v>313</v>
      </c>
      <c r="G28" s="171" t="s">
        <v>313</v>
      </c>
      <c r="H28" s="224" t="s">
        <v>293</v>
      </c>
      <c r="I28" s="225" t="s">
        <v>328</v>
      </c>
      <c r="J28" s="224">
        <v>24</v>
      </c>
      <c r="K28" s="225" t="s">
        <v>269</v>
      </c>
      <c r="L28" s="226">
        <v>35000</v>
      </c>
      <c r="M28" s="227">
        <f t="shared" si="0"/>
        <v>840000</v>
      </c>
      <c r="N28" s="228">
        <v>0</v>
      </c>
      <c r="O28" s="227">
        <f t="shared" si="1"/>
        <v>0</v>
      </c>
      <c r="P28" s="228">
        <v>0.16</v>
      </c>
      <c r="Q28" s="227">
        <f t="shared" si="2"/>
        <v>134400</v>
      </c>
      <c r="R28" s="227">
        <f t="shared" si="3"/>
        <v>974400</v>
      </c>
      <c r="S28" s="229">
        <f>INDEX('Glosario Partidas'!$M$8:$M$10,MATCH(BD!K28,'Glosario Partidas'!$L$8:$L$10,0))</f>
        <v>1</v>
      </c>
      <c r="T28" s="227">
        <f t="shared" si="4"/>
        <v>974400</v>
      </c>
      <c r="U28" s="230" t="s">
        <v>315</v>
      </c>
      <c r="V28" s="231" t="s">
        <v>13</v>
      </c>
    </row>
    <row r="29" spans="2:22" ht="12" customHeight="1" x14ac:dyDescent="0.2">
      <c r="B29" s="63" t="s">
        <v>50</v>
      </c>
      <c r="C29" s="63" t="s">
        <v>50</v>
      </c>
      <c r="D29" s="78" t="s">
        <v>313</v>
      </c>
      <c r="E29" s="171" t="s">
        <v>220</v>
      </c>
      <c r="F29" s="78" t="s">
        <v>313</v>
      </c>
      <c r="G29" s="171" t="s">
        <v>313</v>
      </c>
      <c r="H29" s="224" t="s">
        <v>293</v>
      </c>
      <c r="I29" s="225" t="s">
        <v>314</v>
      </c>
      <c r="J29" s="224">
        <v>1</v>
      </c>
      <c r="K29" s="225" t="s">
        <v>269</v>
      </c>
      <c r="L29" s="226">
        <v>200000</v>
      </c>
      <c r="M29" s="227">
        <f t="shared" si="0"/>
        <v>200000</v>
      </c>
      <c r="N29" s="228">
        <v>0</v>
      </c>
      <c r="O29" s="227">
        <f t="shared" si="1"/>
        <v>0</v>
      </c>
      <c r="P29" s="228">
        <v>0.16</v>
      </c>
      <c r="Q29" s="227">
        <f t="shared" si="2"/>
        <v>32000</v>
      </c>
      <c r="R29" s="227">
        <f t="shared" si="3"/>
        <v>232000</v>
      </c>
      <c r="S29" s="229">
        <f>INDEX('Glosario Partidas'!$M$8:$M$10,MATCH(BD!K29,'Glosario Partidas'!$L$8:$L$10,0))</f>
        <v>1</v>
      </c>
      <c r="T29" s="227">
        <f t="shared" si="4"/>
        <v>232000</v>
      </c>
      <c r="U29" s="230" t="s">
        <v>315</v>
      </c>
      <c r="V29" s="231" t="s">
        <v>13</v>
      </c>
    </row>
    <row r="30" spans="2:22" ht="12" customHeight="1" x14ac:dyDescent="0.2">
      <c r="B30" s="63" t="s">
        <v>52</v>
      </c>
      <c r="C30" s="63" t="s">
        <v>336</v>
      </c>
      <c r="D30" s="78" t="s">
        <v>313</v>
      </c>
      <c r="E30" s="171" t="s">
        <v>220</v>
      </c>
      <c r="F30" s="78" t="s">
        <v>313</v>
      </c>
      <c r="G30" s="171" t="s">
        <v>313</v>
      </c>
      <c r="H30" s="224" t="s">
        <v>337</v>
      </c>
      <c r="I30" s="225" t="s">
        <v>207</v>
      </c>
      <c r="J30" s="224">
        <v>1600</v>
      </c>
      <c r="K30" s="225" t="s">
        <v>269</v>
      </c>
      <c r="L30" s="226">
        <v>17250</v>
      </c>
      <c r="M30" s="227">
        <f t="shared" si="0"/>
        <v>27600000</v>
      </c>
      <c r="N30" s="228">
        <v>0</v>
      </c>
      <c r="O30" s="227">
        <f t="shared" si="1"/>
        <v>0</v>
      </c>
      <c r="P30" s="228">
        <v>0.16</v>
      </c>
      <c r="Q30" s="227">
        <f t="shared" si="2"/>
        <v>4416000</v>
      </c>
      <c r="R30" s="227">
        <f t="shared" si="3"/>
        <v>32016000</v>
      </c>
      <c r="S30" s="229">
        <f>INDEX('Glosario Partidas'!$M$8:$M$10,MATCH(BD!K30,'Glosario Partidas'!$L$8:$L$10,0))</f>
        <v>1</v>
      </c>
      <c r="T30" s="227">
        <f t="shared" si="4"/>
        <v>32016000</v>
      </c>
      <c r="U30" s="230" t="s">
        <v>315</v>
      </c>
      <c r="V30" s="231" t="s">
        <v>13</v>
      </c>
    </row>
    <row r="31" spans="2:22" ht="12" customHeight="1" x14ac:dyDescent="0.2">
      <c r="B31" s="63" t="s">
        <v>52</v>
      </c>
      <c r="C31" s="63" t="s">
        <v>39</v>
      </c>
      <c r="D31" s="78" t="s">
        <v>338</v>
      </c>
      <c r="E31" s="171" t="s">
        <v>220</v>
      </c>
      <c r="F31" s="78" t="s">
        <v>313</v>
      </c>
      <c r="G31" s="171" t="s">
        <v>313</v>
      </c>
      <c r="H31" s="224" t="s">
        <v>339</v>
      </c>
      <c r="I31" s="225" t="s">
        <v>314</v>
      </c>
      <c r="J31" s="224">
        <v>1</v>
      </c>
      <c r="K31" s="225" t="s">
        <v>269</v>
      </c>
      <c r="L31" s="226">
        <v>411043</v>
      </c>
      <c r="M31" s="227">
        <f t="shared" si="0"/>
        <v>411043</v>
      </c>
      <c r="N31" s="228">
        <v>0</v>
      </c>
      <c r="O31" s="227">
        <f t="shared" si="1"/>
        <v>0</v>
      </c>
      <c r="P31" s="228">
        <v>0</v>
      </c>
      <c r="Q31" s="227">
        <f t="shared" si="2"/>
        <v>0</v>
      </c>
      <c r="R31" s="227">
        <f t="shared" si="3"/>
        <v>411043</v>
      </c>
      <c r="S31" s="229">
        <f>INDEX('Glosario Partidas'!$M$8:$M$10,MATCH(BD!K31,'Glosario Partidas'!$L$8:$L$10,0))</f>
        <v>1</v>
      </c>
      <c r="T31" s="227">
        <f t="shared" si="4"/>
        <v>411043</v>
      </c>
      <c r="U31" s="230" t="s">
        <v>315</v>
      </c>
      <c r="V31" s="231" t="s">
        <v>12</v>
      </c>
    </row>
    <row r="32" spans="2:22" ht="12" customHeight="1" x14ac:dyDescent="0.2">
      <c r="B32" s="63" t="s">
        <v>213</v>
      </c>
      <c r="C32" s="63" t="s">
        <v>340</v>
      </c>
      <c r="D32" s="63" t="s">
        <v>341</v>
      </c>
      <c r="E32" s="171" t="s">
        <v>220</v>
      </c>
      <c r="F32" s="63" t="s">
        <v>341</v>
      </c>
      <c r="G32" s="171" t="s">
        <v>342</v>
      </c>
      <c r="H32" s="224" t="s">
        <v>293</v>
      </c>
      <c r="I32" s="225" t="s">
        <v>207</v>
      </c>
      <c r="J32" s="224">
        <v>0</v>
      </c>
      <c r="K32" s="225" t="s">
        <v>269</v>
      </c>
      <c r="L32" s="226">
        <v>905.76900000000001</v>
      </c>
      <c r="M32" s="227">
        <f t="shared" si="0"/>
        <v>0</v>
      </c>
      <c r="N32" s="228">
        <v>0</v>
      </c>
      <c r="O32" s="227">
        <f t="shared" si="1"/>
        <v>0</v>
      </c>
      <c r="P32" s="228">
        <v>0.16</v>
      </c>
      <c r="Q32" s="227">
        <f t="shared" si="2"/>
        <v>0</v>
      </c>
      <c r="R32" s="227">
        <f t="shared" si="3"/>
        <v>0</v>
      </c>
      <c r="S32" s="229">
        <f>INDEX('Glosario Partidas'!$M$8:$M$10,MATCH(BD!K32,'Glosario Partidas'!$L$8:$L$10,0))</f>
        <v>1</v>
      </c>
      <c r="T32" s="227">
        <f t="shared" si="4"/>
        <v>0</v>
      </c>
      <c r="U32" s="230" t="s">
        <v>315</v>
      </c>
      <c r="V32" s="231" t="s">
        <v>13</v>
      </c>
    </row>
    <row r="33" spans="2:22" ht="12" customHeight="1" x14ac:dyDescent="0.2">
      <c r="B33" s="63" t="s">
        <v>213</v>
      </c>
      <c r="C33" s="63" t="s">
        <v>343</v>
      </c>
      <c r="D33" s="63" t="s">
        <v>344</v>
      </c>
      <c r="E33" s="171" t="s">
        <v>220</v>
      </c>
      <c r="F33" s="63" t="s">
        <v>344</v>
      </c>
      <c r="G33" s="171" t="s">
        <v>342</v>
      </c>
      <c r="H33" s="224" t="s">
        <v>293</v>
      </c>
      <c r="I33" s="225" t="s">
        <v>207</v>
      </c>
      <c r="J33" s="224">
        <v>0</v>
      </c>
      <c r="K33" s="225" t="s">
        <v>269</v>
      </c>
      <c r="L33" s="226">
        <v>3593.9409999999998</v>
      </c>
      <c r="M33" s="227">
        <f t="shared" si="0"/>
        <v>0</v>
      </c>
      <c r="N33" s="228">
        <v>0</v>
      </c>
      <c r="O33" s="227">
        <f t="shared" si="1"/>
        <v>0</v>
      </c>
      <c r="P33" s="228">
        <v>0.16</v>
      </c>
      <c r="Q33" s="227">
        <f t="shared" si="2"/>
        <v>0</v>
      </c>
      <c r="R33" s="227">
        <f t="shared" si="3"/>
        <v>0</v>
      </c>
      <c r="S33" s="229">
        <f>INDEX('Glosario Partidas'!$M$8:$M$10,MATCH(BD!K33,'Glosario Partidas'!$L$8:$L$10,0))</f>
        <v>1</v>
      </c>
      <c r="T33" s="227">
        <f t="shared" si="4"/>
        <v>0</v>
      </c>
      <c r="U33" s="230" t="s">
        <v>315</v>
      </c>
      <c r="V33" s="231" t="s">
        <v>13</v>
      </c>
    </row>
    <row r="34" spans="2:22" ht="12" customHeight="1" x14ac:dyDescent="0.2">
      <c r="B34" s="63" t="s">
        <v>213</v>
      </c>
      <c r="C34" s="63" t="s">
        <v>343</v>
      </c>
      <c r="D34" s="63" t="s">
        <v>345</v>
      </c>
      <c r="E34" s="171" t="s">
        <v>220</v>
      </c>
      <c r="F34" s="63" t="s">
        <v>345</v>
      </c>
      <c r="G34" s="171" t="s">
        <v>342</v>
      </c>
      <c r="H34" s="224" t="s">
        <v>293</v>
      </c>
      <c r="I34" s="225" t="s">
        <v>207</v>
      </c>
      <c r="J34" s="224">
        <v>0</v>
      </c>
      <c r="K34" s="225" t="s">
        <v>269</v>
      </c>
      <c r="L34" s="226">
        <v>3593.9409999999998</v>
      </c>
      <c r="M34" s="227">
        <f t="shared" si="0"/>
        <v>0</v>
      </c>
      <c r="N34" s="228">
        <v>0</v>
      </c>
      <c r="O34" s="227">
        <f t="shared" si="1"/>
        <v>0</v>
      </c>
      <c r="P34" s="228">
        <v>0.16</v>
      </c>
      <c r="Q34" s="227">
        <f t="shared" si="2"/>
        <v>0</v>
      </c>
      <c r="R34" s="227">
        <f t="shared" si="3"/>
        <v>0</v>
      </c>
      <c r="S34" s="229">
        <f>INDEX('Glosario Partidas'!$M$8:$M$10,MATCH(BD!K34,'Glosario Partidas'!$L$8:$L$10,0))</f>
        <v>1</v>
      </c>
      <c r="T34" s="227">
        <f t="shared" si="4"/>
        <v>0</v>
      </c>
      <c r="U34" s="230" t="s">
        <v>315</v>
      </c>
      <c r="V34" s="231" t="s">
        <v>13</v>
      </c>
    </row>
    <row r="35" spans="2:22" ht="12" customHeight="1" x14ac:dyDescent="0.2">
      <c r="B35" s="63" t="s">
        <v>213</v>
      </c>
      <c r="C35" s="63" t="s">
        <v>346</v>
      </c>
      <c r="D35" s="63" t="s">
        <v>347</v>
      </c>
      <c r="E35" s="171" t="s">
        <v>220</v>
      </c>
      <c r="F35" s="63" t="s">
        <v>347</v>
      </c>
      <c r="G35" s="171" t="s">
        <v>342</v>
      </c>
      <c r="H35" s="224" t="s">
        <v>293</v>
      </c>
      <c r="I35" s="225" t="s">
        <v>316</v>
      </c>
      <c r="J35" s="224">
        <v>0</v>
      </c>
      <c r="K35" s="225" t="s">
        <v>269</v>
      </c>
      <c r="L35" s="226">
        <v>12880</v>
      </c>
      <c r="M35" s="227">
        <f t="shared" si="0"/>
        <v>0</v>
      </c>
      <c r="N35" s="228">
        <v>0</v>
      </c>
      <c r="O35" s="227">
        <f t="shared" si="1"/>
        <v>0</v>
      </c>
      <c r="P35" s="228">
        <v>0.16</v>
      </c>
      <c r="Q35" s="227">
        <f t="shared" si="2"/>
        <v>0</v>
      </c>
      <c r="R35" s="227">
        <f t="shared" si="3"/>
        <v>0</v>
      </c>
      <c r="S35" s="229">
        <f>INDEX('Glosario Partidas'!$M$8:$M$10,MATCH(BD!K35,'Glosario Partidas'!$L$8:$L$10,0))</f>
        <v>1</v>
      </c>
      <c r="T35" s="227">
        <f t="shared" si="4"/>
        <v>0</v>
      </c>
      <c r="U35" s="230" t="s">
        <v>315</v>
      </c>
      <c r="V35" s="231" t="s">
        <v>13</v>
      </c>
    </row>
    <row r="36" spans="2:22" ht="12" customHeight="1" x14ac:dyDescent="0.2">
      <c r="B36" s="63" t="s">
        <v>211</v>
      </c>
      <c r="C36" s="63" t="s">
        <v>348</v>
      </c>
      <c r="D36" s="78" t="s">
        <v>313</v>
      </c>
      <c r="E36" s="171" t="s">
        <v>220</v>
      </c>
      <c r="F36" s="78" t="s">
        <v>221</v>
      </c>
      <c r="G36" s="171" t="s">
        <v>313</v>
      </c>
      <c r="H36" s="224" t="s">
        <v>349</v>
      </c>
      <c r="I36" s="225" t="s">
        <v>207</v>
      </c>
      <c r="J36" s="224">
        <v>599.85</v>
      </c>
      <c r="K36" s="225" t="s">
        <v>269</v>
      </c>
      <c r="L36" s="226">
        <v>543.41999999999996</v>
      </c>
      <c r="M36" s="227">
        <f t="shared" si="0"/>
        <v>325970.48699999996</v>
      </c>
      <c r="N36" s="228">
        <v>0</v>
      </c>
      <c r="O36" s="227">
        <f t="shared" si="1"/>
        <v>0</v>
      </c>
      <c r="P36" s="228">
        <v>0</v>
      </c>
      <c r="Q36" s="227">
        <f t="shared" si="2"/>
        <v>0</v>
      </c>
      <c r="R36" s="227">
        <f t="shared" si="3"/>
        <v>325970.48699999996</v>
      </c>
      <c r="S36" s="229">
        <f>INDEX('Glosario Partidas'!$M$8:$M$10,MATCH(BD!K36,'Glosario Partidas'!$L$8:$L$10,0))</f>
        <v>1</v>
      </c>
      <c r="T36" s="227">
        <f t="shared" si="4"/>
        <v>325970.48699999996</v>
      </c>
      <c r="U36" s="230" t="s">
        <v>350</v>
      </c>
      <c r="V36" s="231" t="s">
        <v>12</v>
      </c>
    </row>
    <row r="37" spans="2:22" ht="12" customHeight="1" x14ac:dyDescent="0.2">
      <c r="B37" s="63" t="s">
        <v>211</v>
      </c>
      <c r="C37" s="63" t="s">
        <v>351</v>
      </c>
      <c r="D37" s="78" t="s">
        <v>313</v>
      </c>
      <c r="E37" s="171" t="s">
        <v>220</v>
      </c>
      <c r="F37" s="78" t="s">
        <v>221</v>
      </c>
      <c r="G37" s="171" t="s">
        <v>313</v>
      </c>
      <c r="H37" s="224" t="s">
        <v>349</v>
      </c>
      <c r="I37" s="225" t="s">
        <v>207</v>
      </c>
      <c r="J37" s="224">
        <v>219.07</v>
      </c>
      <c r="K37" s="225" t="s">
        <v>269</v>
      </c>
      <c r="L37" s="226">
        <v>612.30999999999995</v>
      </c>
      <c r="M37" s="227">
        <f t="shared" si="0"/>
        <v>134138.75169999999</v>
      </c>
      <c r="N37" s="228">
        <v>0</v>
      </c>
      <c r="O37" s="227">
        <f t="shared" si="1"/>
        <v>0</v>
      </c>
      <c r="P37" s="228">
        <v>0</v>
      </c>
      <c r="Q37" s="227">
        <f t="shared" si="2"/>
        <v>0</v>
      </c>
      <c r="R37" s="227">
        <f t="shared" si="3"/>
        <v>134138.75169999999</v>
      </c>
      <c r="S37" s="229">
        <f>INDEX('Glosario Partidas'!$M$8:$M$10,MATCH(BD!K37,'Glosario Partidas'!$L$8:$L$10,0))</f>
        <v>1</v>
      </c>
      <c r="T37" s="227">
        <f t="shared" si="4"/>
        <v>134138.75169999999</v>
      </c>
      <c r="U37" s="230" t="s">
        <v>350</v>
      </c>
      <c r="V37" s="231" t="s">
        <v>12</v>
      </c>
    </row>
    <row r="38" spans="2:22" ht="12" customHeight="1" x14ac:dyDescent="0.2">
      <c r="B38" s="63" t="s">
        <v>211</v>
      </c>
      <c r="C38" s="63" t="s">
        <v>352</v>
      </c>
      <c r="D38" s="78" t="s">
        <v>313</v>
      </c>
      <c r="E38" s="171" t="s">
        <v>220</v>
      </c>
      <c r="F38" s="78" t="s">
        <v>221</v>
      </c>
      <c r="G38" s="171" t="s">
        <v>313</v>
      </c>
      <c r="H38" s="224" t="s">
        <v>349</v>
      </c>
      <c r="I38" s="225" t="s">
        <v>207</v>
      </c>
      <c r="J38" s="224">
        <v>39.729999999999997</v>
      </c>
      <c r="K38" s="225" t="s">
        <v>269</v>
      </c>
      <c r="L38" s="226">
        <v>1159.5</v>
      </c>
      <c r="M38" s="227">
        <f t="shared" si="0"/>
        <v>46066.934999999998</v>
      </c>
      <c r="N38" s="228">
        <v>0</v>
      </c>
      <c r="O38" s="227">
        <f t="shared" si="1"/>
        <v>0</v>
      </c>
      <c r="P38" s="228">
        <v>0</v>
      </c>
      <c r="Q38" s="227">
        <f t="shared" si="2"/>
        <v>0</v>
      </c>
      <c r="R38" s="227">
        <f t="shared" si="3"/>
        <v>46066.934999999998</v>
      </c>
      <c r="S38" s="229">
        <f>INDEX('Glosario Partidas'!$M$8:$M$10,MATCH(BD!K38,'Glosario Partidas'!$L$8:$L$10,0))</f>
        <v>1</v>
      </c>
      <c r="T38" s="227">
        <f t="shared" si="4"/>
        <v>46066.934999999998</v>
      </c>
      <c r="U38" s="230" t="s">
        <v>350</v>
      </c>
      <c r="V38" s="231" t="s">
        <v>12</v>
      </c>
    </row>
    <row r="39" spans="2:22" ht="12" customHeight="1" x14ac:dyDescent="0.2">
      <c r="B39" s="63" t="s">
        <v>211</v>
      </c>
      <c r="C39" s="63" t="s">
        <v>353</v>
      </c>
      <c r="D39" s="78" t="s">
        <v>313</v>
      </c>
      <c r="E39" s="171" t="s">
        <v>220</v>
      </c>
      <c r="F39" s="78" t="s">
        <v>221</v>
      </c>
      <c r="G39" s="171" t="s">
        <v>313</v>
      </c>
      <c r="H39" s="224" t="s">
        <v>349</v>
      </c>
      <c r="I39" s="225" t="s">
        <v>207</v>
      </c>
      <c r="J39" s="224">
        <v>108.18</v>
      </c>
      <c r="K39" s="225" t="s">
        <v>269</v>
      </c>
      <c r="L39" s="226">
        <v>680.44</v>
      </c>
      <c r="M39" s="227">
        <f t="shared" si="0"/>
        <v>73609.999200000006</v>
      </c>
      <c r="N39" s="228">
        <v>0</v>
      </c>
      <c r="O39" s="227">
        <f t="shared" si="1"/>
        <v>0</v>
      </c>
      <c r="P39" s="228">
        <v>0</v>
      </c>
      <c r="Q39" s="227">
        <f t="shared" si="2"/>
        <v>0</v>
      </c>
      <c r="R39" s="227">
        <f t="shared" si="3"/>
        <v>73609.999200000006</v>
      </c>
      <c r="S39" s="229">
        <f>INDEX('Glosario Partidas'!$M$8:$M$10,MATCH(BD!K39,'Glosario Partidas'!$L$8:$L$10,0))</f>
        <v>1</v>
      </c>
      <c r="T39" s="227">
        <f t="shared" si="4"/>
        <v>73609.999200000006</v>
      </c>
      <c r="U39" s="230" t="s">
        <v>350</v>
      </c>
      <c r="V39" s="231" t="s">
        <v>12</v>
      </c>
    </row>
    <row r="40" spans="2:22" ht="12" customHeight="1" x14ac:dyDescent="0.2">
      <c r="B40" s="63" t="s">
        <v>211</v>
      </c>
      <c r="C40" s="63" t="s">
        <v>348</v>
      </c>
      <c r="D40" s="78" t="s">
        <v>313</v>
      </c>
      <c r="E40" s="171" t="s">
        <v>220</v>
      </c>
      <c r="F40" s="78" t="s">
        <v>354</v>
      </c>
      <c r="G40" s="171" t="s">
        <v>313</v>
      </c>
      <c r="H40" s="224" t="s">
        <v>349</v>
      </c>
      <c r="I40" s="225" t="s">
        <v>207</v>
      </c>
      <c r="J40" s="224">
        <v>579.41999999999996</v>
      </c>
      <c r="K40" s="225" t="s">
        <v>269</v>
      </c>
      <c r="L40" s="226">
        <v>543.41999999999996</v>
      </c>
      <c r="M40" s="227">
        <f t="shared" si="0"/>
        <v>314868.41639999993</v>
      </c>
      <c r="N40" s="228">
        <v>0</v>
      </c>
      <c r="O40" s="227">
        <f t="shared" si="1"/>
        <v>0</v>
      </c>
      <c r="P40" s="228">
        <v>0</v>
      </c>
      <c r="Q40" s="227">
        <f t="shared" si="2"/>
        <v>0</v>
      </c>
      <c r="R40" s="227">
        <f t="shared" si="3"/>
        <v>314868.41639999993</v>
      </c>
      <c r="S40" s="229">
        <f>INDEX('Glosario Partidas'!$M$8:$M$10,MATCH(BD!K40,'Glosario Partidas'!$L$8:$L$10,0))</f>
        <v>1</v>
      </c>
      <c r="T40" s="227">
        <f t="shared" si="4"/>
        <v>314868.41639999993</v>
      </c>
      <c r="U40" s="230" t="s">
        <v>350</v>
      </c>
      <c r="V40" s="231" t="s">
        <v>12</v>
      </c>
    </row>
    <row r="41" spans="2:22" ht="12" customHeight="1" x14ac:dyDescent="0.2">
      <c r="B41" s="63" t="s">
        <v>211</v>
      </c>
      <c r="C41" s="63" t="s">
        <v>351</v>
      </c>
      <c r="D41" s="78" t="s">
        <v>313</v>
      </c>
      <c r="E41" s="171" t="s">
        <v>220</v>
      </c>
      <c r="F41" s="78" t="s">
        <v>354</v>
      </c>
      <c r="G41" s="171" t="s">
        <v>313</v>
      </c>
      <c r="H41" s="224" t="s">
        <v>349</v>
      </c>
      <c r="I41" s="225" t="s">
        <v>207</v>
      </c>
      <c r="J41" s="224">
        <v>124.61</v>
      </c>
      <c r="K41" s="225" t="s">
        <v>269</v>
      </c>
      <c r="L41" s="226">
        <v>612.30999999999995</v>
      </c>
      <c r="M41" s="227">
        <f t="shared" si="0"/>
        <v>76299.949099999998</v>
      </c>
      <c r="N41" s="228">
        <v>0</v>
      </c>
      <c r="O41" s="227">
        <f t="shared" si="1"/>
        <v>0</v>
      </c>
      <c r="P41" s="228">
        <v>0</v>
      </c>
      <c r="Q41" s="227">
        <f t="shared" si="2"/>
        <v>0</v>
      </c>
      <c r="R41" s="227">
        <f t="shared" si="3"/>
        <v>76299.949099999998</v>
      </c>
      <c r="S41" s="229">
        <f>INDEX('Glosario Partidas'!$M$8:$M$10,MATCH(BD!K41,'Glosario Partidas'!$L$8:$L$10,0))</f>
        <v>1</v>
      </c>
      <c r="T41" s="227">
        <f t="shared" si="4"/>
        <v>76299.949099999998</v>
      </c>
      <c r="U41" s="230" t="s">
        <v>350</v>
      </c>
      <c r="V41" s="231" t="s">
        <v>12</v>
      </c>
    </row>
    <row r="42" spans="2:22" ht="12" customHeight="1" x14ac:dyDescent="0.2">
      <c r="B42" s="63" t="s">
        <v>211</v>
      </c>
      <c r="C42" s="63" t="s">
        <v>352</v>
      </c>
      <c r="D42" s="78" t="s">
        <v>313</v>
      </c>
      <c r="E42" s="171" t="s">
        <v>220</v>
      </c>
      <c r="F42" s="78" t="s">
        <v>354</v>
      </c>
      <c r="G42" s="171" t="s">
        <v>313</v>
      </c>
      <c r="H42" s="224" t="s">
        <v>349</v>
      </c>
      <c r="I42" s="225" t="s">
        <v>207</v>
      </c>
      <c r="J42" s="224">
        <v>39.79</v>
      </c>
      <c r="K42" s="225" t="s">
        <v>269</v>
      </c>
      <c r="L42" s="226">
        <v>1159.5</v>
      </c>
      <c r="M42" s="227">
        <f t="shared" si="0"/>
        <v>46136.504999999997</v>
      </c>
      <c r="N42" s="228">
        <v>0</v>
      </c>
      <c r="O42" s="227">
        <f t="shared" si="1"/>
        <v>0</v>
      </c>
      <c r="P42" s="228">
        <v>0</v>
      </c>
      <c r="Q42" s="227">
        <f t="shared" si="2"/>
        <v>0</v>
      </c>
      <c r="R42" s="227">
        <f t="shared" si="3"/>
        <v>46136.504999999997</v>
      </c>
      <c r="S42" s="229">
        <f>INDEX('Glosario Partidas'!$M$8:$M$10,MATCH(BD!K42,'Glosario Partidas'!$L$8:$L$10,0))</f>
        <v>1</v>
      </c>
      <c r="T42" s="227">
        <f t="shared" si="4"/>
        <v>46136.504999999997</v>
      </c>
      <c r="U42" s="230" t="s">
        <v>350</v>
      </c>
      <c r="V42" s="231" t="s">
        <v>12</v>
      </c>
    </row>
    <row r="43" spans="2:22" ht="12" customHeight="1" x14ac:dyDescent="0.2">
      <c r="B43" s="63" t="s">
        <v>211</v>
      </c>
      <c r="C43" s="63" t="s">
        <v>353</v>
      </c>
      <c r="D43" s="78" t="s">
        <v>313</v>
      </c>
      <c r="E43" s="171" t="s">
        <v>220</v>
      </c>
      <c r="F43" s="78" t="s">
        <v>354</v>
      </c>
      <c r="G43" s="171" t="s">
        <v>313</v>
      </c>
      <c r="H43" s="224" t="s">
        <v>349</v>
      </c>
      <c r="I43" s="225" t="s">
        <v>207</v>
      </c>
      <c r="J43" s="224">
        <v>261.56</v>
      </c>
      <c r="K43" s="225" t="s">
        <v>269</v>
      </c>
      <c r="L43" s="226">
        <v>680.44</v>
      </c>
      <c r="M43" s="227">
        <f t="shared" si="0"/>
        <v>177975.88640000002</v>
      </c>
      <c r="N43" s="228">
        <v>0</v>
      </c>
      <c r="O43" s="227">
        <f t="shared" si="1"/>
        <v>0</v>
      </c>
      <c r="P43" s="228">
        <v>0</v>
      </c>
      <c r="Q43" s="227">
        <f t="shared" si="2"/>
        <v>0</v>
      </c>
      <c r="R43" s="227">
        <f t="shared" si="3"/>
        <v>177975.88640000002</v>
      </c>
      <c r="S43" s="229">
        <f>INDEX('Glosario Partidas'!$M$8:$M$10,MATCH(BD!K43,'Glosario Partidas'!$L$8:$L$10,0))</f>
        <v>1</v>
      </c>
      <c r="T43" s="227">
        <f t="shared" si="4"/>
        <v>177975.88640000002</v>
      </c>
      <c r="U43" s="230" t="s">
        <v>350</v>
      </c>
      <c r="V43" s="231" t="s">
        <v>12</v>
      </c>
    </row>
    <row r="44" spans="2:22" ht="12" customHeight="1" x14ac:dyDescent="0.2">
      <c r="B44" s="63" t="s">
        <v>211</v>
      </c>
      <c r="C44" s="63" t="s">
        <v>348</v>
      </c>
      <c r="D44" s="78" t="s">
        <v>313</v>
      </c>
      <c r="E44" s="171" t="s">
        <v>220</v>
      </c>
      <c r="F44" s="78" t="s">
        <v>355</v>
      </c>
      <c r="G44" s="171" t="s">
        <v>313</v>
      </c>
      <c r="H44" s="224" t="s">
        <v>349</v>
      </c>
      <c r="I44" s="225" t="s">
        <v>207</v>
      </c>
      <c r="J44" s="224">
        <v>100.34</v>
      </c>
      <c r="K44" s="225" t="s">
        <v>269</v>
      </c>
      <c r="L44" s="226">
        <v>543.41999999999996</v>
      </c>
      <c r="M44" s="227">
        <f t="shared" si="0"/>
        <v>54526.762799999997</v>
      </c>
      <c r="N44" s="228">
        <v>0</v>
      </c>
      <c r="O44" s="227">
        <f t="shared" si="1"/>
        <v>0</v>
      </c>
      <c r="P44" s="228">
        <v>0</v>
      </c>
      <c r="Q44" s="227">
        <f t="shared" si="2"/>
        <v>0</v>
      </c>
      <c r="R44" s="227">
        <f t="shared" si="3"/>
        <v>54526.762799999997</v>
      </c>
      <c r="S44" s="229">
        <f>INDEX('Glosario Partidas'!$M$8:$M$10,MATCH(BD!K44,'Glosario Partidas'!$L$8:$L$10,0))</f>
        <v>1</v>
      </c>
      <c r="T44" s="227">
        <f t="shared" si="4"/>
        <v>54526.762799999997</v>
      </c>
      <c r="U44" s="230" t="s">
        <v>350</v>
      </c>
      <c r="V44" s="231" t="s">
        <v>12</v>
      </c>
    </row>
    <row r="45" spans="2:22" ht="12" customHeight="1" x14ac:dyDescent="0.2">
      <c r="B45" s="63" t="s">
        <v>211</v>
      </c>
      <c r="C45" s="63" t="s">
        <v>351</v>
      </c>
      <c r="D45" s="78" t="s">
        <v>313</v>
      </c>
      <c r="E45" s="171" t="s">
        <v>220</v>
      </c>
      <c r="F45" s="78" t="s">
        <v>355</v>
      </c>
      <c r="G45" s="171" t="s">
        <v>313</v>
      </c>
      <c r="H45" s="224" t="s">
        <v>349</v>
      </c>
      <c r="I45" s="225" t="s">
        <v>207</v>
      </c>
      <c r="J45" s="224">
        <v>552.03</v>
      </c>
      <c r="K45" s="225" t="s">
        <v>269</v>
      </c>
      <c r="L45" s="226">
        <v>612.30999999999995</v>
      </c>
      <c r="M45" s="227">
        <f t="shared" si="0"/>
        <v>338013.48929999996</v>
      </c>
      <c r="N45" s="228">
        <v>0</v>
      </c>
      <c r="O45" s="227">
        <f t="shared" si="1"/>
        <v>0</v>
      </c>
      <c r="P45" s="228">
        <v>0</v>
      </c>
      <c r="Q45" s="227">
        <f t="shared" si="2"/>
        <v>0</v>
      </c>
      <c r="R45" s="227">
        <f t="shared" si="3"/>
        <v>338013.48929999996</v>
      </c>
      <c r="S45" s="229">
        <f>INDEX('Glosario Partidas'!$M$8:$M$10,MATCH(BD!K45,'Glosario Partidas'!$L$8:$L$10,0))</f>
        <v>1</v>
      </c>
      <c r="T45" s="227">
        <f t="shared" si="4"/>
        <v>338013.48929999996</v>
      </c>
      <c r="U45" s="230" t="s">
        <v>350</v>
      </c>
      <c r="V45" s="231" t="s">
        <v>12</v>
      </c>
    </row>
    <row r="46" spans="2:22" ht="12" customHeight="1" x14ac:dyDescent="0.2">
      <c r="B46" s="63" t="s">
        <v>211</v>
      </c>
      <c r="C46" s="63" t="s">
        <v>353</v>
      </c>
      <c r="D46" s="78" t="s">
        <v>313</v>
      </c>
      <c r="E46" s="171" t="s">
        <v>220</v>
      </c>
      <c r="F46" s="78" t="s">
        <v>355</v>
      </c>
      <c r="G46" s="171" t="s">
        <v>313</v>
      </c>
      <c r="H46" s="224" t="s">
        <v>349</v>
      </c>
      <c r="I46" s="225" t="s">
        <v>207</v>
      </c>
      <c r="J46" s="224">
        <v>55.18</v>
      </c>
      <c r="K46" s="225" t="s">
        <v>269</v>
      </c>
      <c r="L46" s="226">
        <v>680.44</v>
      </c>
      <c r="M46" s="227">
        <f t="shared" si="0"/>
        <v>37546.679200000006</v>
      </c>
      <c r="N46" s="228">
        <v>0</v>
      </c>
      <c r="O46" s="227">
        <f t="shared" si="1"/>
        <v>0</v>
      </c>
      <c r="P46" s="228">
        <v>0</v>
      </c>
      <c r="Q46" s="227">
        <f t="shared" si="2"/>
        <v>0</v>
      </c>
      <c r="R46" s="227">
        <f t="shared" si="3"/>
        <v>37546.679200000006</v>
      </c>
      <c r="S46" s="229">
        <f>INDEX('Glosario Partidas'!$M$8:$M$10,MATCH(BD!K46,'Glosario Partidas'!$L$8:$L$10,0))</f>
        <v>1</v>
      </c>
      <c r="T46" s="227">
        <f t="shared" si="4"/>
        <v>37546.679200000006</v>
      </c>
      <c r="U46" s="230" t="s">
        <v>350</v>
      </c>
      <c r="V46" s="231" t="s">
        <v>12</v>
      </c>
    </row>
    <row r="47" spans="2:22" ht="12" customHeight="1" x14ac:dyDescent="0.2">
      <c r="B47" s="63" t="s">
        <v>211</v>
      </c>
      <c r="C47" s="63" t="s">
        <v>356</v>
      </c>
      <c r="D47" s="78" t="s">
        <v>313</v>
      </c>
      <c r="E47" s="171" t="s">
        <v>220</v>
      </c>
      <c r="F47" s="78" t="s">
        <v>355</v>
      </c>
      <c r="G47" s="171" t="s">
        <v>313</v>
      </c>
      <c r="H47" s="224" t="s">
        <v>349</v>
      </c>
      <c r="I47" s="225" t="s">
        <v>207</v>
      </c>
      <c r="J47" s="224">
        <v>28.84</v>
      </c>
      <c r="K47" s="225" t="s">
        <v>269</v>
      </c>
      <c r="L47" s="226">
        <v>1159.5</v>
      </c>
      <c r="M47" s="227">
        <f t="shared" si="0"/>
        <v>33439.980000000003</v>
      </c>
      <c r="N47" s="228">
        <v>0</v>
      </c>
      <c r="O47" s="227">
        <f t="shared" si="1"/>
        <v>0</v>
      </c>
      <c r="P47" s="228">
        <v>0</v>
      </c>
      <c r="Q47" s="227">
        <f t="shared" si="2"/>
        <v>0</v>
      </c>
      <c r="R47" s="227">
        <f t="shared" si="3"/>
        <v>33439.980000000003</v>
      </c>
      <c r="S47" s="229">
        <f>INDEX('Glosario Partidas'!$M$8:$M$10,MATCH(BD!K47,'Glosario Partidas'!$L$8:$L$10,0))</f>
        <v>1</v>
      </c>
      <c r="T47" s="227">
        <f t="shared" si="4"/>
        <v>33439.980000000003</v>
      </c>
      <c r="U47" s="230" t="s">
        <v>350</v>
      </c>
      <c r="V47" s="231" t="s">
        <v>12</v>
      </c>
    </row>
    <row r="48" spans="2:22" ht="12" customHeight="1" x14ac:dyDescent="0.2">
      <c r="B48" s="63" t="s">
        <v>211</v>
      </c>
      <c r="C48" s="63" t="s">
        <v>357</v>
      </c>
      <c r="D48" s="78" t="s">
        <v>313</v>
      </c>
      <c r="E48" s="171" t="s">
        <v>220</v>
      </c>
      <c r="F48" s="78" t="s">
        <v>355</v>
      </c>
      <c r="G48" s="171" t="s">
        <v>313</v>
      </c>
      <c r="H48" s="224" t="s">
        <v>349</v>
      </c>
      <c r="I48" s="225" t="s">
        <v>207</v>
      </c>
      <c r="J48" s="224">
        <v>311.83999999999997</v>
      </c>
      <c r="K48" s="225" t="s">
        <v>269</v>
      </c>
      <c r="L48" s="226">
        <v>609.72</v>
      </c>
      <c r="M48" s="227">
        <f t="shared" si="0"/>
        <v>190135.08479999998</v>
      </c>
      <c r="N48" s="228">
        <v>0</v>
      </c>
      <c r="O48" s="227">
        <f t="shared" si="1"/>
        <v>0</v>
      </c>
      <c r="P48" s="228">
        <v>0</v>
      </c>
      <c r="Q48" s="227">
        <f t="shared" si="2"/>
        <v>0</v>
      </c>
      <c r="R48" s="227">
        <f t="shared" si="3"/>
        <v>190135.08479999998</v>
      </c>
      <c r="S48" s="229">
        <f>INDEX('Glosario Partidas'!$M$8:$M$10,MATCH(BD!K48,'Glosario Partidas'!$L$8:$L$10,0))</f>
        <v>1</v>
      </c>
      <c r="T48" s="227">
        <f t="shared" si="4"/>
        <v>190135.08479999998</v>
      </c>
      <c r="U48" s="230" t="s">
        <v>350</v>
      </c>
      <c r="V48" s="231" t="s">
        <v>12</v>
      </c>
    </row>
    <row r="49" spans="2:22" ht="12" customHeight="1" x14ac:dyDescent="0.2">
      <c r="B49" s="63" t="s">
        <v>79</v>
      </c>
      <c r="C49" s="63" t="s">
        <v>358</v>
      </c>
      <c r="D49" s="78" t="s">
        <v>313</v>
      </c>
      <c r="E49" s="171" t="s">
        <v>220</v>
      </c>
      <c r="F49" s="78" t="s">
        <v>313</v>
      </c>
      <c r="G49" s="171" t="s">
        <v>313</v>
      </c>
      <c r="H49" s="224" t="s">
        <v>293</v>
      </c>
      <c r="I49" s="225" t="s">
        <v>207</v>
      </c>
      <c r="J49" s="224">
        <v>1</v>
      </c>
      <c r="K49" s="225" t="s">
        <v>269</v>
      </c>
      <c r="L49" s="226">
        <v>5000000</v>
      </c>
      <c r="M49" s="227">
        <f t="shared" si="0"/>
        <v>5000000</v>
      </c>
      <c r="N49" s="228">
        <v>0</v>
      </c>
      <c r="O49" s="227">
        <f t="shared" si="1"/>
        <v>0</v>
      </c>
      <c r="P49" s="228">
        <v>0.16</v>
      </c>
      <c r="Q49" s="227">
        <f t="shared" si="2"/>
        <v>800000</v>
      </c>
      <c r="R49" s="227">
        <f t="shared" si="3"/>
        <v>5800000</v>
      </c>
      <c r="S49" s="229">
        <f>INDEX('Glosario Partidas'!$M$8:$M$10,MATCH(BD!K49,'Glosario Partidas'!$L$8:$L$10,0))</f>
        <v>1</v>
      </c>
      <c r="T49" s="227">
        <f t="shared" si="4"/>
        <v>5800000</v>
      </c>
      <c r="U49" s="230" t="s">
        <v>315</v>
      </c>
      <c r="V49" s="231" t="s">
        <v>13</v>
      </c>
    </row>
    <row r="50" spans="2:22" ht="12" customHeight="1" x14ac:dyDescent="0.2">
      <c r="B50" s="63" t="s">
        <v>79</v>
      </c>
      <c r="C50" s="63" t="s">
        <v>359</v>
      </c>
      <c r="D50" s="78" t="s">
        <v>313</v>
      </c>
      <c r="E50" s="171" t="s">
        <v>220</v>
      </c>
      <c r="F50" s="78" t="s">
        <v>313</v>
      </c>
      <c r="G50" s="171" t="s">
        <v>313</v>
      </c>
      <c r="H50" s="224" t="s">
        <v>293</v>
      </c>
      <c r="I50" s="225" t="s">
        <v>207</v>
      </c>
      <c r="J50" s="224">
        <v>0</v>
      </c>
      <c r="K50" s="225" t="s">
        <v>269</v>
      </c>
      <c r="L50" s="226">
        <v>175</v>
      </c>
      <c r="M50" s="227">
        <f t="shared" si="0"/>
        <v>0</v>
      </c>
      <c r="N50" s="228">
        <v>0</v>
      </c>
      <c r="O50" s="227">
        <f t="shared" si="1"/>
        <v>0</v>
      </c>
      <c r="P50" s="228">
        <v>0.16</v>
      </c>
      <c r="Q50" s="227">
        <f t="shared" si="2"/>
        <v>0</v>
      </c>
      <c r="R50" s="227">
        <f t="shared" si="3"/>
        <v>0</v>
      </c>
      <c r="S50" s="229">
        <f>INDEX('Glosario Partidas'!$M$8:$M$10,MATCH(BD!K50,'Glosario Partidas'!$L$8:$L$10,0))</f>
        <v>1</v>
      </c>
      <c r="T50" s="227">
        <f t="shared" si="4"/>
        <v>0</v>
      </c>
      <c r="U50" s="230" t="s">
        <v>315</v>
      </c>
      <c r="V50" s="231" t="s">
        <v>13</v>
      </c>
    </row>
    <row r="51" spans="2:22" ht="12" customHeight="1" x14ac:dyDescent="0.2">
      <c r="B51" s="63" t="s">
        <v>79</v>
      </c>
      <c r="C51" s="63" t="s">
        <v>360</v>
      </c>
      <c r="D51" s="78" t="s">
        <v>313</v>
      </c>
      <c r="E51" s="171" t="s">
        <v>220</v>
      </c>
      <c r="F51" s="78" t="s">
        <v>313</v>
      </c>
      <c r="G51" s="171" t="s">
        <v>313</v>
      </c>
      <c r="H51" s="224" t="s">
        <v>293</v>
      </c>
      <c r="I51" s="225" t="s">
        <v>207</v>
      </c>
      <c r="J51" s="224">
        <v>0</v>
      </c>
      <c r="K51" s="225" t="s">
        <v>269</v>
      </c>
      <c r="L51" s="226">
        <v>1066</v>
      </c>
      <c r="M51" s="227">
        <f t="shared" si="0"/>
        <v>0</v>
      </c>
      <c r="N51" s="228">
        <v>0</v>
      </c>
      <c r="O51" s="227">
        <f t="shared" si="1"/>
        <v>0</v>
      </c>
      <c r="P51" s="228">
        <v>0.16</v>
      </c>
      <c r="Q51" s="227">
        <f t="shared" si="2"/>
        <v>0</v>
      </c>
      <c r="R51" s="227">
        <f t="shared" si="3"/>
        <v>0</v>
      </c>
      <c r="S51" s="229">
        <f>INDEX('Glosario Partidas'!$M$8:$M$10,MATCH(BD!K51,'Glosario Partidas'!$L$8:$L$10,0))</f>
        <v>1</v>
      </c>
      <c r="T51" s="227">
        <f t="shared" si="4"/>
        <v>0</v>
      </c>
      <c r="U51" s="230" t="s">
        <v>315</v>
      </c>
      <c r="V51" s="231" t="s">
        <v>13</v>
      </c>
    </row>
    <row r="52" spans="2:22" ht="12" customHeight="1" x14ac:dyDescent="0.2">
      <c r="B52" s="63" t="s">
        <v>79</v>
      </c>
      <c r="C52" s="63" t="s">
        <v>361</v>
      </c>
      <c r="D52" s="78" t="s">
        <v>313</v>
      </c>
      <c r="E52" s="171" t="s">
        <v>220</v>
      </c>
      <c r="F52" s="78" t="s">
        <v>313</v>
      </c>
      <c r="G52" s="171" t="s">
        <v>313</v>
      </c>
      <c r="H52" s="224" t="s">
        <v>293</v>
      </c>
      <c r="I52" s="225" t="s">
        <v>207</v>
      </c>
      <c r="J52" s="224">
        <v>0</v>
      </c>
      <c r="K52" s="225" t="s">
        <v>269</v>
      </c>
      <c r="L52" s="226">
        <v>494</v>
      </c>
      <c r="M52" s="227">
        <f t="shared" si="0"/>
        <v>0</v>
      </c>
      <c r="N52" s="228">
        <v>0</v>
      </c>
      <c r="O52" s="227">
        <f t="shared" si="1"/>
        <v>0</v>
      </c>
      <c r="P52" s="228">
        <v>0.16</v>
      </c>
      <c r="Q52" s="227">
        <f t="shared" si="2"/>
        <v>0</v>
      </c>
      <c r="R52" s="227">
        <f t="shared" si="3"/>
        <v>0</v>
      </c>
      <c r="S52" s="229">
        <f>INDEX('Glosario Partidas'!$M$8:$M$10,MATCH(BD!K52,'Glosario Partidas'!$L$8:$L$10,0))</f>
        <v>1</v>
      </c>
      <c r="T52" s="227">
        <f t="shared" si="4"/>
        <v>0</v>
      </c>
      <c r="U52" s="230" t="s">
        <v>315</v>
      </c>
      <c r="V52" s="231" t="s">
        <v>13</v>
      </c>
    </row>
    <row r="53" spans="2:22" ht="12" customHeight="1" x14ac:dyDescent="0.2">
      <c r="B53" s="63" t="s">
        <v>79</v>
      </c>
      <c r="C53" s="63" t="s">
        <v>362</v>
      </c>
      <c r="D53" s="78" t="s">
        <v>313</v>
      </c>
      <c r="E53" s="171" t="s">
        <v>220</v>
      </c>
      <c r="F53" s="78" t="s">
        <v>313</v>
      </c>
      <c r="G53" s="171" t="s">
        <v>313</v>
      </c>
      <c r="H53" s="224" t="s">
        <v>293</v>
      </c>
      <c r="I53" s="225" t="s">
        <v>207</v>
      </c>
      <c r="J53" s="224">
        <v>0</v>
      </c>
      <c r="K53" s="225" t="s">
        <v>269</v>
      </c>
      <c r="L53" s="226">
        <v>1279.2</v>
      </c>
      <c r="M53" s="227">
        <f t="shared" si="0"/>
        <v>0</v>
      </c>
      <c r="N53" s="228">
        <v>0</v>
      </c>
      <c r="O53" s="227">
        <f t="shared" si="1"/>
        <v>0</v>
      </c>
      <c r="P53" s="228">
        <v>0.16</v>
      </c>
      <c r="Q53" s="227">
        <f t="shared" si="2"/>
        <v>0</v>
      </c>
      <c r="R53" s="227">
        <f t="shared" si="3"/>
        <v>0</v>
      </c>
      <c r="S53" s="229">
        <f>INDEX('Glosario Partidas'!$M$8:$M$10,MATCH(BD!K53,'Glosario Partidas'!$L$8:$L$10,0))</f>
        <v>1</v>
      </c>
      <c r="T53" s="227">
        <f t="shared" si="4"/>
        <v>0</v>
      </c>
      <c r="U53" s="230" t="s">
        <v>315</v>
      </c>
      <c r="V53" s="231" t="s">
        <v>13</v>
      </c>
    </row>
    <row r="54" spans="2:22" ht="12" customHeight="1" x14ac:dyDescent="0.2">
      <c r="B54" s="63" t="s">
        <v>79</v>
      </c>
      <c r="C54" s="63" t="s">
        <v>363</v>
      </c>
      <c r="D54" s="78" t="s">
        <v>364</v>
      </c>
      <c r="E54" s="171" t="s">
        <v>220</v>
      </c>
      <c r="F54" s="78" t="s">
        <v>364</v>
      </c>
      <c r="G54" s="171" t="s">
        <v>342</v>
      </c>
      <c r="H54" s="224" t="s">
        <v>293</v>
      </c>
      <c r="I54" s="225" t="s">
        <v>207</v>
      </c>
      <c r="J54" s="224">
        <v>0</v>
      </c>
      <c r="K54" s="225" t="s">
        <v>269</v>
      </c>
      <c r="L54" s="226">
        <v>1050</v>
      </c>
      <c r="M54" s="227">
        <f t="shared" si="0"/>
        <v>0</v>
      </c>
      <c r="N54" s="228">
        <v>0</v>
      </c>
      <c r="O54" s="227">
        <f t="shared" si="1"/>
        <v>0</v>
      </c>
      <c r="P54" s="228">
        <v>0.16</v>
      </c>
      <c r="Q54" s="227">
        <f t="shared" si="2"/>
        <v>0</v>
      </c>
      <c r="R54" s="227">
        <f t="shared" si="3"/>
        <v>0</v>
      </c>
      <c r="S54" s="229">
        <f>INDEX('Glosario Partidas'!$M$8:$M$10,MATCH(BD!K54,'Glosario Partidas'!$L$8:$L$10,0))</f>
        <v>1</v>
      </c>
      <c r="T54" s="227">
        <f t="shared" si="4"/>
        <v>0</v>
      </c>
      <c r="U54" s="230" t="s">
        <v>315</v>
      </c>
      <c r="V54" s="231" t="s">
        <v>13</v>
      </c>
    </row>
    <row r="55" spans="2:22" ht="12" customHeight="1" x14ac:dyDescent="0.2">
      <c r="B55" s="63" t="s">
        <v>79</v>
      </c>
      <c r="C55" s="63" t="s">
        <v>363</v>
      </c>
      <c r="D55" s="78" t="s">
        <v>343</v>
      </c>
      <c r="E55" s="171" t="s">
        <v>220</v>
      </c>
      <c r="F55" s="78" t="s">
        <v>343</v>
      </c>
      <c r="G55" s="171" t="s">
        <v>342</v>
      </c>
      <c r="H55" s="224" t="s">
        <v>293</v>
      </c>
      <c r="I55" s="225" t="s">
        <v>207</v>
      </c>
      <c r="J55" s="224">
        <v>0</v>
      </c>
      <c r="K55" s="225" t="s">
        <v>269</v>
      </c>
      <c r="L55" s="226">
        <v>1000</v>
      </c>
      <c r="M55" s="227">
        <f t="shared" si="0"/>
        <v>0</v>
      </c>
      <c r="N55" s="228">
        <v>0</v>
      </c>
      <c r="O55" s="227">
        <f t="shared" si="1"/>
        <v>0</v>
      </c>
      <c r="P55" s="228">
        <v>0.16</v>
      </c>
      <c r="Q55" s="227">
        <f t="shared" si="2"/>
        <v>0</v>
      </c>
      <c r="R55" s="227">
        <f t="shared" si="3"/>
        <v>0</v>
      </c>
      <c r="S55" s="229">
        <f>INDEX('Glosario Partidas'!$M$8:$M$10,MATCH(BD!K55,'Glosario Partidas'!$L$8:$L$10,0))</f>
        <v>1</v>
      </c>
      <c r="T55" s="227">
        <f t="shared" si="4"/>
        <v>0</v>
      </c>
      <c r="U55" s="230" t="s">
        <v>315</v>
      </c>
      <c r="V55" s="231" t="s">
        <v>13</v>
      </c>
    </row>
    <row r="56" spans="2:22" ht="12" customHeight="1" x14ac:dyDescent="0.2">
      <c r="B56" s="63" t="s">
        <v>79</v>
      </c>
      <c r="C56" s="63" t="s">
        <v>365</v>
      </c>
      <c r="D56" s="78" t="s">
        <v>343</v>
      </c>
      <c r="E56" s="171" t="s">
        <v>220</v>
      </c>
      <c r="F56" s="78" t="s">
        <v>343</v>
      </c>
      <c r="G56" s="171" t="s">
        <v>342</v>
      </c>
      <c r="H56" s="224" t="s">
        <v>293</v>
      </c>
      <c r="I56" s="225" t="s">
        <v>207</v>
      </c>
      <c r="J56" s="224">
        <v>0</v>
      </c>
      <c r="K56" s="225" t="s">
        <v>269</v>
      </c>
      <c r="L56" s="226">
        <v>680</v>
      </c>
      <c r="M56" s="227">
        <f t="shared" si="0"/>
        <v>0</v>
      </c>
      <c r="N56" s="228">
        <v>0</v>
      </c>
      <c r="O56" s="227">
        <f t="shared" si="1"/>
        <v>0</v>
      </c>
      <c r="P56" s="228">
        <v>0.16</v>
      </c>
      <c r="Q56" s="227">
        <f t="shared" si="2"/>
        <v>0</v>
      </c>
      <c r="R56" s="227">
        <f t="shared" si="3"/>
        <v>0</v>
      </c>
      <c r="S56" s="229">
        <f>INDEX('Glosario Partidas'!$M$8:$M$10,MATCH(BD!K56,'Glosario Partidas'!$L$8:$L$10,0))</f>
        <v>1</v>
      </c>
      <c r="T56" s="227">
        <f t="shared" si="4"/>
        <v>0</v>
      </c>
      <c r="U56" s="230" t="s">
        <v>315</v>
      </c>
      <c r="V56" s="231" t="s">
        <v>13</v>
      </c>
    </row>
    <row r="57" spans="2:22" ht="12" customHeight="1" x14ac:dyDescent="0.2">
      <c r="B57" s="63" t="s">
        <v>79</v>
      </c>
      <c r="C57" s="63" t="s">
        <v>365</v>
      </c>
      <c r="D57" s="78" t="s">
        <v>366</v>
      </c>
      <c r="E57" s="171" t="s">
        <v>220</v>
      </c>
      <c r="F57" s="78" t="s">
        <v>366</v>
      </c>
      <c r="G57" s="171" t="s">
        <v>342</v>
      </c>
      <c r="H57" s="224" t="s">
        <v>293</v>
      </c>
      <c r="I57" s="225" t="s">
        <v>207</v>
      </c>
      <c r="J57" s="224">
        <v>0</v>
      </c>
      <c r="K57" s="225" t="s">
        <v>269</v>
      </c>
      <c r="L57" s="226">
        <v>884</v>
      </c>
      <c r="M57" s="227">
        <f t="shared" si="0"/>
        <v>0</v>
      </c>
      <c r="N57" s="228">
        <v>0</v>
      </c>
      <c r="O57" s="227">
        <f t="shared" si="1"/>
        <v>0</v>
      </c>
      <c r="P57" s="228">
        <v>0.16</v>
      </c>
      <c r="Q57" s="227">
        <f t="shared" si="2"/>
        <v>0</v>
      </c>
      <c r="R57" s="227">
        <f t="shared" si="3"/>
        <v>0</v>
      </c>
      <c r="S57" s="229">
        <f>INDEX('Glosario Partidas'!$M$8:$M$10,MATCH(BD!K57,'Glosario Partidas'!$L$8:$L$10,0))</f>
        <v>1</v>
      </c>
      <c r="T57" s="227">
        <f t="shared" si="4"/>
        <v>0</v>
      </c>
      <c r="U57" s="230" t="s">
        <v>315</v>
      </c>
      <c r="V57" s="231" t="s">
        <v>13</v>
      </c>
    </row>
    <row r="58" spans="2:22" ht="12" customHeight="1" x14ac:dyDescent="0.2">
      <c r="B58" s="63" t="s">
        <v>198</v>
      </c>
      <c r="C58" s="63" t="s">
        <v>83</v>
      </c>
      <c r="D58" s="78" t="s">
        <v>313</v>
      </c>
      <c r="E58" s="171" t="s">
        <v>220</v>
      </c>
      <c r="F58" s="78" t="s">
        <v>313</v>
      </c>
      <c r="G58" s="171" t="s">
        <v>313</v>
      </c>
      <c r="H58" s="224" t="s">
        <v>293</v>
      </c>
      <c r="I58" s="225" t="s">
        <v>314</v>
      </c>
      <c r="J58" s="224">
        <v>1</v>
      </c>
      <c r="K58" s="225" t="s">
        <v>269</v>
      </c>
      <c r="L58" s="226">
        <v>2000000</v>
      </c>
      <c r="M58" s="227">
        <f t="shared" si="0"/>
        <v>2000000</v>
      </c>
      <c r="N58" s="228">
        <v>0</v>
      </c>
      <c r="O58" s="227">
        <f t="shared" si="1"/>
        <v>0</v>
      </c>
      <c r="P58" s="228">
        <v>0.16</v>
      </c>
      <c r="Q58" s="227">
        <f t="shared" si="2"/>
        <v>320000</v>
      </c>
      <c r="R58" s="227">
        <f t="shared" si="3"/>
        <v>2320000</v>
      </c>
      <c r="S58" s="229">
        <f>INDEX('Glosario Partidas'!$M$8:$M$10,MATCH(BD!K58,'Glosario Partidas'!$L$8:$L$10,0))</f>
        <v>1</v>
      </c>
      <c r="T58" s="227">
        <f t="shared" si="4"/>
        <v>2320000</v>
      </c>
      <c r="U58" s="230" t="s">
        <v>315</v>
      </c>
      <c r="V58" s="231" t="s">
        <v>13</v>
      </c>
    </row>
    <row r="59" spans="2:22" ht="12" customHeight="1" x14ac:dyDescent="0.2">
      <c r="B59" s="63" t="s">
        <v>198</v>
      </c>
      <c r="C59" s="63" t="s">
        <v>84</v>
      </c>
      <c r="D59" s="78" t="s">
        <v>313</v>
      </c>
      <c r="E59" s="171" t="s">
        <v>220</v>
      </c>
      <c r="F59" s="78" t="s">
        <v>313</v>
      </c>
      <c r="G59" s="171" t="s">
        <v>313</v>
      </c>
      <c r="H59" s="224" t="s">
        <v>293</v>
      </c>
      <c r="I59" s="225" t="s">
        <v>314</v>
      </c>
      <c r="J59" s="224">
        <v>0</v>
      </c>
      <c r="K59" s="225" t="s">
        <v>269</v>
      </c>
      <c r="L59" s="226">
        <v>592338.60400000005</v>
      </c>
      <c r="M59" s="227">
        <f t="shared" si="0"/>
        <v>0</v>
      </c>
      <c r="N59" s="228">
        <v>0</v>
      </c>
      <c r="O59" s="227">
        <f t="shared" si="1"/>
        <v>0</v>
      </c>
      <c r="P59" s="228">
        <v>0.16</v>
      </c>
      <c r="Q59" s="227">
        <f t="shared" si="2"/>
        <v>0</v>
      </c>
      <c r="R59" s="227">
        <f t="shared" si="3"/>
        <v>0</v>
      </c>
      <c r="S59" s="229">
        <f>INDEX('Glosario Partidas'!$M$8:$M$10,MATCH(BD!K59,'Glosario Partidas'!$L$8:$L$10,0))</f>
        <v>1</v>
      </c>
      <c r="T59" s="227">
        <f t="shared" si="4"/>
        <v>0</v>
      </c>
      <c r="U59" s="230" t="s">
        <v>315</v>
      </c>
      <c r="V59" s="231" t="s">
        <v>13</v>
      </c>
    </row>
    <row r="60" spans="2:22" ht="12" customHeight="1" x14ac:dyDescent="0.2">
      <c r="B60" s="63" t="s">
        <v>189</v>
      </c>
      <c r="C60" s="63" t="s">
        <v>61</v>
      </c>
      <c r="D60" s="78" t="s">
        <v>313</v>
      </c>
      <c r="E60" s="171" t="s">
        <v>220</v>
      </c>
      <c r="F60" s="78" t="s">
        <v>221</v>
      </c>
      <c r="G60" s="171" t="s">
        <v>342</v>
      </c>
      <c r="H60" s="224" t="s">
        <v>293</v>
      </c>
      <c r="I60" s="225" t="s">
        <v>207</v>
      </c>
      <c r="J60" s="224">
        <f>323.83*1.1</f>
        <v>356.21300000000002</v>
      </c>
      <c r="K60" s="225" t="s">
        <v>269</v>
      </c>
      <c r="L60" s="226">
        <v>4500</v>
      </c>
      <c r="M60" s="227">
        <f t="shared" si="0"/>
        <v>1602958.5</v>
      </c>
      <c r="N60" s="228">
        <v>0</v>
      </c>
      <c r="O60" s="227">
        <f t="shared" si="1"/>
        <v>0</v>
      </c>
      <c r="P60" s="228">
        <v>0.16</v>
      </c>
      <c r="Q60" s="227">
        <f t="shared" si="2"/>
        <v>256473.36000000002</v>
      </c>
      <c r="R60" s="227">
        <f t="shared" si="3"/>
        <v>1859431.86</v>
      </c>
      <c r="S60" s="229">
        <f>INDEX('Glosario Partidas'!$M$8:$M$10,MATCH(BD!K60,'Glosario Partidas'!$L$8:$L$10,0))</f>
        <v>1</v>
      </c>
      <c r="T60" s="227">
        <f t="shared" si="4"/>
        <v>1859431.86</v>
      </c>
      <c r="U60" s="230" t="s">
        <v>315</v>
      </c>
      <c r="V60" s="231" t="s">
        <v>13</v>
      </c>
    </row>
    <row r="61" spans="2:22" ht="12" customHeight="1" x14ac:dyDescent="0.2">
      <c r="B61" s="63" t="s">
        <v>189</v>
      </c>
      <c r="C61" s="63" t="s">
        <v>61</v>
      </c>
      <c r="D61" s="78" t="s">
        <v>313</v>
      </c>
      <c r="E61" s="171" t="s">
        <v>220</v>
      </c>
      <c r="F61" s="78" t="s">
        <v>367</v>
      </c>
      <c r="G61" s="171" t="s">
        <v>342</v>
      </c>
      <c r="H61" s="224" t="s">
        <v>293</v>
      </c>
      <c r="I61" s="225" t="s">
        <v>207</v>
      </c>
      <c r="J61" s="224">
        <f>404.37*1.1</f>
        <v>444.80700000000002</v>
      </c>
      <c r="K61" s="225" t="s">
        <v>269</v>
      </c>
      <c r="L61" s="226">
        <v>4500</v>
      </c>
      <c r="M61" s="227">
        <f t="shared" si="0"/>
        <v>2001631.5</v>
      </c>
      <c r="N61" s="228">
        <v>0</v>
      </c>
      <c r="O61" s="227">
        <f t="shared" si="1"/>
        <v>0</v>
      </c>
      <c r="P61" s="228">
        <v>0.16</v>
      </c>
      <c r="Q61" s="227">
        <f t="shared" si="2"/>
        <v>320261.03999999998</v>
      </c>
      <c r="R61" s="227">
        <f t="shared" si="3"/>
        <v>2321892.54</v>
      </c>
      <c r="S61" s="229">
        <f>INDEX('Glosario Partidas'!$M$8:$M$10,MATCH(BD!K61,'Glosario Partidas'!$L$8:$L$10,0))</f>
        <v>1</v>
      </c>
      <c r="T61" s="227">
        <f t="shared" si="4"/>
        <v>2321892.54</v>
      </c>
      <c r="U61" s="230" t="s">
        <v>315</v>
      </c>
      <c r="V61" s="231" t="s">
        <v>13</v>
      </c>
    </row>
    <row r="62" spans="2:22" ht="12" customHeight="1" x14ac:dyDescent="0.2">
      <c r="B62" s="63" t="s">
        <v>194</v>
      </c>
      <c r="C62" s="63" t="s">
        <v>64</v>
      </c>
      <c r="D62" s="78" t="s">
        <v>313</v>
      </c>
      <c r="E62" s="171" t="s">
        <v>220</v>
      </c>
      <c r="F62" s="78" t="s">
        <v>221</v>
      </c>
      <c r="G62" s="171" t="s">
        <v>342</v>
      </c>
      <c r="H62" s="224" t="s">
        <v>293</v>
      </c>
      <c r="I62" s="225" t="s">
        <v>207</v>
      </c>
      <c r="J62" s="224">
        <f>323.83*1.1</f>
        <v>356.21300000000002</v>
      </c>
      <c r="K62" s="225" t="s">
        <v>269</v>
      </c>
      <c r="L62" s="226">
        <v>4500</v>
      </c>
      <c r="M62" s="227">
        <f t="shared" si="0"/>
        <v>1602958.5</v>
      </c>
      <c r="N62" s="228">
        <v>0</v>
      </c>
      <c r="O62" s="227">
        <f t="shared" si="1"/>
        <v>0</v>
      </c>
      <c r="P62" s="228">
        <v>0.16</v>
      </c>
      <c r="Q62" s="227">
        <f t="shared" si="2"/>
        <v>256473.36000000002</v>
      </c>
      <c r="R62" s="227">
        <f t="shared" si="3"/>
        <v>1859431.86</v>
      </c>
      <c r="S62" s="229">
        <f>INDEX('Glosario Partidas'!$M$8:$M$10,MATCH(BD!K62,'Glosario Partidas'!$L$8:$L$10,0))</f>
        <v>1</v>
      </c>
      <c r="T62" s="227">
        <f t="shared" si="4"/>
        <v>1859431.86</v>
      </c>
      <c r="U62" s="230" t="s">
        <v>315</v>
      </c>
      <c r="V62" s="231" t="s">
        <v>13</v>
      </c>
    </row>
    <row r="63" spans="2:22" ht="12" customHeight="1" x14ac:dyDescent="0.2">
      <c r="B63" s="63" t="s">
        <v>194</v>
      </c>
      <c r="C63" s="63" t="s">
        <v>64</v>
      </c>
      <c r="D63" s="78" t="s">
        <v>313</v>
      </c>
      <c r="E63" s="171" t="s">
        <v>220</v>
      </c>
      <c r="F63" s="78" t="s">
        <v>367</v>
      </c>
      <c r="G63" s="171" t="s">
        <v>342</v>
      </c>
      <c r="H63" s="224" t="s">
        <v>293</v>
      </c>
      <c r="I63" s="225" t="s">
        <v>207</v>
      </c>
      <c r="J63" s="224">
        <f>404.37*1.1</f>
        <v>444.80700000000002</v>
      </c>
      <c r="K63" s="225" t="s">
        <v>269</v>
      </c>
      <c r="L63" s="226">
        <v>4500</v>
      </c>
      <c r="M63" s="227">
        <f t="shared" si="0"/>
        <v>2001631.5</v>
      </c>
      <c r="N63" s="228">
        <v>0</v>
      </c>
      <c r="O63" s="227">
        <f t="shared" si="1"/>
        <v>0</v>
      </c>
      <c r="P63" s="228">
        <v>0.16</v>
      </c>
      <c r="Q63" s="227">
        <f t="shared" si="2"/>
        <v>320261.03999999998</v>
      </c>
      <c r="R63" s="227">
        <f t="shared" si="3"/>
        <v>2321892.54</v>
      </c>
      <c r="S63" s="229">
        <f>INDEX('Glosario Partidas'!$M$8:$M$10,MATCH(BD!K63,'Glosario Partidas'!$L$8:$L$10,0))</f>
        <v>1</v>
      </c>
      <c r="T63" s="227">
        <f t="shared" si="4"/>
        <v>2321892.54</v>
      </c>
      <c r="U63" s="230" t="s">
        <v>315</v>
      </c>
      <c r="V63" s="231" t="s">
        <v>13</v>
      </c>
    </row>
    <row r="64" spans="2:22" ht="12" customHeight="1" x14ac:dyDescent="0.2">
      <c r="B64" s="63" t="s">
        <v>191</v>
      </c>
      <c r="C64" s="63" t="s">
        <v>120</v>
      </c>
      <c r="D64" s="78" t="s">
        <v>313</v>
      </c>
      <c r="E64" s="171" t="s">
        <v>220</v>
      </c>
      <c r="F64" s="78" t="s">
        <v>221</v>
      </c>
      <c r="G64" s="171" t="s">
        <v>342</v>
      </c>
      <c r="H64" s="224" t="s">
        <v>368</v>
      </c>
      <c r="I64" s="225" t="s">
        <v>207</v>
      </c>
      <c r="J64" s="224">
        <v>84.16</v>
      </c>
      <c r="K64" s="225" t="s">
        <v>269</v>
      </c>
      <c r="L64" s="224">
        <v>40000</v>
      </c>
      <c r="M64" s="227">
        <f t="shared" si="0"/>
        <v>3366400</v>
      </c>
      <c r="N64" s="228">
        <v>0</v>
      </c>
      <c r="O64" s="227">
        <f t="shared" si="1"/>
        <v>0</v>
      </c>
      <c r="P64" s="228">
        <v>0.16</v>
      </c>
      <c r="Q64" s="227">
        <f t="shared" si="2"/>
        <v>538624</v>
      </c>
      <c r="R64" s="227">
        <f t="shared" si="3"/>
        <v>3905024</v>
      </c>
      <c r="S64" s="229">
        <f>INDEX('Glosario Partidas'!$M$8:$M$10,MATCH(BD!K64,'Glosario Partidas'!$L$8:$L$10,0))</f>
        <v>1</v>
      </c>
      <c r="T64" s="227">
        <f t="shared" si="4"/>
        <v>3905024</v>
      </c>
      <c r="U64" s="230" t="s">
        <v>369</v>
      </c>
      <c r="V64" s="231" t="s">
        <v>13</v>
      </c>
    </row>
    <row r="65" spans="2:22" ht="12" customHeight="1" x14ac:dyDescent="0.2">
      <c r="B65" s="63" t="s">
        <v>191</v>
      </c>
      <c r="C65" s="63" t="s">
        <v>120</v>
      </c>
      <c r="D65" s="78" t="s">
        <v>313</v>
      </c>
      <c r="E65" s="171" t="s">
        <v>220</v>
      </c>
      <c r="F65" s="78" t="s">
        <v>355</v>
      </c>
      <c r="G65" s="171" t="s">
        <v>342</v>
      </c>
      <c r="H65" s="224" t="s">
        <v>368</v>
      </c>
      <c r="I65" s="225" t="s">
        <v>207</v>
      </c>
      <c r="J65" s="224">
        <v>84.16</v>
      </c>
      <c r="K65" s="225" t="s">
        <v>269</v>
      </c>
      <c r="L65" s="224">
        <v>40000</v>
      </c>
      <c r="M65" s="227">
        <f t="shared" si="0"/>
        <v>3366400</v>
      </c>
      <c r="N65" s="228">
        <v>0</v>
      </c>
      <c r="O65" s="227">
        <f t="shared" si="1"/>
        <v>0</v>
      </c>
      <c r="P65" s="228">
        <v>0.16</v>
      </c>
      <c r="Q65" s="227">
        <f t="shared" si="2"/>
        <v>538624</v>
      </c>
      <c r="R65" s="227">
        <f t="shared" si="3"/>
        <v>3905024</v>
      </c>
      <c r="S65" s="229">
        <f>INDEX('Glosario Partidas'!$M$8:$M$10,MATCH(BD!K65,'Glosario Partidas'!$L$8:$L$10,0))</f>
        <v>1</v>
      </c>
      <c r="T65" s="227">
        <f t="shared" si="4"/>
        <v>3905024</v>
      </c>
      <c r="U65" s="230" t="s">
        <v>369</v>
      </c>
      <c r="V65" s="231" t="s">
        <v>13</v>
      </c>
    </row>
    <row r="66" spans="2:22" ht="12" customHeight="1" x14ac:dyDescent="0.2">
      <c r="B66" s="63" t="s">
        <v>70</v>
      </c>
      <c r="C66" s="78" t="s">
        <v>313</v>
      </c>
      <c r="D66" s="78" t="s">
        <v>313</v>
      </c>
      <c r="E66" s="171" t="s">
        <v>220</v>
      </c>
      <c r="F66" s="78" t="s">
        <v>221</v>
      </c>
      <c r="G66" s="171" t="s">
        <v>342</v>
      </c>
      <c r="H66" s="224" t="s">
        <v>370</v>
      </c>
      <c r="I66" s="225" t="s">
        <v>314</v>
      </c>
      <c r="J66" s="224">
        <f>323.83*1.1</f>
        <v>356.21300000000002</v>
      </c>
      <c r="K66" s="225" t="s">
        <v>269</v>
      </c>
      <c r="L66" s="226">
        <v>5617.2777959183704</v>
      </c>
      <c r="M66" s="227">
        <f t="shared" si="0"/>
        <v>2000947.3755174705</v>
      </c>
      <c r="N66" s="228">
        <v>0</v>
      </c>
      <c r="O66" s="227">
        <f t="shared" si="1"/>
        <v>0</v>
      </c>
      <c r="P66" s="228">
        <v>0.16</v>
      </c>
      <c r="Q66" s="227">
        <f t="shared" si="2"/>
        <v>320151.58008279529</v>
      </c>
      <c r="R66" s="227">
        <f t="shared" si="3"/>
        <v>2321098.9556002659</v>
      </c>
      <c r="S66" s="229">
        <f>INDEX('Glosario Partidas'!$M$8:$M$10,MATCH(BD!K66,'Glosario Partidas'!$L$8:$L$10,0))</f>
        <v>1</v>
      </c>
      <c r="T66" s="227">
        <f t="shared" si="4"/>
        <v>2321098.9556002659</v>
      </c>
      <c r="U66" s="230" t="s">
        <v>315</v>
      </c>
      <c r="V66" s="231" t="s">
        <v>13</v>
      </c>
    </row>
    <row r="67" spans="2:22" ht="12" customHeight="1" x14ac:dyDescent="0.2">
      <c r="B67" s="63" t="s">
        <v>70</v>
      </c>
      <c r="C67" s="78" t="s">
        <v>313</v>
      </c>
      <c r="D67" s="78" t="s">
        <v>313</v>
      </c>
      <c r="E67" s="171" t="s">
        <v>220</v>
      </c>
      <c r="F67" s="78" t="s">
        <v>367</v>
      </c>
      <c r="G67" s="171" t="s">
        <v>342</v>
      </c>
      <c r="H67" s="224" t="s">
        <v>370</v>
      </c>
      <c r="I67" s="225" t="s">
        <v>314</v>
      </c>
      <c r="J67" s="224">
        <f>404.37*1.1</f>
        <v>444.80700000000002</v>
      </c>
      <c r="K67" s="225" t="s">
        <v>269</v>
      </c>
      <c r="L67" s="226">
        <v>5617.2777959183704</v>
      </c>
      <c r="M67" s="227">
        <f t="shared" si="0"/>
        <v>2498604.4845690625</v>
      </c>
      <c r="N67" s="228">
        <v>0</v>
      </c>
      <c r="O67" s="227">
        <f t="shared" si="1"/>
        <v>0</v>
      </c>
      <c r="P67" s="228">
        <v>0.16</v>
      </c>
      <c r="Q67" s="227">
        <f t="shared" si="2"/>
        <v>399776.71753105003</v>
      </c>
      <c r="R67" s="227">
        <f t="shared" si="3"/>
        <v>2898381.2021001126</v>
      </c>
      <c r="S67" s="229">
        <f>INDEX('Glosario Partidas'!$M$8:$M$10,MATCH(BD!K67,'Glosario Partidas'!$L$8:$L$10,0))</f>
        <v>1</v>
      </c>
      <c r="T67" s="227">
        <f t="shared" si="4"/>
        <v>2898381.2021001126</v>
      </c>
      <c r="U67" s="230" t="s">
        <v>315</v>
      </c>
      <c r="V67" s="231" t="s">
        <v>13</v>
      </c>
    </row>
    <row r="68" spans="2:22" ht="12" customHeight="1" x14ac:dyDescent="0.2">
      <c r="B68" s="63" t="s">
        <v>200</v>
      </c>
      <c r="C68" s="63" t="s">
        <v>67</v>
      </c>
      <c r="D68" s="78" t="s">
        <v>313</v>
      </c>
      <c r="E68" s="171" t="s">
        <v>220</v>
      </c>
      <c r="F68" s="78" t="s">
        <v>313</v>
      </c>
      <c r="G68" s="171" t="s">
        <v>313</v>
      </c>
      <c r="H68" s="224" t="s">
        <v>293</v>
      </c>
      <c r="I68" s="225" t="s">
        <v>314</v>
      </c>
      <c r="J68" s="224">
        <v>1</v>
      </c>
      <c r="K68" s="225" t="s">
        <v>269</v>
      </c>
      <c r="L68" s="226">
        <v>800000</v>
      </c>
      <c r="M68" s="227">
        <f t="shared" si="0"/>
        <v>800000</v>
      </c>
      <c r="N68" s="228">
        <v>0</v>
      </c>
      <c r="O68" s="227">
        <f t="shared" si="1"/>
        <v>0</v>
      </c>
      <c r="P68" s="228">
        <v>0.16</v>
      </c>
      <c r="Q68" s="227">
        <f t="shared" si="2"/>
        <v>128000</v>
      </c>
      <c r="R68" s="227">
        <f t="shared" si="3"/>
        <v>928000</v>
      </c>
      <c r="S68" s="229">
        <f>INDEX('Glosario Partidas'!$M$8:$M$10,MATCH(BD!K68,'Glosario Partidas'!$L$8:$L$10,0))</f>
        <v>1</v>
      </c>
      <c r="T68" s="227">
        <f t="shared" si="4"/>
        <v>928000</v>
      </c>
      <c r="U68" s="230" t="s">
        <v>315</v>
      </c>
      <c r="V68" s="231" t="s">
        <v>13</v>
      </c>
    </row>
    <row r="69" spans="2:22" ht="12" customHeight="1" x14ac:dyDescent="0.2">
      <c r="B69" s="63" t="s">
        <v>73</v>
      </c>
      <c r="C69" s="63" t="s">
        <v>371</v>
      </c>
      <c r="D69" s="78" t="s">
        <v>313</v>
      </c>
      <c r="E69" s="171" t="s">
        <v>220</v>
      </c>
      <c r="F69" s="78" t="s">
        <v>221</v>
      </c>
      <c r="G69" s="171" t="s">
        <v>342</v>
      </c>
      <c r="H69" s="224" t="s">
        <v>372</v>
      </c>
      <c r="I69" s="225" t="s">
        <v>207</v>
      </c>
      <c r="J69" s="224">
        <f>323.83*1.1</f>
        <v>356.21300000000002</v>
      </c>
      <c r="K69" s="225" t="s">
        <v>153</v>
      </c>
      <c r="L69" s="226"/>
      <c r="M69" s="227">
        <f t="shared" ref="M69:M132" si="5">J69*L69</f>
        <v>0</v>
      </c>
      <c r="N69" s="228">
        <v>0</v>
      </c>
      <c r="O69" s="227">
        <f t="shared" ref="O69:O132" si="6">M69*N69</f>
        <v>0</v>
      </c>
      <c r="P69" s="228">
        <v>0.16</v>
      </c>
      <c r="Q69" s="227">
        <f t="shared" ref="Q69:Q132" si="7">(M69+O69)*P69</f>
        <v>0</v>
      </c>
      <c r="R69" s="227">
        <f t="shared" ref="R69:R132" si="8">M69+O69+Q69</f>
        <v>0</v>
      </c>
      <c r="S69" s="229">
        <f>INDEX('Glosario Partidas'!$M$8:$M$10,MATCH(BD!K69,'Glosario Partidas'!$L$8:$L$10,0))</f>
        <v>17.5</v>
      </c>
      <c r="T69" s="227">
        <f t="shared" ref="T69:T132" si="9">R69*S69</f>
        <v>0</v>
      </c>
      <c r="U69" s="230" t="s">
        <v>315</v>
      </c>
      <c r="V69" s="231" t="s">
        <v>13</v>
      </c>
    </row>
    <row r="70" spans="2:22" ht="12" customHeight="1" x14ac:dyDescent="0.2">
      <c r="B70" s="63" t="s">
        <v>73</v>
      </c>
      <c r="C70" s="63" t="s">
        <v>373</v>
      </c>
      <c r="D70" s="78" t="s">
        <v>313</v>
      </c>
      <c r="E70" s="171" t="s">
        <v>220</v>
      </c>
      <c r="F70" s="78" t="s">
        <v>221</v>
      </c>
      <c r="G70" s="171" t="s">
        <v>342</v>
      </c>
      <c r="H70" s="224" t="s">
        <v>372</v>
      </c>
      <c r="I70" s="225" t="s">
        <v>207</v>
      </c>
      <c r="J70" s="224">
        <f>323.83*1.1</f>
        <v>356.21300000000002</v>
      </c>
      <c r="K70" s="225" t="s">
        <v>269</v>
      </c>
      <c r="L70" s="226">
        <v>4700</v>
      </c>
      <c r="M70" s="227">
        <f t="shared" si="5"/>
        <v>1674201.1</v>
      </c>
      <c r="N70" s="228">
        <v>0</v>
      </c>
      <c r="O70" s="227">
        <f t="shared" si="6"/>
        <v>0</v>
      </c>
      <c r="P70" s="228">
        <v>0.16</v>
      </c>
      <c r="Q70" s="227">
        <f t="shared" si="7"/>
        <v>267872.17600000004</v>
      </c>
      <c r="R70" s="227">
        <f t="shared" si="8"/>
        <v>1942073.2760000001</v>
      </c>
      <c r="S70" s="229">
        <f>INDEX('Glosario Partidas'!$M$8:$M$10,MATCH(BD!K70,'Glosario Partidas'!$L$8:$L$10,0))</f>
        <v>1</v>
      </c>
      <c r="T70" s="227">
        <f t="shared" si="9"/>
        <v>1942073.2760000001</v>
      </c>
      <c r="U70" s="230" t="s">
        <v>315</v>
      </c>
      <c r="V70" s="231" t="s">
        <v>13</v>
      </c>
    </row>
    <row r="71" spans="2:22" ht="12" customHeight="1" x14ac:dyDescent="0.2">
      <c r="B71" s="63" t="s">
        <v>73</v>
      </c>
      <c r="C71" s="63" t="s">
        <v>371</v>
      </c>
      <c r="D71" s="78" t="s">
        <v>313</v>
      </c>
      <c r="E71" s="171" t="s">
        <v>220</v>
      </c>
      <c r="F71" s="78" t="s">
        <v>367</v>
      </c>
      <c r="G71" s="171" t="s">
        <v>342</v>
      </c>
      <c r="H71" s="224" t="s">
        <v>372</v>
      </c>
      <c r="I71" s="225" t="s">
        <v>207</v>
      </c>
      <c r="J71" s="224">
        <f>404.37*1.1</f>
        <v>444.80700000000002</v>
      </c>
      <c r="K71" s="225" t="s">
        <v>153</v>
      </c>
      <c r="L71" s="226"/>
      <c r="M71" s="227">
        <f t="shared" si="5"/>
        <v>0</v>
      </c>
      <c r="N71" s="228">
        <v>0</v>
      </c>
      <c r="O71" s="227">
        <f t="shared" si="6"/>
        <v>0</v>
      </c>
      <c r="P71" s="228">
        <v>0.16</v>
      </c>
      <c r="Q71" s="227">
        <f t="shared" si="7"/>
        <v>0</v>
      </c>
      <c r="R71" s="227">
        <f t="shared" si="8"/>
        <v>0</v>
      </c>
      <c r="S71" s="229">
        <f>INDEX('Glosario Partidas'!$M$8:$M$10,MATCH(BD!K71,'Glosario Partidas'!$L$8:$L$10,0))</f>
        <v>17.5</v>
      </c>
      <c r="T71" s="227">
        <f t="shared" si="9"/>
        <v>0</v>
      </c>
      <c r="U71" s="230" t="s">
        <v>315</v>
      </c>
      <c r="V71" s="231" t="s">
        <v>13</v>
      </c>
    </row>
    <row r="72" spans="2:22" ht="12" customHeight="1" x14ac:dyDescent="0.2">
      <c r="B72" s="63" t="s">
        <v>73</v>
      </c>
      <c r="C72" s="63" t="s">
        <v>373</v>
      </c>
      <c r="D72" s="78" t="s">
        <v>313</v>
      </c>
      <c r="E72" s="171" t="s">
        <v>220</v>
      </c>
      <c r="F72" s="78" t="s">
        <v>367</v>
      </c>
      <c r="G72" s="171" t="s">
        <v>342</v>
      </c>
      <c r="H72" s="224" t="s">
        <v>372</v>
      </c>
      <c r="I72" s="225" t="s">
        <v>207</v>
      </c>
      <c r="J72" s="224">
        <f>404.37*1.1</f>
        <v>444.80700000000002</v>
      </c>
      <c r="K72" s="225" t="s">
        <v>269</v>
      </c>
      <c r="L72" s="226">
        <v>4700</v>
      </c>
      <c r="M72" s="227">
        <f t="shared" si="5"/>
        <v>2090592.9000000001</v>
      </c>
      <c r="N72" s="228">
        <v>0</v>
      </c>
      <c r="O72" s="227">
        <f t="shared" si="6"/>
        <v>0</v>
      </c>
      <c r="P72" s="228">
        <v>0.16</v>
      </c>
      <c r="Q72" s="227">
        <f t="shared" si="7"/>
        <v>334494.864</v>
      </c>
      <c r="R72" s="227">
        <f t="shared" si="8"/>
        <v>2425087.764</v>
      </c>
      <c r="S72" s="229">
        <f>INDEX('Glosario Partidas'!$M$8:$M$10,MATCH(BD!K72,'Glosario Partidas'!$L$8:$L$10,0))</f>
        <v>1</v>
      </c>
      <c r="T72" s="227">
        <f t="shared" si="9"/>
        <v>2425087.764</v>
      </c>
      <c r="U72" s="230" t="s">
        <v>315</v>
      </c>
      <c r="V72" s="231" t="s">
        <v>13</v>
      </c>
    </row>
    <row r="73" spans="2:22" ht="12" customHeight="1" x14ac:dyDescent="0.2">
      <c r="B73" s="63" t="s">
        <v>76</v>
      </c>
      <c r="C73" s="63" t="s">
        <v>374</v>
      </c>
      <c r="D73" s="78" t="s">
        <v>313</v>
      </c>
      <c r="E73" s="171" t="s">
        <v>220</v>
      </c>
      <c r="F73" s="78" t="s">
        <v>221</v>
      </c>
      <c r="G73" s="171" t="s">
        <v>342</v>
      </c>
      <c r="H73" s="224" t="s">
        <v>293</v>
      </c>
      <c r="I73" s="225" t="s">
        <v>207</v>
      </c>
      <c r="J73" s="224">
        <v>323.83</v>
      </c>
      <c r="K73" s="225" t="s">
        <v>153</v>
      </c>
      <c r="L73" s="226">
        <v>60</v>
      </c>
      <c r="M73" s="227">
        <f t="shared" si="5"/>
        <v>19429.8</v>
      </c>
      <c r="N73" s="228">
        <v>0</v>
      </c>
      <c r="O73" s="227">
        <f t="shared" si="6"/>
        <v>0</v>
      </c>
      <c r="P73" s="228">
        <v>0.16</v>
      </c>
      <c r="Q73" s="227">
        <f t="shared" si="7"/>
        <v>3108.768</v>
      </c>
      <c r="R73" s="227">
        <f t="shared" si="8"/>
        <v>22538.567999999999</v>
      </c>
      <c r="S73" s="229">
        <f>INDEX('Glosario Partidas'!$M$8:$M$10,MATCH(BD!K73,'Glosario Partidas'!$L$8:$L$10,0))</f>
        <v>17.5</v>
      </c>
      <c r="T73" s="227">
        <f t="shared" si="9"/>
        <v>394424.94</v>
      </c>
      <c r="U73" s="230" t="s">
        <v>315</v>
      </c>
      <c r="V73" s="231" t="s">
        <v>13</v>
      </c>
    </row>
    <row r="74" spans="2:22" ht="12" customHeight="1" x14ac:dyDescent="0.2">
      <c r="B74" s="63" t="s">
        <v>76</v>
      </c>
      <c r="C74" s="63" t="s">
        <v>374</v>
      </c>
      <c r="D74" s="78" t="s">
        <v>313</v>
      </c>
      <c r="E74" s="171" t="s">
        <v>220</v>
      </c>
      <c r="F74" s="78" t="s">
        <v>367</v>
      </c>
      <c r="G74" s="171" t="s">
        <v>342</v>
      </c>
      <c r="H74" s="224" t="s">
        <v>293</v>
      </c>
      <c r="I74" s="225" t="s">
        <v>207</v>
      </c>
      <c r="J74" s="224">
        <v>404.37</v>
      </c>
      <c r="K74" s="225" t="s">
        <v>153</v>
      </c>
      <c r="L74" s="226">
        <v>60</v>
      </c>
      <c r="M74" s="227">
        <f t="shared" si="5"/>
        <v>24262.2</v>
      </c>
      <c r="N74" s="228">
        <v>0</v>
      </c>
      <c r="O74" s="227">
        <f t="shared" si="6"/>
        <v>0</v>
      </c>
      <c r="P74" s="228">
        <v>0.16</v>
      </c>
      <c r="Q74" s="227">
        <f t="shared" si="7"/>
        <v>3881.9520000000002</v>
      </c>
      <c r="R74" s="227">
        <f t="shared" si="8"/>
        <v>28144.152000000002</v>
      </c>
      <c r="S74" s="229">
        <f>INDEX('Glosario Partidas'!$M$8:$M$10,MATCH(BD!K74,'Glosario Partidas'!$L$8:$L$10,0))</f>
        <v>17.5</v>
      </c>
      <c r="T74" s="227">
        <f t="shared" si="9"/>
        <v>492522.66000000003</v>
      </c>
      <c r="U74" s="230" t="s">
        <v>315</v>
      </c>
      <c r="V74" s="231" t="s">
        <v>13</v>
      </c>
    </row>
    <row r="75" spans="2:22" ht="12" customHeight="1" x14ac:dyDescent="0.2">
      <c r="B75" s="63" t="s">
        <v>76</v>
      </c>
      <c r="C75" s="63" t="s">
        <v>375</v>
      </c>
      <c r="D75" s="78" t="s">
        <v>313</v>
      </c>
      <c r="E75" s="171" t="s">
        <v>220</v>
      </c>
      <c r="F75" s="78" t="s">
        <v>221</v>
      </c>
      <c r="G75" s="171" t="s">
        <v>342</v>
      </c>
      <c r="H75" s="224" t="s">
        <v>293</v>
      </c>
      <c r="I75" s="225" t="s">
        <v>207</v>
      </c>
      <c r="J75" s="224">
        <v>203.17</v>
      </c>
      <c r="K75" s="225" t="s">
        <v>153</v>
      </c>
      <c r="L75" s="226">
        <v>40</v>
      </c>
      <c r="M75" s="227">
        <f t="shared" si="5"/>
        <v>8126.7999999999993</v>
      </c>
      <c r="N75" s="228">
        <v>0</v>
      </c>
      <c r="O75" s="227">
        <f t="shared" si="6"/>
        <v>0</v>
      </c>
      <c r="P75" s="228">
        <v>0.16</v>
      </c>
      <c r="Q75" s="227">
        <f t="shared" si="7"/>
        <v>1300.288</v>
      </c>
      <c r="R75" s="227">
        <f t="shared" si="8"/>
        <v>9427.0879999999997</v>
      </c>
      <c r="S75" s="229">
        <f>INDEX('Glosario Partidas'!$M$8:$M$10,MATCH(BD!K75,'Glosario Partidas'!$L$8:$L$10,0))</f>
        <v>17.5</v>
      </c>
      <c r="T75" s="227">
        <f t="shared" si="9"/>
        <v>164974.04</v>
      </c>
      <c r="U75" s="230" t="s">
        <v>315</v>
      </c>
      <c r="V75" s="231" t="s">
        <v>13</v>
      </c>
    </row>
    <row r="76" spans="2:22" ht="12" customHeight="1" x14ac:dyDescent="0.2">
      <c r="B76" s="63" t="s">
        <v>76</v>
      </c>
      <c r="C76" s="63" t="s">
        <v>375</v>
      </c>
      <c r="D76" s="78" t="s">
        <v>313</v>
      </c>
      <c r="E76" s="171" t="s">
        <v>220</v>
      </c>
      <c r="F76" s="78" t="s">
        <v>367</v>
      </c>
      <c r="G76" s="171" t="s">
        <v>342</v>
      </c>
      <c r="H76" s="224" t="s">
        <v>293</v>
      </c>
      <c r="I76" s="225" t="s">
        <v>207</v>
      </c>
      <c r="J76" s="224">
        <v>244.85</v>
      </c>
      <c r="K76" s="225" t="s">
        <v>153</v>
      </c>
      <c r="L76" s="226">
        <v>40</v>
      </c>
      <c r="M76" s="227">
        <f t="shared" si="5"/>
        <v>9794</v>
      </c>
      <c r="N76" s="228">
        <v>0</v>
      </c>
      <c r="O76" s="227">
        <f t="shared" si="6"/>
        <v>0</v>
      </c>
      <c r="P76" s="228">
        <v>0.16</v>
      </c>
      <c r="Q76" s="227">
        <f t="shared" si="7"/>
        <v>1567.04</v>
      </c>
      <c r="R76" s="227">
        <f t="shared" si="8"/>
        <v>11361.04</v>
      </c>
      <c r="S76" s="229">
        <f>INDEX('Glosario Partidas'!$M$8:$M$10,MATCH(BD!K76,'Glosario Partidas'!$L$8:$L$10,0))</f>
        <v>17.5</v>
      </c>
      <c r="T76" s="227">
        <f t="shared" si="9"/>
        <v>198818.2</v>
      </c>
      <c r="U76" s="230" t="s">
        <v>315</v>
      </c>
      <c r="V76" s="231" t="s">
        <v>13</v>
      </c>
    </row>
    <row r="77" spans="2:22" ht="12" customHeight="1" x14ac:dyDescent="0.2">
      <c r="B77" s="63" t="s">
        <v>289</v>
      </c>
      <c r="C77" s="63" t="s">
        <v>376</v>
      </c>
      <c r="D77" s="78" t="s">
        <v>377</v>
      </c>
      <c r="E77" s="171" t="s">
        <v>220</v>
      </c>
      <c r="F77" s="78" t="s">
        <v>221</v>
      </c>
      <c r="G77" s="171" t="s">
        <v>342</v>
      </c>
      <c r="H77" s="224" t="s">
        <v>293</v>
      </c>
      <c r="I77" s="225" t="s">
        <v>207</v>
      </c>
      <c r="J77" s="224">
        <v>423.6</v>
      </c>
      <c r="K77" s="225" t="s">
        <v>153</v>
      </c>
      <c r="L77" s="226">
        <v>60</v>
      </c>
      <c r="M77" s="227">
        <f t="shared" si="5"/>
        <v>25416</v>
      </c>
      <c r="N77" s="228">
        <v>0</v>
      </c>
      <c r="O77" s="227">
        <f t="shared" si="6"/>
        <v>0</v>
      </c>
      <c r="P77" s="228">
        <v>0.16</v>
      </c>
      <c r="Q77" s="227">
        <f t="shared" si="7"/>
        <v>4066.56</v>
      </c>
      <c r="R77" s="227">
        <f t="shared" si="8"/>
        <v>29482.560000000001</v>
      </c>
      <c r="S77" s="229">
        <f>INDEX('Glosario Partidas'!$M$8:$M$10,MATCH(BD!K77,'Glosario Partidas'!$L$8:$L$10,0))</f>
        <v>17.5</v>
      </c>
      <c r="T77" s="227">
        <f t="shared" si="9"/>
        <v>515944.80000000005</v>
      </c>
      <c r="U77" s="230" t="s">
        <v>315</v>
      </c>
      <c r="V77" s="231" t="s">
        <v>13</v>
      </c>
    </row>
    <row r="78" spans="2:22" ht="12" customHeight="1" x14ac:dyDescent="0.2">
      <c r="B78" s="63" t="s">
        <v>289</v>
      </c>
      <c r="C78" s="63" t="s">
        <v>376</v>
      </c>
      <c r="D78" s="78" t="s">
        <v>377</v>
      </c>
      <c r="E78" s="171" t="s">
        <v>220</v>
      </c>
      <c r="F78" s="78" t="s">
        <v>354</v>
      </c>
      <c r="G78" s="171" t="s">
        <v>342</v>
      </c>
      <c r="H78" s="224" t="s">
        <v>293</v>
      </c>
      <c r="I78" s="225" t="s">
        <v>207</v>
      </c>
      <c r="J78" s="224">
        <v>235.2</v>
      </c>
      <c r="K78" s="225" t="s">
        <v>153</v>
      </c>
      <c r="L78" s="226">
        <v>70</v>
      </c>
      <c r="M78" s="227">
        <f t="shared" si="5"/>
        <v>16464</v>
      </c>
      <c r="N78" s="228">
        <v>0</v>
      </c>
      <c r="O78" s="227">
        <f t="shared" si="6"/>
        <v>0</v>
      </c>
      <c r="P78" s="228">
        <v>0.16</v>
      </c>
      <c r="Q78" s="227">
        <f t="shared" si="7"/>
        <v>2634.2400000000002</v>
      </c>
      <c r="R78" s="227">
        <f t="shared" si="8"/>
        <v>19098.240000000002</v>
      </c>
      <c r="S78" s="229">
        <f>INDEX('Glosario Partidas'!$M$8:$M$10,MATCH(BD!K78,'Glosario Partidas'!$L$8:$L$10,0))</f>
        <v>17.5</v>
      </c>
      <c r="T78" s="227">
        <f t="shared" si="9"/>
        <v>334219.2</v>
      </c>
      <c r="U78" s="230" t="s">
        <v>315</v>
      </c>
      <c r="V78" s="231" t="s">
        <v>13</v>
      </c>
    </row>
    <row r="79" spans="2:22" ht="12" customHeight="1" x14ac:dyDescent="0.2">
      <c r="B79" s="63" t="s">
        <v>289</v>
      </c>
      <c r="C79" s="63" t="s">
        <v>376</v>
      </c>
      <c r="D79" s="78" t="s">
        <v>377</v>
      </c>
      <c r="E79" s="171" t="s">
        <v>220</v>
      </c>
      <c r="F79" s="78" t="s">
        <v>355</v>
      </c>
      <c r="G79" s="171" t="s">
        <v>342</v>
      </c>
      <c r="H79" s="224" t="s">
        <v>293</v>
      </c>
      <c r="I79" s="225" t="s">
        <v>207</v>
      </c>
      <c r="J79" s="224">
        <v>302.39999999999998</v>
      </c>
      <c r="K79" s="225" t="s">
        <v>153</v>
      </c>
      <c r="L79" s="226">
        <v>70</v>
      </c>
      <c r="M79" s="227">
        <f t="shared" si="5"/>
        <v>21168</v>
      </c>
      <c r="N79" s="228">
        <v>0</v>
      </c>
      <c r="O79" s="227">
        <f t="shared" si="6"/>
        <v>0</v>
      </c>
      <c r="P79" s="228">
        <v>0.16</v>
      </c>
      <c r="Q79" s="227">
        <f t="shared" si="7"/>
        <v>3386.88</v>
      </c>
      <c r="R79" s="227">
        <f t="shared" si="8"/>
        <v>24554.880000000001</v>
      </c>
      <c r="S79" s="229">
        <f>INDEX('Glosario Partidas'!$M$8:$M$10,MATCH(BD!K79,'Glosario Partidas'!$L$8:$L$10,0))</f>
        <v>17.5</v>
      </c>
      <c r="T79" s="227">
        <f t="shared" si="9"/>
        <v>429710.4</v>
      </c>
      <c r="U79" s="230" t="s">
        <v>315</v>
      </c>
      <c r="V79" s="231" t="s">
        <v>13</v>
      </c>
    </row>
    <row r="80" spans="2:22" ht="12" customHeight="1" x14ac:dyDescent="0.2">
      <c r="B80" s="63" t="s">
        <v>289</v>
      </c>
      <c r="C80" s="63" t="s">
        <v>376</v>
      </c>
      <c r="D80" s="78" t="s">
        <v>378</v>
      </c>
      <c r="E80" s="171" t="s">
        <v>220</v>
      </c>
      <c r="F80" s="78" t="s">
        <v>221</v>
      </c>
      <c r="G80" s="171" t="s">
        <v>342</v>
      </c>
      <c r="H80" s="224" t="s">
        <v>379</v>
      </c>
      <c r="I80" s="225" t="s">
        <v>207</v>
      </c>
      <c r="J80" s="224">
        <v>353</v>
      </c>
      <c r="K80" s="225" t="s">
        <v>269</v>
      </c>
      <c r="L80" s="226">
        <v>1900</v>
      </c>
      <c r="M80" s="227">
        <f t="shared" si="5"/>
        <v>670700</v>
      </c>
      <c r="N80" s="228">
        <v>0</v>
      </c>
      <c r="O80" s="227">
        <f t="shared" si="6"/>
        <v>0</v>
      </c>
      <c r="P80" s="228">
        <v>0.16</v>
      </c>
      <c r="Q80" s="227">
        <f t="shared" si="7"/>
        <v>107312</v>
      </c>
      <c r="R80" s="227">
        <f t="shared" si="8"/>
        <v>778012</v>
      </c>
      <c r="S80" s="229">
        <f>INDEX('Glosario Partidas'!$M$8:$M$10,MATCH(BD!K80,'Glosario Partidas'!$L$8:$L$10,0))</f>
        <v>1</v>
      </c>
      <c r="T80" s="227">
        <f t="shared" si="9"/>
        <v>778012</v>
      </c>
      <c r="U80" s="230" t="s">
        <v>315</v>
      </c>
      <c r="V80" s="231" t="s">
        <v>13</v>
      </c>
    </row>
    <row r="81" spans="2:22" ht="12" customHeight="1" x14ac:dyDescent="0.2">
      <c r="B81" s="63" t="s">
        <v>289</v>
      </c>
      <c r="C81" s="63" t="s">
        <v>376</v>
      </c>
      <c r="D81" s="78" t="s">
        <v>378</v>
      </c>
      <c r="E81" s="171" t="s">
        <v>220</v>
      </c>
      <c r="F81" s="78" t="s">
        <v>354</v>
      </c>
      <c r="G81" s="171" t="s">
        <v>342</v>
      </c>
      <c r="H81" s="224" t="s">
        <v>379</v>
      </c>
      <c r="I81" s="225" t="s">
        <v>207</v>
      </c>
      <c r="J81" s="224">
        <v>196</v>
      </c>
      <c r="K81" s="225" t="s">
        <v>269</v>
      </c>
      <c r="L81" s="226">
        <v>1900</v>
      </c>
      <c r="M81" s="227">
        <f t="shared" si="5"/>
        <v>372400</v>
      </c>
      <c r="N81" s="228">
        <v>0</v>
      </c>
      <c r="O81" s="227">
        <f t="shared" si="6"/>
        <v>0</v>
      </c>
      <c r="P81" s="228">
        <v>0.16</v>
      </c>
      <c r="Q81" s="227">
        <f t="shared" si="7"/>
        <v>59584</v>
      </c>
      <c r="R81" s="227">
        <f t="shared" si="8"/>
        <v>431984</v>
      </c>
      <c r="S81" s="229">
        <f>INDEX('Glosario Partidas'!$M$8:$M$10,MATCH(BD!K81,'Glosario Partidas'!$L$8:$L$10,0))</f>
        <v>1</v>
      </c>
      <c r="T81" s="227">
        <f t="shared" si="9"/>
        <v>431984</v>
      </c>
      <c r="U81" s="230" t="s">
        <v>315</v>
      </c>
      <c r="V81" s="231" t="s">
        <v>13</v>
      </c>
    </row>
    <row r="82" spans="2:22" ht="12" customHeight="1" x14ac:dyDescent="0.2">
      <c r="B82" s="63" t="s">
        <v>289</v>
      </c>
      <c r="C82" s="63" t="s">
        <v>376</v>
      </c>
      <c r="D82" s="78" t="s">
        <v>378</v>
      </c>
      <c r="E82" s="171" t="s">
        <v>220</v>
      </c>
      <c r="F82" s="78" t="s">
        <v>355</v>
      </c>
      <c r="G82" s="171" t="s">
        <v>342</v>
      </c>
      <c r="H82" s="224" t="s">
        <v>379</v>
      </c>
      <c r="I82" s="225" t="s">
        <v>207</v>
      </c>
      <c r="J82" s="224">
        <v>252</v>
      </c>
      <c r="K82" s="225" t="s">
        <v>269</v>
      </c>
      <c r="L82" s="226">
        <v>1900</v>
      </c>
      <c r="M82" s="227">
        <f t="shared" si="5"/>
        <v>478800</v>
      </c>
      <c r="N82" s="228">
        <v>0</v>
      </c>
      <c r="O82" s="227">
        <f t="shared" si="6"/>
        <v>0</v>
      </c>
      <c r="P82" s="228">
        <v>0.16</v>
      </c>
      <c r="Q82" s="227">
        <f t="shared" si="7"/>
        <v>76608</v>
      </c>
      <c r="R82" s="227">
        <f t="shared" si="8"/>
        <v>555408</v>
      </c>
      <c r="S82" s="229">
        <f>INDEX('Glosario Partidas'!$M$8:$M$10,MATCH(BD!K82,'Glosario Partidas'!$L$8:$L$10,0))</f>
        <v>1</v>
      </c>
      <c r="T82" s="227">
        <f t="shared" si="9"/>
        <v>555408</v>
      </c>
      <c r="U82" s="230" t="s">
        <v>315</v>
      </c>
      <c r="V82" s="231" t="s">
        <v>13</v>
      </c>
    </row>
    <row r="83" spans="2:22" ht="12" customHeight="1" x14ac:dyDescent="0.2">
      <c r="B83" s="63" t="s">
        <v>289</v>
      </c>
      <c r="C83" s="63" t="s">
        <v>376</v>
      </c>
      <c r="D83" s="78" t="s">
        <v>380</v>
      </c>
      <c r="E83" s="171" t="s">
        <v>220</v>
      </c>
      <c r="F83" s="78" t="s">
        <v>354</v>
      </c>
      <c r="G83" s="171" t="s">
        <v>342</v>
      </c>
      <c r="H83" s="224" t="s">
        <v>293</v>
      </c>
      <c r="I83" s="225" t="s">
        <v>207</v>
      </c>
      <c r="J83" s="224">
        <v>20</v>
      </c>
      <c r="K83" s="225" t="s">
        <v>153</v>
      </c>
      <c r="L83" s="226">
        <v>250</v>
      </c>
      <c r="M83" s="227">
        <f t="shared" si="5"/>
        <v>5000</v>
      </c>
      <c r="N83" s="228">
        <v>0</v>
      </c>
      <c r="O83" s="227">
        <f t="shared" si="6"/>
        <v>0</v>
      </c>
      <c r="P83" s="228">
        <v>0.16</v>
      </c>
      <c r="Q83" s="227">
        <f t="shared" si="7"/>
        <v>800</v>
      </c>
      <c r="R83" s="227">
        <f t="shared" si="8"/>
        <v>5800</v>
      </c>
      <c r="S83" s="229">
        <f>INDEX('Glosario Partidas'!$M$8:$M$10,MATCH(BD!K83,'Glosario Partidas'!$L$8:$L$10,0))</f>
        <v>17.5</v>
      </c>
      <c r="T83" s="227">
        <f t="shared" si="9"/>
        <v>101500</v>
      </c>
      <c r="U83" s="230" t="s">
        <v>315</v>
      </c>
      <c r="V83" s="231" t="s">
        <v>13</v>
      </c>
    </row>
    <row r="84" spans="2:22" ht="12" customHeight="1" x14ac:dyDescent="0.2">
      <c r="B84" s="63" t="s">
        <v>289</v>
      </c>
      <c r="C84" s="63" t="s">
        <v>376</v>
      </c>
      <c r="D84" s="78" t="s">
        <v>381</v>
      </c>
      <c r="E84" s="171" t="s">
        <v>220</v>
      </c>
      <c r="F84" s="78" t="s">
        <v>354</v>
      </c>
      <c r="G84" s="171" t="s">
        <v>342</v>
      </c>
      <c r="H84" s="224" t="s">
        <v>379</v>
      </c>
      <c r="I84" s="225" t="s">
        <v>207</v>
      </c>
      <c r="J84" s="224">
        <v>22</v>
      </c>
      <c r="K84" s="225" t="s">
        <v>269</v>
      </c>
      <c r="L84" s="226">
        <v>1900</v>
      </c>
      <c r="M84" s="227">
        <f t="shared" si="5"/>
        <v>41800</v>
      </c>
      <c r="N84" s="228">
        <v>0</v>
      </c>
      <c r="O84" s="227">
        <f t="shared" si="6"/>
        <v>0</v>
      </c>
      <c r="P84" s="228">
        <v>0.16</v>
      </c>
      <c r="Q84" s="227">
        <f t="shared" si="7"/>
        <v>6688</v>
      </c>
      <c r="R84" s="227">
        <f t="shared" si="8"/>
        <v>48488</v>
      </c>
      <c r="S84" s="229">
        <f>INDEX('Glosario Partidas'!$M$8:$M$10,MATCH(BD!K84,'Glosario Partidas'!$L$8:$L$10,0))</f>
        <v>1</v>
      </c>
      <c r="T84" s="227">
        <f t="shared" si="9"/>
        <v>48488</v>
      </c>
      <c r="U84" s="230" t="s">
        <v>315</v>
      </c>
      <c r="V84" s="231" t="s">
        <v>13</v>
      </c>
    </row>
    <row r="85" spans="2:22" ht="12" customHeight="1" x14ac:dyDescent="0.2">
      <c r="B85" s="63" t="s">
        <v>289</v>
      </c>
      <c r="C85" s="63" t="s">
        <v>382</v>
      </c>
      <c r="D85" s="78" t="s">
        <v>383</v>
      </c>
      <c r="E85" s="171" t="s">
        <v>220</v>
      </c>
      <c r="F85" s="78" t="s">
        <v>221</v>
      </c>
      <c r="G85" s="171" t="s">
        <v>342</v>
      </c>
      <c r="H85" s="224" t="s">
        <v>293</v>
      </c>
      <c r="I85" s="225" t="s">
        <v>207</v>
      </c>
      <c r="J85" s="224">
        <v>189.96</v>
      </c>
      <c r="K85" s="225" t="s">
        <v>153</v>
      </c>
      <c r="L85" s="226">
        <v>70</v>
      </c>
      <c r="M85" s="227">
        <f t="shared" si="5"/>
        <v>13297.2</v>
      </c>
      <c r="N85" s="228">
        <v>0</v>
      </c>
      <c r="O85" s="227">
        <f t="shared" si="6"/>
        <v>0</v>
      </c>
      <c r="P85" s="228">
        <v>0.16</v>
      </c>
      <c r="Q85" s="227">
        <f t="shared" si="7"/>
        <v>2127.5520000000001</v>
      </c>
      <c r="R85" s="227">
        <f t="shared" si="8"/>
        <v>15424.752</v>
      </c>
      <c r="S85" s="229">
        <f>INDEX('Glosario Partidas'!$M$8:$M$10,MATCH(BD!K85,'Glosario Partidas'!$L$8:$L$10,0))</f>
        <v>17.5</v>
      </c>
      <c r="T85" s="227">
        <f t="shared" si="9"/>
        <v>269933.16000000003</v>
      </c>
      <c r="U85" s="230" t="s">
        <v>315</v>
      </c>
      <c r="V85" s="231" t="s">
        <v>13</v>
      </c>
    </row>
    <row r="86" spans="2:22" ht="12" customHeight="1" x14ac:dyDescent="0.2">
      <c r="B86" s="63" t="s">
        <v>289</v>
      </c>
      <c r="C86" s="63" t="s">
        <v>382</v>
      </c>
      <c r="D86" s="78" t="s">
        <v>384</v>
      </c>
      <c r="E86" s="171" t="s">
        <v>220</v>
      </c>
      <c r="F86" s="78" t="s">
        <v>354</v>
      </c>
      <c r="G86" s="171" t="s">
        <v>342</v>
      </c>
      <c r="H86" s="224" t="s">
        <v>293</v>
      </c>
      <c r="I86" s="225" t="s">
        <v>207</v>
      </c>
      <c r="J86" s="224">
        <v>140.4</v>
      </c>
      <c r="K86" s="225" t="s">
        <v>153</v>
      </c>
      <c r="L86" s="226">
        <v>250</v>
      </c>
      <c r="M86" s="227">
        <f t="shared" si="5"/>
        <v>35100</v>
      </c>
      <c r="N86" s="228">
        <v>0</v>
      </c>
      <c r="O86" s="227">
        <f t="shared" si="6"/>
        <v>0</v>
      </c>
      <c r="P86" s="228">
        <v>0.16</v>
      </c>
      <c r="Q86" s="227">
        <f t="shared" si="7"/>
        <v>5616</v>
      </c>
      <c r="R86" s="227">
        <f t="shared" si="8"/>
        <v>40716</v>
      </c>
      <c r="S86" s="229">
        <f>INDEX('Glosario Partidas'!$M$8:$M$10,MATCH(BD!K86,'Glosario Partidas'!$L$8:$L$10,0))</f>
        <v>17.5</v>
      </c>
      <c r="T86" s="227">
        <f t="shared" si="9"/>
        <v>712530</v>
      </c>
      <c r="U86" s="230" t="s">
        <v>315</v>
      </c>
      <c r="V86" s="231" t="s">
        <v>13</v>
      </c>
    </row>
    <row r="87" spans="2:22" ht="12" customHeight="1" x14ac:dyDescent="0.2">
      <c r="B87" s="63" t="s">
        <v>289</v>
      </c>
      <c r="C87" s="63" t="s">
        <v>382</v>
      </c>
      <c r="D87" s="78" t="s">
        <v>383</v>
      </c>
      <c r="E87" s="171" t="s">
        <v>220</v>
      </c>
      <c r="F87" s="78" t="s">
        <v>355</v>
      </c>
      <c r="G87" s="171" t="s">
        <v>342</v>
      </c>
      <c r="H87" s="224" t="s">
        <v>293</v>
      </c>
      <c r="I87" s="225" t="s">
        <v>207</v>
      </c>
      <c r="J87" s="224">
        <v>72</v>
      </c>
      <c r="K87" s="225" t="s">
        <v>153</v>
      </c>
      <c r="L87" s="226">
        <v>80</v>
      </c>
      <c r="M87" s="227">
        <f t="shared" si="5"/>
        <v>5760</v>
      </c>
      <c r="N87" s="228">
        <v>0</v>
      </c>
      <c r="O87" s="227">
        <f t="shared" si="6"/>
        <v>0</v>
      </c>
      <c r="P87" s="228">
        <v>0.16</v>
      </c>
      <c r="Q87" s="227">
        <f t="shared" si="7"/>
        <v>921.6</v>
      </c>
      <c r="R87" s="227">
        <f t="shared" si="8"/>
        <v>6681.6</v>
      </c>
      <c r="S87" s="229">
        <f>INDEX('Glosario Partidas'!$M$8:$M$10,MATCH(BD!K87,'Glosario Partidas'!$L$8:$L$10,0))</f>
        <v>17.5</v>
      </c>
      <c r="T87" s="227">
        <f t="shared" si="9"/>
        <v>116928</v>
      </c>
      <c r="U87" s="230" t="s">
        <v>315</v>
      </c>
      <c r="V87" s="231" t="s">
        <v>13</v>
      </c>
    </row>
    <row r="88" spans="2:22" ht="12" customHeight="1" x14ac:dyDescent="0.2">
      <c r="B88" s="63" t="s">
        <v>289</v>
      </c>
      <c r="C88" s="63" t="s">
        <v>382</v>
      </c>
      <c r="D88" s="78" t="s">
        <v>378</v>
      </c>
      <c r="E88" s="171" t="s">
        <v>220</v>
      </c>
      <c r="F88" s="78" t="s">
        <v>221</v>
      </c>
      <c r="G88" s="171" t="s">
        <v>342</v>
      </c>
      <c r="H88" s="224" t="s">
        <v>379</v>
      </c>
      <c r="I88" s="225" t="s">
        <v>207</v>
      </c>
      <c r="J88" s="224">
        <v>158</v>
      </c>
      <c r="K88" s="225" t="s">
        <v>269</v>
      </c>
      <c r="L88" s="226">
        <v>1900</v>
      </c>
      <c r="M88" s="227">
        <f t="shared" si="5"/>
        <v>300200</v>
      </c>
      <c r="N88" s="228">
        <v>0</v>
      </c>
      <c r="O88" s="227">
        <f t="shared" si="6"/>
        <v>0</v>
      </c>
      <c r="P88" s="228">
        <v>0.16</v>
      </c>
      <c r="Q88" s="227">
        <f t="shared" si="7"/>
        <v>48032</v>
      </c>
      <c r="R88" s="227">
        <f t="shared" si="8"/>
        <v>348232</v>
      </c>
      <c r="S88" s="229">
        <f>INDEX('Glosario Partidas'!$M$8:$M$10,MATCH(BD!K88,'Glosario Partidas'!$L$8:$L$10,0))</f>
        <v>1</v>
      </c>
      <c r="T88" s="227">
        <f t="shared" si="9"/>
        <v>348232</v>
      </c>
      <c r="U88" s="230" t="s">
        <v>315</v>
      </c>
      <c r="V88" s="231" t="s">
        <v>13</v>
      </c>
    </row>
    <row r="89" spans="2:22" ht="12" customHeight="1" x14ac:dyDescent="0.2">
      <c r="B89" s="63" t="s">
        <v>289</v>
      </c>
      <c r="C89" s="63" t="s">
        <v>382</v>
      </c>
      <c r="D89" s="78" t="s">
        <v>381</v>
      </c>
      <c r="E89" s="171" t="s">
        <v>220</v>
      </c>
      <c r="F89" s="78" t="s">
        <v>354</v>
      </c>
      <c r="G89" s="171" t="s">
        <v>342</v>
      </c>
      <c r="H89" s="224" t="s">
        <v>379</v>
      </c>
      <c r="I89" s="225" t="s">
        <v>207</v>
      </c>
      <c r="J89" s="224">
        <v>117</v>
      </c>
      <c r="K89" s="225" t="s">
        <v>269</v>
      </c>
      <c r="L89" s="226">
        <v>1900</v>
      </c>
      <c r="M89" s="227">
        <f t="shared" si="5"/>
        <v>222300</v>
      </c>
      <c r="N89" s="228">
        <v>0</v>
      </c>
      <c r="O89" s="227">
        <f t="shared" si="6"/>
        <v>0</v>
      </c>
      <c r="P89" s="228">
        <v>0.16</v>
      </c>
      <c r="Q89" s="227">
        <f t="shared" si="7"/>
        <v>35568</v>
      </c>
      <c r="R89" s="227">
        <f t="shared" si="8"/>
        <v>257868</v>
      </c>
      <c r="S89" s="229">
        <f>INDEX('Glosario Partidas'!$M$8:$M$10,MATCH(BD!K89,'Glosario Partidas'!$L$8:$L$10,0))</f>
        <v>1</v>
      </c>
      <c r="T89" s="227">
        <f t="shared" si="9"/>
        <v>257868</v>
      </c>
      <c r="U89" s="230" t="s">
        <v>315</v>
      </c>
      <c r="V89" s="231" t="s">
        <v>13</v>
      </c>
    </row>
    <row r="90" spans="2:22" ht="12" customHeight="1" x14ac:dyDescent="0.2">
      <c r="B90" s="63" t="s">
        <v>289</v>
      </c>
      <c r="C90" s="63" t="s">
        <v>382</v>
      </c>
      <c r="D90" s="78" t="s">
        <v>378</v>
      </c>
      <c r="E90" s="171" t="s">
        <v>220</v>
      </c>
      <c r="F90" s="78" t="s">
        <v>355</v>
      </c>
      <c r="G90" s="171" t="s">
        <v>342</v>
      </c>
      <c r="H90" s="224" t="s">
        <v>379</v>
      </c>
      <c r="I90" s="225" t="s">
        <v>207</v>
      </c>
      <c r="J90" s="224">
        <v>60</v>
      </c>
      <c r="K90" s="225" t="s">
        <v>269</v>
      </c>
      <c r="L90" s="226">
        <v>1900</v>
      </c>
      <c r="M90" s="227">
        <f t="shared" si="5"/>
        <v>114000</v>
      </c>
      <c r="N90" s="228">
        <v>0</v>
      </c>
      <c r="O90" s="227">
        <f t="shared" si="6"/>
        <v>0</v>
      </c>
      <c r="P90" s="228">
        <v>0.16</v>
      </c>
      <c r="Q90" s="227">
        <f t="shared" si="7"/>
        <v>18240</v>
      </c>
      <c r="R90" s="227">
        <f t="shared" si="8"/>
        <v>132240</v>
      </c>
      <c r="S90" s="229">
        <f>INDEX('Glosario Partidas'!$M$8:$M$10,MATCH(BD!K90,'Glosario Partidas'!$L$8:$L$10,0))</f>
        <v>1</v>
      </c>
      <c r="T90" s="227">
        <f t="shared" si="9"/>
        <v>132240</v>
      </c>
      <c r="U90" s="230" t="s">
        <v>315</v>
      </c>
      <c r="V90" s="231" t="s">
        <v>13</v>
      </c>
    </row>
    <row r="91" spans="2:22" ht="12" customHeight="1" x14ac:dyDescent="0.2">
      <c r="B91" s="63" t="s">
        <v>289</v>
      </c>
      <c r="C91" s="63" t="s">
        <v>385</v>
      </c>
      <c r="D91" s="78" t="s">
        <v>386</v>
      </c>
      <c r="E91" s="171" t="s">
        <v>220</v>
      </c>
      <c r="F91" s="78" t="s">
        <v>221</v>
      </c>
      <c r="G91" s="171" t="s">
        <v>342</v>
      </c>
      <c r="H91" s="224" t="s">
        <v>293</v>
      </c>
      <c r="I91" s="225" t="s">
        <v>207</v>
      </c>
      <c r="J91" s="224">
        <v>13.2</v>
      </c>
      <c r="K91" s="225" t="s">
        <v>153</v>
      </c>
      <c r="L91" s="226">
        <v>300</v>
      </c>
      <c r="M91" s="227">
        <f t="shared" si="5"/>
        <v>3960</v>
      </c>
      <c r="N91" s="228">
        <v>0</v>
      </c>
      <c r="O91" s="227">
        <f t="shared" si="6"/>
        <v>0</v>
      </c>
      <c r="P91" s="228">
        <v>0.16</v>
      </c>
      <c r="Q91" s="227">
        <f t="shared" si="7"/>
        <v>633.6</v>
      </c>
      <c r="R91" s="227">
        <f t="shared" si="8"/>
        <v>4593.6000000000004</v>
      </c>
      <c r="S91" s="229">
        <f>INDEX('Glosario Partidas'!$M$8:$M$10,MATCH(BD!K91,'Glosario Partidas'!$L$8:$L$10,0))</f>
        <v>17.5</v>
      </c>
      <c r="T91" s="227">
        <f t="shared" si="9"/>
        <v>80388</v>
      </c>
      <c r="U91" s="230" t="s">
        <v>315</v>
      </c>
      <c r="V91" s="231" t="s">
        <v>13</v>
      </c>
    </row>
    <row r="92" spans="2:22" ht="12" customHeight="1" x14ac:dyDescent="0.2">
      <c r="B92" s="63" t="s">
        <v>289</v>
      </c>
      <c r="C92" s="63" t="s">
        <v>385</v>
      </c>
      <c r="D92" s="78" t="s">
        <v>386</v>
      </c>
      <c r="E92" s="171" t="s">
        <v>220</v>
      </c>
      <c r="F92" s="78" t="s">
        <v>354</v>
      </c>
      <c r="G92" s="171" t="s">
        <v>342</v>
      </c>
      <c r="H92" s="224" t="s">
        <v>293</v>
      </c>
      <c r="I92" s="225" t="s">
        <v>207</v>
      </c>
      <c r="J92" s="224">
        <v>13.2</v>
      </c>
      <c r="K92" s="225" t="s">
        <v>153</v>
      </c>
      <c r="L92" s="226">
        <v>300</v>
      </c>
      <c r="M92" s="227">
        <f t="shared" si="5"/>
        <v>3960</v>
      </c>
      <c r="N92" s="228">
        <v>0</v>
      </c>
      <c r="O92" s="227">
        <f t="shared" si="6"/>
        <v>0</v>
      </c>
      <c r="P92" s="228">
        <v>0.16</v>
      </c>
      <c r="Q92" s="227">
        <f t="shared" si="7"/>
        <v>633.6</v>
      </c>
      <c r="R92" s="227">
        <f t="shared" si="8"/>
        <v>4593.6000000000004</v>
      </c>
      <c r="S92" s="229">
        <f>INDEX('Glosario Partidas'!$M$8:$M$10,MATCH(BD!K92,'Glosario Partidas'!$L$8:$L$10,0))</f>
        <v>17.5</v>
      </c>
      <c r="T92" s="227">
        <f t="shared" si="9"/>
        <v>80388</v>
      </c>
      <c r="U92" s="230" t="s">
        <v>315</v>
      </c>
      <c r="V92" s="231" t="s">
        <v>13</v>
      </c>
    </row>
    <row r="93" spans="2:22" ht="12" customHeight="1" x14ac:dyDescent="0.2">
      <c r="B93" s="63" t="s">
        <v>289</v>
      </c>
      <c r="C93" s="63" t="s">
        <v>385</v>
      </c>
      <c r="D93" s="78" t="s">
        <v>386</v>
      </c>
      <c r="E93" s="171" t="s">
        <v>220</v>
      </c>
      <c r="F93" s="78" t="s">
        <v>355</v>
      </c>
      <c r="G93" s="171" t="s">
        <v>342</v>
      </c>
      <c r="H93" s="224" t="s">
        <v>293</v>
      </c>
      <c r="I93" s="225" t="s">
        <v>207</v>
      </c>
      <c r="J93" s="224">
        <v>0</v>
      </c>
      <c r="K93" s="225" t="s">
        <v>153</v>
      </c>
      <c r="L93" s="226">
        <v>300</v>
      </c>
      <c r="M93" s="227">
        <f t="shared" si="5"/>
        <v>0</v>
      </c>
      <c r="N93" s="228">
        <v>0</v>
      </c>
      <c r="O93" s="227">
        <f t="shared" si="6"/>
        <v>0</v>
      </c>
      <c r="P93" s="228">
        <v>0.16</v>
      </c>
      <c r="Q93" s="227">
        <f t="shared" si="7"/>
        <v>0</v>
      </c>
      <c r="R93" s="227">
        <f t="shared" si="8"/>
        <v>0</v>
      </c>
      <c r="S93" s="229">
        <f>INDEX('Glosario Partidas'!$M$8:$M$10,MATCH(BD!K93,'Glosario Partidas'!$L$8:$L$10,0))</f>
        <v>17.5</v>
      </c>
      <c r="T93" s="227">
        <f t="shared" si="9"/>
        <v>0</v>
      </c>
      <c r="U93" s="230" t="s">
        <v>315</v>
      </c>
      <c r="V93" s="231" t="s">
        <v>13</v>
      </c>
    </row>
    <row r="94" spans="2:22" ht="12" customHeight="1" x14ac:dyDescent="0.2">
      <c r="B94" s="63" t="s">
        <v>289</v>
      </c>
      <c r="C94" s="63" t="s">
        <v>385</v>
      </c>
      <c r="D94" s="78" t="s">
        <v>378</v>
      </c>
      <c r="E94" s="171" t="s">
        <v>220</v>
      </c>
      <c r="F94" s="78" t="s">
        <v>221</v>
      </c>
      <c r="G94" s="171" t="s">
        <v>342</v>
      </c>
      <c r="H94" s="224" t="s">
        <v>379</v>
      </c>
      <c r="I94" s="225" t="s">
        <v>207</v>
      </c>
      <c r="J94" s="224">
        <v>12</v>
      </c>
      <c r="K94" s="225" t="s">
        <v>269</v>
      </c>
      <c r="L94" s="226">
        <v>1900</v>
      </c>
      <c r="M94" s="227">
        <f t="shared" si="5"/>
        <v>22800</v>
      </c>
      <c r="N94" s="228">
        <v>0</v>
      </c>
      <c r="O94" s="227">
        <f t="shared" si="6"/>
        <v>0</v>
      </c>
      <c r="P94" s="228">
        <v>0.16</v>
      </c>
      <c r="Q94" s="227">
        <f t="shared" si="7"/>
        <v>3648</v>
      </c>
      <c r="R94" s="227">
        <f t="shared" si="8"/>
        <v>26448</v>
      </c>
      <c r="S94" s="229">
        <f>INDEX('Glosario Partidas'!$M$8:$M$10,MATCH(BD!K94,'Glosario Partidas'!$L$8:$L$10,0))</f>
        <v>1</v>
      </c>
      <c r="T94" s="227">
        <f t="shared" si="9"/>
        <v>26448</v>
      </c>
      <c r="U94" s="230" t="s">
        <v>315</v>
      </c>
      <c r="V94" s="231" t="s">
        <v>13</v>
      </c>
    </row>
    <row r="95" spans="2:22" ht="12" customHeight="1" x14ac:dyDescent="0.2">
      <c r="B95" s="63" t="s">
        <v>289</v>
      </c>
      <c r="C95" s="63" t="s">
        <v>385</v>
      </c>
      <c r="D95" s="78" t="s">
        <v>378</v>
      </c>
      <c r="E95" s="171" t="s">
        <v>220</v>
      </c>
      <c r="F95" s="78" t="s">
        <v>354</v>
      </c>
      <c r="G95" s="171" t="s">
        <v>342</v>
      </c>
      <c r="H95" s="224" t="s">
        <v>379</v>
      </c>
      <c r="I95" s="225" t="s">
        <v>207</v>
      </c>
      <c r="J95" s="224">
        <v>12</v>
      </c>
      <c r="K95" s="225" t="s">
        <v>269</v>
      </c>
      <c r="L95" s="226">
        <v>1900</v>
      </c>
      <c r="M95" s="227">
        <f t="shared" si="5"/>
        <v>22800</v>
      </c>
      <c r="N95" s="228">
        <v>0</v>
      </c>
      <c r="O95" s="227">
        <f t="shared" si="6"/>
        <v>0</v>
      </c>
      <c r="P95" s="228">
        <v>0.16</v>
      </c>
      <c r="Q95" s="227">
        <f t="shared" si="7"/>
        <v>3648</v>
      </c>
      <c r="R95" s="227">
        <f t="shared" si="8"/>
        <v>26448</v>
      </c>
      <c r="S95" s="229">
        <f>INDEX('Glosario Partidas'!$M$8:$M$10,MATCH(BD!K95,'Glosario Partidas'!$L$8:$L$10,0))</f>
        <v>1</v>
      </c>
      <c r="T95" s="227">
        <f t="shared" si="9"/>
        <v>26448</v>
      </c>
      <c r="U95" s="230" t="s">
        <v>315</v>
      </c>
      <c r="V95" s="231" t="s">
        <v>13</v>
      </c>
    </row>
    <row r="96" spans="2:22" ht="12" customHeight="1" x14ac:dyDescent="0.2">
      <c r="B96" s="63" t="s">
        <v>289</v>
      </c>
      <c r="C96" s="63" t="s">
        <v>385</v>
      </c>
      <c r="D96" s="78" t="s">
        <v>378</v>
      </c>
      <c r="E96" s="171" t="s">
        <v>220</v>
      </c>
      <c r="F96" s="78" t="s">
        <v>355</v>
      </c>
      <c r="G96" s="171" t="s">
        <v>342</v>
      </c>
      <c r="H96" s="224" t="s">
        <v>379</v>
      </c>
      <c r="I96" s="225" t="s">
        <v>207</v>
      </c>
      <c r="J96" s="224">
        <v>0</v>
      </c>
      <c r="K96" s="225" t="s">
        <v>269</v>
      </c>
      <c r="L96" s="226">
        <v>1900</v>
      </c>
      <c r="M96" s="227">
        <f t="shared" si="5"/>
        <v>0</v>
      </c>
      <c r="N96" s="228">
        <v>0</v>
      </c>
      <c r="O96" s="227">
        <f t="shared" si="6"/>
        <v>0</v>
      </c>
      <c r="P96" s="228">
        <v>0.16</v>
      </c>
      <c r="Q96" s="227">
        <f t="shared" si="7"/>
        <v>0</v>
      </c>
      <c r="R96" s="227">
        <f t="shared" si="8"/>
        <v>0</v>
      </c>
      <c r="S96" s="229">
        <f>INDEX('Glosario Partidas'!$M$8:$M$10,MATCH(BD!K96,'Glosario Partidas'!$L$8:$L$10,0))</f>
        <v>1</v>
      </c>
      <c r="T96" s="227">
        <f t="shared" si="9"/>
        <v>0</v>
      </c>
      <c r="U96" s="230" t="s">
        <v>315</v>
      </c>
      <c r="V96" s="231" t="s">
        <v>13</v>
      </c>
    </row>
    <row r="97" spans="2:22" ht="12" customHeight="1" x14ac:dyDescent="0.2">
      <c r="B97" s="63" t="s">
        <v>289</v>
      </c>
      <c r="C97" s="63" t="s">
        <v>387</v>
      </c>
      <c r="D97" s="78" t="s">
        <v>388</v>
      </c>
      <c r="E97" s="171" t="s">
        <v>220</v>
      </c>
      <c r="F97" s="78" t="s">
        <v>221</v>
      </c>
      <c r="G97" s="171" t="s">
        <v>342</v>
      </c>
      <c r="H97" s="224" t="s">
        <v>293</v>
      </c>
      <c r="I97" s="225" t="s">
        <v>207</v>
      </c>
      <c r="J97" s="224">
        <v>38.5</v>
      </c>
      <c r="K97" s="225" t="s">
        <v>153</v>
      </c>
      <c r="L97" s="226">
        <v>250</v>
      </c>
      <c r="M97" s="227">
        <f t="shared" si="5"/>
        <v>9625</v>
      </c>
      <c r="N97" s="228">
        <v>0</v>
      </c>
      <c r="O97" s="227">
        <f t="shared" si="6"/>
        <v>0</v>
      </c>
      <c r="P97" s="228">
        <v>0.16</v>
      </c>
      <c r="Q97" s="227">
        <f t="shared" si="7"/>
        <v>1540</v>
      </c>
      <c r="R97" s="227">
        <f t="shared" si="8"/>
        <v>11165</v>
      </c>
      <c r="S97" s="229">
        <f>INDEX('Glosario Partidas'!$M$8:$M$10,MATCH(BD!K97,'Glosario Partidas'!$L$8:$L$10,0))</f>
        <v>17.5</v>
      </c>
      <c r="T97" s="227">
        <f t="shared" si="9"/>
        <v>195387.5</v>
      </c>
      <c r="U97" s="230" t="s">
        <v>315</v>
      </c>
      <c r="V97" s="231" t="s">
        <v>13</v>
      </c>
    </row>
    <row r="98" spans="2:22" ht="12" customHeight="1" x14ac:dyDescent="0.2">
      <c r="B98" s="63" t="s">
        <v>289</v>
      </c>
      <c r="C98" s="63" t="s">
        <v>387</v>
      </c>
      <c r="D98" s="78" t="s">
        <v>388</v>
      </c>
      <c r="E98" s="171" t="s">
        <v>220</v>
      </c>
      <c r="F98" s="78" t="s">
        <v>354</v>
      </c>
      <c r="G98" s="171" t="s">
        <v>342</v>
      </c>
      <c r="H98" s="224" t="s">
        <v>293</v>
      </c>
      <c r="I98" s="225" t="s">
        <v>207</v>
      </c>
      <c r="J98" s="224">
        <v>38.5</v>
      </c>
      <c r="K98" s="225" t="s">
        <v>153</v>
      </c>
      <c r="L98" s="226">
        <v>250</v>
      </c>
      <c r="M98" s="227">
        <f t="shared" si="5"/>
        <v>9625</v>
      </c>
      <c r="N98" s="228">
        <v>0</v>
      </c>
      <c r="O98" s="227">
        <f t="shared" si="6"/>
        <v>0</v>
      </c>
      <c r="P98" s="228">
        <v>0.16</v>
      </c>
      <c r="Q98" s="227">
        <f t="shared" si="7"/>
        <v>1540</v>
      </c>
      <c r="R98" s="227">
        <f t="shared" si="8"/>
        <v>11165</v>
      </c>
      <c r="S98" s="229">
        <f>INDEX('Glosario Partidas'!$M$8:$M$10,MATCH(BD!K98,'Glosario Partidas'!$L$8:$L$10,0))</f>
        <v>17.5</v>
      </c>
      <c r="T98" s="227">
        <f t="shared" si="9"/>
        <v>195387.5</v>
      </c>
      <c r="U98" s="230" t="s">
        <v>315</v>
      </c>
      <c r="V98" s="231" t="s">
        <v>13</v>
      </c>
    </row>
    <row r="99" spans="2:22" ht="12" customHeight="1" x14ac:dyDescent="0.2">
      <c r="B99" s="63" t="s">
        <v>289</v>
      </c>
      <c r="C99" s="63" t="s">
        <v>387</v>
      </c>
      <c r="D99" s="78" t="s">
        <v>388</v>
      </c>
      <c r="E99" s="171" t="s">
        <v>220</v>
      </c>
      <c r="F99" s="78" t="s">
        <v>355</v>
      </c>
      <c r="G99" s="171" t="s">
        <v>342</v>
      </c>
      <c r="H99" s="224" t="s">
        <v>293</v>
      </c>
      <c r="I99" s="225" t="s">
        <v>207</v>
      </c>
      <c r="J99" s="224">
        <v>36</v>
      </c>
      <c r="K99" s="225" t="s">
        <v>153</v>
      </c>
      <c r="L99" s="226">
        <v>80</v>
      </c>
      <c r="M99" s="227">
        <f t="shared" si="5"/>
        <v>2880</v>
      </c>
      <c r="N99" s="228">
        <v>0</v>
      </c>
      <c r="O99" s="227">
        <f t="shared" si="6"/>
        <v>0</v>
      </c>
      <c r="P99" s="228">
        <v>0.16</v>
      </c>
      <c r="Q99" s="227">
        <f t="shared" si="7"/>
        <v>460.8</v>
      </c>
      <c r="R99" s="227">
        <f t="shared" si="8"/>
        <v>3340.8</v>
      </c>
      <c r="S99" s="229">
        <f>INDEX('Glosario Partidas'!$M$8:$M$10,MATCH(BD!K99,'Glosario Partidas'!$L$8:$L$10,0))</f>
        <v>17.5</v>
      </c>
      <c r="T99" s="227">
        <f t="shared" si="9"/>
        <v>58464</v>
      </c>
      <c r="U99" s="230" t="s">
        <v>315</v>
      </c>
      <c r="V99" s="231" t="s">
        <v>13</v>
      </c>
    </row>
    <row r="100" spans="2:22" ht="12" customHeight="1" x14ac:dyDescent="0.2">
      <c r="B100" s="63" t="s">
        <v>289</v>
      </c>
      <c r="C100" s="63" t="s">
        <v>387</v>
      </c>
      <c r="D100" s="78" t="s">
        <v>378</v>
      </c>
      <c r="E100" s="171" t="s">
        <v>220</v>
      </c>
      <c r="F100" s="78" t="s">
        <v>221</v>
      </c>
      <c r="G100" s="171" t="s">
        <v>342</v>
      </c>
      <c r="H100" s="224" t="s">
        <v>379</v>
      </c>
      <c r="I100" s="225" t="s">
        <v>207</v>
      </c>
      <c r="J100" s="224">
        <v>35</v>
      </c>
      <c r="K100" s="225" t="s">
        <v>269</v>
      </c>
      <c r="L100" s="226">
        <v>1900</v>
      </c>
      <c r="M100" s="227">
        <f t="shared" si="5"/>
        <v>66500</v>
      </c>
      <c r="N100" s="228">
        <v>0</v>
      </c>
      <c r="O100" s="227">
        <f t="shared" si="6"/>
        <v>0</v>
      </c>
      <c r="P100" s="228">
        <v>0.16</v>
      </c>
      <c r="Q100" s="227">
        <f t="shared" si="7"/>
        <v>10640</v>
      </c>
      <c r="R100" s="227">
        <f t="shared" si="8"/>
        <v>77140</v>
      </c>
      <c r="S100" s="229">
        <f>INDEX('Glosario Partidas'!$M$8:$M$10,MATCH(BD!K100,'Glosario Partidas'!$L$8:$L$10,0))</f>
        <v>1</v>
      </c>
      <c r="T100" s="227">
        <f t="shared" si="9"/>
        <v>77140</v>
      </c>
      <c r="U100" s="230" t="s">
        <v>315</v>
      </c>
      <c r="V100" s="231" t="s">
        <v>13</v>
      </c>
    </row>
    <row r="101" spans="2:22" ht="12" customHeight="1" x14ac:dyDescent="0.2">
      <c r="B101" s="63" t="s">
        <v>289</v>
      </c>
      <c r="C101" s="63" t="s">
        <v>387</v>
      </c>
      <c r="D101" s="78" t="s">
        <v>378</v>
      </c>
      <c r="E101" s="171" t="s">
        <v>220</v>
      </c>
      <c r="F101" s="78" t="s">
        <v>354</v>
      </c>
      <c r="G101" s="171" t="s">
        <v>342</v>
      </c>
      <c r="H101" s="224" t="s">
        <v>379</v>
      </c>
      <c r="I101" s="225" t="s">
        <v>207</v>
      </c>
      <c r="J101" s="224">
        <v>35</v>
      </c>
      <c r="K101" s="225" t="s">
        <v>269</v>
      </c>
      <c r="L101" s="226">
        <v>1900</v>
      </c>
      <c r="M101" s="227">
        <f t="shared" si="5"/>
        <v>66500</v>
      </c>
      <c r="N101" s="228">
        <v>0</v>
      </c>
      <c r="O101" s="227">
        <f t="shared" si="6"/>
        <v>0</v>
      </c>
      <c r="P101" s="228">
        <v>0.16</v>
      </c>
      <c r="Q101" s="227">
        <f t="shared" si="7"/>
        <v>10640</v>
      </c>
      <c r="R101" s="227">
        <f t="shared" si="8"/>
        <v>77140</v>
      </c>
      <c r="S101" s="229">
        <f>INDEX('Glosario Partidas'!$M$8:$M$10,MATCH(BD!K101,'Glosario Partidas'!$L$8:$L$10,0))</f>
        <v>1</v>
      </c>
      <c r="T101" s="227">
        <f t="shared" si="9"/>
        <v>77140</v>
      </c>
      <c r="U101" s="230" t="s">
        <v>315</v>
      </c>
      <c r="V101" s="231" t="s">
        <v>13</v>
      </c>
    </row>
    <row r="102" spans="2:22" ht="12" customHeight="1" x14ac:dyDescent="0.2">
      <c r="B102" s="63" t="s">
        <v>289</v>
      </c>
      <c r="C102" s="63" t="s">
        <v>387</v>
      </c>
      <c r="D102" s="78" t="s">
        <v>378</v>
      </c>
      <c r="E102" s="171" t="s">
        <v>220</v>
      </c>
      <c r="F102" s="78" t="s">
        <v>355</v>
      </c>
      <c r="G102" s="171" t="s">
        <v>342</v>
      </c>
      <c r="H102" s="224" t="s">
        <v>379</v>
      </c>
      <c r="I102" s="225" t="s">
        <v>207</v>
      </c>
      <c r="J102" s="224">
        <v>30</v>
      </c>
      <c r="K102" s="225" t="s">
        <v>269</v>
      </c>
      <c r="L102" s="226">
        <v>1900</v>
      </c>
      <c r="M102" s="227">
        <f t="shared" si="5"/>
        <v>57000</v>
      </c>
      <c r="N102" s="228">
        <v>0</v>
      </c>
      <c r="O102" s="227">
        <f t="shared" si="6"/>
        <v>0</v>
      </c>
      <c r="P102" s="228">
        <v>0.16</v>
      </c>
      <c r="Q102" s="227">
        <f t="shared" si="7"/>
        <v>9120</v>
      </c>
      <c r="R102" s="227">
        <f t="shared" si="8"/>
        <v>66120</v>
      </c>
      <c r="S102" s="229">
        <f>INDEX('Glosario Partidas'!$M$8:$M$10,MATCH(BD!K102,'Glosario Partidas'!$L$8:$L$10,0))</f>
        <v>1</v>
      </c>
      <c r="T102" s="227">
        <f t="shared" si="9"/>
        <v>66120</v>
      </c>
      <c r="U102" s="230" t="s">
        <v>315</v>
      </c>
      <c r="V102" s="231" t="s">
        <v>13</v>
      </c>
    </row>
    <row r="103" spans="2:22" ht="12" customHeight="1" x14ac:dyDescent="0.2">
      <c r="B103" s="63" t="s">
        <v>203</v>
      </c>
      <c r="C103" s="63" t="s">
        <v>91</v>
      </c>
      <c r="D103" s="78" t="s">
        <v>389</v>
      </c>
      <c r="E103" s="171" t="s">
        <v>220</v>
      </c>
      <c r="F103" s="78" t="s">
        <v>221</v>
      </c>
      <c r="G103" s="171" t="s">
        <v>342</v>
      </c>
      <c r="H103" s="224" t="s">
        <v>293</v>
      </c>
      <c r="I103" s="225" t="s">
        <v>207</v>
      </c>
      <c r="J103" s="224">
        <v>194.7</v>
      </c>
      <c r="K103" s="225" t="s">
        <v>153</v>
      </c>
      <c r="L103" s="226">
        <v>80</v>
      </c>
      <c r="M103" s="227">
        <f t="shared" si="5"/>
        <v>15576</v>
      </c>
      <c r="N103" s="228">
        <v>0</v>
      </c>
      <c r="O103" s="227">
        <f t="shared" si="6"/>
        <v>0</v>
      </c>
      <c r="P103" s="228">
        <v>0.16</v>
      </c>
      <c r="Q103" s="227">
        <f t="shared" si="7"/>
        <v>2492.16</v>
      </c>
      <c r="R103" s="227">
        <f t="shared" si="8"/>
        <v>18068.16</v>
      </c>
      <c r="S103" s="229">
        <f>INDEX('Glosario Partidas'!$M$8:$M$10,MATCH(BD!K103,'Glosario Partidas'!$L$8:$L$10,0))</f>
        <v>17.5</v>
      </c>
      <c r="T103" s="227">
        <f t="shared" si="9"/>
        <v>316192.8</v>
      </c>
      <c r="U103" s="230" t="s">
        <v>315</v>
      </c>
      <c r="V103" s="231" t="s">
        <v>13</v>
      </c>
    </row>
    <row r="104" spans="2:22" ht="12" customHeight="1" x14ac:dyDescent="0.2">
      <c r="B104" s="63" t="s">
        <v>203</v>
      </c>
      <c r="C104" s="63" t="s">
        <v>91</v>
      </c>
      <c r="D104" s="78" t="s">
        <v>389</v>
      </c>
      <c r="E104" s="171" t="s">
        <v>220</v>
      </c>
      <c r="F104" s="78" t="s">
        <v>354</v>
      </c>
      <c r="G104" s="171" t="s">
        <v>342</v>
      </c>
      <c r="H104" s="224" t="s">
        <v>293</v>
      </c>
      <c r="I104" s="225" t="s">
        <v>207</v>
      </c>
      <c r="J104" s="224">
        <v>194.7</v>
      </c>
      <c r="K104" s="225" t="s">
        <v>153</v>
      </c>
      <c r="L104" s="226">
        <v>80</v>
      </c>
      <c r="M104" s="227">
        <f t="shared" si="5"/>
        <v>15576</v>
      </c>
      <c r="N104" s="228">
        <v>0</v>
      </c>
      <c r="O104" s="227">
        <f t="shared" si="6"/>
        <v>0</v>
      </c>
      <c r="P104" s="228">
        <v>0.16</v>
      </c>
      <c r="Q104" s="227">
        <f t="shared" si="7"/>
        <v>2492.16</v>
      </c>
      <c r="R104" s="227">
        <f t="shared" si="8"/>
        <v>18068.16</v>
      </c>
      <c r="S104" s="229">
        <f>INDEX('Glosario Partidas'!$M$8:$M$10,MATCH(BD!K104,'Glosario Partidas'!$L$8:$L$10,0))</f>
        <v>17.5</v>
      </c>
      <c r="T104" s="227">
        <f t="shared" si="9"/>
        <v>316192.8</v>
      </c>
      <c r="U104" s="230" t="s">
        <v>315</v>
      </c>
      <c r="V104" s="231" t="s">
        <v>13</v>
      </c>
    </row>
    <row r="105" spans="2:22" ht="12" customHeight="1" x14ac:dyDescent="0.2">
      <c r="B105" s="63" t="s">
        <v>203</v>
      </c>
      <c r="C105" s="63" t="s">
        <v>91</v>
      </c>
      <c r="D105" s="78" t="s">
        <v>389</v>
      </c>
      <c r="E105" s="171" t="s">
        <v>220</v>
      </c>
      <c r="F105" s="78" t="s">
        <v>355</v>
      </c>
      <c r="G105" s="171" t="s">
        <v>342</v>
      </c>
      <c r="H105" s="224" t="s">
        <v>293</v>
      </c>
      <c r="I105" s="225" t="s">
        <v>207</v>
      </c>
      <c r="J105" s="224">
        <v>0</v>
      </c>
      <c r="K105" s="225" t="s">
        <v>153</v>
      </c>
      <c r="L105" s="226">
        <v>80</v>
      </c>
      <c r="M105" s="227">
        <f t="shared" si="5"/>
        <v>0</v>
      </c>
      <c r="N105" s="228">
        <v>0</v>
      </c>
      <c r="O105" s="227">
        <f t="shared" si="6"/>
        <v>0</v>
      </c>
      <c r="P105" s="228">
        <v>0.16</v>
      </c>
      <c r="Q105" s="227">
        <f t="shared" si="7"/>
        <v>0</v>
      </c>
      <c r="R105" s="227">
        <f t="shared" si="8"/>
        <v>0</v>
      </c>
      <c r="S105" s="229">
        <f>INDEX('Glosario Partidas'!$M$8:$M$10,MATCH(BD!K105,'Glosario Partidas'!$L$8:$L$10,0))</f>
        <v>17.5</v>
      </c>
      <c r="T105" s="227">
        <f t="shared" si="9"/>
        <v>0</v>
      </c>
      <c r="U105" s="230" t="s">
        <v>315</v>
      </c>
      <c r="V105" s="231" t="s">
        <v>13</v>
      </c>
    </row>
    <row r="106" spans="2:22" ht="12" customHeight="1" x14ac:dyDescent="0.2">
      <c r="B106" s="63" t="s">
        <v>203</v>
      </c>
      <c r="C106" s="63" t="s">
        <v>91</v>
      </c>
      <c r="D106" s="78" t="s">
        <v>390</v>
      </c>
      <c r="E106" s="171" t="s">
        <v>220</v>
      </c>
      <c r="F106" s="78" t="s">
        <v>221</v>
      </c>
      <c r="G106" s="171" t="s">
        <v>342</v>
      </c>
      <c r="H106" s="224" t="s">
        <v>293</v>
      </c>
      <c r="I106" s="225" t="s">
        <v>207</v>
      </c>
      <c r="J106" s="224">
        <v>177</v>
      </c>
      <c r="K106" s="225" t="s">
        <v>269</v>
      </c>
      <c r="L106" s="226">
        <v>700</v>
      </c>
      <c r="M106" s="227">
        <f t="shared" si="5"/>
        <v>123900</v>
      </c>
      <c r="N106" s="228">
        <v>0</v>
      </c>
      <c r="O106" s="227">
        <f t="shared" si="6"/>
        <v>0</v>
      </c>
      <c r="P106" s="228">
        <v>0.16</v>
      </c>
      <c r="Q106" s="227">
        <f t="shared" si="7"/>
        <v>19824</v>
      </c>
      <c r="R106" s="227">
        <f t="shared" si="8"/>
        <v>143724</v>
      </c>
      <c r="S106" s="229">
        <f>INDEX('Glosario Partidas'!$M$8:$M$10,MATCH(BD!K106,'Glosario Partidas'!$L$8:$L$10,0))</f>
        <v>1</v>
      </c>
      <c r="T106" s="227">
        <f t="shared" si="9"/>
        <v>143724</v>
      </c>
      <c r="U106" s="230" t="s">
        <v>315</v>
      </c>
      <c r="V106" s="231" t="s">
        <v>13</v>
      </c>
    </row>
    <row r="107" spans="2:22" ht="12" customHeight="1" x14ac:dyDescent="0.2">
      <c r="B107" s="63" t="s">
        <v>203</v>
      </c>
      <c r="C107" s="63" t="s">
        <v>91</v>
      </c>
      <c r="D107" s="78" t="s">
        <v>390</v>
      </c>
      <c r="E107" s="171" t="s">
        <v>220</v>
      </c>
      <c r="F107" s="78" t="s">
        <v>354</v>
      </c>
      <c r="G107" s="171" t="s">
        <v>342</v>
      </c>
      <c r="H107" s="224" t="s">
        <v>293</v>
      </c>
      <c r="I107" s="225" t="s">
        <v>207</v>
      </c>
      <c r="J107" s="224">
        <v>177</v>
      </c>
      <c r="K107" s="225" t="s">
        <v>269</v>
      </c>
      <c r="L107" s="226">
        <v>700</v>
      </c>
      <c r="M107" s="227">
        <f t="shared" si="5"/>
        <v>123900</v>
      </c>
      <c r="N107" s="228">
        <v>0</v>
      </c>
      <c r="O107" s="227">
        <f t="shared" si="6"/>
        <v>0</v>
      </c>
      <c r="P107" s="228">
        <v>0.16</v>
      </c>
      <c r="Q107" s="227">
        <f t="shared" si="7"/>
        <v>19824</v>
      </c>
      <c r="R107" s="227">
        <f t="shared" si="8"/>
        <v>143724</v>
      </c>
      <c r="S107" s="229">
        <f>INDEX('Glosario Partidas'!$M$8:$M$10,MATCH(BD!K107,'Glosario Partidas'!$L$8:$L$10,0))</f>
        <v>1</v>
      </c>
      <c r="T107" s="227">
        <f t="shared" si="9"/>
        <v>143724</v>
      </c>
      <c r="U107" s="230" t="s">
        <v>315</v>
      </c>
      <c r="V107" s="231" t="s">
        <v>13</v>
      </c>
    </row>
    <row r="108" spans="2:22" ht="12" customHeight="1" x14ac:dyDescent="0.2">
      <c r="B108" s="63" t="s">
        <v>203</v>
      </c>
      <c r="C108" s="63" t="s">
        <v>91</v>
      </c>
      <c r="D108" s="78" t="s">
        <v>390</v>
      </c>
      <c r="E108" s="171" t="s">
        <v>220</v>
      </c>
      <c r="F108" s="78" t="s">
        <v>355</v>
      </c>
      <c r="G108" s="171" t="s">
        <v>342</v>
      </c>
      <c r="H108" s="224" t="s">
        <v>293</v>
      </c>
      <c r="I108" s="225" t="s">
        <v>207</v>
      </c>
      <c r="J108" s="224">
        <v>0</v>
      </c>
      <c r="K108" s="225" t="s">
        <v>269</v>
      </c>
      <c r="L108" s="226">
        <v>700</v>
      </c>
      <c r="M108" s="227">
        <f t="shared" si="5"/>
        <v>0</v>
      </c>
      <c r="N108" s="228">
        <v>0</v>
      </c>
      <c r="O108" s="227">
        <f t="shared" si="6"/>
        <v>0</v>
      </c>
      <c r="P108" s="228">
        <v>0.16</v>
      </c>
      <c r="Q108" s="227">
        <f t="shared" si="7"/>
        <v>0</v>
      </c>
      <c r="R108" s="227">
        <f t="shared" si="8"/>
        <v>0</v>
      </c>
      <c r="S108" s="229">
        <f>INDEX('Glosario Partidas'!$M$8:$M$10,MATCH(BD!K108,'Glosario Partidas'!$L$8:$L$10,0))</f>
        <v>1</v>
      </c>
      <c r="T108" s="227">
        <f t="shared" si="9"/>
        <v>0</v>
      </c>
      <c r="U108" s="230" t="s">
        <v>315</v>
      </c>
      <c r="V108" s="231" t="s">
        <v>13</v>
      </c>
    </row>
    <row r="109" spans="2:22" ht="12" customHeight="1" x14ac:dyDescent="0.2">
      <c r="B109" s="232" t="s">
        <v>203</v>
      </c>
      <c r="C109" s="232" t="s">
        <v>91</v>
      </c>
      <c r="D109" s="233" t="s">
        <v>391</v>
      </c>
      <c r="E109" s="171" t="s">
        <v>220</v>
      </c>
      <c r="F109" s="233" t="s">
        <v>391</v>
      </c>
      <c r="G109" s="171" t="s">
        <v>342</v>
      </c>
      <c r="H109" s="234" t="s">
        <v>293</v>
      </c>
      <c r="I109" s="235" t="s">
        <v>314</v>
      </c>
      <c r="J109" s="234">
        <v>0</v>
      </c>
      <c r="K109" s="235" t="s">
        <v>269</v>
      </c>
      <c r="L109" s="236">
        <v>20018.164079999999</v>
      </c>
      <c r="M109" s="227">
        <f t="shared" si="5"/>
        <v>0</v>
      </c>
      <c r="N109" s="228">
        <v>0</v>
      </c>
      <c r="O109" s="237">
        <f t="shared" si="6"/>
        <v>0</v>
      </c>
      <c r="P109" s="238">
        <v>0.16</v>
      </c>
      <c r="Q109" s="227">
        <f t="shared" si="7"/>
        <v>0</v>
      </c>
      <c r="R109" s="227">
        <f t="shared" si="8"/>
        <v>0</v>
      </c>
      <c r="S109" s="229">
        <f>INDEX('Glosario Partidas'!$M$8:$M$10,MATCH(BD!K109,'Glosario Partidas'!$L$8:$L$10,0))</f>
        <v>1</v>
      </c>
      <c r="T109" s="227">
        <f t="shared" si="9"/>
        <v>0</v>
      </c>
      <c r="U109" s="237" t="s">
        <v>315</v>
      </c>
      <c r="V109" s="231" t="s">
        <v>13</v>
      </c>
    </row>
    <row r="110" spans="2:22" ht="12" customHeight="1" x14ac:dyDescent="0.2">
      <c r="B110" s="232" t="s">
        <v>203</v>
      </c>
      <c r="C110" s="232" t="s">
        <v>91</v>
      </c>
      <c r="D110" s="233" t="s">
        <v>392</v>
      </c>
      <c r="E110" s="171" t="s">
        <v>220</v>
      </c>
      <c r="F110" s="233" t="s">
        <v>392</v>
      </c>
      <c r="G110" s="171" t="s">
        <v>342</v>
      </c>
      <c r="H110" s="234" t="s">
        <v>293</v>
      </c>
      <c r="I110" s="235" t="s">
        <v>207</v>
      </c>
      <c r="J110" s="234">
        <v>0</v>
      </c>
      <c r="K110" s="235" t="s">
        <v>269</v>
      </c>
      <c r="L110" s="236">
        <v>429.97500000000002</v>
      </c>
      <c r="M110" s="227">
        <f t="shared" si="5"/>
        <v>0</v>
      </c>
      <c r="N110" s="228">
        <v>0</v>
      </c>
      <c r="O110" s="237">
        <f t="shared" si="6"/>
        <v>0</v>
      </c>
      <c r="P110" s="238">
        <v>0.16</v>
      </c>
      <c r="Q110" s="227">
        <f t="shared" si="7"/>
        <v>0</v>
      </c>
      <c r="R110" s="227">
        <f t="shared" si="8"/>
        <v>0</v>
      </c>
      <c r="S110" s="229">
        <f>INDEX('Glosario Partidas'!$M$8:$M$10,MATCH(BD!K110,'Glosario Partidas'!$L$8:$L$10,0))</f>
        <v>1</v>
      </c>
      <c r="T110" s="227">
        <f t="shared" si="9"/>
        <v>0</v>
      </c>
      <c r="U110" s="237" t="s">
        <v>315</v>
      </c>
      <c r="V110" s="231" t="s">
        <v>13</v>
      </c>
    </row>
    <row r="111" spans="2:22" ht="12" customHeight="1" x14ac:dyDescent="0.2">
      <c r="B111" s="232" t="s">
        <v>203</v>
      </c>
      <c r="C111" s="232" t="s">
        <v>91</v>
      </c>
      <c r="D111" s="233" t="s">
        <v>393</v>
      </c>
      <c r="E111" s="171" t="s">
        <v>220</v>
      </c>
      <c r="F111" s="233" t="s">
        <v>393</v>
      </c>
      <c r="G111" s="171" t="s">
        <v>342</v>
      </c>
      <c r="H111" s="234" t="s">
        <v>293</v>
      </c>
      <c r="I111" s="235" t="s">
        <v>207</v>
      </c>
      <c r="J111" s="234">
        <v>0</v>
      </c>
      <c r="K111" s="235" t="s">
        <v>269</v>
      </c>
      <c r="L111" s="236">
        <v>199.29224137931001</v>
      </c>
      <c r="M111" s="227">
        <f t="shared" si="5"/>
        <v>0</v>
      </c>
      <c r="N111" s="228">
        <v>0</v>
      </c>
      <c r="O111" s="237">
        <f t="shared" si="6"/>
        <v>0</v>
      </c>
      <c r="P111" s="238">
        <v>0.16</v>
      </c>
      <c r="Q111" s="227">
        <f t="shared" si="7"/>
        <v>0</v>
      </c>
      <c r="R111" s="227">
        <f t="shared" si="8"/>
        <v>0</v>
      </c>
      <c r="S111" s="229">
        <f>INDEX('Glosario Partidas'!$M$8:$M$10,MATCH(BD!K111,'Glosario Partidas'!$L$8:$L$10,0))</f>
        <v>1</v>
      </c>
      <c r="T111" s="227">
        <f t="shared" si="9"/>
        <v>0</v>
      </c>
      <c r="U111" s="237" t="s">
        <v>315</v>
      </c>
      <c r="V111" s="231" t="s">
        <v>13</v>
      </c>
    </row>
    <row r="112" spans="2:22" ht="12" customHeight="1" x14ac:dyDescent="0.2">
      <c r="B112" s="63" t="s">
        <v>203</v>
      </c>
      <c r="C112" s="63" t="s">
        <v>92</v>
      </c>
      <c r="D112" s="78" t="s">
        <v>394</v>
      </c>
      <c r="E112" s="171" t="s">
        <v>220</v>
      </c>
      <c r="F112" s="78" t="s">
        <v>221</v>
      </c>
      <c r="G112" s="171" t="s">
        <v>342</v>
      </c>
      <c r="H112" s="224" t="s">
        <v>293</v>
      </c>
      <c r="I112" s="225" t="s">
        <v>207</v>
      </c>
      <c r="J112" s="224">
        <v>109.56</v>
      </c>
      <c r="K112" s="225" t="s">
        <v>153</v>
      </c>
      <c r="L112" s="226">
        <v>80</v>
      </c>
      <c r="M112" s="227">
        <f t="shared" si="5"/>
        <v>8764.7999999999993</v>
      </c>
      <c r="N112" s="228">
        <v>0</v>
      </c>
      <c r="O112" s="227">
        <f t="shared" si="6"/>
        <v>0</v>
      </c>
      <c r="P112" s="228">
        <v>0.16</v>
      </c>
      <c r="Q112" s="227">
        <f t="shared" si="7"/>
        <v>1402.3679999999999</v>
      </c>
      <c r="R112" s="227">
        <f t="shared" si="8"/>
        <v>10167.168</v>
      </c>
      <c r="S112" s="229">
        <f>INDEX('Glosario Partidas'!$M$8:$M$10,MATCH(BD!K112,'Glosario Partidas'!$L$8:$L$10,0))</f>
        <v>17.5</v>
      </c>
      <c r="T112" s="227">
        <f t="shared" si="9"/>
        <v>177925.44</v>
      </c>
      <c r="U112" s="230" t="s">
        <v>315</v>
      </c>
      <c r="V112" s="231" t="s">
        <v>13</v>
      </c>
    </row>
    <row r="113" spans="2:22" ht="12" customHeight="1" x14ac:dyDescent="0.2">
      <c r="B113" s="63" t="s">
        <v>203</v>
      </c>
      <c r="C113" s="63" t="s">
        <v>92</v>
      </c>
      <c r="D113" s="78" t="s">
        <v>394</v>
      </c>
      <c r="E113" s="171" t="s">
        <v>220</v>
      </c>
      <c r="F113" s="78" t="s">
        <v>354</v>
      </c>
      <c r="G113" s="171" t="s">
        <v>342</v>
      </c>
      <c r="H113" s="224" t="s">
        <v>293</v>
      </c>
      <c r="I113" s="225" t="s">
        <v>207</v>
      </c>
      <c r="J113" s="224">
        <v>109.56</v>
      </c>
      <c r="K113" s="225" t="s">
        <v>153</v>
      </c>
      <c r="L113" s="226">
        <v>80</v>
      </c>
      <c r="M113" s="227">
        <f t="shared" si="5"/>
        <v>8764.7999999999993</v>
      </c>
      <c r="N113" s="228">
        <v>0</v>
      </c>
      <c r="O113" s="227">
        <f t="shared" si="6"/>
        <v>0</v>
      </c>
      <c r="P113" s="228">
        <v>0.16</v>
      </c>
      <c r="Q113" s="227">
        <f t="shared" si="7"/>
        <v>1402.3679999999999</v>
      </c>
      <c r="R113" s="227">
        <f t="shared" si="8"/>
        <v>10167.168</v>
      </c>
      <c r="S113" s="229">
        <f>INDEX('Glosario Partidas'!$M$8:$M$10,MATCH(BD!K113,'Glosario Partidas'!$L$8:$L$10,0))</f>
        <v>17.5</v>
      </c>
      <c r="T113" s="227">
        <f t="shared" si="9"/>
        <v>177925.44</v>
      </c>
      <c r="U113" s="230" t="s">
        <v>315</v>
      </c>
      <c r="V113" s="231" t="s">
        <v>13</v>
      </c>
    </row>
    <row r="114" spans="2:22" ht="12" customHeight="1" x14ac:dyDescent="0.2">
      <c r="B114" s="63" t="s">
        <v>203</v>
      </c>
      <c r="C114" s="63" t="s">
        <v>92</v>
      </c>
      <c r="D114" s="78" t="s">
        <v>394</v>
      </c>
      <c r="E114" s="171" t="s">
        <v>220</v>
      </c>
      <c r="F114" s="78" t="s">
        <v>355</v>
      </c>
      <c r="G114" s="171" t="s">
        <v>342</v>
      </c>
      <c r="H114" s="224" t="s">
        <v>293</v>
      </c>
      <c r="I114" s="225" t="s">
        <v>207</v>
      </c>
      <c r="J114" s="224">
        <v>16.5</v>
      </c>
      <c r="K114" s="225" t="s">
        <v>153</v>
      </c>
      <c r="L114" s="226">
        <v>80</v>
      </c>
      <c r="M114" s="227">
        <f t="shared" si="5"/>
        <v>1320</v>
      </c>
      <c r="N114" s="228">
        <v>0</v>
      </c>
      <c r="O114" s="227">
        <f t="shared" si="6"/>
        <v>0</v>
      </c>
      <c r="P114" s="228">
        <v>0.16</v>
      </c>
      <c r="Q114" s="227">
        <f t="shared" si="7"/>
        <v>211.20000000000002</v>
      </c>
      <c r="R114" s="227">
        <f t="shared" si="8"/>
        <v>1531.2</v>
      </c>
      <c r="S114" s="229">
        <f>INDEX('Glosario Partidas'!$M$8:$M$10,MATCH(BD!K114,'Glosario Partidas'!$L$8:$L$10,0))</f>
        <v>17.5</v>
      </c>
      <c r="T114" s="227">
        <f t="shared" si="9"/>
        <v>26796</v>
      </c>
      <c r="U114" s="230" t="s">
        <v>315</v>
      </c>
      <c r="V114" s="231" t="s">
        <v>13</v>
      </c>
    </row>
    <row r="115" spans="2:22" ht="12" customHeight="1" x14ac:dyDescent="0.2">
      <c r="B115" s="63" t="s">
        <v>203</v>
      </c>
      <c r="C115" s="63" t="s">
        <v>92</v>
      </c>
      <c r="D115" s="78" t="s">
        <v>390</v>
      </c>
      <c r="E115" s="171" t="s">
        <v>220</v>
      </c>
      <c r="F115" s="78" t="s">
        <v>221</v>
      </c>
      <c r="G115" s="171" t="s">
        <v>342</v>
      </c>
      <c r="H115" s="224" t="s">
        <v>293</v>
      </c>
      <c r="I115" s="225" t="s">
        <v>207</v>
      </c>
      <c r="J115" s="224">
        <v>99.6</v>
      </c>
      <c r="K115" s="225" t="s">
        <v>269</v>
      </c>
      <c r="L115" s="226">
        <v>700</v>
      </c>
      <c r="M115" s="227">
        <f t="shared" si="5"/>
        <v>69720</v>
      </c>
      <c r="N115" s="228">
        <v>0</v>
      </c>
      <c r="O115" s="227">
        <f t="shared" si="6"/>
        <v>0</v>
      </c>
      <c r="P115" s="228">
        <v>0.16</v>
      </c>
      <c r="Q115" s="227">
        <f t="shared" si="7"/>
        <v>11155.2</v>
      </c>
      <c r="R115" s="227">
        <f t="shared" si="8"/>
        <v>80875.199999999997</v>
      </c>
      <c r="S115" s="229">
        <f>INDEX('Glosario Partidas'!$M$8:$M$10,MATCH(BD!K115,'Glosario Partidas'!$L$8:$L$10,0))</f>
        <v>1</v>
      </c>
      <c r="T115" s="227">
        <f t="shared" si="9"/>
        <v>80875.199999999997</v>
      </c>
      <c r="U115" s="230" t="s">
        <v>315</v>
      </c>
      <c r="V115" s="231" t="s">
        <v>13</v>
      </c>
    </row>
    <row r="116" spans="2:22" ht="12" customHeight="1" x14ac:dyDescent="0.2">
      <c r="B116" s="63" t="s">
        <v>203</v>
      </c>
      <c r="C116" s="63" t="s">
        <v>92</v>
      </c>
      <c r="D116" s="78" t="s">
        <v>390</v>
      </c>
      <c r="E116" s="171" t="s">
        <v>220</v>
      </c>
      <c r="F116" s="78" t="s">
        <v>354</v>
      </c>
      <c r="G116" s="171" t="s">
        <v>342</v>
      </c>
      <c r="H116" s="224" t="s">
        <v>293</v>
      </c>
      <c r="I116" s="225" t="s">
        <v>207</v>
      </c>
      <c r="J116" s="224">
        <v>99.6</v>
      </c>
      <c r="K116" s="225" t="s">
        <v>269</v>
      </c>
      <c r="L116" s="226">
        <v>700</v>
      </c>
      <c r="M116" s="227">
        <f t="shared" si="5"/>
        <v>69720</v>
      </c>
      <c r="N116" s="228">
        <v>0</v>
      </c>
      <c r="O116" s="227">
        <f t="shared" si="6"/>
        <v>0</v>
      </c>
      <c r="P116" s="228">
        <v>0.16</v>
      </c>
      <c r="Q116" s="227">
        <f t="shared" si="7"/>
        <v>11155.2</v>
      </c>
      <c r="R116" s="227">
        <f t="shared" si="8"/>
        <v>80875.199999999997</v>
      </c>
      <c r="S116" s="229">
        <f>INDEX('Glosario Partidas'!$M$8:$M$10,MATCH(BD!K116,'Glosario Partidas'!$L$8:$L$10,0))</f>
        <v>1</v>
      </c>
      <c r="T116" s="227">
        <f t="shared" si="9"/>
        <v>80875.199999999997</v>
      </c>
      <c r="U116" s="230" t="s">
        <v>315</v>
      </c>
      <c r="V116" s="231" t="s">
        <v>13</v>
      </c>
    </row>
    <row r="117" spans="2:22" ht="12" customHeight="1" x14ac:dyDescent="0.2">
      <c r="B117" s="63" t="s">
        <v>203</v>
      </c>
      <c r="C117" s="63" t="s">
        <v>92</v>
      </c>
      <c r="D117" s="78" t="s">
        <v>390</v>
      </c>
      <c r="E117" s="171" t="s">
        <v>220</v>
      </c>
      <c r="F117" s="78" t="s">
        <v>355</v>
      </c>
      <c r="G117" s="171" t="s">
        <v>342</v>
      </c>
      <c r="H117" s="224" t="s">
        <v>293</v>
      </c>
      <c r="I117" s="225" t="s">
        <v>207</v>
      </c>
      <c r="J117" s="224">
        <v>15</v>
      </c>
      <c r="K117" s="225" t="s">
        <v>269</v>
      </c>
      <c r="L117" s="226">
        <v>700</v>
      </c>
      <c r="M117" s="227">
        <f t="shared" si="5"/>
        <v>10500</v>
      </c>
      <c r="N117" s="228">
        <v>0</v>
      </c>
      <c r="O117" s="227">
        <f t="shared" si="6"/>
        <v>0</v>
      </c>
      <c r="P117" s="228">
        <v>0.16</v>
      </c>
      <c r="Q117" s="227">
        <f t="shared" si="7"/>
        <v>1680</v>
      </c>
      <c r="R117" s="227">
        <f t="shared" si="8"/>
        <v>12180</v>
      </c>
      <c r="S117" s="229">
        <f>INDEX('Glosario Partidas'!$M$8:$M$10,MATCH(BD!K117,'Glosario Partidas'!$L$8:$L$10,0))</f>
        <v>1</v>
      </c>
      <c r="T117" s="227">
        <f t="shared" si="9"/>
        <v>12180</v>
      </c>
      <c r="U117" s="230" t="s">
        <v>315</v>
      </c>
      <c r="V117" s="231" t="s">
        <v>13</v>
      </c>
    </row>
    <row r="118" spans="2:22" ht="12" customHeight="1" x14ac:dyDescent="0.2">
      <c r="B118" s="63" t="s">
        <v>190</v>
      </c>
      <c r="C118" s="63" t="s">
        <v>95</v>
      </c>
      <c r="D118" s="78" t="s">
        <v>313</v>
      </c>
      <c r="E118" s="171" t="s">
        <v>220</v>
      </c>
      <c r="F118" s="78" t="s">
        <v>313</v>
      </c>
      <c r="G118" s="171" t="s">
        <v>313</v>
      </c>
      <c r="H118" s="224" t="s">
        <v>395</v>
      </c>
      <c r="I118" s="225" t="s">
        <v>314</v>
      </c>
      <c r="J118" s="224">
        <v>1</v>
      </c>
      <c r="K118" s="225" t="s">
        <v>396</v>
      </c>
      <c r="L118" s="226">
        <v>346651</v>
      </c>
      <c r="M118" s="227">
        <f t="shared" si="5"/>
        <v>346651</v>
      </c>
      <c r="N118" s="228">
        <v>0</v>
      </c>
      <c r="O118" s="227">
        <f t="shared" si="6"/>
        <v>0</v>
      </c>
      <c r="P118" s="228">
        <v>0.16</v>
      </c>
      <c r="Q118" s="227">
        <f t="shared" si="7"/>
        <v>55464.160000000003</v>
      </c>
      <c r="R118" s="227">
        <f t="shared" si="8"/>
        <v>402115.16000000003</v>
      </c>
      <c r="S118" s="229">
        <f>INDEX('Glosario Partidas'!$M$8:$M$10,MATCH(BD!K118,'Glosario Partidas'!$L$8:$L$10,0))</f>
        <v>22</v>
      </c>
      <c r="T118" s="227">
        <f t="shared" si="9"/>
        <v>8846533.5200000014</v>
      </c>
      <c r="U118" s="230" t="s">
        <v>315</v>
      </c>
      <c r="V118" s="231" t="s">
        <v>12</v>
      </c>
    </row>
    <row r="119" spans="2:22" ht="12" customHeight="1" x14ac:dyDescent="0.2">
      <c r="B119" s="63" t="s">
        <v>190</v>
      </c>
      <c r="C119" s="63" t="s">
        <v>397</v>
      </c>
      <c r="D119" s="78" t="s">
        <v>313</v>
      </c>
      <c r="E119" s="171" t="s">
        <v>220</v>
      </c>
      <c r="F119" s="78" t="s">
        <v>313</v>
      </c>
      <c r="G119" s="171" t="s">
        <v>313</v>
      </c>
      <c r="H119" s="224" t="s">
        <v>395</v>
      </c>
      <c r="I119" s="225" t="s">
        <v>314</v>
      </c>
      <c r="J119" s="224">
        <v>1</v>
      </c>
      <c r="K119" s="225" t="s">
        <v>269</v>
      </c>
      <c r="L119" s="226">
        <v>1119293</v>
      </c>
      <c r="M119" s="227">
        <f t="shared" si="5"/>
        <v>1119293</v>
      </c>
      <c r="N119" s="228">
        <v>0</v>
      </c>
      <c r="O119" s="227">
        <f t="shared" si="6"/>
        <v>0</v>
      </c>
      <c r="P119" s="228">
        <v>0.16</v>
      </c>
      <c r="Q119" s="227">
        <f t="shared" si="7"/>
        <v>179086.88</v>
      </c>
      <c r="R119" s="227">
        <f t="shared" si="8"/>
        <v>1298379.8799999999</v>
      </c>
      <c r="S119" s="229">
        <f>INDEX('Glosario Partidas'!$M$8:$M$10,MATCH(BD!K119,'Glosario Partidas'!$L$8:$L$10,0))</f>
        <v>1</v>
      </c>
      <c r="T119" s="227">
        <f t="shared" si="9"/>
        <v>1298379.8799999999</v>
      </c>
      <c r="U119" s="230" t="s">
        <v>315</v>
      </c>
      <c r="V119" s="231" t="s">
        <v>13</v>
      </c>
    </row>
    <row r="120" spans="2:22" ht="12" customHeight="1" x14ac:dyDescent="0.2">
      <c r="B120" s="63" t="s">
        <v>190</v>
      </c>
      <c r="C120" s="63" t="s">
        <v>96</v>
      </c>
      <c r="D120" s="78" t="s">
        <v>313</v>
      </c>
      <c r="E120" s="171" t="s">
        <v>220</v>
      </c>
      <c r="F120" s="78" t="s">
        <v>313</v>
      </c>
      <c r="G120" s="171" t="s">
        <v>313</v>
      </c>
      <c r="H120" s="224" t="s">
        <v>395</v>
      </c>
      <c r="I120" s="225" t="s">
        <v>314</v>
      </c>
      <c r="J120" s="224">
        <v>1</v>
      </c>
      <c r="K120" s="225" t="s">
        <v>269</v>
      </c>
      <c r="L120" s="226">
        <v>224773</v>
      </c>
      <c r="M120" s="227">
        <f t="shared" si="5"/>
        <v>224773</v>
      </c>
      <c r="N120" s="228">
        <v>0</v>
      </c>
      <c r="O120" s="227">
        <f t="shared" si="6"/>
        <v>0</v>
      </c>
      <c r="P120" s="228">
        <v>0.16</v>
      </c>
      <c r="Q120" s="227">
        <f t="shared" si="7"/>
        <v>35963.68</v>
      </c>
      <c r="R120" s="227">
        <f t="shared" si="8"/>
        <v>260736.68</v>
      </c>
      <c r="S120" s="229">
        <f>INDEX('Glosario Partidas'!$M$8:$M$10,MATCH(BD!K120,'Glosario Partidas'!$L$8:$L$10,0))</f>
        <v>1</v>
      </c>
      <c r="T120" s="227">
        <f t="shared" si="9"/>
        <v>260736.68</v>
      </c>
      <c r="U120" s="230" t="s">
        <v>315</v>
      </c>
      <c r="V120" s="231" t="s">
        <v>13</v>
      </c>
    </row>
    <row r="121" spans="2:22" ht="12" customHeight="1" x14ac:dyDescent="0.2">
      <c r="B121" s="63" t="s">
        <v>190</v>
      </c>
      <c r="C121" s="63" t="s">
        <v>398</v>
      </c>
      <c r="D121" s="78" t="s">
        <v>399</v>
      </c>
      <c r="E121" s="171" t="s">
        <v>220</v>
      </c>
      <c r="F121" s="78" t="s">
        <v>221</v>
      </c>
      <c r="G121" s="171" t="s">
        <v>342</v>
      </c>
      <c r="H121" s="224" t="s">
        <v>395</v>
      </c>
      <c r="I121" s="225" t="s">
        <v>207</v>
      </c>
      <c r="J121" s="224">
        <v>1</v>
      </c>
      <c r="K121" s="225" t="s">
        <v>269</v>
      </c>
      <c r="L121" s="226">
        <v>63107</v>
      </c>
      <c r="M121" s="227">
        <f t="shared" si="5"/>
        <v>63107</v>
      </c>
      <c r="N121" s="228">
        <v>0</v>
      </c>
      <c r="O121" s="227">
        <f t="shared" si="6"/>
        <v>0</v>
      </c>
      <c r="P121" s="228">
        <v>0.16</v>
      </c>
      <c r="Q121" s="227">
        <f t="shared" si="7"/>
        <v>10097.120000000001</v>
      </c>
      <c r="R121" s="227">
        <f t="shared" si="8"/>
        <v>73204.12</v>
      </c>
      <c r="S121" s="229">
        <f>INDEX('Glosario Partidas'!$M$8:$M$10,MATCH(BD!K121,'Glosario Partidas'!$L$8:$L$10,0))</f>
        <v>1</v>
      </c>
      <c r="T121" s="227">
        <f t="shared" si="9"/>
        <v>73204.12</v>
      </c>
      <c r="U121" s="230" t="s">
        <v>315</v>
      </c>
      <c r="V121" s="231" t="s">
        <v>13</v>
      </c>
    </row>
    <row r="122" spans="2:22" ht="12" customHeight="1" x14ac:dyDescent="0.2">
      <c r="B122" s="63" t="s">
        <v>190</v>
      </c>
      <c r="C122" s="63" t="s">
        <v>398</v>
      </c>
      <c r="D122" s="78" t="s">
        <v>400</v>
      </c>
      <c r="E122" s="171" t="s">
        <v>220</v>
      </c>
      <c r="F122" s="78" t="s">
        <v>221</v>
      </c>
      <c r="G122" s="171" t="s">
        <v>342</v>
      </c>
      <c r="H122" s="224" t="s">
        <v>395</v>
      </c>
      <c r="I122" s="225" t="s">
        <v>207</v>
      </c>
      <c r="J122" s="224">
        <v>1</v>
      </c>
      <c r="K122" s="225" t="s">
        <v>269</v>
      </c>
      <c r="L122" s="226">
        <v>63107</v>
      </c>
      <c r="M122" s="227">
        <f t="shared" si="5"/>
        <v>63107</v>
      </c>
      <c r="N122" s="228">
        <v>0</v>
      </c>
      <c r="O122" s="227">
        <f t="shared" si="6"/>
        <v>0</v>
      </c>
      <c r="P122" s="228">
        <v>0.16</v>
      </c>
      <c r="Q122" s="227">
        <f t="shared" si="7"/>
        <v>10097.120000000001</v>
      </c>
      <c r="R122" s="227">
        <f t="shared" si="8"/>
        <v>73204.12</v>
      </c>
      <c r="S122" s="229">
        <f>INDEX('Glosario Partidas'!$M$8:$M$10,MATCH(BD!K122,'Glosario Partidas'!$L$8:$L$10,0))</f>
        <v>1</v>
      </c>
      <c r="T122" s="227">
        <f t="shared" si="9"/>
        <v>73204.12</v>
      </c>
      <c r="U122" s="230" t="s">
        <v>315</v>
      </c>
      <c r="V122" s="231" t="s">
        <v>13</v>
      </c>
    </row>
    <row r="123" spans="2:22" ht="12" customHeight="1" x14ac:dyDescent="0.2">
      <c r="B123" s="63" t="s">
        <v>190</v>
      </c>
      <c r="C123" s="63" t="s">
        <v>398</v>
      </c>
      <c r="D123" s="78" t="s">
        <v>401</v>
      </c>
      <c r="E123" s="171" t="s">
        <v>220</v>
      </c>
      <c r="F123" s="78" t="s">
        <v>221</v>
      </c>
      <c r="G123" s="171" t="s">
        <v>342</v>
      </c>
      <c r="H123" s="224" t="s">
        <v>395</v>
      </c>
      <c r="I123" s="225" t="s">
        <v>207</v>
      </c>
      <c r="J123" s="224">
        <v>1</v>
      </c>
      <c r="K123" s="225" t="s">
        <v>269</v>
      </c>
      <c r="L123" s="226">
        <v>63107</v>
      </c>
      <c r="M123" s="227">
        <f t="shared" si="5"/>
        <v>63107</v>
      </c>
      <c r="N123" s="228">
        <v>0</v>
      </c>
      <c r="O123" s="227">
        <f t="shared" si="6"/>
        <v>0</v>
      </c>
      <c r="P123" s="228">
        <v>0.16</v>
      </c>
      <c r="Q123" s="227">
        <f t="shared" si="7"/>
        <v>10097.120000000001</v>
      </c>
      <c r="R123" s="227">
        <f t="shared" si="8"/>
        <v>73204.12</v>
      </c>
      <c r="S123" s="229">
        <f>INDEX('Glosario Partidas'!$M$8:$M$10,MATCH(BD!K123,'Glosario Partidas'!$L$8:$L$10,0))</f>
        <v>1</v>
      </c>
      <c r="T123" s="227">
        <f t="shared" si="9"/>
        <v>73204.12</v>
      </c>
      <c r="U123" s="230" t="s">
        <v>315</v>
      </c>
      <c r="V123" s="231" t="s">
        <v>13</v>
      </c>
    </row>
    <row r="124" spans="2:22" ht="12" customHeight="1" x14ac:dyDescent="0.2">
      <c r="B124" s="63" t="s">
        <v>190</v>
      </c>
      <c r="C124" s="63" t="s">
        <v>398</v>
      </c>
      <c r="D124" s="78" t="s">
        <v>402</v>
      </c>
      <c r="E124" s="171" t="s">
        <v>220</v>
      </c>
      <c r="F124" s="78" t="s">
        <v>221</v>
      </c>
      <c r="G124" s="171" t="s">
        <v>342</v>
      </c>
      <c r="H124" s="224" t="s">
        <v>395</v>
      </c>
      <c r="I124" s="225" t="s">
        <v>207</v>
      </c>
      <c r="J124" s="224">
        <v>1</v>
      </c>
      <c r="K124" s="225" t="s">
        <v>269</v>
      </c>
      <c r="L124" s="226">
        <v>63107</v>
      </c>
      <c r="M124" s="227">
        <f t="shared" si="5"/>
        <v>63107</v>
      </c>
      <c r="N124" s="228">
        <v>0</v>
      </c>
      <c r="O124" s="227">
        <f t="shared" si="6"/>
        <v>0</v>
      </c>
      <c r="P124" s="228">
        <v>0.16</v>
      </c>
      <c r="Q124" s="227">
        <f t="shared" si="7"/>
        <v>10097.120000000001</v>
      </c>
      <c r="R124" s="227">
        <f t="shared" si="8"/>
        <v>73204.12</v>
      </c>
      <c r="S124" s="229">
        <f>INDEX('Glosario Partidas'!$M$8:$M$10,MATCH(BD!K124,'Glosario Partidas'!$L$8:$L$10,0))</f>
        <v>1</v>
      </c>
      <c r="T124" s="227">
        <f t="shared" si="9"/>
        <v>73204.12</v>
      </c>
      <c r="U124" s="230" t="s">
        <v>315</v>
      </c>
      <c r="V124" s="231" t="s">
        <v>13</v>
      </c>
    </row>
    <row r="125" spans="2:22" ht="12" customHeight="1" x14ac:dyDescent="0.2">
      <c r="B125" s="63" t="s">
        <v>190</v>
      </c>
      <c r="C125" s="63" t="s">
        <v>398</v>
      </c>
      <c r="D125" s="78" t="s">
        <v>399</v>
      </c>
      <c r="E125" s="171" t="s">
        <v>220</v>
      </c>
      <c r="F125" s="78" t="s">
        <v>354</v>
      </c>
      <c r="G125" s="171" t="s">
        <v>342</v>
      </c>
      <c r="H125" s="224" t="s">
        <v>395</v>
      </c>
      <c r="I125" s="225" t="s">
        <v>207</v>
      </c>
      <c r="J125" s="224">
        <v>1</v>
      </c>
      <c r="K125" s="225" t="s">
        <v>269</v>
      </c>
      <c r="L125" s="226">
        <v>63107</v>
      </c>
      <c r="M125" s="227">
        <f t="shared" si="5"/>
        <v>63107</v>
      </c>
      <c r="N125" s="228">
        <v>0</v>
      </c>
      <c r="O125" s="227">
        <f t="shared" si="6"/>
        <v>0</v>
      </c>
      <c r="P125" s="228">
        <v>0.16</v>
      </c>
      <c r="Q125" s="227">
        <f t="shared" si="7"/>
        <v>10097.120000000001</v>
      </c>
      <c r="R125" s="227">
        <f t="shared" si="8"/>
        <v>73204.12</v>
      </c>
      <c r="S125" s="229">
        <f>INDEX('Glosario Partidas'!$M$8:$M$10,MATCH(BD!K125,'Glosario Partidas'!$L$8:$L$10,0))</f>
        <v>1</v>
      </c>
      <c r="T125" s="227">
        <f t="shared" si="9"/>
        <v>73204.12</v>
      </c>
      <c r="U125" s="230" t="s">
        <v>315</v>
      </c>
      <c r="V125" s="231" t="s">
        <v>13</v>
      </c>
    </row>
    <row r="126" spans="2:22" ht="12" customHeight="1" x14ac:dyDescent="0.2">
      <c r="B126" s="63" t="s">
        <v>190</v>
      </c>
      <c r="C126" s="63" t="s">
        <v>398</v>
      </c>
      <c r="D126" s="78" t="s">
        <v>400</v>
      </c>
      <c r="E126" s="171" t="s">
        <v>220</v>
      </c>
      <c r="F126" s="78" t="s">
        <v>354</v>
      </c>
      <c r="G126" s="171" t="s">
        <v>342</v>
      </c>
      <c r="H126" s="224" t="s">
        <v>395</v>
      </c>
      <c r="I126" s="225" t="s">
        <v>207</v>
      </c>
      <c r="J126" s="224">
        <v>1</v>
      </c>
      <c r="K126" s="225" t="s">
        <v>269</v>
      </c>
      <c r="L126" s="226">
        <v>63107</v>
      </c>
      <c r="M126" s="227">
        <f t="shared" si="5"/>
        <v>63107</v>
      </c>
      <c r="N126" s="228">
        <v>0</v>
      </c>
      <c r="O126" s="227">
        <f t="shared" si="6"/>
        <v>0</v>
      </c>
      <c r="P126" s="228">
        <v>0.16</v>
      </c>
      <c r="Q126" s="227">
        <f t="shared" si="7"/>
        <v>10097.120000000001</v>
      </c>
      <c r="R126" s="227">
        <f t="shared" si="8"/>
        <v>73204.12</v>
      </c>
      <c r="S126" s="229">
        <f>INDEX('Glosario Partidas'!$M$8:$M$10,MATCH(BD!K126,'Glosario Partidas'!$L$8:$L$10,0))</f>
        <v>1</v>
      </c>
      <c r="T126" s="227">
        <f t="shared" si="9"/>
        <v>73204.12</v>
      </c>
      <c r="U126" s="230" t="s">
        <v>315</v>
      </c>
      <c r="V126" s="231" t="s">
        <v>13</v>
      </c>
    </row>
    <row r="127" spans="2:22" ht="12" customHeight="1" x14ac:dyDescent="0.2">
      <c r="B127" s="63" t="s">
        <v>190</v>
      </c>
      <c r="C127" s="63" t="s">
        <v>398</v>
      </c>
      <c r="D127" s="78" t="s">
        <v>401</v>
      </c>
      <c r="E127" s="171" t="s">
        <v>220</v>
      </c>
      <c r="F127" s="78" t="s">
        <v>354</v>
      </c>
      <c r="G127" s="171" t="s">
        <v>342</v>
      </c>
      <c r="H127" s="224" t="s">
        <v>395</v>
      </c>
      <c r="I127" s="225" t="s">
        <v>207</v>
      </c>
      <c r="J127" s="224">
        <v>1</v>
      </c>
      <c r="K127" s="225" t="s">
        <v>269</v>
      </c>
      <c r="L127" s="226">
        <v>63107</v>
      </c>
      <c r="M127" s="227">
        <f t="shared" si="5"/>
        <v>63107</v>
      </c>
      <c r="N127" s="228">
        <v>0</v>
      </c>
      <c r="O127" s="227">
        <f t="shared" si="6"/>
        <v>0</v>
      </c>
      <c r="P127" s="228">
        <v>0.16</v>
      </c>
      <c r="Q127" s="227">
        <f t="shared" si="7"/>
        <v>10097.120000000001</v>
      </c>
      <c r="R127" s="227">
        <f t="shared" si="8"/>
        <v>73204.12</v>
      </c>
      <c r="S127" s="229">
        <f>INDEX('Glosario Partidas'!$M$8:$M$10,MATCH(BD!K127,'Glosario Partidas'!$L$8:$L$10,0))</f>
        <v>1</v>
      </c>
      <c r="T127" s="227">
        <f t="shared" si="9"/>
        <v>73204.12</v>
      </c>
      <c r="U127" s="230" t="s">
        <v>315</v>
      </c>
      <c r="V127" s="231" t="s">
        <v>13</v>
      </c>
    </row>
    <row r="128" spans="2:22" ht="12" customHeight="1" x14ac:dyDescent="0.2">
      <c r="B128" s="63" t="s">
        <v>190</v>
      </c>
      <c r="C128" s="63" t="s">
        <v>398</v>
      </c>
      <c r="D128" s="78" t="s">
        <v>402</v>
      </c>
      <c r="E128" s="171" t="s">
        <v>220</v>
      </c>
      <c r="F128" s="78" t="s">
        <v>354</v>
      </c>
      <c r="G128" s="171" t="s">
        <v>342</v>
      </c>
      <c r="H128" s="224" t="s">
        <v>395</v>
      </c>
      <c r="I128" s="225" t="s">
        <v>207</v>
      </c>
      <c r="J128" s="224">
        <v>1</v>
      </c>
      <c r="K128" s="225" t="s">
        <v>269</v>
      </c>
      <c r="L128" s="226">
        <v>63107</v>
      </c>
      <c r="M128" s="227">
        <f t="shared" si="5"/>
        <v>63107</v>
      </c>
      <c r="N128" s="228">
        <v>0</v>
      </c>
      <c r="O128" s="227">
        <f t="shared" si="6"/>
        <v>0</v>
      </c>
      <c r="P128" s="228">
        <v>0.16</v>
      </c>
      <c r="Q128" s="227">
        <f t="shared" si="7"/>
        <v>10097.120000000001</v>
      </c>
      <c r="R128" s="227">
        <f t="shared" si="8"/>
        <v>73204.12</v>
      </c>
      <c r="S128" s="229">
        <f>INDEX('Glosario Partidas'!$M$8:$M$10,MATCH(BD!K128,'Glosario Partidas'!$L$8:$L$10,0))</f>
        <v>1</v>
      </c>
      <c r="T128" s="227">
        <f t="shared" si="9"/>
        <v>73204.12</v>
      </c>
      <c r="U128" s="230" t="s">
        <v>315</v>
      </c>
      <c r="V128" s="231" t="s">
        <v>13</v>
      </c>
    </row>
    <row r="129" spans="2:22" ht="12" customHeight="1" x14ac:dyDescent="0.2">
      <c r="B129" s="63" t="s">
        <v>190</v>
      </c>
      <c r="C129" s="63" t="s">
        <v>398</v>
      </c>
      <c r="D129" s="78" t="s">
        <v>403</v>
      </c>
      <c r="E129" s="171" t="s">
        <v>220</v>
      </c>
      <c r="F129" s="78" t="s">
        <v>355</v>
      </c>
      <c r="G129" s="171" t="s">
        <v>342</v>
      </c>
      <c r="H129" s="224" t="s">
        <v>395</v>
      </c>
      <c r="I129" s="225" t="s">
        <v>207</v>
      </c>
      <c r="J129" s="224">
        <v>1</v>
      </c>
      <c r="K129" s="225" t="s">
        <v>269</v>
      </c>
      <c r="L129" s="226">
        <v>68179</v>
      </c>
      <c r="M129" s="227">
        <f t="shared" si="5"/>
        <v>68179</v>
      </c>
      <c r="N129" s="228">
        <v>0</v>
      </c>
      <c r="O129" s="227">
        <f t="shared" si="6"/>
        <v>0</v>
      </c>
      <c r="P129" s="228">
        <v>0.16</v>
      </c>
      <c r="Q129" s="227">
        <f t="shared" si="7"/>
        <v>10908.64</v>
      </c>
      <c r="R129" s="227">
        <f t="shared" si="8"/>
        <v>79087.64</v>
      </c>
      <c r="S129" s="229">
        <f>INDEX('Glosario Partidas'!$M$8:$M$10,MATCH(BD!K129,'Glosario Partidas'!$L$8:$L$10,0))</f>
        <v>1</v>
      </c>
      <c r="T129" s="227">
        <f t="shared" si="9"/>
        <v>79087.64</v>
      </c>
      <c r="U129" s="230" t="s">
        <v>315</v>
      </c>
      <c r="V129" s="231" t="s">
        <v>13</v>
      </c>
    </row>
    <row r="130" spans="2:22" ht="12" customHeight="1" x14ac:dyDescent="0.2">
      <c r="B130" s="63" t="s">
        <v>193</v>
      </c>
      <c r="C130" s="63" t="s">
        <v>102</v>
      </c>
      <c r="D130" s="78" t="s">
        <v>313</v>
      </c>
      <c r="E130" s="171" t="s">
        <v>220</v>
      </c>
      <c r="F130" s="78" t="s">
        <v>221</v>
      </c>
      <c r="G130" s="171" t="s">
        <v>342</v>
      </c>
      <c r="H130" s="224" t="s">
        <v>404</v>
      </c>
      <c r="I130" s="225" t="s">
        <v>314</v>
      </c>
      <c r="J130" s="224">
        <v>1</v>
      </c>
      <c r="K130" s="225" t="s">
        <v>396</v>
      </c>
      <c r="L130" s="226">
        <f>24000+(24000*0.3)+(24000*0.15)</f>
        <v>34800</v>
      </c>
      <c r="M130" s="227">
        <f t="shared" si="5"/>
        <v>34800</v>
      </c>
      <c r="N130" s="228">
        <v>0</v>
      </c>
      <c r="O130" s="227">
        <f t="shared" si="6"/>
        <v>0</v>
      </c>
      <c r="P130" s="228">
        <v>0.16</v>
      </c>
      <c r="Q130" s="227">
        <f t="shared" si="7"/>
        <v>5568</v>
      </c>
      <c r="R130" s="227">
        <f t="shared" si="8"/>
        <v>40368</v>
      </c>
      <c r="S130" s="229">
        <f>INDEX('Glosario Partidas'!$M$8:$M$10,MATCH(BD!K130,'Glosario Partidas'!$L$8:$L$10,0))</f>
        <v>22</v>
      </c>
      <c r="T130" s="227">
        <f t="shared" si="9"/>
        <v>888096</v>
      </c>
      <c r="U130" s="230" t="s">
        <v>405</v>
      </c>
      <c r="V130" s="231" t="s">
        <v>12</v>
      </c>
    </row>
    <row r="131" spans="2:22" ht="12" customHeight="1" x14ac:dyDescent="0.2">
      <c r="B131" s="63" t="s">
        <v>193</v>
      </c>
      <c r="C131" s="63" t="s">
        <v>102</v>
      </c>
      <c r="D131" s="78" t="s">
        <v>313</v>
      </c>
      <c r="E131" s="171" t="s">
        <v>220</v>
      </c>
      <c r="F131" s="78" t="s">
        <v>354</v>
      </c>
      <c r="G131" s="171" t="s">
        <v>342</v>
      </c>
      <c r="H131" s="224" t="s">
        <v>404</v>
      </c>
      <c r="I131" s="225" t="s">
        <v>314</v>
      </c>
      <c r="J131" s="224">
        <v>1</v>
      </c>
      <c r="K131" s="225" t="s">
        <v>396</v>
      </c>
      <c r="L131" s="226">
        <f>24000+(24000*0.3)+(24000*0.15)</f>
        <v>34800</v>
      </c>
      <c r="M131" s="227">
        <f t="shared" si="5"/>
        <v>34800</v>
      </c>
      <c r="N131" s="228">
        <v>0</v>
      </c>
      <c r="O131" s="227">
        <f t="shared" si="6"/>
        <v>0</v>
      </c>
      <c r="P131" s="228">
        <v>0.16</v>
      </c>
      <c r="Q131" s="227">
        <f t="shared" si="7"/>
        <v>5568</v>
      </c>
      <c r="R131" s="227">
        <f t="shared" si="8"/>
        <v>40368</v>
      </c>
      <c r="S131" s="229">
        <f>INDEX('Glosario Partidas'!$M$8:$M$10,MATCH(BD!K131,'Glosario Partidas'!$L$8:$L$10,0))</f>
        <v>22</v>
      </c>
      <c r="T131" s="227">
        <f t="shared" si="9"/>
        <v>888096</v>
      </c>
      <c r="U131" s="230" t="s">
        <v>405</v>
      </c>
      <c r="V131" s="231" t="s">
        <v>12</v>
      </c>
    </row>
    <row r="132" spans="2:22" ht="12" customHeight="1" x14ac:dyDescent="0.2">
      <c r="B132" s="63" t="s">
        <v>193</v>
      </c>
      <c r="C132" s="63" t="s">
        <v>102</v>
      </c>
      <c r="D132" s="78" t="s">
        <v>313</v>
      </c>
      <c r="E132" s="171" t="s">
        <v>220</v>
      </c>
      <c r="F132" s="78" t="s">
        <v>355</v>
      </c>
      <c r="G132" s="171" t="s">
        <v>342</v>
      </c>
      <c r="H132" s="224" t="s">
        <v>404</v>
      </c>
      <c r="I132" s="225" t="s">
        <v>314</v>
      </c>
      <c r="J132" s="224">
        <v>0</v>
      </c>
      <c r="K132" s="225" t="s">
        <v>396</v>
      </c>
      <c r="L132" s="226">
        <f>35000+(35000*0.3)+(35000*0.05)</f>
        <v>47250</v>
      </c>
      <c r="M132" s="227">
        <f t="shared" si="5"/>
        <v>0</v>
      </c>
      <c r="N132" s="228">
        <v>0</v>
      </c>
      <c r="O132" s="227">
        <f t="shared" si="6"/>
        <v>0</v>
      </c>
      <c r="P132" s="228">
        <v>0.16</v>
      </c>
      <c r="Q132" s="227">
        <f t="shared" si="7"/>
        <v>0</v>
      </c>
      <c r="R132" s="227">
        <f t="shared" si="8"/>
        <v>0</v>
      </c>
      <c r="S132" s="229">
        <f>INDEX('Glosario Partidas'!$M$8:$M$10,MATCH(BD!K132,'Glosario Partidas'!$L$8:$L$10,0))</f>
        <v>22</v>
      </c>
      <c r="T132" s="227">
        <f t="shared" si="9"/>
        <v>0</v>
      </c>
      <c r="U132" s="230" t="s">
        <v>405</v>
      </c>
      <c r="V132" s="231" t="s">
        <v>12</v>
      </c>
    </row>
    <row r="133" spans="2:22" ht="12" customHeight="1" x14ac:dyDescent="0.2">
      <c r="B133" s="63" t="s">
        <v>193</v>
      </c>
      <c r="C133" s="63" t="s">
        <v>406</v>
      </c>
      <c r="D133" s="78" t="s">
        <v>313</v>
      </c>
      <c r="E133" s="171" t="s">
        <v>220</v>
      </c>
      <c r="F133" s="78" t="s">
        <v>221</v>
      </c>
      <c r="G133" s="171" t="s">
        <v>342</v>
      </c>
      <c r="H133" s="224" t="s">
        <v>404</v>
      </c>
      <c r="I133" s="225" t="s">
        <v>314</v>
      </c>
      <c r="J133" s="224">
        <v>1</v>
      </c>
      <c r="K133" s="225" t="s">
        <v>396</v>
      </c>
      <c r="L133" s="226">
        <f>20000+(20000*0.3)+(20000*0.15)</f>
        <v>29000</v>
      </c>
      <c r="M133" s="227">
        <f t="shared" ref="M133:M196" si="10">J133*L133</f>
        <v>29000</v>
      </c>
      <c r="N133" s="228">
        <v>0</v>
      </c>
      <c r="O133" s="227">
        <f t="shared" ref="O133:O196" si="11">M133*N133</f>
        <v>0</v>
      </c>
      <c r="P133" s="228">
        <v>0.16</v>
      </c>
      <c r="Q133" s="227">
        <f t="shared" ref="Q133:Q196" si="12">(M133+O133)*P133</f>
        <v>4640</v>
      </c>
      <c r="R133" s="227">
        <f t="shared" ref="R133:R196" si="13">M133+O133+Q133</f>
        <v>33640</v>
      </c>
      <c r="S133" s="229">
        <f>INDEX('Glosario Partidas'!$M$8:$M$10,MATCH(BD!K133,'Glosario Partidas'!$L$8:$L$10,0))</f>
        <v>22</v>
      </c>
      <c r="T133" s="227">
        <f t="shared" ref="T133:T196" si="14">R133*S133</f>
        <v>740080</v>
      </c>
      <c r="U133" s="230" t="s">
        <v>405</v>
      </c>
      <c r="V133" s="231" t="s">
        <v>12</v>
      </c>
    </row>
    <row r="134" spans="2:22" ht="12" customHeight="1" x14ac:dyDescent="0.2">
      <c r="B134" s="63" t="s">
        <v>193</v>
      </c>
      <c r="C134" s="63" t="s">
        <v>406</v>
      </c>
      <c r="D134" s="78" t="s">
        <v>313</v>
      </c>
      <c r="E134" s="171" t="s">
        <v>220</v>
      </c>
      <c r="F134" s="78" t="s">
        <v>354</v>
      </c>
      <c r="G134" s="171" t="s">
        <v>342</v>
      </c>
      <c r="H134" s="224" t="s">
        <v>404</v>
      </c>
      <c r="I134" s="225" t="s">
        <v>314</v>
      </c>
      <c r="J134" s="224">
        <v>0</v>
      </c>
      <c r="K134" s="225" t="s">
        <v>396</v>
      </c>
      <c r="L134" s="226">
        <f>30360+(30360*0.3)+(30360*0.05)</f>
        <v>40986</v>
      </c>
      <c r="M134" s="227">
        <f t="shared" si="10"/>
        <v>0</v>
      </c>
      <c r="N134" s="228">
        <v>0</v>
      </c>
      <c r="O134" s="227">
        <f t="shared" si="11"/>
        <v>0</v>
      </c>
      <c r="P134" s="228">
        <v>0.16</v>
      </c>
      <c r="Q134" s="227">
        <f t="shared" si="12"/>
        <v>0</v>
      </c>
      <c r="R134" s="227">
        <f t="shared" si="13"/>
        <v>0</v>
      </c>
      <c r="S134" s="229">
        <f>INDEX('Glosario Partidas'!$M$8:$M$10,MATCH(BD!K134,'Glosario Partidas'!$L$8:$L$10,0))</f>
        <v>22</v>
      </c>
      <c r="T134" s="227">
        <f t="shared" si="14"/>
        <v>0</v>
      </c>
      <c r="U134" s="230" t="s">
        <v>405</v>
      </c>
      <c r="V134" s="231" t="s">
        <v>12</v>
      </c>
    </row>
    <row r="135" spans="2:22" ht="12" customHeight="1" x14ac:dyDescent="0.2">
      <c r="B135" s="63" t="s">
        <v>193</v>
      </c>
      <c r="C135" s="63" t="s">
        <v>406</v>
      </c>
      <c r="D135" s="78" t="s">
        <v>313</v>
      </c>
      <c r="E135" s="171" t="s">
        <v>220</v>
      </c>
      <c r="F135" s="78" t="s">
        <v>355</v>
      </c>
      <c r="G135" s="171" t="s">
        <v>342</v>
      </c>
      <c r="H135" s="224" t="s">
        <v>404</v>
      </c>
      <c r="I135" s="225" t="s">
        <v>314</v>
      </c>
      <c r="J135" s="224">
        <v>1</v>
      </c>
      <c r="K135" s="225" t="s">
        <v>396</v>
      </c>
      <c r="L135" s="226">
        <f>33500+(33500*0.3)+(33500*0.15)</f>
        <v>48575</v>
      </c>
      <c r="M135" s="227">
        <f t="shared" si="10"/>
        <v>48575</v>
      </c>
      <c r="N135" s="228">
        <v>0</v>
      </c>
      <c r="O135" s="227">
        <f t="shared" si="11"/>
        <v>0</v>
      </c>
      <c r="P135" s="228">
        <v>0.16</v>
      </c>
      <c r="Q135" s="227">
        <f t="shared" si="12"/>
        <v>7772</v>
      </c>
      <c r="R135" s="227">
        <f t="shared" si="13"/>
        <v>56347</v>
      </c>
      <c r="S135" s="229">
        <f>INDEX('Glosario Partidas'!$M$8:$M$10,MATCH(BD!K135,'Glosario Partidas'!$L$8:$L$10,0))</f>
        <v>22</v>
      </c>
      <c r="T135" s="227">
        <f t="shared" si="14"/>
        <v>1239634</v>
      </c>
      <c r="U135" s="230" t="s">
        <v>405</v>
      </c>
      <c r="V135" s="231" t="s">
        <v>12</v>
      </c>
    </row>
    <row r="136" spans="2:22" ht="12" customHeight="1" x14ac:dyDescent="0.2">
      <c r="B136" s="63" t="s">
        <v>193</v>
      </c>
      <c r="C136" s="63" t="s">
        <v>407</v>
      </c>
      <c r="D136" s="78" t="s">
        <v>408</v>
      </c>
      <c r="E136" s="171" t="s">
        <v>220</v>
      </c>
      <c r="F136" s="78" t="s">
        <v>221</v>
      </c>
      <c r="G136" s="171" t="s">
        <v>342</v>
      </c>
      <c r="H136" s="224" t="s">
        <v>409</v>
      </c>
      <c r="I136" s="225" t="s">
        <v>410</v>
      </c>
      <c r="J136" s="224">
        <v>1</v>
      </c>
      <c r="K136" s="225" t="s">
        <v>153</v>
      </c>
      <c r="L136" s="226">
        <v>14921</v>
      </c>
      <c r="M136" s="227">
        <f t="shared" si="10"/>
        <v>14921</v>
      </c>
      <c r="N136" s="228">
        <v>0</v>
      </c>
      <c r="O136" s="227">
        <f t="shared" si="11"/>
        <v>0</v>
      </c>
      <c r="P136" s="228">
        <v>0.16</v>
      </c>
      <c r="Q136" s="227">
        <f t="shared" si="12"/>
        <v>2387.36</v>
      </c>
      <c r="R136" s="227">
        <f t="shared" si="13"/>
        <v>17308.36</v>
      </c>
      <c r="S136" s="229">
        <f>INDEX('Glosario Partidas'!$M$8:$M$10,MATCH(BD!K136,'Glosario Partidas'!$L$8:$L$10,0))</f>
        <v>17.5</v>
      </c>
      <c r="T136" s="227">
        <f t="shared" si="14"/>
        <v>302896.3</v>
      </c>
      <c r="U136" s="230" t="s">
        <v>315</v>
      </c>
      <c r="V136" s="231" t="s">
        <v>12</v>
      </c>
    </row>
    <row r="137" spans="2:22" ht="12" customHeight="1" x14ac:dyDescent="0.2">
      <c r="B137" s="63" t="s">
        <v>193</v>
      </c>
      <c r="C137" s="63" t="s">
        <v>407</v>
      </c>
      <c r="D137" s="78" t="s">
        <v>411</v>
      </c>
      <c r="E137" s="171" t="s">
        <v>220</v>
      </c>
      <c r="F137" s="78" t="s">
        <v>221</v>
      </c>
      <c r="G137" s="171" t="s">
        <v>342</v>
      </c>
      <c r="H137" s="224" t="s">
        <v>409</v>
      </c>
      <c r="I137" s="225" t="s">
        <v>410</v>
      </c>
      <c r="J137" s="224">
        <v>3</v>
      </c>
      <c r="K137" s="225" t="s">
        <v>153</v>
      </c>
      <c r="L137" s="226">
        <v>254</v>
      </c>
      <c r="M137" s="227">
        <f t="shared" si="10"/>
        <v>762</v>
      </c>
      <c r="N137" s="228">
        <v>0</v>
      </c>
      <c r="O137" s="227">
        <f t="shared" si="11"/>
        <v>0</v>
      </c>
      <c r="P137" s="228">
        <v>0.16</v>
      </c>
      <c r="Q137" s="227">
        <f t="shared" si="12"/>
        <v>121.92</v>
      </c>
      <c r="R137" s="227">
        <f t="shared" si="13"/>
        <v>883.92</v>
      </c>
      <c r="S137" s="229">
        <f>INDEX('Glosario Partidas'!$M$8:$M$10,MATCH(BD!K137,'Glosario Partidas'!$L$8:$L$10,0))</f>
        <v>17.5</v>
      </c>
      <c r="T137" s="227">
        <f t="shared" si="14"/>
        <v>15468.599999999999</v>
      </c>
      <c r="U137" s="230" t="s">
        <v>315</v>
      </c>
      <c r="V137" s="231" t="s">
        <v>12</v>
      </c>
    </row>
    <row r="138" spans="2:22" ht="12" customHeight="1" x14ac:dyDescent="0.2">
      <c r="B138" s="63" t="s">
        <v>193</v>
      </c>
      <c r="C138" s="63" t="s">
        <v>407</v>
      </c>
      <c r="D138" s="78" t="s">
        <v>412</v>
      </c>
      <c r="E138" s="171" t="s">
        <v>220</v>
      </c>
      <c r="F138" s="78" t="s">
        <v>221</v>
      </c>
      <c r="G138" s="171" t="s">
        <v>342</v>
      </c>
      <c r="H138" s="224" t="s">
        <v>409</v>
      </c>
      <c r="I138" s="225" t="s">
        <v>410</v>
      </c>
      <c r="J138" s="224">
        <v>1</v>
      </c>
      <c r="K138" s="225" t="s">
        <v>153</v>
      </c>
      <c r="L138" s="226">
        <v>5843</v>
      </c>
      <c r="M138" s="227">
        <f t="shared" si="10"/>
        <v>5843</v>
      </c>
      <c r="N138" s="228">
        <v>0</v>
      </c>
      <c r="O138" s="227">
        <f t="shared" si="11"/>
        <v>0</v>
      </c>
      <c r="P138" s="228">
        <v>0.16</v>
      </c>
      <c r="Q138" s="227">
        <f t="shared" si="12"/>
        <v>934.88</v>
      </c>
      <c r="R138" s="227">
        <f t="shared" si="13"/>
        <v>6777.88</v>
      </c>
      <c r="S138" s="229">
        <f>INDEX('Glosario Partidas'!$M$8:$M$10,MATCH(BD!K138,'Glosario Partidas'!$L$8:$L$10,0))</f>
        <v>17.5</v>
      </c>
      <c r="T138" s="227">
        <f t="shared" si="14"/>
        <v>118612.90000000001</v>
      </c>
      <c r="U138" s="230" t="s">
        <v>315</v>
      </c>
      <c r="V138" s="231" t="s">
        <v>12</v>
      </c>
    </row>
    <row r="139" spans="2:22" ht="12" customHeight="1" x14ac:dyDescent="0.2">
      <c r="B139" s="63" t="s">
        <v>193</v>
      </c>
      <c r="C139" s="63" t="s">
        <v>407</v>
      </c>
      <c r="D139" s="78" t="s">
        <v>413</v>
      </c>
      <c r="E139" s="171" t="s">
        <v>220</v>
      </c>
      <c r="F139" s="78" t="s">
        <v>221</v>
      </c>
      <c r="G139" s="171" t="s">
        <v>342</v>
      </c>
      <c r="H139" s="224" t="s">
        <v>409</v>
      </c>
      <c r="I139" s="225" t="s">
        <v>410</v>
      </c>
      <c r="J139" s="224">
        <v>1</v>
      </c>
      <c r="K139" s="225" t="s">
        <v>153</v>
      </c>
      <c r="L139" s="226">
        <v>242</v>
      </c>
      <c r="M139" s="227">
        <f t="shared" si="10"/>
        <v>242</v>
      </c>
      <c r="N139" s="228">
        <v>0</v>
      </c>
      <c r="O139" s="227">
        <f t="shared" si="11"/>
        <v>0</v>
      </c>
      <c r="P139" s="228">
        <v>0.16</v>
      </c>
      <c r="Q139" s="227">
        <f t="shared" si="12"/>
        <v>38.72</v>
      </c>
      <c r="R139" s="227">
        <f t="shared" si="13"/>
        <v>280.72000000000003</v>
      </c>
      <c r="S139" s="229">
        <f>INDEX('Glosario Partidas'!$M$8:$M$10,MATCH(BD!K139,'Glosario Partidas'!$L$8:$L$10,0))</f>
        <v>17.5</v>
      </c>
      <c r="T139" s="227">
        <f t="shared" si="14"/>
        <v>4912.6000000000004</v>
      </c>
      <c r="U139" s="230" t="s">
        <v>315</v>
      </c>
      <c r="V139" s="231" t="s">
        <v>12</v>
      </c>
    </row>
    <row r="140" spans="2:22" ht="12" customHeight="1" x14ac:dyDescent="0.2">
      <c r="B140" s="63" t="s">
        <v>193</v>
      </c>
      <c r="C140" s="63" t="s">
        <v>407</v>
      </c>
      <c r="D140" s="78" t="s">
        <v>414</v>
      </c>
      <c r="E140" s="171" t="s">
        <v>220</v>
      </c>
      <c r="F140" s="78" t="s">
        <v>221</v>
      </c>
      <c r="G140" s="171" t="s">
        <v>342</v>
      </c>
      <c r="H140" s="224" t="s">
        <v>409</v>
      </c>
      <c r="I140" s="225" t="s">
        <v>410</v>
      </c>
      <c r="J140" s="224">
        <v>1</v>
      </c>
      <c r="K140" s="225" t="s">
        <v>153</v>
      </c>
      <c r="L140" s="226">
        <v>5420</v>
      </c>
      <c r="M140" s="227">
        <f t="shared" si="10"/>
        <v>5420</v>
      </c>
      <c r="N140" s="228">
        <v>0</v>
      </c>
      <c r="O140" s="227">
        <f t="shared" si="11"/>
        <v>0</v>
      </c>
      <c r="P140" s="228">
        <v>0.16</v>
      </c>
      <c r="Q140" s="227">
        <f t="shared" si="12"/>
        <v>867.2</v>
      </c>
      <c r="R140" s="227">
        <f t="shared" si="13"/>
        <v>6287.2</v>
      </c>
      <c r="S140" s="229">
        <f>INDEX('Glosario Partidas'!$M$8:$M$10,MATCH(BD!K140,'Glosario Partidas'!$L$8:$L$10,0))</f>
        <v>17.5</v>
      </c>
      <c r="T140" s="227">
        <f t="shared" si="14"/>
        <v>110026</v>
      </c>
      <c r="U140" s="230" t="s">
        <v>315</v>
      </c>
      <c r="V140" s="231" t="s">
        <v>12</v>
      </c>
    </row>
    <row r="141" spans="2:22" ht="12" customHeight="1" x14ac:dyDescent="0.2">
      <c r="B141" s="63" t="s">
        <v>193</v>
      </c>
      <c r="C141" s="63" t="s">
        <v>407</v>
      </c>
      <c r="D141" s="78" t="s">
        <v>415</v>
      </c>
      <c r="E141" s="171" t="s">
        <v>220</v>
      </c>
      <c r="F141" s="78" t="s">
        <v>221</v>
      </c>
      <c r="G141" s="171" t="s">
        <v>342</v>
      </c>
      <c r="H141" s="224" t="s">
        <v>409</v>
      </c>
      <c r="I141" s="225" t="s">
        <v>410</v>
      </c>
      <c r="J141" s="224">
        <v>1</v>
      </c>
      <c r="K141" s="225" t="s">
        <v>153</v>
      </c>
      <c r="L141" s="226">
        <v>10265</v>
      </c>
      <c r="M141" s="227">
        <f t="shared" si="10"/>
        <v>10265</v>
      </c>
      <c r="N141" s="228">
        <v>0</v>
      </c>
      <c r="O141" s="227">
        <f t="shared" si="11"/>
        <v>0</v>
      </c>
      <c r="P141" s="228">
        <v>0.16</v>
      </c>
      <c r="Q141" s="227">
        <f t="shared" si="12"/>
        <v>1642.4</v>
      </c>
      <c r="R141" s="227">
        <f t="shared" si="13"/>
        <v>11907.4</v>
      </c>
      <c r="S141" s="229">
        <f>INDEX('Glosario Partidas'!$M$8:$M$10,MATCH(BD!K141,'Glosario Partidas'!$L$8:$L$10,0))</f>
        <v>17.5</v>
      </c>
      <c r="T141" s="227">
        <f t="shared" si="14"/>
        <v>208379.5</v>
      </c>
      <c r="U141" s="230" t="s">
        <v>315</v>
      </c>
      <c r="V141" s="231" t="s">
        <v>12</v>
      </c>
    </row>
    <row r="142" spans="2:22" ht="12" customHeight="1" x14ac:dyDescent="0.2">
      <c r="B142" s="63" t="s">
        <v>193</v>
      </c>
      <c r="C142" s="63" t="s">
        <v>407</v>
      </c>
      <c r="D142" s="78" t="s">
        <v>416</v>
      </c>
      <c r="E142" s="171" t="s">
        <v>220</v>
      </c>
      <c r="F142" s="78" t="s">
        <v>221</v>
      </c>
      <c r="G142" s="171" t="s">
        <v>342</v>
      </c>
      <c r="H142" s="224" t="s">
        <v>409</v>
      </c>
      <c r="I142" s="225" t="s">
        <v>410</v>
      </c>
      <c r="J142" s="224">
        <v>1</v>
      </c>
      <c r="K142" s="225" t="s">
        <v>153</v>
      </c>
      <c r="L142" s="226">
        <v>5085</v>
      </c>
      <c r="M142" s="227">
        <f t="shared" si="10"/>
        <v>5085</v>
      </c>
      <c r="N142" s="228">
        <v>0</v>
      </c>
      <c r="O142" s="227">
        <f t="shared" si="11"/>
        <v>0</v>
      </c>
      <c r="P142" s="228">
        <v>0.16</v>
      </c>
      <c r="Q142" s="227">
        <f t="shared" si="12"/>
        <v>813.6</v>
      </c>
      <c r="R142" s="227">
        <f t="shared" si="13"/>
        <v>5898.6</v>
      </c>
      <c r="S142" s="229">
        <f>INDEX('Glosario Partidas'!$M$8:$M$10,MATCH(BD!K142,'Glosario Partidas'!$L$8:$L$10,0))</f>
        <v>17.5</v>
      </c>
      <c r="T142" s="227">
        <f t="shared" si="14"/>
        <v>103225.5</v>
      </c>
      <c r="U142" s="230" t="s">
        <v>315</v>
      </c>
      <c r="V142" s="231" t="s">
        <v>12</v>
      </c>
    </row>
    <row r="143" spans="2:22" ht="12" customHeight="1" x14ac:dyDescent="0.2">
      <c r="B143" s="63" t="s">
        <v>193</v>
      </c>
      <c r="C143" s="63" t="s">
        <v>407</v>
      </c>
      <c r="D143" s="78" t="s">
        <v>417</v>
      </c>
      <c r="E143" s="171" t="s">
        <v>220</v>
      </c>
      <c r="F143" s="78" t="s">
        <v>221</v>
      </c>
      <c r="G143" s="171" t="s">
        <v>342</v>
      </c>
      <c r="H143" s="224" t="s">
        <v>409</v>
      </c>
      <c r="I143" s="225" t="s">
        <v>410</v>
      </c>
      <c r="J143" s="224">
        <v>1</v>
      </c>
      <c r="K143" s="225" t="s">
        <v>153</v>
      </c>
      <c r="L143" s="226">
        <v>623</v>
      </c>
      <c r="M143" s="227">
        <f t="shared" si="10"/>
        <v>623</v>
      </c>
      <c r="N143" s="228">
        <v>0</v>
      </c>
      <c r="O143" s="227">
        <f t="shared" si="11"/>
        <v>0</v>
      </c>
      <c r="P143" s="228">
        <v>0.16</v>
      </c>
      <c r="Q143" s="227">
        <f t="shared" si="12"/>
        <v>99.68</v>
      </c>
      <c r="R143" s="227">
        <f t="shared" si="13"/>
        <v>722.68000000000006</v>
      </c>
      <c r="S143" s="229">
        <f>INDEX('Glosario Partidas'!$M$8:$M$10,MATCH(BD!K143,'Glosario Partidas'!$L$8:$L$10,0))</f>
        <v>17.5</v>
      </c>
      <c r="T143" s="227">
        <f t="shared" si="14"/>
        <v>12646.900000000001</v>
      </c>
      <c r="U143" s="230" t="s">
        <v>315</v>
      </c>
      <c r="V143" s="231" t="s">
        <v>12</v>
      </c>
    </row>
    <row r="144" spans="2:22" ht="12" customHeight="1" x14ac:dyDescent="0.2">
      <c r="B144" s="63" t="s">
        <v>193</v>
      </c>
      <c r="C144" s="63" t="s">
        <v>407</v>
      </c>
      <c r="D144" s="78" t="s">
        <v>418</v>
      </c>
      <c r="E144" s="171" t="s">
        <v>220</v>
      </c>
      <c r="F144" s="78" t="s">
        <v>221</v>
      </c>
      <c r="G144" s="171" t="s">
        <v>342</v>
      </c>
      <c r="H144" s="224" t="s">
        <v>409</v>
      </c>
      <c r="I144" s="225" t="s">
        <v>410</v>
      </c>
      <c r="J144" s="224">
        <v>1</v>
      </c>
      <c r="K144" s="225" t="s">
        <v>153</v>
      </c>
      <c r="L144" s="226">
        <v>580</v>
      </c>
      <c r="M144" s="227">
        <f t="shared" si="10"/>
        <v>580</v>
      </c>
      <c r="N144" s="228">
        <v>0</v>
      </c>
      <c r="O144" s="227">
        <f t="shared" si="11"/>
        <v>0</v>
      </c>
      <c r="P144" s="228">
        <v>0.16</v>
      </c>
      <c r="Q144" s="227">
        <f t="shared" si="12"/>
        <v>92.8</v>
      </c>
      <c r="R144" s="227">
        <f t="shared" si="13"/>
        <v>672.8</v>
      </c>
      <c r="S144" s="229">
        <f>INDEX('Glosario Partidas'!$M$8:$M$10,MATCH(BD!K144,'Glosario Partidas'!$L$8:$L$10,0))</f>
        <v>17.5</v>
      </c>
      <c r="T144" s="227">
        <f t="shared" si="14"/>
        <v>11774</v>
      </c>
      <c r="U144" s="230" t="s">
        <v>315</v>
      </c>
      <c r="V144" s="231" t="s">
        <v>12</v>
      </c>
    </row>
    <row r="145" spans="2:22" ht="12" customHeight="1" x14ac:dyDescent="0.2">
      <c r="B145" s="63" t="s">
        <v>193</v>
      </c>
      <c r="C145" s="63" t="s">
        <v>407</v>
      </c>
      <c r="D145" s="78" t="s">
        <v>419</v>
      </c>
      <c r="E145" s="171" t="s">
        <v>220</v>
      </c>
      <c r="F145" s="78" t="s">
        <v>221</v>
      </c>
      <c r="G145" s="171" t="s">
        <v>342</v>
      </c>
      <c r="H145" s="224" t="s">
        <v>409</v>
      </c>
      <c r="I145" s="225" t="s">
        <v>410</v>
      </c>
      <c r="J145" s="224">
        <v>1</v>
      </c>
      <c r="K145" s="225" t="s">
        <v>153</v>
      </c>
      <c r="L145" s="226">
        <v>3800</v>
      </c>
      <c r="M145" s="227">
        <f t="shared" si="10"/>
        <v>3800</v>
      </c>
      <c r="N145" s="228">
        <v>0</v>
      </c>
      <c r="O145" s="227">
        <f t="shared" si="11"/>
        <v>0</v>
      </c>
      <c r="P145" s="228">
        <v>0.16</v>
      </c>
      <c r="Q145" s="227">
        <f t="shared" si="12"/>
        <v>608</v>
      </c>
      <c r="R145" s="227">
        <f t="shared" si="13"/>
        <v>4408</v>
      </c>
      <c r="S145" s="229">
        <f>INDEX('Glosario Partidas'!$M$8:$M$10,MATCH(BD!K145,'Glosario Partidas'!$L$8:$L$10,0))</f>
        <v>17.5</v>
      </c>
      <c r="T145" s="227">
        <f t="shared" si="14"/>
        <v>77140</v>
      </c>
      <c r="U145" s="230" t="s">
        <v>315</v>
      </c>
      <c r="V145" s="231" t="s">
        <v>12</v>
      </c>
    </row>
    <row r="146" spans="2:22" ht="12" customHeight="1" x14ac:dyDescent="0.2">
      <c r="B146" s="63" t="s">
        <v>193</v>
      </c>
      <c r="C146" s="63" t="s">
        <v>407</v>
      </c>
      <c r="D146" s="78" t="s">
        <v>420</v>
      </c>
      <c r="E146" s="171" t="s">
        <v>220</v>
      </c>
      <c r="F146" s="78" t="s">
        <v>221</v>
      </c>
      <c r="G146" s="171" t="s">
        <v>342</v>
      </c>
      <c r="H146" s="224" t="s">
        <v>409</v>
      </c>
      <c r="I146" s="225" t="s">
        <v>410</v>
      </c>
      <c r="J146" s="224">
        <v>1</v>
      </c>
      <c r="K146" s="225" t="s">
        <v>153</v>
      </c>
      <c r="L146" s="226">
        <v>1389</v>
      </c>
      <c r="M146" s="227">
        <f t="shared" si="10"/>
        <v>1389</v>
      </c>
      <c r="N146" s="228">
        <v>0</v>
      </c>
      <c r="O146" s="227">
        <f t="shared" si="11"/>
        <v>0</v>
      </c>
      <c r="P146" s="228">
        <v>0.16</v>
      </c>
      <c r="Q146" s="227">
        <f t="shared" si="12"/>
        <v>222.24</v>
      </c>
      <c r="R146" s="227">
        <f t="shared" si="13"/>
        <v>1611.24</v>
      </c>
      <c r="S146" s="229">
        <f>INDEX('Glosario Partidas'!$M$8:$M$10,MATCH(BD!K146,'Glosario Partidas'!$L$8:$L$10,0))</f>
        <v>17.5</v>
      </c>
      <c r="T146" s="227">
        <f t="shared" si="14"/>
        <v>28196.7</v>
      </c>
      <c r="U146" s="230" t="s">
        <v>315</v>
      </c>
      <c r="V146" s="231" t="s">
        <v>12</v>
      </c>
    </row>
    <row r="147" spans="2:22" ht="12" customHeight="1" x14ac:dyDescent="0.2">
      <c r="B147" s="63" t="s">
        <v>193</v>
      </c>
      <c r="C147" s="63" t="s">
        <v>407</v>
      </c>
      <c r="D147" s="78" t="s">
        <v>421</v>
      </c>
      <c r="E147" s="171" t="s">
        <v>220</v>
      </c>
      <c r="F147" s="78" t="s">
        <v>221</v>
      </c>
      <c r="G147" s="171" t="s">
        <v>342</v>
      </c>
      <c r="H147" s="224" t="s">
        <v>409</v>
      </c>
      <c r="I147" s="225" t="s">
        <v>410</v>
      </c>
      <c r="J147" s="224">
        <v>3</v>
      </c>
      <c r="K147" s="225" t="s">
        <v>153</v>
      </c>
      <c r="L147" s="226">
        <v>128</v>
      </c>
      <c r="M147" s="227">
        <f t="shared" si="10"/>
        <v>384</v>
      </c>
      <c r="N147" s="228">
        <v>0</v>
      </c>
      <c r="O147" s="227">
        <f t="shared" si="11"/>
        <v>0</v>
      </c>
      <c r="P147" s="228">
        <v>0.16</v>
      </c>
      <c r="Q147" s="227">
        <f t="shared" si="12"/>
        <v>61.44</v>
      </c>
      <c r="R147" s="227">
        <f t="shared" si="13"/>
        <v>445.44</v>
      </c>
      <c r="S147" s="229">
        <f>INDEX('Glosario Partidas'!$M$8:$M$10,MATCH(BD!K147,'Glosario Partidas'!$L$8:$L$10,0))</f>
        <v>17.5</v>
      </c>
      <c r="T147" s="227">
        <f t="shared" si="14"/>
        <v>7795.2</v>
      </c>
      <c r="U147" s="230" t="s">
        <v>315</v>
      </c>
      <c r="V147" s="231" t="s">
        <v>12</v>
      </c>
    </row>
    <row r="148" spans="2:22" ht="12" customHeight="1" x14ac:dyDescent="0.2">
      <c r="B148" s="63" t="s">
        <v>193</v>
      </c>
      <c r="C148" s="63" t="s">
        <v>407</v>
      </c>
      <c r="D148" s="78" t="s">
        <v>422</v>
      </c>
      <c r="E148" s="171" t="s">
        <v>220</v>
      </c>
      <c r="F148" s="78" t="s">
        <v>221</v>
      </c>
      <c r="G148" s="171" t="s">
        <v>342</v>
      </c>
      <c r="H148" s="224" t="s">
        <v>409</v>
      </c>
      <c r="I148" s="225" t="s">
        <v>410</v>
      </c>
      <c r="J148" s="224">
        <v>1</v>
      </c>
      <c r="K148" s="225" t="s">
        <v>153</v>
      </c>
      <c r="L148" s="226">
        <v>749</v>
      </c>
      <c r="M148" s="227">
        <f t="shared" si="10"/>
        <v>749</v>
      </c>
      <c r="N148" s="228">
        <v>0</v>
      </c>
      <c r="O148" s="227">
        <f t="shared" si="11"/>
        <v>0</v>
      </c>
      <c r="P148" s="228">
        <v>0.16</v>
      </c>
      <c r="Q148" s="227">
        <f t="shared" si="12"/>
        <v>119.84</v>
      </c>
      <c r="R148" s="227">
        <f t="shared" si="13"/>
        <v>868.84</v>
      </c>
      <c r="S148" s="229">
        <f>INDEX('Glosario Partidas'!$M$8:$M$10,MATCH(BD!K148,'Glosario Partidas'!$L$8:$L$10,0))</f>
        <v>17.5</v>
      </c>
      <c r="T148" s="227">
        <f t="shared" si="14"/>
        <v>15204.7</v>
      </c>
      <c r="U148" s="230" t="s">
        <v>315</v>
      </c>
      <c r="V148" s="231" t="s">
        <v>12</v>
      </c>
    </row>
    <row r="149" spans="2:22" ht="12" customHeight="1" x14ac:dyDescent="0.2">
      <c r="B149" s="63" t="s">
        <v>193</v>
      </c>
      <c r="C149" s="63" t="s">
        <v>407</v>
      </c>
      <c r="D149" s="78" t="s">
        <v>423</v>
      </c>
      <c r="E149" s="171" t="s">
        <v>220</v>
      </c>
      <c r="F149" s="78" t="s">
        <v>221</v>
      </c>
      <c r="G149" s="171" t="s">
        <v>342</v>
      </c>
      <c r="H149" s="224" t="s">
        <v>409</v>
      </c>
      <c r="I149" s="225" t="s">
        <v>410</v>
      </c>
      <c r="J149" s="224">
        <v>1</v>
      </c>
      <c r="K149" s="225" t="s">
        <v>153</v>
      </c>
      <c r="L149" s="226">
        <v>7691</v>
      </c>
      <c r="M149" s="227">
        <f t="shared" si="10"/>
        <v>7691</v>
      </c>
      <c r="N149" s="228">
        <v>0</v>
      </c>
      <c r="O149" s="227">
        <f t="shared" si="11"/>
        <v>0</v>
      </c>
      <c r="P149" s="228">
        <v>0.16</v>
      </c>
      <c r="Q149" s="227">
        <f t="shared" si="12"/>
        <v>1230.56</v>
      </c>
      <c r="R149" s="227">
        <f t="shared" si="13"/>
        <v>8921.56</v>
      </c>
      <c r="S149" s="229">
        <f>INDEX('Glosario Partidas'!$M$8:$M$10,MATCH(BD!K149,'Glosario Partidas'!$L$8:$L$10,0))</f>
        <v>17.5</v>
      </c>
      <c r="T149" s="227">
        <f t="shared" si="14"/>
        <v>156127.29999999999</v>
      </c>
      <c r="U149" s="230" t="s">
        <v>315</v>
      </c>
      <c r="V149" s="231" t="s">
        <v>12</v>
      </c>
    </row>
    <row r="150" spans="2:22" ht="12" customHeight="1" x14ac:dyDescent="0.2">
      <c r="B150" s="63" t="s">
        <v>193</v>
      </c>
      <c r="C150" s="63" t="s">
        <v>407</v>
      </c>
      <c r="D150" s="78" t="s">
        <v>424</v>
      </c>
      <c r="E150" s="171" t="s">
        <v>220</v>
      </c>
      <c r="F150" s="78" t="s">
        <v>221</v>
      </c>
      <c r="G150" s="171" t="s">
        <v>342</v>
      </c>
      <c r="H150" s="224" t="s">
        <v>409</v>
      </c>
      <c r="I150" s="225" t="s">
        <v>410</v>
      </c>
      <c r="J150" s="224">
        <v>1</v>
      </c>
      <c r="K150" s="225" t="s">
        <v>153</v>
      </c>
      <c r="L150" s="226">
        <v>6402</v>
      </c>
      <c r="M150" s="227">
        <f t="shared" si="10"/>
        <v>6402</v>
      </c>
      <c r="N150" s="228">
        <v>0</v>
      </c>
      <c r="O150" s="227">
        <f t="shared" si="11"/>
        <v>0</v>
      </c>
      <c r="P150" s="228">
        <v>0.16</v>
      </c>
      <c r="Q150" s="227">
        <f t="shared" si="12"/>
        <v>1024.32</v>
      </c>
      <c r="R150" s="227">
        <f t="shared" si="13"/>
        <v>7426.32</v>
      </c>
      <c r="S150" s="229">
        <f>INDEX('Glosario Partidas'!$M$8:$M$10,MATCH(BD!K150,'Glosario Partidas'!$L$8:$L$10,0))</f>
        <v>17.5</v>
      </c>
      <c r="T150" s="227">
        <f t="shared" si="14"/>
        <v>129960.59999999999</v>
      </c>
      <c r="U150" s="230" t="s">
        <v>315</v>
      </c>
      <c r="V150" s="231" t="s">
        <v>12</v>
      </c>
    </row>
    <row r="151" spans="2:22" ht="12" customHeight="1" x14ac:dyDescent="0.2">
      <c r="B151" s="63" t="s">
        <v>193</v>
      </c>
      <c r="C151" s="63" t="s">
        <v>407</v>
      </c>
      <c r="D151" s="78" t="s">
        <v>425</v>
      </c>
      <c r="E151" s="171" t="s">
        <v>220</v>
      </c>
      <c r="F151" s="78" t="s">
        <v>221</v>
      </c>
      <c r="G151" s="171" t="s">
        <v>342</v>
      </c>
      <c r="H151" s="224" t="s">
        <v>409</v>
      </c>
      <c r="I151" s="225" t="s">
        <v>410</v>
      </c>
      <c r="J151" s="224">
        <v>1</v>
      </c>
      <c r="K151" s="225" t="s">
        <v>153</v>
      </c>
      <c r="L151" s="226">
        <v>3505</v>
      </c>
      <c r="M151" s="227">
        <f t="shared" si="10"/>
        <v>3505</v>
      </c>
      <c r="N151" s="228">
        <v>0</v>
      </c>
      <c r="O151" s="227">
        <f t="shared" si="11"/>
        <v>0</v>
      </c>
      <c r="P151" s="228">
        <v>0.16</v>
      </c>
      <c r="Q151" s="227">
        <f t="shared" si="12"/>
        <v>560.80000000000007</v>
      </c>
      <c r="R151" s="227">
        <f t="shared" si="13"/>
        <v>4065.8</v>
      </c>
      <c r="S151" s="229">
        <f>INDEX('Glosario Partidas'!$M$8:$M$10,MATCH(BD!K151,'Glosario Partidas'!$L$8:$L$10,0))</f>
        <v>17.5</v>
      </c>
      <c r="T151" s="227">
        <f t="shared" si="14"/>
        <v>71151.5</v>
      </c>
      <c r="U151" s="230" t="s">
        <v>315</v>
      </c>
      <c r="V151" s="231" t="s">
        <v>12</v>
      </c>
    </row>
    <row r="152" spans="2:22" ht="12" customHeight="1" x14ac:dyDescent="0.2">
      <c r="B152" s="63" t="s">
        <v>193</v>
      </c>
      <c r="C152" s="63" t="s">
        <v>407</v>
      </c>
      <c r="D152" s="78" t="s">
        <v>426</v>
      </c>
      <c r="E152" s="171" t="s">
        <v>220</v>
      </c>
      <c r="F152" s="78" t="s">
        <v>221</v>
      </c>
      <c r="G152" s="171" t="s">
        <v>342</v>
      </c>
      <c r="H152" s="224" t="s">
        <v>409</v>
      </c>
      <c r="I152" s="225" t="s">
        <v>410</v>
      </c>
      <c r="J152" s="224">
        <v>1</v>
      </c>
      <c r="K152" s="225" t="s">
        <v>153</v>
      </c>
      <c r="L152" s="226">
        <v>12428</v>
      </c>
      <c r="M152" s="227">
        <f t="shared" si="10"/>
        <v>12428</v>
      </c>
      <c r="N152" s="228">
        <v>0</v>
      </c>
      <c r="O152" s="227">
        <f t="shared" si="11"/>
        <v>0</v>
      </c>
      <c r="P152" s="228">
        <v>0.16</v>
      </c>
      <c r="Q152" s="227">
        <f t="shared" si="12"/>
        <v>1988.48</v>
      </c>
      <c r="R152" s="227">
        <f t="shared" si="13"/>
        <v>14416.48</v>
      </c>
      <c r="S152" s="229">
        <f>INDEX('Glosario Partidas'!$M$8:$M$10,MATCH(BD!K152,'Glosario Partidas'!$L$8:$L$10,0))</f>
        <v>17.5</v>
      </c>
      <c r="T152" s="227">
        <f t="shared" si="14"/>
        <v>252288.4</v>
      </c>
      <c r="U152" s="230" t="s">
        <v>315</v>
      </c>
      <c r="V152" s="231" t="s">
        <v>12</v>
      </c>
    </row>
    <row r="153" spans="2:22" ht="12" customHeight="1" x14ac:dyDescent="0.2">
      <c r="B153" s="63" t="s">
        <v>193</v>
      </c>
      <c r="C153" s="63" t="s">
        <v>407</v>
      </c>
      <c r="D153" s="78" t="s">
        <v>427</v>
      </c>
      <c r="E153" s="171" t="s">
        <v>220</v>
      </c>
      <c r="F153" s="78" t="s">
        <v>221</v>
      </c>
      <c r="G153" s="171" t="s">
        <v>342</v>
      </c>
      <c r="H153" s="224" t="s">
        <v>409</v>
      </c>
      <c r="I153" s="225" t="s">
        <v>410</v>
      </c>
      <c r="J153" s="224">
        <v>1</v>
      </c>
      <c r="K153" s="225" t="s">
        <v>153</v>
      </c>
      <c r="L153" s="226">
        <v>2300</v>
      </c>
      <c r="M153" s="227">
        <f t="shared" si="10"/>
        <v>2300</v>
      </c>
      <c r="N153" s="228">
        <v>0</v>
      </c>
      <c r="O153" s="227">
        <f t="shared" si="11"/>
        <v>0</v>
      </c>
      <c r="P153" s="228">
        <v>0.16</v>
      </c>
      <c r="Q153" s="227">
        <f t="shared" si="12"/>
        <v>368</v>
      </c>
      <c r="R153" s="227">
        <f t="shared" si="13"/>
        <v>2668</v>
      </c>
      <c r="S153" s="229">
        <f>INDEX('Glosario Partidas'!$M$8:$M$10,MATCH(BD!K153,'Glosario Partidas'!$L$8:$L$10,0))</f>
        <v>17.5</v>
      </c>
      <c r="T153" s="227">
        <f t="shared" si="14"/>
        <v>46690</v>
      </c>
      <c r="U153" s="230" t="s">
        <v>315</v>
      </c>
      <c r="V153" s="231" t="s">
        <v>12</v>
      </c>
    </row>
    <row r="154" spans="2:22" ht="12" customHeight="1" x14ac:dyDescent="0.2">
      <c r="B154" s="63" t="s">
        <v>193</v>
      </c>
      <c r="C154" s="63" t="s">
        <v>407</v>
      </c>
      <c r="D154" s="78" t="s">
        <v>428</v>
      </c>
      <c r="E154" s="171" t="s">
        <v>220</v>
      </c>
      <c r="F154" s="78" t="s">
        <v>221</v>
      </c>
      <c r="G154" s="171" t="s">
        <v>342</v>
      </c>
      <c r="H154" s="224" t="s">
        <v>409</v>
      </c>
      <c r="I154" s="225" t="s">
        <v>410</v>
      </c>
      <c r="J154" s="224">
        <v>1</v>
      </c>
      <c r="K154" s="225" t="s">
        <v>153</v>
      </c>
      <c r="L154" s="226">
        <v>1350</v>
      </c>
      <c r="M154" s="227">
        <f t="shared" si="10"/>
        <v>1350</v>
      </c>
      <c r="N154" s="228">
        <v>0</v>
      </c>
      <c r="O154" s="227">
        <f t="shared" si="11"/>
        <v>0</v>
      </c>
      <c r="P154" s="228">
        <v>0.16</v>
      </c>
      <c r="Q154" s="227">
        <f t="shared" si="12"/>
        <v>216</v>
      </c>
      <c r="R154" s="227">
        <f t="shared" si="13"/>
        <v>1566</v>
      </c>
      <c r="S154" s="229">
        <f>INDEX('Glosario Partidas'!$M$8:$M$10,MATCH(BD!K154,'Glosario Partidas'!$L$8:$L$10,0))</f>
        <v>17.5</v>
      </c>
      <c r="T154" s="227">
        <f t="shared" si="14"/>
        <v>27405</v>
      </c>
      <c r="U154" s="230" t="s">
        <v>315</v>
      </c>
      <c r="V154" s="231" t="s">
        <v>12</v>
      </c>
    </row>
    <row r="155" spans="2:22" ht="12" customHeight="1" x14ac:dyDescent="0.2">
      <c r="B155" s="63" t="s">
        <v>193</v>
      </c>
      <c r="C155" s="63" t="s">
        <v>407</v>
      </c>
      <c r="D155" s="78" t="s">
        <v>408</v>
      </c>
      <c r="E155" s="171" t="s">
        <v>220</v>
      </c>
      <c r="F155" s="78" t="s">
        <v>367</v>
      </c>
      <c r="G155" s="171" t="s">
        <v>342</v>
      </c>
      <c r="H155" s="224" t="s">
        <v>409</v>
      </c>
      <c r="I155" s="225" t="s">
        <v>410</v>
      </c>
      <c r="J155" s="224">
        <v>1</v>
      </c>
      <c r="K155" s="225" t="s">
        <v>153</v>
      </c>
      <c r="L155" s="226">
        <v>14921</v>
      </c>
      <c r="M155" s="227">
        <f t="shared" si="10"/>
        <v>14921</v>
      </c>
      <c r="N155" s="228">
        <v>0</v>
      </c>
      <c r="O155" s="227">
        <f t="shared" si="11"/>
        <v>0</v>
      </c>
      <c r="P155" s="228">
        <v>0.16</v>
      </c>
      <c r="Q155" s="227">
        <f t="shared" si="12"/>
        <v>2387.36</v>
      </c>
      <c r="R155" s="227">
        <f t="shared" si="13"/>
        <v>17308.36</v>
      </c>
      <c r="S155" s="229">
        <f>INDEX('Glosario Partidas'!$M$8:$M$10,MATCH(BD!K155,'Glosario Partidas'!$L$8:$L$10,0))</f>
        <v>17.5</v>
      </c>
      <c r="T155" s="227">
        <f t="shared" si="14"/>
        <v>302896.3</v>
      </c>
      <c r="U155" s="230" t="s">
        <v>315</v>
      </c>
      <c r="V155" s="231" t="s">
        <v>12</v>
      </c>
    </row>
    <row r="156" spans="2:22" ht="12" customHeight="1" x14ac:dyDescent="0.2">
      <c r="B156" s="63" t="s">
        <v>193</v>
      </c>
      <c r="C156" s="63" t="s">
        <v>407</v>
      </c>
      <c r="D156" s="78" t="s">
        <v>411</v>
      </c>
      <c r="E156" s="171" t="s">
        <v>220</v>
      </c>
      <c r="F156" s="78" t="s">
        <v>367</v>
      </c>
      <c r="G156" s="171" t="s">
        <v>342</v>
      </c>
      <c r="H156" s="224" t="s">
        <v>409</v>
      </c>
      <c r="I156" s="225" t="s">
        <v>410</v>
      </c>
      <c r="J156" s="224">
        <v>3</v>
      </c>
      <c r="K156" s="225" t="s">
        <v>153</v>
      </c>
      <c r="L156" s="226">
        <v>254</v>
      </c>
      <c r="M156" s="227">
        <f t="shared" si="10"/>
        <v>762</v>
      </c>
      <c r="N156" s="228">
        <v>0</v>
      </c>
      <c r="O156" s="227">
        <f t="shared" si="11"/>
        <v>0</v>
      </c>
      <c r="P156" s="228">
        <v>0.16</v>
      </c>
      <c r="Q156" s="227">
        <f t="shared" si="12"/>
        <v>121.92</v>
      </c>
      <c r="R156" s="227">
        <f t="shared" si="13"/>
        <v>883.92</v>
      </c>
      <c r="S156" s="229">
        <f>INDEX('Glosario Partidas'!$M$8:$M$10,MATCH(BD!K156,'Glosario Partidas'!$L$8:$L$10,0))</f>
        <v>17.5</v>
      </c>
      <c r="T156" s="227">
        <f t="shared" si="14"/>
        <v>15468.599999999999</v>
      </c>
      <c r="U156" s="230" t="s">
        <v>315</v>
      </c>
      <c r="V156" s="231" t="s">
        <v>12</v>
      </c>
    </row>
    <row r="157" spans="2:22" ht="12" customHeight="1" x14ac:dyDescent="0.2">
      <c r="B157" s="63" t="s">
        <v>193</v>
      </c>
      <c r="C157" s="63" t="s">
        <v>407</v>
      </c>
      <c r="D157" s="78" t="s">
        <v>412</v>
      </c>
      <c r="E157" s="171" t="s">
        <v>220</v>
      </c>
      <c r="F157" s="78" t="s">
        <v>367</v>
      </c>
      <c r="G157" s="171" t="s">
        <v>342</v>
      </c>
      <c r="H157" s="224" t="s">
        <v>409</v>
      </c>
      <c r="I157" s="225" t="s">
        <v>410</v>
      </c>
      <c r="J157" s="224">
        <v>1</v>
      </c>
      <c r="K157" s="225" t="s">
        <v>153</v>
      </c>
      <c r="L157" s="226">
        <v>5843</v>
      </c>
      <c r="M157" s="227">
        <f t="shared" si="10"/>
        <v>5843</v>
      </c>
      <c r="N157" s="228">
        <v>0</v>
      </c>
      <c r="O157" s="227">
        <f t="shared" si="11"/>
        <v>0</v>
      </c>
      <c r="P157" s="228">
        <v>0.16</v>
      </c>
      <c r="Q157" s="227">
        <f t="shared" si="12"/>
        <v>934.88</v>
      </c>
      <c r="R157" s="227">
        <f t="shared" si="13"/>
        <v>6777.88</v>
      </c>
      <c r="S157" s="229">
        <f>INDEX('Glosario Partidas'!$M$8:$M$10,MATCH(BD!K157,'Glosario Partidas'!$L$8:$L$10,0))</f>
        <v>17.5</v>
      </c>
      <c r="T157" s="227">
        <f t="shared" si="14"/>
        <v>118612.90000000001</v>
      </c>
      <c r="U157" s="230" t="s">
        <v>315</v>
      </c>
      <c r="V157" s="231" t="s">
        <v>12</v>
      </c>
    </row>
    <row r="158" spans="2:22" ht="12" customHeight="1" x14ac:dyDescent="0.2">
      <c r="B158" s="63" t="s">
        <v>193</v>
      </c>
      <c r="C158" s="63" t="s">
        <v>407</v>
      </c>
      <c r="D158" s="78" t="s">
        <v>413</v>
      </c>
      <c r="E158" s="171" t="s">
        <v>220</v>
      </c>
      <c r="F158" s="78" t="s">
        <v>367</v>
      </c>
      <c r="G158" s="171" t="s">
        <v>342</v>
      </c>
      <c r="H158" s="224" t="s">
        <v>409</v>
      </c>
      <c r="I158" s="225" t="s">
        <v>410</v>
      </c>
      <c r="J158" s="224">
        <v>1</v>
      </c>
      <c r="K158" s="225" t="s">
        <v>153</v>
      </c>
      <c r="L158" s="226">
        <v>242</v>
      </c>
      <c r="M158" s="227">
        <f t="shared" si="10"/>
        <v>242</v>
      </c>
      <c r="N158" s="228">
        <v>0</v>
      </c>
      <c r="O158" s="227">
        <f t="shared" si="11"/>
        <v>0</v>
      </c>
      <c r="P158" s="228">
        <v>0.16</v>
      </c>
      <c r="Q158" s="227">
        <f t="shared" si="12"/>
        <v>38.72</v>
      </c>
      <c r="R158" s="227">
        <f t="shared" si="13"/>
        <v>280.72000000000003</v>
      </c>
      <c r="S158" s="229">
        <f>INDEX('Glosario Partidas'!$M$8:$M$10,MATCH(BD!K158,'Glosario Partidas'!$L$8:$L$10,0))</f>
        <v>17.5</v>
      </c>
      <c r="T158" s="227">
        <f t="shared" si="14"/>
        <v>4912.6000000000004</v>
      </c>
      <c r="U158" s="230" t="s">
        <v>315</v>
      </c>
      <c r="V158" s="231" t="s">
        <v>12</v>
      </c>
    </row>
    <row r="159" spans="2:22" ht="12" customHeight="1" x14ac:dyDescent="0.2">
      <c r="B159" s="63" t="s">
        <v>193</v>
      </c>
      <c r="C159" s="63" t="s">
        <v>407</v>
      </c>
      <c r="D159" s="78" t="s">
        <v>414</v>
      </c>
      <c r="E159" s="171" t="s">
        <v>220</v>
      </c>
      <c r="F159" s="78" t="s">
        <v>367</v>
      </c>
      <c r="G159" s="171" t="s">
        <v>342</v>
      </c>
      <c r="H159" s="224" t="s">
        <v>409</v>
      </c>
      <c r="I159" s="225" t="s">
        <v>410</v>
      </c>
      <c r="J159" s="224">
        <v>1</v>
      </c>
      <c r="K159" s="225" t="s">
        <v>153</v>
      </c>
      <c r="L159" s="226">
        <v>5420</v>
      </c>
      <c r="M159" s="227">
        <f t="shared" si="10"/>
        <v>5420</v>
      </c>
      <c r="N159" s="228">
        <v>0</v>
      </c>
      <c r="O159" s="227">
        <f t="shared" si="11"/>
        <v>0</v>
      </c>
      <c r="P159" s="228">
        <v>0.16</v>
      </c>
      <c r="Q159" s="227">
        <f t="shared" si="12"/>
        <v>867.2</v>
      </c>
      <c r="R159" s="227">
        <f t="shared" si="13"/>
        <v>6287.2</v>
      </c>
      <c r="S159" s="229">
        <f>INDEX('Glosario Partidas'!$M$8:$M$10,MATCH(BD!K159,'Glosario Partidas'!$L$8:$L$10,0))</f>
        <v>17.5</v>
      </c>
      <c r="T159" s="227">
        <f t="shared" si="14"/>
        <v>110026</v>
      </c>
      <c r="U159" s="230" t="s">
        <v>315</v>
      </c>
      <c r="V159" s="231" t="s">
        <v>12</v>
      </c>
    </row>
    <row r="160" spans="2:22" ht="12" customHeight="1" x14ac:dyDescent="0.2">
      <c r="B160" s="63" t="s">
        <v>193</v>
      </c>
      <c r="C160" s="63" t="s">
        <v>407</v>
      </c>
      <c r="D160" s="78" t="s">
        <v>415</v>
      </c>
      <c r="E160" s="171" t="s">
        <v>220</v>
      </c>
      <c r="F160" s="78" t="s">
        <v>367</v>
      </c>
      <c r="G160" s="171" t="s">
        <v>342</v>
      </c>
      <c r="H160" s="224" t="s">
        <v>409</v>
      </c>
      <c r="I160" s="225" t="s">
        <v>410</v>
      </c>
      <c r="J160" s="224">
        <v>1</v>
      </c>
      <c r="K160" s="225" t="s">
        <v>153</v>
      </c>
      <c r="L160" s="226">
        <v>10265</v>
      </c>
      <c r="M160" s="227">
        <f t="shared" si="10"/>
        <v>10265</v>
      </c>
      <c r="N160" s="228">
        <v>0</v>
      </c>
      <c r="O160" s="227">
        <f t="shared" si="11"/>
        <v>0</v>
      </c>
      <c r="P160" s="228">
        <v>0.16</v>
      </c>
      <c r="Q160" s="227">
        <f t="shared" si="12"/>
        <v>1642.4</v>
      </c>
      <c r="R160" s="227">
        <f t="shared" si="13"/>
        <v>11907.4</v>
      </c>
      <c r="S160" s="229">
        <f>INDEX('Glosario Partidas'!$M$8:$M$10,MATCH(BD!K160,'Glosario Partidas'!$L$8:$L$10,0))</f>
        <v>17.5</v>
      </c>
      <c r="T160" s="227">
        <f t="shared" si="14"/>
        <v>208379.5</v>
      </c>
      <c r="U160" s="230" t="s">
        <v>315</v>
      </c>
      <c r="V160" s="231" t="s">
        <v>12</v>
      </c>
    </row>
    <row r="161" spans="2:22" ht="12" customHeight="1" x14ac:dyDescent="0.2">
      <c r="B161" s="63" t="s">
        <v>193</v>
      </c>
      <c r="C161" s="63" t="s">
        <v>407</v>
      </c>
      <c r="D161" s="78" t="s">
        <v>416</v>
      </c>
      <c r="E161" s="171" t="s">
        <v>220</v>
      </c>
      <c r="F161" s="78" t="s">
        <v>367</v>
      </c>
      <c r="G161" s="171" t="s">
        <v>342</v>
      </c>
      <c r="H161" s="224" t="s">
        <v>409</v>
      </c>
      <c r="I161" s="225" t="s">
        <v>410</v>
      </c>
      <c r="J161" s="224">
        <v>1</v>
      </c>
      <c r="K161" s="225" t="s">
        <v>153</v>
      </c>
      <c r="L161" s="226">
        <v>5085</v>
      </c>
      <c r="M161" s="227">
        <f t="shared" si="10"/>
        <v>5085</v>
      </c>
      <c r="N161" s="228">
        <v>0</v>
      </c>
      <c r="O161" s="227">
        <f t="shared" si="11"/>
        <v>0</v>
      </c>
      <c r="P161" s="228">
        <v>0.16</v>
      </c>
      <c r="Q161" s="227">
        <f t="shared" si="12"/>
        <v>813.6</v>
      </c>
      <c r="R161" s="227">
        <f t="shared" si="13"/>
        <v>5898.6</v>
      </c>
      <c r="S161" s="229">
        <f>INDEX('Glosario Partidas'!$M$8:$M$10,MATCH(BD!K161,'Glosario Partidas'!$L$8:$L$10,0))</f>
        <v>17.5</v>
      </c>
      <c r="T161" s="227">
        <f t="shared" si="14"/>
        <v>103225.5</v>
      </c>
      <c r="U161" s="230" t="s">
        <v>315</v>
      </c>
      <c r="V161" s="231" t="s">
        <v>12</v>
      </c>
    </row>
    <row r="162" spans="2:22" ht="12" customHeight="1" x14ac:dyDescent="0.2">
      <c r="B162" s="63" t="s">
        <v>193</v>
      </c>
      <c r="C162" s="63" t="s">
        <v>407</v>
      </c>
      <c r="D162" s="78" t="s">
        <v>417</v>
      </c>
      <c r="E162" s="171" t="s">
        <v>220</v>
      </c>
      <c r="F162" s="78" t="s">
        <v>367</v>
      </c>
      <c r="G162" s="171" t="s">
        <v>342</v>
      </c>
      <c r="H162" s="224" t="s">
        <v>409</v>
      </c>
      <c r="I162" s="225" t="s">
        <v>410</v>
      </c>
      <c r="J162" s="224">
        <v>1</v>
      </c>
      <c r="K162" s="225" t="s">
        <v>153</v>
      </c>
      <c r="L162" s="226">
        <v>623</v>
      </c>
      <c r="M162" s="227">
        <f t="shared" si="10"/>
        <v>623</v>
      </c>
      <c r="N162" s="228">
        <v>0</v>
      </c>
      <c r="O162" s="227">
        <f t="shared" si="11"/>
        <v>0</v>
      </c>
      <c r="P162" s="228">
        <v>0.16</v>
      </c>
      <c r="Q162" s="227">
        <f t="shared" si="12"/>
        <v>99.68</v>
      </c>
      <c r="R162" s="227">
        <f t="shared" si="13"/>
        <v>722.68000000000006</v>
      </c>
      <c r="S162" s="229">
        <f>INDEX('Glosario Partidas'!$M$8:$M$10,MATCH(BD!K162,'Glosario Partidas'!$L$8:$L$10,0))</f>
        <v>17.5</v>
      </c>
      <c r="T162" s="227">
        <f t="shared" si="14"/>
        <v>12646.900000000001</v>
      </c>
      <c r="U162" s="230" t="s">
        <v>315</v>
      </c>
      <c r="V162" s="231" t="s">
        <v>12</v>
      </c>
    </row>
    <row r="163" spans="2:22" ht="12" customHeight="1" x14ac:dyDescent="0.2">
      <c r="B163" s="63" t="s">
        <v>193</v>
      </c>
      <c r="C163" s="63" t="s">
        <v>407</v>
      </c>
      <c r="D163" s="78" t="s">
        <v>418</v>
      </c>
      <c r="E163" s="171" t="s">
        <v>220</v>
      </c>
      <c r="F163" s="78" t="s">
        <v>367</v>
      </c>
      <c r="G163" s="171" t="s">
        <v>342</v>
      </c>
      <c r="H163" s="224" t="s">
        <v>409</v>
      </c>
      <c r="I163" s="225" t="s">
        <v>410</v>
      </c>
      <c r="J163" s="224">
        <v>1</v>
      </c>
      <c r="K163" s="225" t="s">
        <v>153</v>
      </c>
      <c r="L163" s="226">
        <v>580</v>
      </c>
      <c r="M163" s="227">
        <f t="shared" si="10"/>
        <v>580</v>
      </c>
      <c r="N163" s="228">
        <v>0</v>
      </c>
      <c r="O163" s="227">
        <f t="shared" si="11"/>
        <v>0</v>
      </c>
      <c r="P163" s="228">
        <v>0.16</v>
      </c>
      <c r="Q163" s="227">
        <f t="shared" si="12"/>
        <v>92.8</v>
      </c>
      <c r="R163" s="227">
        <f t="shared" si="13"/>
        <v>672.8</v>
      </c>
      <c r="S163" s="229">
        <f>INDEX('Glosario Partidas'!$M$8:$M$10,MATCH(BD!K163,'Glosario Partidas'!$L$8:$L$10,0))</f>
        <v>17.5</v>
      </c>
      <c r="T163" s="227">
        <f t="shared" si="14"/>
        <v>11774</v>
      </c>
      <c r="U163" s="230" t="s">
        <v>315</v>
      </c>
      <c r="V163" s="231" t="s">
        <v>12</v>
      </c>
    </row>
    <row r="164" spans="2:22" ht="12" customHeight="1" x14ac:dyDescent="0.2">
      <c r="B164" s="63" t="s">
        <v>193</v>
      </c>
      <c r="C164" s="63" t="s">
        <v>407</v>
      </c>
      <c r="D164" s="78" t="s">
        <v>419</v>
      </c>
      <c r="E164" s="171" t="s">
        <v>220</v>
      </c>
      <c r="F164" s="78" t="s">
        <v>367</v>
      </c>
      <c r="G164" s="171" t="s">
        <v>342</v>
      </c>
      <c r="H164" s="224" t="s">
        <v>409</v>
      </c>
      <c r="I164" s="225" t="s">
        <v>410</v>
      </c>
      <c r="J164" s="224">
        <v>1</v>
      </c>
      <c r="K164" s="225" t="s">
        <v>153</v>
      </c>
      <c r="L164" s="226">
        <v>3800</v>
      </c>
      <c r="M164" s="227">
        <f t="shared" si="10"/>
        <v>3800</v>
      </c>
      <c r="N164" s="228">
        <v>0</v>
      </c>
      <c r="O164" s="227">
        <f t="shared" si="11"/>
        <v>0</v>
      </c>
      <c r="P164" s="228">
        <v>0.16</v>
      </c>
      <c r="Q164" s="227">
        <f t="shared" si="12"/>
        <v>608</v>
      </c>
      <c r="R164" s="227">
        <f t="shared" si="13"/>
        <v>4408</v>
      </c>
      <c r="S164" s="229">
        <f>INDEX('Glosario Partidas'!$M$8:$M$10,MATCH(BD!K164,'Glosario Partidas'!$L$8:$L$10,0))</f>
        <v>17.5</v>
      </c>
      <c r="T164" s="227">
        <f t="shared" si="14"/>
        <v>77140</v>
      </c>
      <c r="U164" s="230" t="s">
        <v>315</v>
      </c>
      <c r="V164" s="231" t="s">
        <v>12</v>
      </c>
    </row>
    <row r="165" spans="2:22" ht="12" customHeight="1" x14ac:dyDescent="0.2">
      <c r="B165" s="63" t="s">
        <v>193</v>
      </c>
      <c r="C165" s="63" t="s">
        <v>407</v>
      </c>
      <c r="D165" s="78" t="s">
        <v>420</v>
      </c>
      <c r="E165" s="171" t="s">
        <v>220</v>
      </c>
      <c r="F165" s="78" t="s">
        <v>367</v>
      </c>
      <c r="G165" s="171" t="s">
        <v>342</v>
      </c>
      <c r="H165" s="224" t="s">
        <v>409</v>
      </c>
      <c r="I165" s="225" t="s">
        <v>410</v>
      </c>
      <c r="J165" s="224">
        <v>1</v>
      </c>
      <c r="K165" s="225" t="s">
        <v>153</v>
      </c>
      <c r="L165" s="226">
        <v>1389</v>
      </c>
      <c r="M165" s="227">
        <f t="shared" si="10"/>
        <v>1389</v>
      </c>
      <c r="N165" s="228">
        <v>0</v>
      </c>
      <c r="O165" s="227">
        <f t="shared" si="11"/>
        <v>0</v>
      </c>
      <c r="P165" s="228">
        <v>0.16</v>
      </c>
      <c r="Q165" s="227">
        <f t="shared" si="12"/>
        <v>222.24</v>
      </c>
      <c r="R165" s="227">
        <f t="shared" si="13"/>
        <v>1611.24</v>
      </c>
      <c r="S165" s="229">
        <f>INDEX('Glosario Partidas'!$M$8:$M$10,MATCH(BD!K165,'Glosario Partidas'!$L$8:$L$10,0))</f>
        <v>17.5</v>
      </c>
      <c r="T165" s="227">
        <f t="shared" si="14"/>
        <v>28196.7</v>
      </c>
      <c r="U165" s="230" t="s">
        <v>315</v>
      </c>
      <c r="V165" s="231" t="s">
        <v>12</v>
      </c>
    </row>
    <row r="166" spans="2:22" ht="12" customHeight="1" x14ac:dyDescent="0.2">
      <c r="B166" s="63" t="s">
        <v>193</v>
      </c>
      <c r="C166" s="63" t="s">
        <v>407</v>
      </c>
      <c r="D166" s="78" t="s">
        <v>421</v>
      </c>
      <c r="E166" s="171" t="s">
        <v>220</v>
      </c>
      <c r="F166" s="78" t="s">
        <v>367</v>
      </c>
      <c r="G166" s="171" t="s">
        <v>342</v>
      </c>
      <c r="H166" s="224" t="s">
        <v>409</v>
      </c>
      <c r="I166" s="225" t="s">
        <v>410</v>
      </c>
      <c r="J166" s="224">
        <v>3</v>
      </c>
      <c r="K166" s="225" t="s">
        <v>153</v>
      </c>
      <c r="L166" s="226">
        <v>128</v>
      </c>
      <c r="M166" s="227">
        <f t="shared" si="10"/>
        <v>384</v>
      </c>
      <c r="N166" s="228">
        <v>0</v>
      </c>
      <c r="O166" s="227">
        <f t="shared" si="11"/>
        <v>0</v>
      </c>
      <c r="P166" s="228">
        <v>0.16</v>
      </c>
      <c r="Q166" s="227">
        <f t="shared" si="12"/>
        <v>61.44</v>
      </c>
      <c r="R166" s="227">
        <f t="shared" si="13"/>
        <v>445.44</v>
      </c>
      <c r="S166" s="229">
        <f>INDEX('Glosario Partidas'!$M$8:$M$10,MATCH(BD!K166,'Glosario Partidas'!$L$8:$L$10,0))</f>
        <v>17.5</v>
      </c>
      <c r="T166" s="227">
        <f t="shared" si="14"/>
        <v>7795.2</v>
      </c>
      <c r="U166" s="230" t="s">
        <v>315</v>
      </c>
      <c r="V166" s="231" t="s">
        <v>12</v>
      </c>
    </row>
    <row r="167" spans="2:22" ht="12" customHeight="1" x14ac:dyDescent="0.2">
      <c r="B167" s="63" t="s">
        <v>193</v>
      </c>
      <c r="C167" s="63" t="s">
        <v>407</v>
      </c>
      <c r="D167" s="78" t="s">
        <v>422</v>
      </c>
      <c r="E167" s="171" t="s">
        <v>220</v>
      </c>
      <c r="F167" s="78" t="s">
        <v>367</v>
      </c>
      <c r="G167" s="171" t="s">
        <v>342</v>
      </c>
      <c r="H167" s="224" t="s">
        <v>409</v>
      </c>
      <c r="I167" s="225" t="s">
        <v>410</v>
      </c>
      <c r="J167" s="224">
        <v>1</v>
      </c>
      <c r="K167" s="225" t="s">
        <v>153</v>
      </c>
      <c r="L167" s="226">
        <v>749</v>
      </c>
      <c r="M167" s="227">
        <f t="shared" si="10"/>
        <v>749</v>
      </c>
      <c r="N167" s="228">
        <v>0</v>
      </c>
      <c r="O167" s="227">
        <f t="shared" si="11"/>
        <v>0</v>
      </c>
      <c r="P167" s="228">
        <v>0.16</v>
      </c>
      <c r="Q167" s="227">
        <f t="shared" si="12"/>
        <v>119.84</v>
      </c>
      <c r="R167" s="227">
        <f t="shared" si="13"/>
        <v>868.84</v>
      </c>
      <c r="S167" s="229">
        <f>INDEX('Glosario Partidas'!$M$8:$M$10,MATCH(BD!K167,'Glosario Partidas'!$L$8:$L$10,0))</f>
        <v>17.5</v>
      </c>
      <c r="T167" s="227">
        <f t="shared" si="14"/>
        <v>15204.7</v>
      </c>
      <c r="U167" s="230" t="s">
        <v>315</v>
      </c>
      <c r="V167" s="231" t="s">
        <v>12</v>
      </c>
    </row>
    <row r="168" spans="2:22" ht="12" customHeight="1" x14ac:dyDescent="0.2">
      <c r="B168" s="63" t="s">
        <v>193</v>
      </c>
      <c r="C168" s="63" t="s">
        <v>407</v>
      </c>
      <c r="D168" s="78" t="s">
        <v>423</v>
      </c>
      <c r="E168" s="171" t="s">
        <v>220</v>
      </c>
      <c r="F168" s="78" t="s">
        <v>367</v>
      </c>
      <c r="G168" s="171" t="s">
        <v>342</v>
      </c>
      <c r="H168" s="224" t="s">
        <v>409</v>
      </c>
      <c r="I168" s="225" t="s">
        <v>410</v>
      </c>
      <c r="J168" s="224">
        <v>1</v>
      </c>
      <c r="K168" s="225" t="s">
        <v>153</v>
      </c>
      <c r="L168" s="226">
        <v>7691</v>
      </c>
      <c r="M168" s="227">
        <f t="shared" si="10"/>
        <v>7691</v>
      </c>
      <c r="N168" s="228">
        <v>0</v>
      </c>
      <c r="O168" s="227">
        <f t="shared" si="11"/>
        <v>0</v>
      </c>
      <c r="P168" s="228">
        <v>0.16</v>
      </c>
      <c r="Q168" s="227">
        <f t="shared" si="12"/>
        <v>1230.56</v>
      </c>
      <c r="R168" s="227">
        <f t="shared" si="13"/>
        <v>8921.56</v>
      </c>
      <c r="S168" s="229">
        <f>INDEX('Glosario Partidas'!$M$8:$M$10,MATCH(BD!K168,'Glosario Partidas'!$L$8:$L$10,0))</f>
        <v>17.5</v>
      </c>
      <c r="T168" s="227">
        <f t="shared" si="14"/>
        <v>156127.29999999999</v>
      </c>
      <c r="U168" s="230" t="s">
        <v>315</v>
      </c>
      <c r="V168" s="231" t="s">
        <v>12</v>
      </c>
    </row>
    <row r="169" spans="2:22" ht="12" customHeight="1" x14ac:dyDescent="0.2">
      <c r="B169" s="63" t="s">
        <v>193</v>
      </c>
      <c r="C169" s="63" t="s">
        <v>407</v>
      </c>
      <c r="D169" s="78" t="s">
        <v>424</v>
      </c>
      <c r="E169" s="171" t="s">
        <v>220</v>
      </c>
      <c r="F169" s="78" t="s">
        <v>367</v>
      </c>
      <c r="G169" s="171" t="s">
        <v>342</v>
      </c>
      <c r="H169" s="224" t="s">
        <v>409</v>
      </c>
      <c r="I169" s="225" t="s">
        <v>410</v>
      </c>
      <c r="J169" s="224">
        <v>1</v>
      </c>
      <c r="K169" s="225" t="s">
        <v>153</v>
      </c>
      <c r="L169" s="226">
        <v>6402</v>
      </c>
      <c r="M169" s="227">
        <f t="shared" si="10"/>
        <v>6402</v>
      </c>
      <c r="N169" s="228">
        <v>0</v>
      </c>
      <c r="O169" s="227">
        <f t="shared" si="11"/>
        <v>0</v>
      </c>
      <c r="P169" s="228">
        <v>0.16</v>
      </c>
      <c r="Q169" s="227">
        <f t="shared" si="12"/>
        <v>1024.32</v>
      </c>
      <c r="R169" s="227">
        <f t="shared" si="13"/>
        <v>7426.32</v>
      </c>
      <c r="S169" s="229">
        <f>INDEX('Glosario Partidas'!$M$8:$M$10,MATCH(BD!K169,'Glosario Partidas'!$L$8:$L$10,0))</f>
        <v>17.5</v>
      </c>
      <c r="T169" s="227">
        <f t="shared" si="14"/>
        <v>129960.59999999999</v>
      </c>
      <c r="U169" s="230" t="s">
        <v>315</v>
      </c>
      <c r="V169" s="231" t="s">
        <v>12</v>
      </c>
    </row>
    <row r="170" spans="2:22" ht="12" customHeight="1" x14ac:dyDescent="0.2">
      <c r="B170" s="63" t="s">
        <v>193</v>
      </c>
      <c r="C170" s="63" t="s">
        <v>407</v>
      </c>
      <c r="D170" s="78" t="s">
        <v>425</v>
      </c>
      <c r="E170" s="171" t="s">
        <v>220</v>
      </c>
      <c r="F170" s="78" t="s">
        <v>367</v>
      </c>
      <c r="G170" s="171" t="s">
        <v>342</v>
      </c>
      <c r="H170" s="224" t="s">
        <v>409</v>
      </c>
      <c r="I170" s="225" t="s">
        <v>410</v>
      </c>
      <c r="J170" s="224">
        <v>1</v>
      </c>
      <c r="K170" s="225" t="s">
        <v>153</v>
      </c>
      <c r="L170" s="226">
        <v>3505</v>
      </c>
      <c r="M170" s="227">
        <f t="shared" si="10"/>
        <v>3505</v>
      </c>
      <c r="N170" s="228">
        <v>0</v>
      </c>
      <c r="O170" s="227">
        <f t="shared" si="11"/>
        <v>0</v>
      </c>
      <c r="P170" s="228">
        <v>0.16</v>
      </c>
      <c r="Q170" s="227">
        <f t="shared" si="12"/>
        <v>560.80000000000007</v>
      </c>
      <c r="R170" s="227">
        <f t="shared" si="13"/>
        <v>4065.8</v>
      </c>
      <c r="S170" s="229">
        <f>INDEX('Glosario Partidas'!$M$8:$M$10,MATCH(BD!K170,'Glosario Partidas'!$L$8:$L$10,0))</f>
        <v>17.5</v>
      </c>
      <c r="T170" s="227">
        <f t="shared" si="14"/>
        <v>71151.5</v>
      </c>
      <c r="U170" s="230" t="s">
        <v>315</v>
      </c>
      <c r="V170" s="231" t="s">
        <v>12</v>
      </c>
    </row>
    <row r="171" spans="2:22" ht="12" customHeight="1" x14ac:dyDescent="0.2">
      <c r="B171" s="63" t="s">
        <v>193</v>
      </c>
      <c r="C171" s="63" t="s">
        <v>407</v>
      </c>
      <c r="D171" s="78" t="s">
        <v>426</v>
      </c>
      <c r="E171" s="171" t="s">
        <v>220</v>
      </c>
      <c r="F171" s="78" t="s">
        <v>367</v>
      </c>
      <c r="G171" s="171" t="s">
        <v>342</v>
      </c>
      <c r="H171" s="224" t="s">
        <v>409</v>
      </c>
      <c r="I171" s="225" t="s">
        <v>410</v>
      </c>
      <c r="J171" s="224">
        <v>1</v>
      </c>
      <c r="K171" s="225" t="s">
        <v>153</v>
      </c>
      <c r="L171" s="226">
        <v>12428</v>
      </c>
      <c r="M171" s="227">
        <f t="shared" si="10"/>
        <v>12428</v>
      </c>
      <c r="N171" s="228">
        <v>0</v>
      </c>
      <c r="O171" s="227">
        <f t="shared" si="11"/>
        <v>0</v>
      </c>
      <c r="P171" s="228">
        <v>0.16</v>
      </c>
      <c r="Q171" s="227">
        <f t="shared" si="12"/>
        <v>1988.48</v>
      </c>
      <c r="R171" s="227">
        <f t="shared" si="13"/>
        <v>14416.48</v>
      </c>
      <c r="S171" s="229">
        <f>INDEX('Glosario Partidas'!$M$8:$M$10,MATCH(BD!K171,'Glosario Partidas'!$L$8:$L$10,0))</f>
        <v>17.5</v>
      </c>
      <c r="T171" s="227">
        <f t="shared" si="14"/>
        <v>252288.4</v>
      </c>
      <c r="U171" s="230" t="s">
        <v>315</v>
      </c>
      <c r="V171" s="231" t="s">
        <v>12</v>
      </c>
    </row>
    <row r="172" spans="2:22" ht="12" customHeight="1" x14ac:dyDescent="0.2">
      <c r="B172" s="63" t="s">
        <v>193</v>
      </c>
      <c r="C172" s="63" t="s">
        <v>407</v>
      </c>
      <c r="D172" s="78" t="s">
        <v>427</v>
      </c>
      <c r="E172" s="171" t="s">
        <v>220</v>
      </c>
      <c r="F172" s="78" t="s">
        <v>367</v>
      </c>
      <c r="G172" s="171" t="s">
        <v>342</v>
      </c>
      <c r="H172" s="224" t="s">
        <v>409</v>
      </c>
      <c r="I172" s="225" t="s">
        <v>410</v>
      </c>
      <c r="J172" s="224">
        <v>1</v>
      </c>
      <c r="K172" s="225" t="s">
        <v>153</v>
      </c>
      <c r="L172" s="226">
        <v>2300</v>
      </c>
      <c r="M172" s="227">
        <f t="shared" si="10"/>
        <v>2300</v>
      </c>
      <c r="N172" s="228">
        <v>0</v>
      </c>
      <c r="O172" s="227">
        <f t="shared" si="11"/>
        <v>0</v>
      </c>
      <c r="P172" s="228">
        <v>0.16</v>
      </c>
      <c r="Q172" s="227">
        <f t="shared" si="12"/>
        <v>368</v>
      </c>
      <c r="R172" s="227">
        <f t="shared" si="13"/>
        <v>2668</v>
      </c>
      <c r="S172" s="229">
        <f>INDEX('Glosario Partidas'!$M$8:$M$10,MATCH(BD!K172,'Glosario Partidas'!$L$8:$L$10,0))</f>
        <v>17.5</v>
      </c>
      <c r="T172" s="227">
        <f t="shared" si="14"/>
        <v>46690</v>
      </c>
      <c r="U172" s="230" t="s">
        <v>315</v>
      </c>
      <c r="V172" s="231" t="s">
        <v>12</v>
      </c>
    </row>
    <row r="173" spans="2:22" ht="12" customHeight="1" x14ac:dyDescent="0.2">
      <c r="B173" s="63" t="s">
        <v>193</v>
      </c>
      <c r="C173" s="63" t="s">
        <v>407</v>
      </c>
      <c r="D173" s="78" t="s">
        <v>428</v>
      </c>
      <c r="E173" s="171" t="s">
        <v>220</v>
      </c>
      <c r="F173" s="78" t="s">
        <v>367</v>
      </c>
      <c r="G173" s="171" t="s">
        <v>342</v>
      </c>
      <c r="H173" s="224" t="s">
        <v>409</v>
      </c>
      <c r="I173" s="225" t="s">
        <v>410</v>
      </c>
      <c r="J173" s="224">
        <v>1</v>
      </c>
      <c r="K173" s="225" t="s">
        <v>153</v>
      </c>
      <c r="L173" s="226">
        <v>1350</v>
      </c>
      <c r="M173" s="227">
        <f t="shared" si="10"/>
        <v>1350</v>
      </c>
      <c r="N173" s="228">
        <v>0</v>
      </c>
      <c r="O173" s="227">
        <f t="shared" si="11"/>
        <v>0</v>
      </c>
      <c r="P173" s="228">
        <v>0.16</v>
      </c>
      <c r="Q173" s="227">
        <f t="shared" si="12"/>
        <v>216</v>
      </c>
      <c r="R173" s="227">
        <f t="shared" si="13"/>
        <v>1566</v>
      </c>
      <c r="S173" s="229">
        <f>INDEX('Glosario Partidas'!$M$8:$M$10,MATCH(BD!K173,'Glosario Partidas'!$L$8:$L$10,0))</f>
        <v>17.5</v>
      </c>
      <c r="T173" s="227">
        <f t="shared" si="14"/>
        <v>27405</v>
      </c>
      <c r="U173" s="230" t="s">
        <v>315</v>
      </c>
      <c r="V173" s="231" t="s">
        <v>12</v>
      </c>
    </row>
    <row r="174" spans="2:22" ht="12" customHeight="1" x14ac:dyDescent="0.2">
      <c r="B174" s="63" t="s">
        <v>193</v>
      </c>
      <c r="C174" s="63" t="s">
        <v>105</v>
      </c>
      <c r="D174" s="78" t="s">
        <v>429</v>
      </c>
      <c r="E174" s="171" t="s">
        <v>220</v>
      </c>
      <c r="F174" s="78" t="s">
        <v>221</v>
      </c>
      <c r="G174" s="171" t="s">
        <v>342</v>
      </c>
      <c r="H174" s="224" t="s">
        <v>409</v>
      </c>
      <c r="I174" s="225" t="s">
        <v>314</v>
      </c>
      <c r="J174" s="224">
        <v>1</v>
      </c>
      <c r="K174" s="225" t="s">
        <v>153</v>
      </c>
      <c r="L174" s="226">
        <v>2035</v>
      </c>
      <c r="M174" s="227">
        <f t="shared" si="10"/>
        <v>2035</v>
      </c>
      <c r="N174" s="228">
        <v>0</v>
      </c>
      <c r="O174" s="227">
        <f t="shared" si="11"/>
        <v>0</v>
      </c>
      <c r="P174" s="228">
        <v>0.16</v>
      </c>
      <c r="Q174" s="227">
        <f t="shared" si="12"/>
        <v>325.60000000000002</v>
      </c>
      <c r="R174" s="227">
        <f t="shared" si="13"/>
        <v>2360.6</v>
      </c>
      <c r="S174" s="229">
        <f>INDEX('Glosario Partidas'!$M$8:$M$10,MATCH(BD!K174,'Glosario Partidas'!$L$8:$L$10,0))</f>
        <v>17.5</v>
      </c>
      <c r="T174" s="227">
        <f t="shared" si="14"/>
        <v>41310.5</v>
      </c>
      <c r="U174" s="230" t="s">
        <v>315</v>
      </c>
      <c r="V174" s="231" t="s">
        <v>13</v>
      </c>
    </row>
    <row r="175" spans="2:22" ht="12" customHeight="1" x14ac:dyDescent="0.2">
      <c r="B175" s="63" t="s">
        <v>193</v>
      </c>
      <c r="C175" s="63" t="s">
        <v>105</v>
      </c>
      <c r="D175" s="78" t="s">
        <v>429</v>
      </c>
      <c r="E175" s="171" t="s">
        <v>220</v>
      </c>
      <c r="F175" s="78" t="s">
        <v>354</v>
      </c>
      <c r="G175" s="171" t="s">
        <v>342</v>
      </c>
      <c r="H175" s="224" t="s">
        <v>409</v>
      </c>
      <c r="I175" s="225" t="s">
        <v>314</v>
      </c>
      <c r="J175" s="224">
        <v>1</v>
      </c>
      <c r="K175" s="225" t="s">
        <v>153</v>
      </c>
      <c r="L175" s="226">
        <v>2035</v>
      </c>
      <c r="M175" s="227">
        <f t="shared" si="10"/>
        <v>2035</v>
      </c>
      <c r="N175" s="228">
        <v>0</v>
      </c>
      <c r="O175" s="227">
        <f t="shared" si="11"/>
        <v>0</v>
      </c>
      <c r="P175" s="228">
        <v>0.16</v>
      </c>
      <c r="Q175" s="227">
        <f t="shared" si="12"/>
        <v>325.60000000000002</v>
      </c>
      <c r="R175" s="227">
        <f t="shared" si="13"/>
        <v>2360.6</v>
      </c>
      <c r="S175" s="229">
        <f>INDEX('Glosario Partidas'!$M$8:$M$10,MATCH(BD!K175,'Glosario Partidas'!$L$8:$L$10,0))</f>
        <v>17.5</v>
      </c>
      <c r="T175" s="227">
        <f t="shared" si="14"/>
        <v>41310.5</v>
      </c>
      <c r="U175" s="230" t="s">
        <v>315</v>
      </c>
      <c r="V175" s="231" t="s">
        <v>13</v>
      </c>
    </row>
    <row r="176" spans="2:22" ht="12" customHeight="1" x14ac:dyDescent="0.2">
      <c r="B176" s="63" t="s">
        <v>193</v>
      </c>
      <c r="C176" s="63" t="s">
        <v>105</v>
      </c>
      <c r="D176" s="78" t="s">
        <v>429</v>
      </c>
      <c r="E176" s="171" t="s">
        <v>220</v>
      </c>
      <c r="F176" s="78" t="s">
        <v>355</v>
      </c>
      <c r="G176" s="171" t="s">
        <v>342</v>
      </c>
      <c r="H176" s="224" t="s">
        <v>409</v>
      </c>
      <c r="I176" s="225" t="s">
        <v>314</v>
      </c>
      <c r="J176" s="224">
        <v>1</v>
      </c>
      <c r="K176" s="225" t="s">
        <v>153</v>
      </c>
      <c r="L176" s="226">
        <v>2035</v>
      </c>
      <c r="M176" s="227">
        <f t="shared" si="10"/>
        <v>2035</v>
      </c>
      <c r="N176" s="228">
        <v>0</v>
      </c>
      <c r="O176" s="227">
        <f t="shared" si="11"/>
        <v>0</v>
      </c>
      <c r="P176" s="228">
        <v>0.16</v>
      </c>
      <c r="Q176" s="227">
        <f t="shared" si="12"/>
        <v>325.60000000000002</v>
      </c>
      <c r="R176" s="227">
        <f t="shared" si="13"/>
        <v>2360.6</v>
      </c>
      <c r="S176" s="229">
        <f>INDEX('Glosario Partidas'!$M$8:$M$10,MATCH(BD!K176,'Glosario Partidas'!$L$8:$L$10,0))</f>
        <v>17.5</v>
      </c>
      <c r="T176" s="227">
        <f t="shared" si="14"/>
        <v>41310.5</v>
      </c>
      <c r="U176" s="230" t="s">
        <v>315</v>
      </c>
      <c r="V176" s="231" t="s">
        <v>13</v>
      </c>
    </row>
    <row r="177" spans="2:22" ht="12" customHeight="1" x14ac:dyDescent="0.2">
      <c r="B177" s="63" t="s">
        <v>193</v>
      </c>
      <c r="C177" s="63" t="s">
        <v>105</v>
      </c>
      <c r="D177" s="78" t="s">
        <v>430</v>
      </c>
      <c r="E177" s="171" t="s">
        <v>220</v>
      </c>
      <c r="F177" s="78" t="s">
        <v>221</v>
      </c>
      <c r="G177" s="171" t="s">
        <v>342</v>
      </c>
      <c r="H177" s="224" t="s">
        <v>409</v>
      </c>
      <c r="I177" s="225" t="s">
        <v>314</v>
      </c>
      <c r="J177" s="224">
        <v>1</v>
      </c>
      <c r="K177" s="225" t="s">
        <v>153</v>
      </c>
      <c r="L177" s="226">
        <v>1440</v>
      </c>
      <c r="M177" s="227">
        <f t="shared" si="10"/>
        <v>1440</v>
      </c>
      <c r="N177" s="228">
        <v>0</v>
      </c>
      <c r="O177" s="227">
        <f t="shared" si="11"/>
        <v>0</v>
      </c>
      <c r="P177" s="228">
        <v>0.16</v>
      </c>
      <c r="Q177" s="227">
        <f t="shared" si="12"/>
        <v>230.4</v>
      </c>
      <c r="R177" s="227">
        <f t="shared" si="13"/>
        <v>1670.4</v>
      </c>
      <c r="S177" s="229">
        <f>INDEX('Glosario Partidas'!$M$8:$M$10,MATCH(BD!K177,'Glosario Partidas'!$L$8:$L$10,0))</f>
        <v>17.5</v>
      </c>
      <c r="T177" s="227">
        <f t="shared" si="14"/>
        <v>29232</v>
      </c>
      <c r="U177" s="230" t="s">
        <v>315</v>
      </c>
      <c r="V177" s="231" t="s">
        <v>13</v>
      </c>
    </row>
    <row r="178" spans="2:22" ht="12" customHeight="1" x14ac:dyDescent="0.2">
      <c r="B178" s="63" t="s">
        <v>193</v>
      </c>
      <c r="C178" s="63" t="s">
        <v>105</v>
      </c>
      <c r="D178" s="78" t="s">
        <v>430</v>
      </c>
      <c r="E178" s="171" t="s">
        <v>220</v>
      </c>
      <c r="F178" s="78" t="s">
        <v>354</v>
      </c>
      <c r="G178" s="171" t="s">
        <v>342</v>
      </c>
      <c r="H178" s="224" t="s">
        <v>409</v>
      </c>
      <c r="I178" s="225" t="s">
        <v>314</v>
      </c>
      <c r="J178" s="224">
        <v>1</v>
      </c>
      <c r="K178" s="225" t="s">
        <v>153</v>
      </c>
      <c r="L178" s="226">
        <v>1440</v>
      </c>
      <c r="M178" s="227">
        <f t="shared" si="10"/>
        <v>1440</v>
      </c>
      <c r="N178" s="228">
        <v>0</v>
      </c>
      <c r="O178" s="227">
        <f t="shared" si="11"/>
        <v>0</v>
      </c>
      <c r="P178" s="228">
        <v>0.16</v>
      </c>
      <c r="Q178" s="227">
        <f t="shared" si="12"/>
        <v>230.4</v>
      </c>
      <c r="R178" s="227">
        <f t="shared" si="13"/>
        <v>1670.4</v>
      </c>
      <c r="S178" s="229">
        <f>INDEX('Glosario Partidas'!$M$8:$M$10,MATCH(BD!K178,'Glosario Partidas'!$L$8:$L$10,0))</f>
        <v>17.5</v>
      </c>
      <c r="T178" s="227">
        <f t="shared" si="14"/>
        <v>29232</v>
      </c>
      <c r="U178" s="230" t="s">
        <v>315</v>
      </c>
      <c r="V178" s="231" t="s">
        <v>13</v>
      </c>
    </row>
    <row r="179" spans="2:22" ht="12" customHeight="1" x14ac:dyDescent="0.2">
      <c r="B179" s="63" t="s">
        <v>193</v>
      </c>
      <c r="C179" s="63" t="s">
        <v>105</v>
      </c>
      <c r="D179" s="78" t="s">
        <v>430</v>
      </c>
      <c r="E179" s="171" t="s">
        <v>220</v>
      </c>
      <c r="F179" s="78" t="s">
        <v>355</v>
      </c>
      <c r="G179" s="171" t="s">
        <v>342</v>
      </c>
      <c r="H179" s="224" t="s">
        <v>409</v>
      </c>
      <c r="I179" s="225" t="s">
        <v>314</v>
      </c>
      <c r="J179" s="224">
        <v>1</v>
      </c>
      <c r="K179" s="225" t="s">
        <v>153</v>
      </c>
      <c r="L179" s="226">
        <v>1440</v>
      </c>
      <c r="M179" s="227">
        <f t="shared" si="10"/>
        <v>1440</v>
      </c>
      <c r="N179" s="228">
        <v>0</v>
      </c>
      <c r="O179" s="227">
        <f t="shared" si="11"/>
        <v>0</v>
      </c>
      <c r="P179" s="228">
        <v>0.16</v>
      </c>
      <c r="Q179" s="227">
        <f t="shared" si="12"/>
        <v>230.4</v>
      </c>
      <c r="R179" s="227">
        <f t="shared" si="13"/>
        <v>1670.4</v>
      </c>
      <c r="S179" s="229">
        <f>INDEX('Glosario Partidas'!$M$8:$M$10,MATCH(BD!K179,'Glosario Partidas'!$L$8:$L$10,0))</f>
        <v>17.5</v>
      </c>
      <c r="T179" s="227">
        <f t="shared" si="14"/>
        <v>29232</v>
      </c>
      <c r="U179" s="230" t="s">
        <v>315</v>
      </c>
      <c r="V179" s="231" t="s">
        <v>13</v>
      </c>
    </row>
    <row r="180" spans="2:22" ht="12" customHeight="1" x14ac:dyDescent="0.2">
      <c r="B180" s="63" t="s">
        <v>193</v>
      </c>
      <c r="C180" s="63" t="s">
        <v>105</v>
      </c>
      <c r="D180" s="78" t="s">
        <v>431</v>
      </c>
      <c r="E180" s="171" t="s">
        <v>220</v>
      </c>
      <c r="F180" s="78" t="s">
        <v>221</v>
      </c>
      <c r="G180" s="171" t="s">
        <v>342</v>
      </c>
      <c r="H180" s="224" t="s">
        <v>409</v>
      </c>
      <c r="I180" s="225" t="s">
        <v>314</v>
      </c>
      <c r="J180" s="224">
        <v>0</v>
      </c>
      <c r="K180" s="225" t="s">
        <v>153</v>
      </c>
      <c r="L180" s="226">
        <v>0</v>
      </c>
      <c r="M180" s="227">
        <f t="shared" si="10"/>
        <v>0</v>
      </c>
      <c r="N180" s="228">
        <v>0</v>
      </c>
      <c r="O180" s="227">
        <f t="shared" si="11"/>
        <v>0</v>
      </c>
      <c r="P180" s="228">
        <v>0.16</v>
      </c>
      <c r="Q180" s="227">
        <f t="shared" si="12"/>
        <v>0</v>
      </c>
      <c r="R180" s="227">
        <f t="shared" si="13"/>
        <v>0</v>
      </c>
      <c r="S180" s="229">
        <f>INDEX('Glosario Partidas'!$M$8:$M$10,MATCH(BD!K180,'Glosario Partidas'!$L$8:$L$10,0))</f>
        <v>17.5</v>
      </c>
      <c r="T180" s="227">
        <f t="shared" si="14"/>
        <v>0</v>
      </c>
      <c r="U180" s="230" t="s">
        <v>432</v>
      </c>
      <c r="V180" s="231" t="s">
        <v>13</v>
      </c>
    </row>
    <row r="181" spans="2:22" ht="12" customHeight="1" x14ac:dyDescent="0.2">
      <c r="B181" s="63" t="s">
        <v>193</v>
      </c>
      <c r="C181" s="63" t="s">
        <v>105</v>
      </c>
      <c r="D181" s="78" t="s">
        <v>431</v>
      </c>
      <c r="E181" s="171" t="s">
        <v>220</v>
      </c>
      <c r="F181" s="78" t="s">
        <v>354</v>
      </c>
      <c r="G181" s="171" t="s">
        <v>342</v>
      </c>
      <c r="H181" s="224" t="s">
        <v>409</v>
      </c>
      <c r="I181" s="225" t="s">
        <v>314</v>
      </c>
      <c r="J181" s="224">
        <v>0</v>
      </c>
      <c r="K181" s="225" t="s">
        <v>153</v>
      </c>
      <c r="L181" s="226">
        <v>0</v>
      </c>
      <c r="M181" s="227">
        <f t="shared" si="10"/>
        <v>0</v>
      </c>
      <c r="N181" s="228">
        <v>0</v>
      </c>
      <c r="O181" s="227">
        <f t="shared" si="11"/>
        <v>0</v>
      </c>
      <c r="P181" s="228">
        <v>0.16</v>
      </c>
      <c r="Q181" s="227">
        <f t="shared" si="12"/>
        <v>0</v>
      </c>
      <c r="R181" s="227">
        <f t="shared" si="13"/>
        <v>0</v>
      </c>
      <c r="S181" s="229">
        <f>INDEX('Glosario Partidas'!$M$8:$M$10,MATCH(BD!K181,'Glosario Partidas'!$L$8:$L$10,0))</f>
        <v>17.5</v>
      </c>
      <c r="T181" s="227">
        <f t="shared" si="14"/>
        <v>0</v>
      </c>
      <c r="U181" s="230" t="s">
        <v>432</v>
      </c>
      <c r="V181" s="231" t="s">
        <v>13</v>
      </c>
    </row>
    <row r="182" spans="2:22" ht="12" customHeight="1" x14ac:dyDescent="0.2">
      <c r="B182" s="63" t="s">
        <v>193</v>
      </c>
      <c r="C182" s="63" t="s">
        <v>105</v>
      </c>
      <c r="D182" s="78" t="s">
        <v>431</v>
      </c>
      <c r="E182" s="171" t="s">
        <v>220</v>
      </c>
      <c r="F182" s="78" t="s">
        <v>355</v>
      </c>
      <c r="G182" s="171" t="s">
        <v>342</v>
      </c>
      <c r="H182" s="224" t="s">
        <v>409</v>
      </c>
      <c r="I182" s="225" t="s">
        <v>314</v>
      </c>
      <c r="J182" s="224">
        <v>0</v>
      </c>
      <c r="K182" s="225" t="s">
        <v>153</v>
      </c>
      <c r="L182" s="226">
        <v>0</v>
      </c>
      <c r="M182" s="227">
        <f t="shared" si="10"/>
        <v>0</v>
      </c>
      <c r="N182" s="228">
        <v>0</v>
      </c>
      <c r="O182" s="227">
        <f t="shared" si="11"/>
        <v>0</v>
      </c>
      <c r="P182" s="228">
        <v>0.16</v>
      </c>
      <c r="Q182" s="227">
        <f t="shared" si="12"/>
        <v>0</v>
      </c>
      <c r="R182" s="227">
        <f t="shared" si="13"/>
        <v>0</v>
      </c>
      <c r="S182" s="229">
        <f>INDEX('Glosario Partidas'!$M$8:$M$10,MATCH(BD!K182,'Glosario Partidas'!$L$8:$L$10,0))</f>
        <v>17.5</v>
      </c>
      <c r="T182" s="227">
        <f t="shared" si="14"/>
        <v>0</v>
      </c>
      <c r="U182" s="230" t="s">
        <v>432</v>
      </c>
      <c r="V182" s="231" t="s">
        <v>13</v>
      </c>
    </row>
    <row r="183" spans="2:22" ht="12" customHeight="1" x14ac:dyDescent="0.2">
      <c r="B183" s="63" t="s">
        <v>108</v>
      </c>
      <c r="C183" s="63" t="s">
        <v>433</v>
      </c>
      <c r="D183" s="78" t="s">
        <v>434</v>
      </c>
      <c r="E183" s="171" t="s">
        <v>220</v>
      </c>
      <c r="F183" s="78" t="s">
        <v>221</v>
      </c>
      <c r="G183" s="171" t="s">
        <v>342</v>
      </c>
      <c r="H183" s="224" t="s">
        <v>435</v>
      </c>
      <c r="I183" s="225" t="s">
        <v>410</v>
      </c>
      <c r="J183" s="224">
        <v>5</v>
      </c>
      <c r="K183" s="225" t="s">
        <v>153</v>
      </c>
      <c r="L183" s="226">
        <v>270.36</v>
      </c>
      <c r="M183" s="227">
        <f t="shared" si="10"/>
        <v>1351.8000000000002</v>
      </c>
      <c r="N183" s="228">
        <v>0</v>
      </c>
      <c r="O183" s="227">
        <f t="shared" si="11"/>
        <v>0</v>
      </c>
      <c r="P183" s="228">
        <v>0.16</v>
      </c>
      <c r="Q183" s="227">
        <f t="shared" si="12"/>
        <v>216.28800000000004</v>
      </c>
      <c r="R183" s="227">
        <f t="shared" si="13"/>
        <v>1568.0880000000002</v>
      </c>
      <c r="S183" s="229">
        <f>INDEX('Glosario Partidas'!$M$8:$M$10,MATCH(BD!K183,'Glosario Partidas'!$L$8:$L$10,0))</f>
        <v>17.5</v>
      </c>
      <c r="T183" s="227">
        <f t="shared" si="14"/>
        <v>27441.540000000005</v>
      </c>
      <c r="U183" s="230" t="s">
        <v>315</v>
      </c>
      <c r="V183" s="231" t="s">
        <v>12</v>
      </c>
    </row>
    <row r="184" spans="2:22" ht="12" customHeight="1" x14ac:dyDescent="0.2">
      <c r="B184" s="63" t="s">
        <v>108</v>
      </c>
      <c r="C184" s="63" t="s">
        <v>433</v>
      </c>
      <c r="D184" s="78" t="s">
        <v>436</v>
      </c>
      <c r="E184" s="171" t="s">
        <v>220</v>
      </c>
      <c r="F184" s="78" t="s">
        <v>221</v>
      </c>
      <c r="G184" s="171" t="s">
        <v>342</v>
      </c>
      <c r="H184" s="224" t="s">
        <v>435</v>
      </c>
      <c r="I184" s="225" t="s">
        <v>410</v>
      </c>
      <c r="J184" s="224">
        <v>8</v>
      </c>
      <c r="K184" s="225" t="s">
        <v>153</v>
      </c>
      <c r="L184" s="226">
        <v>60.77</v>
      </c>
      <c r="M184" s="227">
        <f t="shared" si="10"/>
        <v>486.16</v>
      </c>
      <c r="N184" s="228">
        <v>0</v>
      </c>
      <c r="O184" s="227">
        <f t="shared" si="11"/>
        <v>0</v>
      </c>
      <c r="P184" s="228">
        <v>0.16</v>
      </c>
      <c r="Q184" s="227">
        <f t="shared" si="12"/>
        <v>77.785600000000002</v>
      </c>
      <c r="R184" s="227">
        <f t="shared" si="13"/>
        <v>563.94560000000001</v>
      </c>
      <c r="S184" s="229">
        <f>INDEX('Glosario Partidas'!$M$8:$M$10,MATCH(BD!K184,'Glosario Partidas'!$L$8:$L$10,0))</f>
        <v>17.5</v>
      </c>
      <c r="T184" s="227">
        <f t="shared" si="14"/>
        <v>9869.0480000000007</v>
      </c>
      <c r="U184" s="230" t="s">
        <v>315</v>
      </c>
      <c r="V184" s="231" t="s">
        <v>12</v>
      </c>
    </row>
    <row r="185" spans="2:22" ht="12" customHeight="1" x14ac:dyDescent="0.2">
      <c r="B185" s="63" t="s">
        <v>108</v>
      </c>
      <c r="C185" s="63" t="s">
        <v>433</v>
      </c>
      <c r="D185" s="78" t="s">
        <v>437</v>
      </c>
      <c r="E185" s="171" t="s">
        <v>220</v>
      </c>
      <c r="F185" s="78" t="s">
        <v>221</v>
      </c>
      <c r="G185" s="171" t="s">
        <v>342</v>
      </c>
      <c r="H185" s="224" t="s">
        <v>435</v>
      </c>
      <c r="I185" s="225" t="s">
        <v>410</v>
      </c>
      <c r="J185" s="224">
        <v>9</v>
      </c>
      <c r="K185" s="225" t="s">
        <v>153</v>
      </c>
      <c r="L185" s="226">
        <v>647.5</v>
      </c>
      <c r="M185" s="227">
        <f t="shared" si="10"/>
        <v>5827.5</v>
      </c>
      <c r="N185" s="228">
        <v>0</v>
      </c>
      <c r="O185" s="227">
        <f t="shared" si="11"/>
        <v>0</v>
      </c>
      <c r="P185" s="228">
        <v>0.16</v>
      </c>
      <c r="Q185" s="227">
        <f t="shared" si="12"/>
        <v>932.4</v>
      </c>
      <c r="R185" s="227">
        <f t="shared" si="13"/>
        <v>6759.9</v>
      </c>
      <c r="S185" s="229">
        <f>INDEX('Glosario Partidas'!$M$8:$M$10,MATCH(BD!K185,'Glosario Partidas'!$L$8:$L$10,0))</f>
        <v>17.5</v>
      </c>
      <c r="T185" s="227">
        <f t="shared" si="14"/>
        <v>118298.25</v>
      </c>
      <c r="U185" s="230" t="s">
        <v>315</v>
      </c>
      <c r="V185" s="231" t="s">
        <v>12</v>
      </c>
    </row>
    <row r="186" spans="2:22" ht="12" customHeight="1" x14ac:dyDescent="0.2">
      <c r="B186" s="63" t="s">
        <v>108</v>
      </c>
      <c r="C186" s="63" t="s">
        <v>433</v>
      </c>
      <c r="D186" s="78" t="s">
        <v>438</v>
      </c>
      <c r="E186" s="171" t="s">
        <v>220</v>
      </c>
      <c r="F186" s="78" t="s">
        <v>221</v>
      </c>
      <c r="G186" s="171" t="s">
        <v>342</v>
      </c>
      <c r="H186" s="224" t="s">
        <v>435</v>
      </c>
      <c r="I186" s="225" t="s">
        <v>410</v>
      </c>
      <c r="J186" s="224">
        <v>9</v>
      </c>
      <c r="K186" s="225" t="s">
        <v>153</v>
      </c>
      <c r="L186" s="226">
        <v>388.5</v>
      </c>
      <c r="M186" s="227">
        <f t="shared" si="10"/>
        <v>3496.5</v>
      </c>
      <c r="N186" s="228">
        <v>0</v>
      </c>
      <c r="O186" s="227">
        <f t="shared" si="11"/>
        <v>0</v>
      </c>
      <c r="P186" s="228">
        <v>0.16</v>
      </c>
      <c r="Q186" s="227">
        <f t="shared" si="12"/>
        <v>559.44000000000005</v>
      </c>
      <c r="R186" s="227">
        <f t="shared" si="13"/>
        <v>4055.94</v>
      </c>
      <c r="S186" s="229">
        <f>INDEX('Glosario Partidas'!$M$8:$M$10,MATCH(BD!K186,'Glosario Partidas'!$L$8:$L$10,0))</f>
        <v>17.5</v>
      </c>
      <c r="T186" s="227">
        <f t="shared" si="14"/>
        <v>70978.95</v>
      </c>
      <c r="U186" s="230" t="s">
        <v>315</v>
      </c>
      <c r="V186" s="231" t="s">
        <v>12</v>
      </c>
    </row>
    <row r="187" spans="2:22" ht="12" customHeight="1" x14ac:dyDescent="0.2">
      <c r="B187" s="63" t="s">
        <v>108</v>
      </c>
      <c r="C187" s="63" t="s">
        <v>433</v>
      </c>
      <c r="D187" s="78" t="s">
        <v>439</v>
      </c>
      <c r="E187" s="171" t="s">
        <v>220</v>
      </c>
      <c r="F187" s="78" t="s">
        <v>221</v>
      </c>
      <c r="G187" s="171" t="s">
        <v>342</v>
      </c>
      <c r="H187" s="224" t="s">
        <v>435</v>
      </c>
      <c r="I187" s="225" t="s">
        <v>410</v>
      </c>
      <c r="J187" s="224">
        <v>1</v>
      </c>
      <c r="K187" s="225" t="s">
        <v>153</v>
      </c>
      <c r="L187" s="226">
        <v>582.75</v>
      </c>
      <c r="M187" s="227">
        <f t="shared" si="10"/>
        <v>582.75</v>
      </c>
      <c r="N187" s="228">
        <v>0</v>
      </c>
      <c r="O187" s="227">
        <f t="shared" si="11"/>
        <v>0</v>
      </c>
      <c r="P187" s="228">
        <v>0.16</v>
      </c>
      <c r="Q187" s="227">
        <f t="shared" si="12"/>
        <v>93.24</v>
      </c>
      <c r="R187" s="227">
        <f t="shared" si="13"/>
        <v>675.99</v>
      </c>
      <c r="S187" s="229">
        <f>INDEX('Glosario Partidas'!$M$8:$M$10,MATCH(BD!K187,'Glosario Partidas'!$L$8:$L$10,0))</f>
        <v>17.5</v>
      </c>
      <c r="T187" s="227">
        <f t="shared" si="14"/>
        <v>11829.825000000001</v>
      </c>
      <c r="U187" s="230" t="s">
        <v>315</v>
      </c>
      <c r="V187" s="231" t="s">
        <v>12</v>
      </c>
    </row>
    <row r="188" spans="2:22" ht="12" customHeight="1" x14ac:dyDescent="0.2">
      <c r="B188" s="63" t="s">
        <v>108</v>
      </c>
      <c r="C188" s="63" t="s">
        <v>433</v>
      </c>
      <c r="D188" s="78" t="s">
        <v>440</v>
      </c>
      <c r="E188" s="171" t="s">
        <v>220</v>
      </c>
      <c r="F188" s="78" t="s">
        <v>221</v>
      </c>
      <c r="G188" s="171" t="s">
        <v>342</v>
      </c>
      <c r="H188" s="224" t="s">
        <v>435</v>
      </c>
      <c r="I188" s="225" t="s">
        <v>410</v>
      </c>
      <c r="J188" s="224">
        <v>4</v>
      </c>
      <c r="K188" s="225" t="s">
        <v>153</v>
      </c>
      <c r="L188" s="226">
        <v>2445.6999999999998</v>
      </c>
      <c r="M188" s="227">
        <f t="shared" si="10"/>
        <v>9782.7999999999993</v>
      </c>
      <c r="N188" s="228">
        <v>0</v>
      </c>
      <c r="O188" s="227">
        <f t="shared" si="11"/>
        <v>0</v>
      </c>
      <c r="P188" s="228">
        <v>0.16</v>
      </c>
      <c r="Q188" s="227">
        <f t="shared" si="12"/>
        <v>1565.2479999999998</v>
      </c>
      <c r="R188" s="227">
        <f t="shared" si="13"/>
        <v>11348.047999999999</v>
      </c>
      <c r="S188" s="229">
        <f>INDEX('Glosario Partidas'!$M$8:$M$10,MATCH(BD!K188,'Glosario Partidas'!$L$8:$L$10,0))</f>
        <v>17.5</v>
      </c>
      <c r="T188" s="227">
        <f t="shared" si="14"/>
        <v>198590.83999999997</v>
      </c>
      <c r="U188" s="230" t="s">
        <v>315</v>
      </c>
      <c r="V188" s="231" t="s">
        <v>12</v>
      </c>
    </row>
    <row r="189" spans="2:22" ht="12" customHeight="1" x14ac:dyDescent="0.2">
      <c r="B189" s="63" t="s">
        <v>108</v>
      </c>
      <c r="C189" s="63" t="s">
        <v>433</v>
      </c>
      <c r="D189" s="78" t="s">
        <v>441</v>
      </c>
      <c r="E189" s="171" t="s">
        <v>220</v>
      </c>
      <c r="F189" s="78" t="s">
        <v>221</v>
      </c>
      <c r="G189" s="171" t="s">
        <v>342</v>
      </c>
      <c r="H189" s="224" t="s">
        <v>435</v>
      </c>
      <c r="I189" s="225" t="s">
        <v>410</v>
      </c>
      <c r="J189" s="224">
        <v>4</v>
      </c>
      <c r="K189" s="225" t="s">
        <v>153</v>
      </c>
      <c r="L189" s="226">
        <v>364.21</v>
      </c>
      <c r="M189" s="227">
        <f t="shared" si="10"/>
        <v>1456.84</v>
      </c>
      <c r="N189" s="228">
        <v>0</v>
      </c>
      <c r="O189" s="227">
        <f t="shared" si="11"/>
        <v>0</v>
      </c>
      <c r="P189" s="228">
        <v>0.16</v>
      </c>
      <c r="Q189" s="227">
        <f t="shared" si="12"/>
        <v>233.09439999999998</v>
      </c>
      <c r="R189" s="227">
        <f t="shared" si="13"/>
        <v>1689.9343999999999</v>
      </c>
      <c r="S189" s="229">
        <f>INDEX('Glosario Partidas'!$M$8:$M$10,MATCH(BD!K189,'Glosario Partidas'!$L$8:$L$10,0))</f>
        <v>17.5</v>
      </c>
      <c r="T189" s="227">
        <f t="shared" si="14"/>
        <v>29573.851999999999</v>
      </c>
      <c r="U189" s="230" t="s">
        <v>315</v>
      </c>
      <c r="V189" s="231" t="s">
        <v>12</v>
      </c>
    </row>
    <row r="190" spans="2:22" ht="12" customHeight="1" x14ac:dyDescent="0.2">
      <c r="B190" s="63" t="s">
        <v>108</v>
      </c>
      <c r="C190" s="63" t="s">
        <v>433</v>
      </c>
      <c r="D190" s="78" t="s">
        <v>442</v>
      </c>
      <c r="E190" s="171" t="s">
        <v>220</v>
      </c>
      <c r="F190" s="78" t="s">
        <v>221</v>
      </c>
      <c r="G190" s="171" t="s">
        <v>342</v>
      </c>
      <c r="H190" s="224" t="s">
        <v>435</v>
      </c>
      <c r="I190" s="225" t="s">
        <v>410</v>
      </c>
      <c r="J190" s="224">
        <v>4</v>
      </c>
      <c r="K190" s="225" t="s">
        <v>153</v>
      </c>
      <c r="L190" s="226">
        <v>209.38</v>
      </c>
      <c r="M190" s="227">
        <f t="shared" si="10"/>
        <v>837.52</v>
      </c>
      <c r="N190" s="228">
        <v>0</v>
      </c>
      <c r="O190" s="227">
        <f t="shared" si="11"/>
        <v>0</v>
      </c>
      <c r="P190" s="228">
        <v>0.16</v>
      </c>
      <c r="Q190" s="227">
        <f t="shared" si="12"/>
        <v>134.00319999999999</v>
      </c>
      <c r="R190" s="227">
        <f t="shared" si="13"/>
        <v>971.52319999999997</v>
      </c>
      <c r="S190" s="229">
        <f>INDEX('Glosario Partidas'!$M$8:$M$10,MATCH(BD!K190,'Glosario Partidas'!$L$8:$L$10,0))</f>
        <v>17.5</v>
      </c>
      <c r="T190" s="227">
        <f t="shared" si="14"/>
        <v>17001.655999999999</v>
      </c>
      <c r="U190" s="230" t="s">
        <v>315</v>
      </c>
      <c r="V190" s="231" t="s">
        <v>12</v>
      </c>
    </row>
    <row r="191" spans="2:22" ht="12" customHeight="1" x14ac:dyDescent="0.2">
      <c r="B191" s="63" t="s">
        <v>108</v>
      </c>
      <c r="C191" s="63" t="s">
        <v>433</v>
      </c>
      <c r="D191" s="78" t="s">
        <v>443</v>
      </c>
      <c r="E191" s="171" t="s">
        <v>220</v>
      </c>
      <c r="F191" s="78" t="s">
        <v>221</v>
      </c>
      <c r="G191" s="171" t="s">
        <v>342</v>
      </c>
      <c r="H191" s="224" t="s">
        <v>435</v>
      </c>
      <c r="I191" s="225" t="s">
        <v>410</v>
      </c>
      <c r="J191" s="224">
        <v>1</v>
      </c>
      <c r="K191" s="225" t="s">
        <v>153</v>
      </c>
      <c r="L191" s="226">
        <v>3198.65</v>
      </c>
      <c r="M191" s="227">
        <f t="shared" si="10"/>
        <v>3198.65</v>
      </c>
      <c r="N191" s="228">
        <v>0</v>
      </c>
      <c r="O191" s="227">
        <f t="shared" si="11"/>
        <v>0</v>
      </c>
      <c r="P191" s="228">
        <v>0.16</v>
      </c>
      <c r="Q191" s="227">
        <f t="shared" si="12"/>
        <v>511.78400000000005</v>
      </c>
      <c r="R191" s="227">
        <f t="shared" si="13"/>
        <v>3710.4340000000002</v>
      </c>
      <c r="S191" s="229">
        <f>INDEX('Glosario Partidas'!$M$8:$M$10,MATCH(BD!K191,'Glosario Partidas'!$L$8:$L$10,0))</f>
        <v>17.5</v>
      </c>
      <c r="T191" s="227">
        <f t="shared" si="14"/>
        <v>64932.595000000001</v>
      </c>
      <c r="U191" s="230" t="s">
        <v>315</v>
      </c>
      <c r="V191" s="231" t="s">
        <v>12</v>
      </c>
    </row>
    <row r="192" spans="2:22" ht="12" customHeight="1" x14ac:dyDescent="0.2">
      <c r="B192" s="63" t="s">
        <v>108</v>
      </c>
      <c r="C192" s="63" t="s">
        <v>433</v>
      </c>
      <c r="D192" s="78" t="s">
        <v>444</v>
      </c>
      <c r="E192" s="171" t="s">
        <v>220</v>
      </c>
      <c r="F192" s="78" t="s">
        <v>221</v>
      </c>
      <c r="G192" s="171" t="s">
        <v>342</v>
      </c>
      <c r="H192" s="224" t="s">
        <v>435</v>
      </c>
      <c r="I192" s="225" t="s">
        <v>410</v>
      </c>
      <c r="J192" s="224">
        <v>1</v>
      </c>
      <c r="K192" s="225" t="s">
        <v>153</v>
      </c>
      <c r="L192" s="226">
        <v>2577.33</v>
      </c>
      <c r="M192" s="227">
        <f t="shared" si="10"/>
        <v>2577.33</v>
      </c>
      <c r="N192" s="228">
        <v>0</v>
      </c>
      <c r="O192" s="227">
        <f t="shared" si="11"/>
        <v>0</v>
      </c>
      <c r="P192" s="228">
        <v>0.16</v>
      </c>
      <c r="Q192" s="227">
        <f t="shared" si="12"/>
        <v>412.37279999999998</v>
      </c>
      <c r="R192" s="227">
        <f t="shared" si="13"/>
        <v>2989.7028</v>
      </c>
      <c r="S192" s="229">
        <f>INDEX('Glosario Partidas'!$M$8:$M$10,MATCH(BD!K192,'Glosario Partidas'!$L$8:$L$10,0))</f>
        <v>17.5</v>
      </c>
      <c r="T192" s="227">
        <f t="shared" si="14"/>
        <v>52319.798999999999</v>
      </c>
      <c r="U192" s="230" t="s">
        <v>315</v>
      </c>
      <c r="V192" s="231" t="s">
        <v>12</v>
      </c>
    </row>
    <row r="193" spans="2:22" ht="12" customHeight="1" x14ac:dyDescent="0.2">
      <c r="B193" s="63" t="s">
        <v>108</v>
      </c>
      <c r="C193" s="63" t="s">
        <v>433</v>
      </c>
      <c r="D193" s="78" t="s">
        <v>445</v>
      </c>
      <c r="E193" s="171" t="s">
        <v>220</v>
      </c>
      <c r="F193" s="78" t="s">
        <v>221</v>
      </c>
      <c r="G193" s="171" t="s">
        <v>342</v>
      </c>
      <c r="H193" s="224" t="s">
        <v>435</v>
      </c>
      <c r="I193" s="225" t="s">
        <v>410</v>
      </c>
      <c r="J193" s="224">
        <v>1</v>
      </c>
      <c r="K193" s="225" t="s">
        <v>153</v>
      </c>
      <c r="L193" s="226">
        <v>220.8</v>
      </c>
      <c r="M193" s="227">
        <f t="shared" si="10"/>
        <v>220.8</v>
      </c>
      <c r="N193" s="228">
        <v>0</v>
      </c>
      <c r="O193" s="227">
        <f t="shared" si="11"/>
        <v>0</v>
      </c>
      <c r="P193" s="228">
        <v>0.16</v>
      </c>
      <c r="Q193" s="227">
        <f t="shared" si="12"/>
        <v>35.328000000000003</v>
      </c>
      <c r="R193" s="227">
        <f t="shared" si="13"/>
        <v>256.12800000000004</v>
      </c>
      <c r="S193" s="229">
        <f>INDEX('Glosario Partidas'!$M$8:$M$10,MATCH(BD!K193,'Glosario Partidas'!$L$8:$L$10,0))</f>
        <v>17.5</v>
      </c>
      <c r="T193" s="227">
        <f t="shared" si="14"/>
        <v>4482.2400000000007</v>
      </c>
      <c r="U193" s="230" t="s">
        <v>315</v>
      </c>
      <c r="V193" s="231" t="s">
        <v>12</v>
      </c>
    </row>
    <row r="194" spans="2:22" ht="12" customHeight="1" x14ac:dyDescent="0.2">
      <c r="B194" s="63" t="s">
        <v>108</v>
      </c>
      <c r="C194" s="63" t="s">
        <v>433</v>
      </c>
      <c r="D194" s="78" t="s">
        <v>446</v>
      </c>
      <c r="E194" s="171" t="s">
        <v>220</v>
      </c>
      <c r="F194" s="78" t="s">
        <v>221</v>
      </c>
      <c r="G194" s="171" t="s">
        <v>342</v>
      </c>
      <c r="H194" s="224" t="s">
        <v>435</v>
      </c>
      <c r="I194" s="225" t="s">
        <v>410</v>
      </c>
      <c r="J194" s="224">
        <v>1</v>
      </c>
      <c r="K194" s="225" t="s">
        <v>153</v>
      </c>
      <c r="L194" s="226">
        <v>5986.81</v>
      </c>
      <c r="M194" s="227">
        <f t="shared" si="10"/>
        <v>5986.81</v>
      </c>
      <c r="N194" s="228">
        <v>0</v>
      </c>
      <c r="O194" s="227">
        <f t="shared" si="11"/>
        <v>0</v>
      </c>
      <c r="P194" s="228">
        <v>0.16</v>
      </c>
      <c r="Q194" s="227">
        <f t="shared" si="12"/>
        <v>957.88960000000009</v>
      </c>
      <c r="R194" s="227">
        <f t="shared" si="13"/>
        <v>6944.6996000000008</v>
      </c>
      <c r="S194" s="229">
        <f>INDEX('Glosario Partidas'!$M$8:$M$10,MATCH(BD!K194,'Glosario Partidas'!$L$8:$L$10,0))</f>
        <v>17.5</v>
      </c>
      <c r="T194" s="227">
        <f t="shared" si="14"/>
        <v>121532.24300000002</v>
      </c>
      <c r="U194" s="230" t="s">
        <v>315</v>
      </c>
      <c r="V194" s="231" t="s">
        <v>12</v>
      </c>
    </row>
    <row r="195" spans="2:22" ht="12" customHeight="1" x14ac:dyDescent="0.2">
      <c r="B195" s="63" t="s">
        <v>108</v>
      </c>
      <c r="C195" s="63" t="s">
        <v>433</v>
      </c>
      <c r="D195" s="233" t="s">
        <v>447</v>
      </c>
      <c r="E195" s="171" t="s">
        <v>220</v>
      </c>
      <c r="F195" s="78" t="s">
        <v>221</v>
      </c>
      <c r="G195" s="171" t="s">
        <v>342</v>
      </c>
      <c r="H195" s="224" t="s">
        <v>435</v>
      </c>
      <c r="I195" s="225" t="s">
        <v>410</v>
      </c>
      <c r="J195" s="224">
        <v>1</v>
      </c>
      <c r="K195" s="225" t="s">
        <v>153</v>
      </c>
      <c r="L195" s="226">
        <v>0</v>
      </c>
      <c r="M195" s="227">
        <f t="shared" si="10"/>
        <v>0</v>
      </c>
      <c r="N195" s="228">
        <v>0</v>
      </c>
      <c r="O195" s="227">
        <f t="shared" si="11"/>
        <v>0</v>
      </c>
      <c r="P195" s="228">
        <v>0.16</v>
      </c>
      <c r="Q195" s="227">
        <f t="shared" si="12"/>
        <v>0</v>
      </c>
      <c r="R195" s="227">
        <f t="shared" si="13"/>
        <v>0</v>
      </c>
      <c r="S195" s="229">
        <f>INDEX('Glosario Partidas'!$M$8:$M$10,MATCH(BD!K195,'Glosario Partidas'!$L$8:$L$10,0))</f>
        <v>17.5</v>
      </c>
      <c r="T195" s="227">
        <f t="shared" si="14"/>
        <v>0</v>
      </c>
      <c r="U195" s="230" t="s">
        <v>315</v>
      </c>
      <c r="V195" s="231" t="s">
        <v>12</v>
      </c>
    </row>
    <row r="196" spans="2:22" ht="12" customHeight="1" x14ac:dyDescent="0.2">
      <c r="B196" s="63" t="s">
        <v>108</v>
      </c>
      <c r="C196" s="63" t="s">
        <v>433</v>
      </c>
      <c r="D196" s="78" t="s">
        <v>448</v>
      </c>
      <c r="E196" s="171" t="s">
        <v>220</v>
      </c>
      <c r="F196" s="78" t="s">
        <v>221</v>
      </c>
      <c r="G196" s="171" t="s">
        <v>342</v>
      </c>
      <c r="H196" s="224" t="s">
        <v>435</v>
      </c>
      <c r="I196" s="225" t="s">
        <v>410</v>
      </c>
      <c r="J196" s="224">
        <v>0</v>
      </c>
      <c r="K196" s="225" t="s">
        <v>153</v>
      </c>
      <c r="L196" s="226">
        <v>1994.83</v>
      </c>
      <c r="M196" s="227">
        <f t="shared" si="10"/>
        <v>0</v>
      </c>
      <c r="N196" s="228">
        <v>0</v>
      </c>
      <c r="O196" s="227">
        <f t="shared" si="11"/>
        <v>0</v>
      </c>
      <c r="P196" s="228">
        <v>0.16</v>
      </c>
      <c r="Q196" s="227">
        <f t="shared" si="12"/>
        <v>0</v>
      </c>
      <c r="R196" s="227">
        <f t="shared" si="13"/>
        <v>0</v>
      </c>
      <c r="S196" s="229">
        <f>INDEX('Glosario Partidas'!$M$8:$M$10,MATCH(BD!K196,'Glosario Partidas'!$L$8:$L$10,0))</f>
        <v>17.5</v>
      </c>
      <c r="T196" s="227">
        <f t="shared" si="14"/>
        <v>0</v>
      </c>
      <c r="U196" s="230" t="s">
        <v>315</v>
      </c>
      <c r="V196" s="231" t="s">
        <v>12</v>
      </c>
    </row>
    <row r="197" spans="2:22" ht="12" customHeight="1" x14ac:dyDescent="0.2">
      <c r="B197" s="63" t="s">
        <v>108</v>
      </c>
      <c r="C197" s="63" t="s">
        <v>433</v>
      </c>
      <c r="D197" s="78" t="s">
        <v>449</v>
      </c>
      <c r="E197" s="171" t="s">
        <v>220</v>
      </c>
      <c r="F197" s="78" t="s">
        <v>221</v>
      </c>
      <c r="G197" s="171" t="s">
        <v>342</v>
      </c>
      <c r="H197" s="224" t="s">
        <v>435</v>
      </c>
      <c r="I197" s="225" t="s">
        <v>410</v>
      </c>
      <c r="J197" s="224">
        <v>1</v>
      </c>
      <c r="K197" s="225" t="s">
        <v>153</v>
      </c>
      <c r="L197" s="226">
        <v>2265.08</v>
      </c>
      <c r="M197" s="227">
        <f t="shared" ref="M197:M260" si="15">J197*L197</f>
        <v>2265.08</v>
      </c>
      <c r="N197" s="228">
        <v>0</v>
      </c>
      <c r="O197" s="227">
        <f t="shared" ref="O197:O260" si="16">M197*N197</f>
        <v>0</v>
      </c>
      <c r="P197" s="228">
        <v>0.16</v>
      </c>
      <c r="Q197" s="227">
        <f t="shared" ref="Q197:Q260" si="17">(M197+O197)*P197</f>
        <v>362.4128</v>
      </c>
      <c r="R197" s="227">
        <f t="shared" ref="R197:R260" si="18">M197+O197+Q197</f>
        <v>2627.4928</v>
      </c>
      <c r="S197" s="229">
        <f>INDEX('Glosario Partidas'!$M$8:$M$10,MATCH(BD!K197,'Glosario Partidas'!$L$8:$L$10,0))</f>
        <v>17.5</v>
      </c>
      <c r="T197" s="227">
        <f t="shared" ref="T197:T260" si="19">R197*S197</f>
        <v>45981.123999999996</v>
      </c>
      <c r="U197" s="230" t="s">
        <v>315</v>
      </c>
      <c r="V197" s="231" t="s">
        <v>12</v>
      </c>
    </row>
    <row r="198" spans="2:22" ht="12" customHeight="1" x14ac:dyDescent="0.2">
      <c r="B198" s="63" t="s">
        <v>108</v>
      </c>
      <c r="C198" s="63" t="s">
        <v>433</v>
      </c>
      <c r="D198" s="78" t="s">
        <v>450</v>
      </c>
      <c r="E198" s="171" t="s">
        <v>220</v>
      </c>
      <c r="F198" s="78" t="s">
        <v>221</v>
      </c>
      <c r="G198" s="171" t="s">
        <v>342</v>
      </c>
      <c r="H198" s="224" t="s">
        <v>435</v>
      </c>
      <c r="I198" s="225" t="s">
        <v>410</v>
      </c>
      <c r="J198" s="224">
        <v>0</v>
      </c>
      <c r="K198" s="225" t="s">
        <v>153</v>
      </c>
      <c r="L198" s="226">
        <v>184.45</v>
      </c>
      <c r="M198" s="227">
        <f t="shared" si="15"/>
        <v>0</v>
      </c>
      <c r="N198" s="228">
        <v>0</v>
      </c>
      <c r="O198" s="227">
        <f t="shared" si="16"/>
        <v>0</v>
      </c>
      <c r="P198" s="228">
        <v>0.16</v>
      </c>
      <c r="Q198" s="227">
        <f t="shared" si="17"/>
        <v>0</v>
      </c>
      <c r="R198" s="227">
        <f t="shared" si="18"/>
        <v>0</v>
      </c>
      <c r="S198" s="229">
        <f>INDEX('Glosario Partidas'!$M$8:$M$10,MATCH(BD!K198,'Glosario Partidas'!$L$8:$L$10,0))</f>
        <v>17.5</v>
      </c>
      <c r="T198" s="227">
        <f t="shared" si="19"/>
        <v>0</v>
      </c>
      <c r="U198" s="230" t="s">
        <v>315</v>
      </c>
      <c r="V198" s="231" t="s">
        <v>12</v>
      </c>
    </row>
    <row r="199" spans="2:22" ht="12" customHeight="1" x14ac:dyDescent="0.2">
      <c r="B199" s="63" t="s">
        <v>108</v>
      </c>
      <c r="C199" s="63" t="s">
        <v>433</v>
      </c>
      <c r="D199" s="78" t="s">
        <v>451</v>
      </c>
      <c r="E199" s="171" t="s">
        <v>220</v>
      </c>
      <c r="F199" s="78" t="s">
        <v>221</v>
      </c>
      <c r="G199" s="171" t="s">
        <v>342</v>
      </c>
      <c r="H199" s="224" t="s">
        <v>435</v>
      </c>
      <c r="I199" s="225" t="s">
        <v>410</v>
      </c>
      <c r="J199" s="224">
        <v>0</v>
      </c>
      <c r="K199" s="225" t="s">
        <v>153</v>
      </c>
      <c r="L199" s="226">
        <v>2984.59</v>
      </c>
      <c r="M199" s="227">
        <f t="shared" si="15"/>
        <v>0</v>
      </c>
      <c r="N199" s="228">
        <v>0</v>
      </c>
      <c r="O199" s="227">
        <f t="shared" si="16"/>
        <v>0</v>
      </c>
      <c r="P199" s="228">
        <v>0.16</v>
      </c>
      <c r="Q199" s="227">
        <f t="shared" si="17"/>
        <v>0</v>
      </c>
      <c r="R199" s="227">
        <f t="shared" si="18"/>
        <v>0</v>
      </c>
      <c r="S199" s="229">
        <f>INDEX('Glosario Partidas'!$M$8:$M$10,MATCH(BD!K199,'Glosario Partidas'!$L$8:$L$10,0))</f>
        <v>17.5</v>
      </c>
      <c r="T199" s="227">
        <f t="shared" si="19"/>
        <v>0</v>
      </c>
      <c r="U199" s="230" t="s">
        <v>315</v>
      </c>
      <c r="V199" s="231" t="s">
        <v>12</v>
      </c>
    </row>
    <row r="200" spans="2:22" ht="12" customHeight="1" x14ac:dyDescent="0.2">
      <c r="B200" s="63" t="s">
        <v>108</v>
      </c>
      <c r="C200" s="63" t="s">
        <v>433</v>
      </c>
      <c r="D200" s="78" t="s">
        <v>452</v>
      </c>
      <c r="E200" s="171" t="s">
        <v>220</v>
      </c>
      <c r="F200" s="78" t="s">
        <v>221</v>
      </c>
      <c r="G200" s="171" t="s">
        <v>342</v>
      </c>
      <c r="H200" s="224" t="s">
        <v>435</v>
      </c>
      <c r="I200" s="225" t="s">
        <v>410</v>
      </c>
      <c r="J200" s="224">
        <v>4</v>
      </c>
      <c r="K200" s="225" t="s">
        <v>153</v>
      </c>
      <c r="L200" s="226">
        <v>523.80999999999995</v>
      </c>
      <c r="M200" s="227">
        <f t="shared" si="15"/>
        <v>2095.2399999999998</v>
      </c>
      <c r="N200" s="228">
        <v>0</v>
      </c>
      <c r="O200" s="227">
        <f t="shared" si="16"/>
        <v>0</v>
      </c>
      <c r="P200" s="228">
        <v>0.16</v>
      </c>
      <c r="Q200" s="227">
        <f t="shared" si="17"/>
        <v>335.23839999999996</v>
      </c>
      <c r="R200" s="227">
        <f t="shared" si="18"/>
        <v>2430.4784</v>
      </c>
      <c r="S200" s="229">
        <f>INDEX('Glosario Partidas'!$M$8:$M$10,MATCH(BD!K200,'Glosario Partidas'!$L$8:$L$10,0))</f>
        <v>17.5</v>
      </c>
      <c r="T200" s="227">
        <f t="shared" si="19"/>
        <v>42533.372000000003</v>
      </c>
      <c r="U200" s="230" t="s">
        <v>315</v>
      </c>
      <c r="V200" s="231" t="s">
        <v>12</v>
      </c>
    </row>
    <row r="201" spans="2:22" ht="12" customHeight="1" x14ac:dyDescent="0.2">
      <c r="B201" s="63" t="s">
        <v>108</v>
      </c>
      <c r="C201" s="63" t="s">
        <v>453</v>
      </c>
      <c r="D201" s="78" t="s">
        <v>313</v>
      </c>
      <c r="E201" s="171" t="s">
        <v>220</v>
      </c>
      <c r="F201" s="78" t="s">
        <v>221</v>
      </c>
      <c r="G201" s="171" t="s">
        <v>342</v>
      </c>
      <c r="H201" s="224" t="s">
        <v>293</v>
      </c>
      <c r="I201" s="225" t="s">
        <v>314</v>
      </c>
      <c r="J201" s="224">
        <v>1</v>
      </c>
      <c r="K201" s="225" t="s">
        <v>269</v>
      </c>
      <c r="L201" s="226">
        <v>0</v>
      </c>
      <c r="M201" s="227">
        <f t="shared" si="15"/>
        <v>0</v>
      </c>
      <c r="N201" s="228">
        <v>0</v>
      </c>
      <c r="O201" s="227">
        <f t="shared" si="16"/>
        <v>0</v>
      </c>
      <c r="P201" s="228">
        <v>0</v>
      </c>
      <c r="Q201" s="227">
        <f t="shared" si="17"/>
        <v>0</v>
      </c>
      <c r="R201" s="227">
        <f t="shared" si="18"/>
        <v>0</v>
      </c>
      <c r="S201" s="229">
        <f>INDEX('Glosario Partidas'!$M$8:$M$10,MATCH(BD!K201,'Glosario Partidas'!$L$8:$L$10,0))</f>
        <v>1</v>
      </c>
      <c r="T201" s="227">
        <f t="shared" si="19"/>
        <v>0</v>
      </c>
      <c r="U201" s="230" t="s">
        <v>315</v>
      </c>
      <c r="V201" s="231" t="s">
        <v>13</v>
      </c>
    </row>
    <row r="202" spans="2:22" ht="12" customHeight="1" x14ac:dyDescent="0.2">
      <c r="B202" s="63" t="s">
        <v>108</v>
      </c>
      <c r="C202" s="63" t="s">
        <v>454</v>
      </c>
      <c r="D202" s="78" t="s">
        <v>434</v>
      </c>
      <c r="E202" s="171" t="s">
        <v>220</v>
      </c>
      <c r="F202" s="78" t="s">
        <v>354</v>
      </c>
      <c r="G202" s="171" t="s">
        <v>342</v>
      </c>
      <c r="H202" s="224" t="s">
        <v>435</v>
      </c>
      <c r="I202" s="225" t="s">
        <v>410</v>
      </c>
      <c r="J202" s="224">
        <v>5</v>
      </c>
      <c r="K202" s="225" t="s">
        <v>153</v>
      </c>
      <c r="L202" s="226">
        <v>270.36</v>
      </c>
      <c r="M202" s="227">
        <f t="shared" si="15"/>
        <v>1351.8000000000002</v>
      </c>
      <c r="N202" s="228">
        <v>0</v>
      </c>
      <c r="O202" s="227">
        <f t="shared" si="16"/>
        <v>0</v>
      </c>
      <c r="P202" s="228">
        <v>0.16</v>
      </c>
      <c r="Q202" s="227">
        <f t="shared" si="17"/>
        <v>216.28800000000004</v>
      </c>
      <c r="R202" s="227">
        <f t="shared" si="18"/>
        <v>1568.0880000000002</v>
      </c>
      <c r="S202" s="229">
        <f>INDEX('Glosario Partidas'!$M$8:$M$10,MATCH(BD!K202,'Glosario Partidas'!$L$8:$L$10,0))</f>
        <v>17.5</v>
      </c>
      <c r="T202" s="227">
        <f t="shared" si="19"/>
        <v>27441.540000000005</v>
      </c>
      <c r="U202" s="230" t="s">
        <v>315</v>
      </c>
      <c r="V202" s="231" t="s">
        <v>12</v>
      </c>
    </row>
    <row r="203" spans="2:22" ht="12" customHeight="1" x14ac:dyDescent="0.2">
      <c r="B203" s="63" t="s">
        <v>108</v>
      </c>
      <c r="C203" s="63" t="s">
        <v>454</v>
      </c>
      <c r="D203" s="78" t="s">
        <v>436</v>
      </c>
      <c r="E203" s="171" t="s">
        <v>220</v>
      </c>
      <c r="F203" s="78" t="s">
        <v>354</v>
      </c>
      <c r="G203" s="171" t="s">
        <v>342</v>
      </c>
      <c r="H203" s="224" t="s">
        <v>435</v>
      </c>
      <c r="I203" s="225" t="s">
        <v>410</v>
      </c>
      <c r="J203" s="224">
        <v>8</v>
      </c>
      <c r="K203" s="225" t="s">
        <v>153</v>
      </c>
      <c r="L203" s="226">
        <v>60.77</v>
      </c>
      <c r="M203" s="227">
        <f t="shared" si="15"/>
        <v>486.16</v>
      </c>
      <c r="N203" s="228">
        <v>0</v>
      </c>
      <c r="O203" s="227">
        <f t="shared" si="16"/>
        <v>0</v>
      </c>
      <c r="P203" s="228">
        <v>0.16</v>
      </c>
      <c r="Q203" s="227">
        <f t="shared" si="17"/>
        <v>77.785600000000002</v>
      </c>
      <c r="R203" s="227">
        <f t="shared" si="18"/>
        <v>563.94560000000001</v>
      </c>
      <c r="S203" s="229">
        <f>INDEX('Glosario Partidas'!$M$8:$M$10,MATCH(BD!K203,'Glosario Partidas'!$L$8:$L$10,0))</f>
        <v>17.5</v>
      </c>
      <c r="T203" s="227">
        <f t="shared" si="19"/>
        <v>9869.0480000000007</v>
      </c>
      <c r="U203" s="230" t="s">
        <v>315</v>
      </c>
      <c r="V203" s="231" t="s">
        <v>12</v>
      </c>
    </row>
    <row r="204" spans="2:22" ht="12" customHeight="1" x14ac:dyDescent="0.2">
      <c r="B204" s="63" t="s">
        <v>108</v>
      </c>
      <c r="C204" s="63" t="s">
        <v>454</v>
      </c>
      <c r="D204" s="78" t="s">
        <v>437</v>
      </c>
      <c r="E204" s="171" t="s">
        <v>220</v>
      </c>
      <c r="F204" s="78" t="s">
        <v>354</v>
      </c>
      <c r="G204" s="171" t="s">
        <v>342</v>
      </c>
      <c r="H204" s="224" t="s">
        <v>435</v>
      </c>
      <c r="I204" s="225" t="s">
        <v>410</v>
      </c>
      <c r="J204" s="224">
        <v>9</v>
      </c>
      <c r="K204" s="225" t="s">
        <v>153</v>
      </c>
      <c r="L204" s="226">
        <v>647.5</v>
      </c>
      <c r="M204" s="227">
        <f t="shared" si="15"/>
        <v>5827.5</v>
      </c>
      <c r="N204" s="228">
        <v>0</v>
      </c>
      <c r="O204" s="227">
        <f t="shared" si="16"/>
        <v>0</v>
      </c>
      <c r="P204" s="228">
        <v>0.16</v>
      </c>
      <c r="Q204" s="227">
        <f t="shared" si="17"/>
        <v>932.4</v>
      </c>
      <c r="R204" s="227">
        <f t="shared" si="18"/>
        <v>6759.9</v>
      </c>
      <c r="S204" s="229">
        <f>INDEX('Glosario Partidas'!$M$8:$M$10,MATCH(BD!K204,'Glosario Partidas'!$L$8:$L$10,0))</f>
        <v>17.5</v>
      </c>
      <c r="T204" s="227">
        <f t="shared" si="19"/>
        <v>118298.25</v>
      </c>
      <c r="U204" s="230" t="s">
        <v>315</v>
      </c>
      <c r="V204" s="231" t="s">
        <v>12</v>
      </c>
    </row>
    <row r="205" spans="2:22" ht="12" customHeight="1" x14ac:dyDescent="0.2">
      <c r="B205" s="63" t="s">
        <v>108</v>
      </c>
      <c r="C205" s="63" t="s">
        <v>454</v>
      </c>
      <c r="D205" s="78" t="s">
        <v>438</v>
      </c>
      <c r="E205" s="171" t="s">
        <v>220</v>
      </c>
      <c r="F205" s="78" t="s">
        <v>354</v>
      </c>
      <c r="G205" s="171" t="s">
        <v>342</v>
      </c>
      <c r="H205" s="224" t="s">
        <v>435</v>
      </c>
      <c r="I205" s="225" t="s">
        <v>410</v>
      </c>
      <c r="J205" s="224">
        <v>9</v>
      </c>
      <c r="K205" s="225" t="s">
        <v>153</v>
      </c>
      <c r="L205" s="226">
        <v>388.5</v>
      </c>
      <c r="M205" s="227">
        <f t="shared" si="15"/>
        <v>3496.5</v>
      </c>
      <c r="N205" s="228">
        <v>0</v>
      </c>
      <c r="O205" s="227">
        <f t="shared" si="16"/>
        <v>0</v>
      </c>
      <c r="P205" s="228">
        <v>0.16</v>
      </c>
      <c r="Q205" s="227">
        <f t="shared" si="17"/>
        <v>559.44000000000005</v>
      </c>
      <c r="R205" s="227">
        <f t="shared" si="18"/>
        <v>4055.94</v>
      </c>
      <c r="S205" s="229">
        <f>INDEX('Glosario Partidas'!$M$8:$M$10,MATCH(BD!K205,'Glosario Partidas'!$L$8:$L$10,0))</f>
        <v>17.5</v>
      </c>
      <c r="T205" s="227">
        <f t="shared" si="19"/>
        <v>70978.95</v>
      </c>
      <c r="U205" s="230" t="s">
        <v>315</v>
      </c>
      <c r="V205" s="231" t="s">
        <v>12</v>
      </c>
    </row>
    <row r="206" spans="2:22" ht="12" customHeight="1" x14ac:dyDescent="0.2">
      <c r="B206" s="63" t="s">
        <v>108</v>
      </c>
      <c r="C206" s="63" t="s">
        <v>454</v>
      </c>
      <c r="D206" s="78" t="s">
        <v>439</v>
      </c>
      <c r="E206" s="171" t="s">
        <v>220</v>
      </c>
      <c r="F206" s="78" t="s">
        <v>354</v>
      </c>
      <c r="G206" s="171" t="s">
        <v>342</v>
      </c>
      <c r="H206" s="224" t="s">
        <v>435</v>
      </c>
      <c r="I206" s="225" t="s">
        <v>410</v>
      </c>
      <c r="J206" s="224">
        <v>1</v>
      </c>
      <c r="K206" s="225" t="s">
        <v>153</v>
      </c>
      <c r="L206" s="226">
        <v>582.75</v>
      </c>
      <c r="M206" s="227">
        <f t="shared" si="15"/>
        <v>582.75</v>
      </c>
      <c r="N206" s="228">
        <v>0</v>
      </c>
      <c r="O206" s="227">
        <f t="shared" si="16"/>
        <v>0</v>
      </c>
      <c r="P206" s="228">
        <v>0.16</v>
      </c>
      <c r="Q206" s="227">
        <f t="shared" si="17"/>
        <v>93.24</v>
      </c>
      <c r="R206" s="227">
        <f t="shared" si="18"/>
        <v>675.99</v>
      </c>
      <c r="S206" s="229">
        <f>INDEX('Glosario Partidas'!$M$8:$M$10,MATCH(BD!K206,'Glosario Partidas'!$L$8:$L$10,0))</f>
        <v>17.5</v>
      </c>
      <c r="T206" s="227">
        <f t="shared" si="19"/>
        <v>11829.825000000001</v>
      </c>
      <c r="U206" s="230" t="s">
        <v>315</v>
      </c>
      <c r="V206" s="231" t="s">
        <v>12</v>
      </c>
    </row>
    <row r="207" spans="2:22" ht="12" customHeight="1" x14ac:dyDescent="0.2">
      <c r="B207" s="63" t="s">
        <v>108</v>
      </c>
      <c r="C207" s="63" t="s">
        <v>454</v>
      </c>
      <c r="D207" s="78" t="s">
        <v>440</v>
      </c>
      <c r="E207" s="171" t="s">
        <v>220</v>
      </c>
      <c r="F207" s="78" t="s">
        <v>354</v>
      </c>
      <c r="G207" s="171" t="s">
        <v>342</v>
      </c>
      <c r="H207" s="224" t="s">
        <v>435</v>
      </c>
      <c r="I207" s="225" t="s">
        <v>410</v>
      </c>
      <c r="J207" s="224">
        <v>4</v>
      </c>
      <c r="K207" s="225" t="s">
        <v>153</v>
      </c>
      <c r="L207" s="226">
        <v>2445.6999999999998</v>
      </c>
      <c r="M207" s="227">
        <f t="shared" si="15"/>
        <v>9782.7999999999993</v>
      </c>
      <c r="N207" s="228">
        <v>0</v>
      </c>
      <c r="O207" s="227">
        <f t="shared" si="16"/>
        <v>0</v>
      </c>
      <c r="P207" s="228">
        <v>0.16</v>
      </c>
      <c r="Q207" s="227">
        <f t="shared" si="17"/>
        <v>1565.2479999999998</v>
      </c>
      <c r="R207" s="227">
        <f t="shared" si="18"/>
        <v>11348.047999999999</v>
      </c>
      <c r="S207" s="229">
        <f>INDEX('Glosario Partidas'!$M$8:$M$10,MATCH(BD!K207,'Glosario Partidas'!$L$8:$L$10,0))</f>
        <v>17.5</v>
      </c>
      <c r="T207" s="227">
        <f t="shared" si="19"/>
        <v>198590.83999999997</v>
      </c>
      <c r="U207" s="230" t="s">
        <v>315</v>
      </c>
      <c r="V207" s="231" t="s">
        <v>12</v>
      </c>
    </row>
    <row r="208" spans="2:22" ht="12" customHeight="1" x14ac:dyDescent="0.2">
      <c r="B208" s="63" t="s">
        <v>108</v>
      </c>
      <c r="C208" s="63" t="s">
        <v>454</v>
      </c>
      <c r="D208" s="78" t="s">
        <v>441</v>
      </c>
      <c r="E208" s="171" t="s">
        <v>220</v>
      </c>
      <c r="F208" s="78" t="s">
        <v>354</v>
      </c>
      <c r="G208" s="171" t="s">
        <v>342</v>
      </c>
      <c r="H208" s="224" t="s">
        <v>435</v>
      </c>
      <c r="I208" s="225" t="s">
        <v>410</v>
      </c>
      <c r="J208" s="224">
        <v>4</v>
      </c>
      <c r="K208" s="225" t="s">
        <v>153</v>
      </c>
      <c r="L208" s="226">
        <v>364.21</v>
      </c>
      <c r="M208" s="227">
        <f t="shared" si="15"/>
        <v>1456.84</v>
      </c>
      <c r="N208" s="228">
        <v>0</v>
      </c>
      <c r="O208" s="227">
        <f t="shared" si="16"/>
        <v>0</v>
      </c>
      <c r="P208" s="228">
        <v>0.16</v>
      </c>
      <c r="Q208" s="227">
        <f t="shared" si="17"/>
        <v>233.09439999999998</v>
      </c>
      <c r="R208" s="227">
        <f t="shared" si="18"/>
        <v>1689.9343999999999</v>
      </c>
      <c r="S208" s="229">
        <f>INDEX('Glosario Partidas'!$M$8:$M$10,MATCH(BD!K208,'Glosario Partidas'!$L$8:$L$10,0))</f>
        <v>17.5</v>
      </c>
      <c r="T208" s="227">
        <f t="shared" si="19"/>
        <v>29573.851999999999</v>
      </c>
      <c r="U208" s="230" t="s">
        <v>315</v>
      </c>
      <c r="V208" s="231" t="s">
        <v>12</v>
      </c>
    </row>
    <row r="209" spans="2:22" ht="12" customHeight="1" x14ac:dyDescent="0.2">
      <c r="B209" s="63" t="s">
        <v>108</v>
      </c>
      <c r="C209" s="63" t="s">
        <v>454</v>
      </c>
      <c r="D209" s="78" t="s">
        <v>442</v>
      </c>
      <c r="E209" s="171" t="s">
        <v>220</v>
      </c>
      <c r="F209" s="78" t="s">
        <v>354</v>
      </c>
      <c r="G209" s="171" t="s">
        <v>342</v>
      </c>
      <c r="H209" s="224" t="s">
        <v>435</v>
      </c>
      <c r="I209" s="225" t="s">
        <v>410</v>
      </c>
      <c r="J209" s="224">
        <v>4</v>
      </c>
      <c r="K209" s="225" t="s">
        <v>153</v>
      </c>
      <c r="L209" s="226">
        <v>209.38</v>
      </c>
      <c r="M209" s="227">
        <f t="shared" si="15"/>
        <v>837.52</v>
      </c>
      <c r="N209" s="228">
        <v>0</v>
      </c>
      <c r="O209" s="227">
        <f t="shared" si="16"/>
        <v>0</v>
      </c>
      <c r="P209" s="228">
        <v>0.16</v>
      </c>
      <c r="Q209" s="227">
        <f t="shared" si="17"/>
        <v>134.00319999999999</v>
      </c>
      <c r="R209" s="227">
        <f t="shared" si="18"/>
        <v>971.52319999999997</v>
      </c>
      <c r="S209" s="229">
        <f>INDEX('Glosario Partidas'!$M$8:$M$10,MATCH(BD!K209,'Glosario Partidas'!$L$8:$L$10,0))</f>
        <v>17.5</v>
      </c>
      <c r="T209" s="227">
        <f t="shared" si="19"/>
        <v>17001.655999999999</v>
      </c>
      <c r="U209" s="230" t="s">
        <v>315</v>
      </c>
      <c r="V209" s="231" t="s">
        <v>12</v>
      </c>
    </row>
    <row r="210" spans="2:22" ht="12" customHeight="1" x14ac:dyDescent="0.2">
      <c r="B210" s="63" t="s">
        <v>108</v>
      </c>
      <c r="C210" s="63" t="s">
        <v>454</v>
      </c>
      <c r="D210" s="78" t="s">
        <v>443</v>
      </c>
      <c r="E210" s="171" t="s">
        <v>220</v>
      </c>
      <c r="F210" s="78" t="s">
        <v>354</v>
      </c>
      <c r="G210" s="171" t="s">
        <v>342</v>
      </c>
      <c r="H210" s="224" t="s">
        <v>435</v>
      </c>
      <c r="I210" s="225" t="s">
        <v>410</v>
      </c>
      <c r="J210" s="224">
        <v>1</v>
      </c>
      <c r="K210" s="225" t="s">
        <v>153</v>
      </c>
      <c r="L210" s="226">
        <v>3198.65</v>
      </c>
      <c r="M210" s="227">
        <f t="shared" si="15"/>
        <v>3198.65</v>
      </c>
      <c r="N210" s="228">
        <v>0</v>
      </c>
      <c r="O210" s="227">
        <f t="shared" si="16"/>
        <v>0</v>
      </c>
      <c r="P210" s="228">
        <v>0.16</v>
      </c>
      <c r="Q210" s="227">
        <f t="shared" si="17"/>
        <v>511.78400000000005</v>
      </c>
      <c r="R210" s="227">
        <f t="shared" si="18"/>
        <v>3710.4340000000002</v>
      </c>
      <c r="S210" s="229">
        <f>INDEX('Glosario Partidas'!$M$8:$M$10,MATCH(BD!K210,'Glosario Partidas'!$L$8:$L$10,0))</f>
        <v>17.5</v>
      </c>
      <c r="T210" s="227">
        <f t="shared" si="19"/>
        <v>64932.595000000001</v>
      </c>
      <c r="U210" s="230" t="s">
        <v>315</v>
      </c>
      <c r="V210" s="231" t="s">
        <v>12</v>
      </c>
    </row>
    <row r="211" spans="2:22" ht="12" customHeight="1" x14ac:dyDescent="0.2">
      <c r="B211" s="63" t="s">
        <v>108</v>
      </c>
      <c r="C211" s="63" t="s">
        <v>454</v>
      </c>
      <c r="D211" s="78" t="s">
        <v>444</v>
      </c>
      <c r="E211" s="171" t="s">
        <v>220</v>
      </c>
      <c r="F211" s="78" t="s">
        <v>354</v>
      </c>
      <c r="G211" s="171" t="s">
        <v>342</v>
      </c>
      <c r="H211" s="224" t="s">
        <v>435</v>
      </c>
      <c r="I211" s="225" t="s">
        <v>410</v>
      </c>
      <c r="J211" s="224">
        <v>1</v>
      </c>
      <c r="K211" s="225" t="s">
        <v>153</v>
      </c>
      <c r="L211" s="226">
        <v>2577.33</v>
      </c>
      <c r="M211" s="227">
        <f t="shared" si="15"/>
        <v>2577.33</v>
      </c>
      <c r="N211" s="228">
        <v>0</v>
      </c>
      <c r="O211" s="227">
        <f t="shared" si="16"/>
        <v>0</v>
      </c>
      <c r="P211" s="228">
        <v>0.16</v>
      </c>
      <c r="Q211" s="227">
        <f t="shared" si="17"/>
        <v>412.37279999999998</v>
      </c>
      <c r="R211" s="227">
        <f t="shared" si="18"/>
        <v>2989.7028</v>
      </c>
      <c r="S211" s="229">
        <f>INDEX('Glosario Partidas'!$M$8:$M$10,MATCH(BD!K211,'Glosario Partidas'!$L$8:$L$10,0))</f>
        <v>17.5</v>
      </c>
      <c r="T211" s="227">
        <f t="shared" si="19"/>
        <v>52319.798999999999</v>
      </c>
      <c r="U211" s="230" t="s">
        <v>315</v>
      </c>
      <c r="V211" s="231" t="s">
        <v>12</v>
      </c>
    </row>
    <row r="212" spans="2:22" ht="12" customHeight="1" x14ac:dyDescent="0.2">
      <c r="B212" s="63" t="s">
        <v>108</v>
      </c>
      <c r="C212" s="63" t="s">
        <v>454</v>
      </c>
      <c r="D212" s="78" t="s">
        <v>445</v>
      </c>
      <c r="E212" s="171" t="s">
        <v>220</v>
      </c>
      <c r="F212" s="78" t="s">
        <v>354</v>
      </c>
      <c r="G212" s="171" t="s">
        <v>342</v>
      </c>
      <c r="H212" s="224" t="s">
        <v>435</v>
      </c>
      <c r="I212" s="225" t="s">
        <v>410</v>
      </c>
      <c r="J212" s="224">
        <v>1</v>
      </c>
      <c r="K212" s="225" t="s">
        <v>153</v>
      </c>
      <c r="L212" s="226">
        <v>220.8</v>
      </c>
      <c r="M212" s="227">
        <f t="shared" si="15"/>
        <v>220.8</v>
      </c>
      <c r="N212" s="228">
        <v>0</v>
      </c>
      <c r="O212" s="227">
        <f t="shared" si="16"/>
        <v>0</v>
      </c>
      <c r="P212" s="228">
        <v>0.16</v>
      </c>
      <c r="Q212" s="227">
        <f t="shared" si="17"/>
        <v>35.328000000000003</v>
      </c>
      <c r="R212" s="227">
        <f t="shared" si="18"/>
        <v>256.12800000000004</v>
      </c>
      <c r="S212" s="229">
        <f>INDEX('Glosario Partidas'!$M$8:$M$10,MATCH(BD!K212,'Glosario Partidas'!$L$8:$L$10,0))</f>
        <v>17.5</v>
      </c>
      <c r="T212" s="227">
        <f t="shared" si="19"/>
        <v>4482.2400000000007</v>
      </c>
      <c r="U212" s="230" t="s">
        <v>315</v>
      </c>
      <c r="V212" s="231" t="s">
        <v>12</v>
      </c>
    </row>
    <row r="213" spans="2:22" ht="12" customHeight="1" x14ac:dyDescent="0.2">
      <c r="B213" s="63" t="s">
        <v>108</v>
      </c>
      <c r="C213" s="63" t="s">
        <v>454</v>
      </c>
      <c r="D213" s="78" t="s">
        <v>446</v>
      </c>
      <c r="E213" s="171" t="s">
        <v>220</v>
      </c>
      <c r="F213" s="78" t="s">
        <v>354</v>
      </c>
      <c r="G213" s="171" t="s">
        <v>342</v>
      </c>
      <c r="H213" s="224" t="s">
        <v>435</v>
      </c>
      <c r="I213" s="225" t="s">
        <v>410</v>
      </c>
      <c r="J213" s="224">
        <v>1</v>
      </c>
      <c r="K213" s="225" t="s">
        <v>153</v>
      </c>
      <c r="L213" s="226">
        <v>5986.81</v>
      </c>
      <c r="M213" s="227">
        <f t="shared" si="15"/>
        <v>5986.81</v>
      </c>
      <c r="N213" s="228">
        <v>0</v>
      </c>
      <c r="O213" s="227">
        <f t="shared" si="16"/>
        <v>0</v>
      </c>
      <c r="P213" s="228">
        <v>0.16</v>
      </c>
      <c r="Q213" s="227">
        <f t="shared" si="17"/>
        <v>957.88960000000009</v>
      </c>
      <c r="R213" s="227">
        <f t="shared" si="18"/>
        <v>6944.6996000000008</v>
      </c>
      <c r="S213" s="229">
        <f>INDEX('Glosario Partidas'!$M$8:$M$10,MATCH(BD!K213,'Glosario Partidas'!$L$8:$L$10,0))</f>
        <v>17.5</v>
      </c>
      <c r="T213" s="227">
        <f t="shared" si="19"/>
        <v>121532.24300000002</v>
      </c>
      <c r="U213" s="230" t="s">
        <v>315</v>
      </c>
      <c r="V213" s="231" t="s">
        <v>12</v>
      </c>
    </row>
    <row r="214" spans="2:22" ht="12" customHeight="1" x14ac:dyDescent="0.2">
      <c r="B214" s="63" t="s">
        <v>108</v>
      </c>
      <c r="C214" s="63" t="s">
        <v>454</v>
      </c>
      <c r="D214" s="233" t="s">
        <v>447</v>
      </c>
      <c r="E214" s="171" t="s">
        <v>220</v>
      </c>
      <c r="F214" s="78" t="s">
        <v>354</v>
      </c>
      <c r="G214" s="171" t="s">
        <v>342</v>
      </c>
      <c r="H214" s="224" t="s">
        <v>435</v>
      </c>
      <c r="I214" s="225" t="s">
        <v>410</v>
      </c>
      <c r="J214" s="224">
        <v>1</v>
      </c>
      <c r="K214" s="225" t="s">
        <v>153</v>
      </c>
      <c r="L214" s="226">
        <v>0</v>
      </c>
      <c r="M214" s="227">
        <f t="shared" si="15"/>
        <v>0</v>
      </c>
      <c r="N214" s="228">
        <v>0</v>
      </c>
      <c r="O214" s="227">
        <f t="shared" si="16"/>
        <v>0</v>
      </c>
      <c r="P214" s="228">
        <v>0.16</v>
      </c>
      <c r="Q214" s="227">
        <f t="shared" si="17"/>
        <v>0</v>
      </c>
      <c r="R214" s="227">
        <f t="shared" si="18"/>
        <v>0</v>
      </c>
      <c r="S214" s="229">
        <f>INDEX('Glosario Partidas'!$M$8:$M$10,MATCH(BD!K214,'Glosario Partidas'!$L$8:$L$10,0))</f>
        <v>17.5</v>
      </c>
      <c r="T214" s="227">
        <f t="shared" si="19"/>
        <v>0</v>
      </c>
      <c r="U214" s="230" t="s">
        <v>315</v>
      </c>
      <c r="V214" s="231" t="s">
        <v>12</v>
      </c>
    </row>
    <row r="215" spans="2:22" ht="12" customHeight="1" x14ac:dyDescent="0.2">
      <c r="B215" s="63" t="s">
        <v>108</v>
      </c>
      <c r="C215" s="63" t="s">
        <v>454</v>
      </c>
      <c r="D215" s="78" t="s">
        <v>448</v>
      </c>
      <c r="E215" s="171" t="s">
        <v>220</v>
      </c>
      <c r="F215" s="78" t="s">
        <v>354</v>
      </c>
      <c r="G215" s="171" t="s">
        <v>342</v>
      </c>
      <c r="H215" s="224" t="s">
        <v>435</v>
      </c>
      <c r="I215" s="225" t="s">
        <v>410</v>
      </c>
      <c r="J215" s="224">
        <v>0</v>
      </c>
      <c r="K215" s="225" t="s">
        <v>153</v>
      </c>
      <c r="L215" s="226">
        <v>1994.83</v>
      </c>
      <c r="M215" s="227">
        <f t="shared" si="15"/>
        <v>0</v>
      </c>
      <c r="N215" s="228">
        <v>0</v>
      </c>
      <c r="O215" s="227">
        <f t="shared" si="16"/>
        <v>0</v>
      </c>
      <c r="P215" s="228">
        <v>0.16</v>
      </c>
      <c r="Q215" s="227">
        <f t="shared" si="17"/>
        <v>0</v>
      </c>
      <c r="R215" s="227">
        <f t="shared" si="18"/>
        <v>0</v>
      </c>
      <c r="S215" s="229">
        <f>INDEX('Glosario Partidas'!$M$8:$M$10,MATCH(BD!K215,'Glosario Partidas'!$L$8:$L$10,0))</f>
        <v>17.5</v>
      </c>
      <c r="T215" s="227">
        <f t="shared" si="19"/>
        <v>0</v>
      </c>
      <c r="U215" s="230" t="s">
        <v>315</v>
      </c>
      <c r="V215" s="231" t="s">
        <v>12</v>
      </c>
    </row>
    <row r="216" spans="2:22" ht="12" customHeight="1" x14ac:dyDescent="0.2">
      <c r="B216" s="63" t="s">
        <v>108</v>
      </c>
      <c r="C216" s="63" t="s">
        <v>454</v>
      </c>
      <c r="D216" s="78" t="s">
        <v>449</v>
      </c>
      <c r="E216" s="171" t="s">
        <v>220</v>
      </c>
      <c r="F216" s="78" t="s">
        <v>354</v>
      </c>
      <c r="G216" s="171" t="s">
        <v>342</v>
      </c>
      <c r="H216" s="224" t="s">
        <v>435</v>
      </c>
      <c r="I216" s="225" t="s">
        <v>410</v>
      </c>
      <c r="J216" s="224">
        <v>1</v>
      </c>
      <c r="K216" s="225" t="s">
        <v>153</v>
      </c>
      <c r="L216" s="226">
        <v>2265.08</v>
      </c>
      <c r="M216" s="227">
        <f t="shared" si="15"/>
        <v>2265.08</v>
      </c>
      <c r="N216" s="228">
        <v>0</v>
      </c>
      <c r="O216" s="227">
        <f t="shared" si="16"/>
        <v>0</v>
      </c>
      <c r="P216" s="228">
        <v>0.16</v>
      </c>
      <c r="Q216" s="227">
        <f t="shared" si="17"/>
        <v>362.4128</v>
      </c>
      <c r="R216" s="227">
        <f t="shared" si="18"/>
        <v>2627.4928</v>
      </c>
      <c r="S216" s="229">
        <f>INDEX('Glosario Partidas'!$M$8:$M$10,MATCH(BD!K216,'Glosario Partidas'!$L$8:$L$10,0))</f>
        <v>17.5</v>
      </c>
      <c r="T216" s="227">
        <f t="shared" si="19"/>
        <v>45981.123999999996</v>
      </c>
      <c r="U216" s="230" t="s">
        <v>315</v>
      </c>
      <c r="V216" s="231" t="s">
        <v>12</v>
      </c>
    </row>
    <row r="217" spans="2:22" ht="12" customHeight="1" x14ac:dyDescent="0.2">
      <c r="B217" s="63" t="s">
        <v>108</v>
      </c>
      <c r="C217" s="63" t="s">
        <v>454</v>
      </c>
      <c r="D217" s="78" t="s">
        <v>450</v>
      </c>
      <c r="E217" s="171" t="s">
        <v>220</v>
      </c>
      <c r="F217" s="78" t="s">
        <v>354</v>
      </c>
      <c r="G217" s="171" t="s">
        <v>342</v>
      </c>
      <c r="H217" s="224" t="s">
        <v>435</v>
      </c>
      <c r="I217" s="225" t="s">
        <v>410</v>
      </c>
      <c r="J217" s="224">
        <v>0</v>
      </c>
      <c r="K217" s="225" t="s">
        <v>153</v>
      </c>
      <c r="L217" s="226">
        <v>184.45</v>
      </c>
      <c r="M217" s="227">
        <f t="shared" si="15"/>
        <v>0</v>
      </c>
      <c r="N217" s="228">
        <v>0</v>
      </c>
      <c r="O217" s="227">
        <f t="shared" si="16"/>
        <v>0</v>
      </c>
      <c r="P217" s="228">
        <v>0.16</v>
      </c>
      <c r="Q217" s="227">
        <f t="shared" si="17"/>
        <v>0</v>
      </c>
      <c r="R217" s="227">
        <f t="shared" si="18"/>
        <v>0</v>
      </c>
      <c r="S217" s="229">
        <f>INDEX('Glosario Partidas'!$M$8:$M$10,MATCH(BD!K217,'Glosario Partidas'!$L$8:$L$10,0))</f>
        <v>17.5</v>
      </c>
      <c r="T217" s="227">
        <f t="shared" si="19"/>
        <v>0</v>
      </c>
      <c r="U217" s="230" t="s">
        <v>315</v>
      </c>
      <c r="V217" s="231" t="s">
        <v>12</v>
      </c>
    </row>
    <row r="218" spans="2:22" ht="12" customHeight="1" x14ac:dyDescent="0.2">
      <c r="B218" s="63" t="s">
        <v>108</v>
      </c>
      <c r="C218" s="63" t="s">
        <v>454</v>
      </c>
      <c r="D218" s="78" t="s">
        <v>451</v>
      </c>
      <c r="E218" s="171" t="s">
        <v>220</v>
      </c>
      <c r="F218" s="78" t="s">
        <v>354</v>
      </c>
      <c r="G218" s="171" t="s">
        <v>342</v>
      </c>
      <c r="H218" s="224" t="s">
        <v>435</v>
      </c>
      <c r="I218" s="225" t="s">
        <v>410</v>
      </c>
      <c r="J218" s="224">
        <v>0</v>
      </c>
      <c r="K218" s="225" t="s">
        <v>153</v>
      </c>
      <c r="L218" s="226">
        <v>2984.59</v>
      </c>
      <c r="M218" s="227">
        <f t="shared" si="15"/>
        <v>0</v>
      </c>
      <c r="N218" s="228">
        <v>0</v>
      </c>
      <c r="O218" s="227">
        <f t="shared" si="16"/>
        <v>0</v>
      </c>
      <c r="P218" s="228">
        <v>0.16</v>
      </c>
      <c r="Q218" s="227">
        <f t="shared" si="17"/>
        <v>0</v>
      </c>
      <c r="R218" s="227">
        <f t="shared" si="18"/>
        <v>0</v>
      </c>
      <c r="S218" s="229">
        <f>INDEX('Glosario Partidas'!$M$8:$M$10,MATCH(BD!K218,'Glosario Partidas'!$L$8:$L$10,0))</f>
        <v>17.5</v>
      </c>
      <c r="T218" s="227">
        <f t="shared" si="19"/>
        <v>0</v>
      </c>
      <c r="U218" s="230" t="s">
        <v>315</v>
      </c>
      <c r="V218" s="231" t="s">
        <v>12</v>
      </c>
    </row>
    <row r="219" spans="2:22" ht="12" customHeight="1" x14ac:dyDescent="0.2">
      <c r="B219" s="63" t="s">
        <v>108</v>
      </c>
      <c r="C219" s="63" t="s">
        <v>454</v>
      </c>
      <c r="D219" s="78" t="s">
        <v>452</v>
      </c>
      <c r="E219" s="171" t="s">
        <v>220</v>
      </c>
      <c r="F219" s="78" t="s">
        <v>354</v>
      </c>
      <c r="G219" s="171" t="s">
        <v>342</v>
      </c>
      <c r="H219" s="224" t="s">
        <v>435</v>
      </c>
      <c r="I219" s="225" t="s">
        <v>410</v>
      </c>
      <c r="J219" s="224">
        <v>4</v>
      </c>
      <c r="K219" s="225" t="s">
        <v>153</v>
      </c>
      <c r="L219" s="226">
        <v>523.80999999999995</v>
      </c>
      <c r="M219" s="227">
        <f t="shared" si="15"/>
        <v>2095.2399999999998</v>
      </c>
      <c r="N219" s="228">
        <v>0</v>
      </c>
      <c r="O219" s="227">
        <f t="shared" si="16"/>
        <v>0</v>
      </c>
      <c r="P219" s="228">
        <v>0.16</v>
      </c>
      <c r="Q219" s="227">
        <f t="shared" si="17"/>
        <v>335.23839999999996</v>
      </c>
      <c r="R219" s="227">
        <f t="shared" si="18"/>
        <v>2430.4784</v>
      </c>
      <c r="S219" s="229">
        <f>INDEX('Glosario Partidas'!$M$8:$M$10,MATCH(BD!K219,'Glosario Partidas'!$L$8:$L$10,0))</f>
        <v>17.5</v>
      </c>
      <c r="T219" s="227">
        <f t="shared" si="19"/>
        <v>42533.372000000003</v>
      </c>
      <c r="U219" s="230" t="s">
        <v>315</v>
      </c>
      <c r="V219" s="231" t="s">
        <v>12</v>
      </c>
    </row>
    <row r="220" spans="2:22" ht="12" customHeight="1" x14ac:dyDescent="0.2">
      <c r="B220" s="63" t="s">
        <v>108</v>
      </c>
      <c r="C220" s="63" t="s">
        <v>453</v>
      </c>
      <c r="D220" s="78" t="s">
        <v>313</v>
      </c>
      <c r="E220" s="171" t="s">
        <v>220</v>
      </c>
      <c r="F220" s="78" t="s">
        <v>354</v>
      </c>
      <c r="G220" s="171" t="s">
        <v>342</v>
      </c>
      <c r="H220" s="224" t="s">
        <v>293</v>
      </c>
      <c r="I220" s="225" t="s">
        <v>314</v>
      </c>
      <c r="J220" s="224">
        <v>1</v>
      </c>
      <c r="K220" s="225" t="s">
        <v>269</v>
      </c>
      <c r="L220" s="226">
        <v>0</v>
      </c>
      <c r="M220" s="227">
        <f t="shared" si="15"/>
        <v>0</v>
      </c>
      <c r="N220" s="228">
        <v>0</v>
      </c>
      <c r="O220" s="227">
        <f t="shared" si="16"/>
        <v>0</v>
      </c>
      <c r="P220" s="228">
        <v>0</v>
      </c>
      <c r="Q220" s="227">
        <f t="shared" si="17"/>
        <v>0</v>
      </c>
      <c r="R220" s="227">
        <f t="shared" si="18"/>
        <v>0</v>
      </c>
      <c r="S220" s="229">
        <f>INDEX('Glosario Partidas'!$M$8:$M$10,MATCH(BD!K220,'Glosario Partidas'!$L$8:$L$10,0))</f>
        <v>1</v>
      </c>
      <c r="T220" s="227">
        <f t="shared" si="19"/>
        <v>0</v>
      </c>
      <c r="U220" s="230" t="s">
        <v>315</v>
      </c>
      <c r="V220" s="231" t="s">
        <v>13</v>
      </c>
    </row>
    <row r="221" spans="2:22" ht="12" customHeight="1" x14ac:dyDescent="0.2">
      <c r="B221" s="63" t="s">
        <v>108</v>
      </c>
      <c r="C221" s="63" t="s">
        <v>455</v>
      </c>
      <c r="D221" s="78" t="s">
        <v>434</v>
      </c>
      <c r="E221" s="171" t="s">
        <v>220</v>
      </c>
      <c r="F221" s="78" t="s">
        <v>355</v>
      </c>
      <c r="G221" s="171" t="s">
        <v>342</v>
      </c>
      <c r="H221" s="224" t="s">
        <v>435</v>
      </c>
      <c r="I221" s="225" t="s">
        <v>410</v>
      </c>
      <c r="J221" s="224">
        <v>1</v>
      </c>
      <c r="K221" s="225" t="s">
        <v>153</v>
      </c>
      <c r="L221" s="226">
        <v>270.36</v>
      </c>
      <c r="M221" s="227">
        <f t="shared" si="15"/>
        <v>270.36</v>
      </c>
      <c r="N221" s="228">
        <v>0</v>
      </c>
      <c r="O221" s="227">
        <f t="shared" si="16"/>
        <v>0</v>
      </c>
      <c r="P221" s="228">
        <v>0.16</v>
      </c>
      <c r="Q221" s="227">
        <f t="shared" si="17"/>
        <v>43.257600000000004</v>
      </c>
      <c r="R221" s="227">
        <f t="shared" si="18"/>
        <v>313.61760000000004</v>
      </c>
      <c r="S221" s="229">
        <f>INDEX('Glosario Partidas'!$M$8:$M$10,MATCH(BD!K221,'Glosario Partidas'!$L$8:$L$10,0))</f>
        <v>17.5</v>
      </c>
      <c r="T221" s="227">
        <f t="shared" si="19"/>
        <v>5488.3080000000009</v>
      </c>
      <c r="U221" s="230" t="s">
        <v>315</v>
      </c>
      <c r="V221" s="231" t="s">
        <v>12</v>
      </c>
    </row>
    <row r="222" spans="2:22" ht="12" customHeight="1" x14ac:dyDescent="0.2">
      <c r="B222" s="63" t="s">
        <v>108</v>
      </c>
      <c r="C222" s="63" t="s">
        <v>455</v>
      </c>
      <c r="D222" s="78" t="s">
        <v>436</v>
      </c>
      <c r="E222" s="171" t="s">
        <v>220</v>
      </c>
      <c r="F222" s="78" t="s">
        <v>355</v>
      </c>
      <c r="G222" s="171" t="s">
        <v>342</v>
      </c>
      <c r="H222" s="224" t="s">
        <v>435</v>
      </c>
      <c r="I222" s="225" t="s">
        <v>410</v>
      </c>
      <c r="J222" s="224">
        <v>2</v>
      </c>
      <c r="K222" s="225" t="s">
        <v>153</v>
      </c>
      <c r="L222" s="226">
        <v>60.77</v>
      </c>
      <c r="M222" s="227">
        <f t="shared" si="15"/>
        <v>121.54</v>
      </c>
      <c r="N222" s="228">
        <v>0</v>
      </c>
      <c r="O222" s="227">
        <f t="shared" si="16"/>
        <v>0</v>
      </c>
      <c r="P222" s="228">
        <v>0.16</v>
      </c>
      <c r="Q222" s="227">
        <f t="shared" si="17"/>
        <v>19.446400000000001</v>
      </c>
      <c r="R222" s="227">
        <f t="shared" si="18"/>
        <v>140.9864</v>
      </c>
      <c r="S222" s="229">
        <f>INDEX('Glosario Partidas'!$M$8:$M$10,MATCH(BD!K222,'Glosario Partidas'!$L$8:$L$10,0))</f>
        <v>17.5</v>
      </c>
      <c r="T222" s="227">
        <f t="shared" si="19"/>
        <v>2467.2620000000002</v>
      </c>
      <c r="U222" s="230" t="s">
        <v>315</v>
      </c>
      <c r="V222" s="231" t="s">
        <v>12</v>
      </c>
    </row>
    <row r="223" spans="2:22" ht="12" customHeight="1" x14ac:dyDescent="0.2">
      <c r="B223" s="63" t="s">
        <v>108</v>
      </c>
      <c r="C223" s="63" t="s">
        <v>455</v>
      </c>
      <c r="D223" s="78" t="s">
        <v>437</v>
      </c>
      <c r="E223" s="171" t="s">
        <v>220</v>
      </c>
      <c r="F223" s="78" t="s">
        <v>355</v>
      </c>
      <c r="G223" s="171" t="s">
        <v>342</v>
      </c>
      <c r="H223" s="224" t="s">
        <v>435</v>
      </c>
      <c r="I223" s="225" t="s">
        <v>410</v>
      </c>
      <c r="J223" s="224">
        <v>1</v>
      </c>
      <c r="K223" s="225" t="s">
        <v>153</v>
      </c>
      <c r="L223" s="226">
        <v>647.5</v>
      </c>
      <c r="M223" s="227">
        <f t="shared" si="15"/>
        <v>647.5</v>
      </c>
      <c r="N223" s="228">
        <v>0</v>
      </c>
      <c r="O223" s="227">
        <f t="shared" si="16"/>
        <v>0</v>
      </c>
      <c r="P223" s="228">
        <v>0.16</v>
      </c>
      <c r="Q223" s="227">
        <f t="shared" si="17"/>
        <v>103.60000000000001</v>
      </c>
      <c r="R223" s="227">
        <f t="shared" si="18"/>
        <v>751.1</v>
      </c>
      <c r="S223" s="229">
        <f>INDEX('Glosario Partidas'!$M$8:$M$10,MATCH(BD!K223,'Glosario Partidas'!$L$8:$L$10,0))</f>
        <v>17.5</v>
      </c>
      <c r="T223" s="227">
        <f t="shared" si="19"/>
        <v>13144.25</v>
      </c>
      <c r="U223" s="230" t="s">
        <v>315</v>
      </c>
      <c r="V223" s="231" t="s">
        <v>12</v>
      </c>
    </row>
    <row r="224" spans="2:22" ht="12" customHeight="1" x14ac:dyDescent="0.2">
      <c r="B224" s="63" t="s">
        <v>108</v>
      </c>
      <c r="C224" s="63" t="s">
        <v>455</v>
      </c>
      <c r="D224" s="78" t="s">
        <v>438</v>
      </c>
      <c r="E224" s="171" t="s">
        <v>220</v>
      </c>
      <c r="F224" s="78" t="s">
        <v>355</v>
      </c>
      <c r="G224" s="171" t="s">
        <v>342</v>
      </c>
      <c r="H224" s="224" t="s">
        <v>435</v>
      </c>
      <c r="I224" s="225" t="s">
        <v>410</v>
      </c>
      <c r="J224" s="224">
        <v>1</v>
      </c>
      <c r="K224" s="225" t="s">
        <v>153</v>
      </c>
      <c r="L224" s="226">
        <v>388.5</v>
      </c>
      <c r="M224" s="227">
        <f t="shared" si="15"/>
        <v>388.5</v>
      </c>
      <c r="N224" s="228">
        <v>0</v>
      </c>
      <c r="O224" s="227">
        <f t="shared" si="16"/>
        <v>0</v>
      </c>
      <c r="P224" s="228">
        <v>0.16</v>
      </c>
      <c r="Q224" s="227">
        <f t="shared" si="17"/>
        <v>62.160000000000004</v>
      </c>
      <c r="R224" s="227">
        <f t="shared" si="18"/>
        <v>450.66</v>
      </c>
      <c r="S224" s="229">
        <f>INDEX('Glosario Partidas'!$M$8:$M$10,MATCH(BD!K224,'Glosario Partidas'!$L$8:$L$10,0))</f>
        <v>17.5</v>
      </c>
      <c r="T224" s="227">
        <f t="shared" si="19"/>
        <v>7886.55</v>
      </c>
      <c r="U224" s="230" t="s">
        <v>315</v>
      </c>
      <c r="V224" s="231" t="s">
        <v>12</v>
      </c>
    </row>
    <row r="225" spans="2:22" ht="12" customHeight="1" x14ac:dyDescent="0.2">
      <c r="B225" s="63" t="s">
        <v>108</v>
      </c>
      <c r="C225" s="63" t="s">
        <v>455</v>
      </c>
      <c r="D225" s="78" t="s">
        <v>439</v>
      </c>
      <c r="E225" s="171" t="s">
        <v>220</v>
      </c>
      <c r="F225" s="78" t="s">
        <v>355</v>
      </c>
      <c r="G225" s="171" t="s">
        <v>342</v>
      </c>
      <c r="H225" s="224" t="s">
        <v>435</v>
      </c>
      <c r="I225" s="225" t="s">
        <v>410</v>
      </c>
      <c r="J225" s="224">
        <v>0</v>
      </c>
      <c r="K225" s="225" t="s">
        <v>153</v>
      </c>
      <c r="L225" s="226">
        <v>582.75</v>
      </c>
      <c r="M225" s="227">
        <f t="shared" si="15"/>
        <v>0</v>
      </c>
      <c r="N225" s="228">
        <v>0</v>
      </c>
      <c r="O225" s="227">
        <f t="shared" si="16"/>
        <v>0</v>
      </c>
      <c r="P225" s="228">
        <v>0.16</v>
      </c>
      <c r="Q225" s="227">
        <f t="shared" si="17"/>
        <v>0</v>
      </c>
      <c r="R225" s="227">
        <f t="shared" si="18"/>
        <v>0</v>
      </c>
      <c r="S225" s="229">
        <f>INDEX('Glosario Partidas'!$M$8:$M$10,MATCH(BD!K225,'Glosario Partidas'!$L$8:$L$10,0))</f>
        <v>17.5</v>
      </c>
      <c r="T225" s="227">
        <f t="shared" si="19"/>
        <v>0</v>
      </c>
      <c r="U225" s="230" t="s">
        <v>315</v>
      </c>
      <c r="V225" s="231" t="s">
        <v>12</v>
      </c>
    </row>
    <row r="226" spans="2:22" ht="12" customHeight="1" x14ac:dyDescent="0.2">
      <c r="B226" s="63" t="s">
        <v>108</v>
      </c>
      <c r="C226" s="63" t="s">
        <v>455</v>
      </c>
      <c r="D226" s="78" t="s">
        <v>440</v>
      </c>
      <c r="E226" s="171" t="s">
        <v>220</v>
      </c>
      <c r="F226" s="78" t="s">
        <v>355</v>
      </c>
      <c r="G226" s="171" t="s">
        <v>342</v>
      </c>
      <c r="H226" s="224" t="s">
        <v>435</v>
      </c>
      <c r="I226" s="225" t="s">
        <v>410</v>
      </c>
      <c r="J226" s="224">
        <v>1</v>
      </c>
      <c r="K226" s="225" t="s">
        <v>153</v>
      </c>
      <c r="L226" s="226">
        <v>2445.6999999999998</v>
      </c>
      <c r="M226" s="227">
        <f t="shared" si="15"/>
        <v>2445.6999999999998</v>
      </c>
      <c r="N226" s="228">
        <v>0</v>
      </c>
      <c r="O226" s="227">
        <f t="shared" si="16"/>
        <v>0</v>
      </c>
      <c r="P226" s="228">
        <v>0.16</v>
      </c>
      <c r="Q226" s="227">
        <f t="shared" si="17"/>
        <v>391.31199999999995</v>
      </c>
      <c r="R226" s="227">
        <f t="shared" si="18"/>
        <v>2837.0119999999997</v>
      </c>
      <c r="S226" s="229">
        <f>INDEX('Glosario Partidas'!$M$8:$M$10,MATCH(BD!K226,'Glosario Partidas'!$L$8:$L$10,0))</f>
        <v>17.5</v>
      </c>
      <c r="T226" s="227">
        <f t="shared" si="19"/>
        <v>49647.709999999992</v>
      </c>
      <c r="U226" s="230" t="s">
        <v>315</v>
      </c>
      <c r="V226" s="231" t="s">
        <v>12</v>
      </c>
    </row>
    <row r="227" spans="2:22" ht="12" customHeight="1" x14ac:dyDescent="0.2">
      <c r="B227" s="63" t="s">
        <v>108</v>
      </c>
      <c r="C227" s="63" t="s">
        <v>455</v>
      </c>
      <c r="D227" s="78" t="s">
        <v>441</v>
      </c>
      <c r="E227" s="171" t="s">
        <v>220</v>
      </c>
      <c r="F227" s="78" t="s">
        <v>355</v>
      </c>
      <c r="G227" s="171" t="s">
        <v>342</v>
      </c>
      <c r="H227" s="224" t="s">
        <v>435</v>
      </c>
      <c r="I227" s="225" t="s">
        <v>410</v>
      </c>
      <c r="J227" s="224">
        <v>1</v>
      </c>
      <c r="K227" s="225" t="s">
        <v>153</v>
      </c>
      <c r="L227" s="226">
        <v>364.21</v>
      </c>
      <c r="M227" s="227">
        <f t="shared" si="15"/>
        <v>364.21</v>
      </c>
      <c r="N227" s="228">
        <v>0</v>
      </c>
      <c r="O227" s="227">
        <f t="shared" si="16"/>
        <v>0</v>
      </c>
      <c r="P227" s="228">
        <v>0.16</v>
      </c>
      <c r="Q227" s="227">
        <f t="shared" si="17"/>
        <v>58.273599999999995</v>
      </c>
      <c r="R227" s="227">
        <f t="shared" si="18"/>
        <v>422.48359999999997</v>
      </c>
      <c r="S227" s="229">
        <f>INDEX('Glosario Partidas'!$M$8:$M$10,MATCH(BD!K227,'Glosario Partidas'!$L$8:$L$10,0))</f>
        <v>17.5</v>
      </c>
      <c r="T227" s="227">
        <f t="shared" si="19"/>
        <v>7393.4629999999997</v>
      </c>
      <c r="U227" s="230" t="s">
        <v>315</v>
      </c>
      <c r="V227" s="231" t="s">
        <v>12</v>
      </c>
    </row>
    <row r="228" spans="2:22" ht="12" customHeight="1" x14ac:dyDescent="0.2">
      <c r="B228" s="63" t="s">
        <v>108</v>
      </c>
      <c r="C228" s="63" t="s">
        <v>455</v>
      </c>
      <c r="D228" s="78" t="s">
        <v>442</v>
      </c>
      <c r="E228" s="171" t="s">
        <v>220</v>
      </c>
      <c r="F228" s="78" t="s">
        <v>355</v>
      </c>
      <c r="G228" s="171" t="s">
        <v>342</v>
      </c>
      <c r="H228" s="224" t="s">
        <v>435</v>
      </c>
      <c r="I228" s="225" t="s">
        <v>410</v>
      </c>
      <c r="J228" s="224">
        <v>1</v>
      </c>
      <c r="K228" s="225" t="s">
        <v>153</v>
      </c>
      <c r="L228" s="226">
        <v>209.38</v>
      </c>
      <c r="M228" s="227">
        <f t="shared" si="15"/>
        <v>209.38</v>
      </c>
      <c r="N228" s="228">
        <v>0</v>
      </c>
      <c r="O228" s="227">
        <f t="shared" si="16"/>
        <v>0</v>
      </c>
      <c r="P228" s="228">
        <v>0.16</v>
      </c>
      <c r="Q228" s="227">
        <f t="shared" si="17"/>
        <v>33.500799999999998</v>
      </c>
      <c r="R228" s="227">
        <f t="shared" si="18"/>
        <v>242.88079999999999</v>
      </c>
      <c r="S228" s="229">
        <f>INDEX('Glosario Partidas'!$M$8:$M$10,MATCH(BD!K228,'Glosario Partidas'!$L$8:$L$10,0))</f>
        <v>17.5</v>
      </c>
      <c r="T228" s="227">
        <f t="shared" si="19"/>
        <v>4250.4139999999998</v>
      </c>
      <c r="U228" s="230" t="s">
        <v>315</v>
      </c>
      <c r="V228" s="231" t="s">
        <v>12</v>
      </c>
    </row>
    <row r="229" spans="2:22" ht="12" customHeight="1" x14ac:dyDescent="0.2">
      <c r="B229" s="63" t="s">
        <v>108</v>
      </c>
      <c r="C229" s="63" t="s">
        <v>455</v>
      </c>
      <c r="D229" s="78" t="s">
        <v>443</v>
      </c>
      <c r="E229" s="171" t="s">
        <v>220</v>
      </c>
      <c r="F229" s="78" t="s">
        <v>355</v>
      </c>
      <c r="G229" s="171" t="s">
        <v>342</v>
      </c>
      <c r="H229" s="224" t="s">
        <v>435</v>
      </c>
      <c r="I229" s="225" t="s">
        <v>410</v>
      </c>
      <c r="J229" s="224">
        <v>0</v>
      </c>
      <c r="K229" s="225" t="s">
        <v>153</v>
      </c>
      <c r="L229" s="226">
        <v>3198.65</v>
      </c>
      <c r="M229" s="227">
        <f t="shared" si="15"/>
        <v>0</v>
      </c>
      <c r="N229" s="228">
        <v>0</v>
      </c>
      <c r="O229" s="227">
        <f t="shared" si="16"/>
        <v>0</v>
      </c>
      <c r="P229" s="228">
        <v>0.16</v>
      </c>
      <c r="Q229" s="227">
        <f t="shared" si="17"/>
        <v>0</v>
      </c>
      <c r="R229" s="227">
        <f t="shared" si="18"/>
        <v>0</v>
      </c>
      <c r="S229" s="229">
        <f>INDEX('Glosario Partidas'!$M$8:$M$10,MATCH(BD!K229,'Glosario Partidas'!$L$8:$L$10,0))</f>
        <v>17.5</v>
      </c>
      <c r="T229" s="227">
        <f t="shared" si="19"/>
        <v>0</v>
      </c>
      <c r="U229" s="230" t="s">
        <v>315</v>
      </c>
      <c r="V229" s="231" t="s">
        <v>12</v>
      </c>
    </row>
    <row r="230" spans="2:22" ht="12" customHeight="1" x14ac:dyDescent="0.2">
      <c r="B230" s="63" t="s">
        <v>108</v>
      </c>
      <c r="C230" s="63" t="s">
        <v>455</v>
      </c>
      <c r="D230" s="78" t="s">
        <v>444</v>
      </c>
      <c r="E230" s="171" t="s">
        <v>220</v>
      </c>
      <c r="F230" s="78" t="s">
        <v>355</v>
      </c>
      <c r="G230" s="171" t="s">
        <v>342</v>
      </c>
      <c r="H230" s="224" t="s">
        <v>435</v>
      </c>
      <c r="I230" s="225" t="s">
        <v>410</v>
      </c>
      <c r="J230" s="224">
        <v>0</v>
      </c>
      <c r="K230" s="225" t="s">
        <v>153</v>
      </c>
      <c r="L230" s="226">
        <v>2577.33</v>
      </c>
      <c r="M230" s="227">
        <f t="shared" si="15"/>
        <v>0</v>
      </c>
      <c r="N230" s="228">
        <v>0</v>
      </c>
      <c r="O230" s="227">
        <f t="shared" si="16"/>
        <v>0</v>
      </c>
      <c r="P230" s="228">
        <v>0.16</v>
      </c>
      <c r="Q230" s="227">
        <f t="shared" si="17"/>
        <v>0</v>
      </c>
      <c r="R230" s="227">
        <f t="shared" si="18"/>
        <v>0</v>
      </c>
      <c r="S230" s="229">
        <f>INDEX('Glosario Partidas'!$M$8:$M$10,MATCH(BD!K230,'Glosario Partidas'!$L$8:$L$10,0))</f>
        <v>17.5</v>
      </c>
      <c r="T230" s="227">
        <f t="shared" si="19"/>
        <v>0</v>
      </c>
      <c r="U230" s="230" t="s">
        <v>315</v>
      </c>
      <c r="V230" s="231" t="s">
        <v>12</v>
      </c>
    </row>
    <row r="231" spans="2:22" ht="12" customHeight="1" x14ac:dyDescent="0.2">
      <c r="B231" s="63" t="s">
        <v>108</v>
      </c>
      <c r="C231" s="63" t="s">
        <v>455</v>
      </c>
      <c r="D231" s="78" t="s">
        <v>445</v>
      </c>
      <c r="E231" s="171" t="s">
        <v>220</v>
      </c>
      <c r="F231" s="78" t="s">
        <v>355</v>
      </c>
      <c r="G231" s="171" t="s">
        <v>342</v>
      </c>
      <c r="H231" s="224" t="s">
        <v>435</v>
      </c>
      <c r="I231" s="225" t="s">
        <v>410</v>
      </c>
      <c r="J231" s="224">
        <v>0</v>
      </c>
      <c r="K231" s="225" t="s">
        <v>153</v>
      </c>
      <c r="L231" s="226">
        <v>220.8</v>
      </c>
      <c r="M231" s="227">
        <f t="shared" si="15"/>
        <v>0</v>
      </c>
      <c r="N231" s="228">
        <v>0</v>
      </c>
      <c r="O231" s="227">
        <f t="shared" si="16"/>
        <v>0</v>
      </c>
      <c r="P231" s="228">
        <v>0.16</v>
      </c>
      <c r="Q231" s="227">
        <f t="shared" si="17"/>
        <v>0</v>
      </c>
      <c r="R231" s="227">
        <f t="shared" si="18"/>
        <v>0</v>
      </c>
      <c r="S231" s="229">
        <f>INDEX('Glosario Partidas'!$M$8:$M$10,MATCH(BD!K231,'Glosario Partidas'!$L$8:$L$10,0))</f>
        <v>17.5</v>
      </c>
      <c r="T231" s="227">
        <f t="shared" si="19"/>
        <v>0</v>
      </c>
      <c r="U231" s="230" t="s">
        <v>315</v>
      </c>
      <c r="V231" s="231" t="s">
        <v>12</v>
      </c>
    </row>
    <row r="232" spans="2:22" ht="12" customHeight="1" x14ac:dyDescent="0.2">
      <c r="B232" s="63" t="s">
        <v>108</v>
      </c>
      <c r="C232" s="63" t="s">
        <v>455</v>
      </c>
      <c r="D232" s="78" t="s">
        <v>446</v>
      </c>
      <c r="E232" s="171" t="s">
        <v>220</v>
      </c>
      <c r="F232" s="78" t="s">
        <v>355</v>
      </c>
      <c r="G232" s="171" t="s">
        <v>342</v>
      </c>
      <c r="H232" s="224" t="s">
        <v>435</v>
      </c>
      <c r="I232" s="225" t="s">
        <v>410</v>
      </c>
      <c r="J232" s="224">
        <v>0</v>
      </c>
      <c r="K232" s="225" t="s">
        <v>153</v>
      </c>
      <c r="L232" s="226">
        <v>5986.81</v>
      </c>
      <c r="M232" s="227">
        <f t="shared" si="15"/>
        <v>0</v>
      </c>
      <c r="N232" s="228">
        <v>0</v>
      </c>
      <c r="O232" s="227">
        <f t="shared" si="16"/>
        <v>0</v>
      </c>
      <c r="P232" s="228">
        <v>0.16</v>
      </c>
      <c r="Q232" s="227">
        <f t="shared" si="17"/>
        <v>0</v>
      </c>
      <c r="R232" s="227">
        <f t="shared" si="18"/>
        <v>0</v>
      </c>
      <c r="S232" s="229">
        <f>INDEX('Glosario Partidas'!$M$8:$M$10,MATCH(BD!K232,'Glosario Partidas'!$L$8:$L$10,0))</f>
        <v>17.5</v>
      </c>
      <c r="T232" s="227">
        <f t="shared" si="19"/>
        <v>0</v>
      </c>
      <c r="U232" s="230" t="s">
        <v>315</v>
      </c>
      <c r="V232" s="231" t="s">
        <v>12</v>
      </c>
    </row>
    <row r="233" spans="2:22" ht="12" customHeight="1" x14ac:dyDescent="0.2">
      <c r="B233" s="63" t="s">
        <v>108</v>
      </c>
      <c r="C233" s="63" t="s">
        <v>455</v>
      </c>
      <c r="D233" s="233" t="s">
        <v>447</v>
      </c>
      <c r="E233" s="171" t="s">
        <v>220</v>
      </c>
      <c r="F233" s="78" t="s">
        <v>355</v>
      </c>
      <c r="G233" s="171" t="s">
        <v>342</v>
      </c>
      <c r="H233" s="224" t="s">
        <v>435</v>
      </c>
      <c r="I233" s="225" t="s">
        <v>410</v>
      </c>
      <c r="J233" s="224">
        <v>0</v>
      </c>
      <c r="K233" s="225" t="s">
        <v>153</v>
      </c>
      <c r="L233" s="226">
        <v>0</v>
      </c>
      <c r="M233" s="227">
        <f t="shared" si="15"/>
        <v>0</v>
      </c>
      <c r="N233" s="228">
        <v>0</v>
      </c>
      <c r="O233" s="227">
        <f t="shared" si="16"/>
        <v>0</v>
      </c>
      <c r="P233" s="228">
        <v>0.16</v>
      </c>
      <c r="Q233" s="227">
        <f t="shared" si="17"/>
        <v>0</v>
      </c>
      <c r="R233" s="227">
        <f t="shared" si="18"/>
        <v>0</v>
      </c>
      <c r="S233" s="229">
        <f>INDEX('Glosario Partidas'!$M$8:$M$10,MATCH(BD!K233,'Glosario Partidas'!$L$8:$L$10,0))</f>
        <v>17.5</v>
      </c>
      <c r="T233" s="227">
        <f t="shared" si="19"/>
        <v>0</v>
      </c>
      <c r="U233" s="230" t="s">
        <v>315</v>
      </c>
      <c r="V233" s="231" t="s">
        <v>12</v>
      </c>
    </row>
    <row r="234" spans="2:22" ht="12" customHeight="1" x14ac:dyDescent="0.2">
      <c r="B234" s="63" t="s">
        <v>108</v>
      </c>
      <c r="C234" s="63" t="s">
        <v>455</v>
      </c>
      <c r="D234" s="78" t="s">
        <v>448</v>
      </c>
      <c r="E234" s="171" t="s">
        <v>220</v>
      </c>
      <c r="F234" s="78" t="s">
        <v>355</v>
      </c>
      <c r="G234" s="171" t="s">
        <v>342</v>
      </c>
      <c r="H234" s="224" t="s">
        <v>435</v>
      </c>
      <c r="I234" s="225" t="s">
        <v>410</v>
      </c>
      <c r="J234" s="224">
        <v>1</v>
      </c>
      <c r="K234" s="225" t="s">
        <v>153</v>
      </c>
      <c r="L234" s="226">
        <v>1994.83</v>
      </c>
      <c r="M234" s="227">
        <f t="shared" si="15"/>
        <v>1994.83</v>
      </c>
      <c r="N234" s="228">
        <v>0</v>
      </c>
      <c r="O234" s="227">
        <f t="shared" si="16"/>
        <v>0</v>
      </c>
      <c r="P234" s="228">
        <v>0.16</v>
      </c>
      <c r="Q234" s="227">
        <f t="shared" si="17"/>
        <v>319.1728</v>
      </c>
      <c r="R234" s="227">
        <f t="shared" si="18"/>
        <v>2314.0027999999998</v>
      </c>
      <c r="S234" s="229">
        <f>INDEX('Glosario Partidas'!$M$8:$M$10,MATCH(BD!K234,'Glosario Partidas'!$L$8:$L$10,0))</f>
        <v>17.5</v>
      </c>
      <c r="T234" s="227">
        <f t="shared" si="19"/>
        <v>40495.048999999999</v>
      </c>
      <c r="U234" s="230" t="s">
        <v>315</v>
      </c>
      <c r="V234" s="231" t="s">
        <v>12</v>
      </c>
    </row>
    <row r="235" spans="2:22" ht="12" customHeight="1" x14ac:dyDescent="0.2">
      <c r="B235" s="63" t="s">
        <v>108</v>
      </c>
      <c r="C235" s="63" t="s">
        <v>455</v>
      </c>
      <c r="D235" s="78" t="s">
        <v>449</v>
      </c>
      <c r="E235" s="171" t="s">
        <v>220</v>
      </c>
      <c r="F235" s="78" t="s">
        <v>355</v>
      </c>
      <c r="G235" s="171" t="s">
        <v>342</v>
      </c>
      <c r="H235" s="224" t="s">
        <v>435</v>
      </c>
      <c r="I235" s="225" t="s">
        <v>410</v>
      </c>
      <c r="J235" s="224">
        <v>1</v>
      </c>
      <c r="K235" s="225" t="s">
        <v>153</v>
      </c>
      <c r="L235" s="226">
        <v>2265.08</v>
      </c>
      <c r="M235" s="227">
        <f t="shared" si="15"/>
        <v>2265.08</v>
      </c>
      <c r="N235" s="228">
        <v>0</v>
      </c>
      <c r="O235" s="227">
        <f t="shared" si="16"/>
        <v>0</v>
      </c>
      <c r="P235" s="228">
        <v>0.16</v>
      </c>
      <c r="Q235" s="227">
        <f t="shared" si="17"/>
        <v>362.4128</v>
      </c>
      <c r="R235" s="227">
        <f t="shared" si="18"/>
        <v>2627.4928</v>
      </c>
      <c r="S235" s="229">
        <f>INDEX('Glosario Partidas'!$M$8:$M$10,MATCH(BD!K235,'Glosario Partidas'!$L$8:$L$10,0))</f>
        <v>17.5</v>
      </c>
      <c r="T235" s="227">
        <f t="shared" si="19"/>
        <v>45981.123999999996</v>
      </c>
      <c r="U235" s="230" t="s">
        <v>315</v>
      </c>
      <c r="V235" s="231" t="s">
        <v>12</v>
      </c>
    </row>
    <row r="236" spans="2:22" ht="12" customHeight="1" x14ac:dyDescent="0.2">
      <c r="B236" s="63" t="s">
        <v>108</v>
      </c>
      <c r="C236" s="63" t="s">
        <v>455</v>
      </c>
      <c r="D236" s="78" t="s">
        <v>450</v>
      </c>
      <c r="E236" s="171" t="s">
        <v>220</v>
      </c>
      <c r="F236" s="78" t="s">
        <v>355</v>
      </c>
      <c r="G236" s="171" t="s">
        <v>342</v>
      </c>
      <c r="H236" s="224" t="s">
        <v>435</v>
      </c>
      <c r="I236" s="225" t="s">
        <v>410</v>
      </c>
      <c r="J236" s="224">
        <v>0</v>
      </c>
      <c r="K236" s="225" t="s">
        <v>153</v>
      </c>
      <c r="L236" s="226">
        <v>184.45</v>
      </c>
      <c r="M236" s="227">
        <f t="shared" si="15"/>
        <v>0</v>
      </c>
      <c r="N236" s="228">
        <v>0</v>
      </c>
      <c r="O236" s="227">
        <f t="shared" si="16"/>
        <v>0</v>
      </c>
      <c r="P236" s="228">
        <v>0.16</v>
      </c>
      <c r="Q236" s="227">
        <f t="shared" si="17"/>
        <v>0</v>
      </c>
      <c r="R236" s="227">
        <f t="shared" si="18"/>
        <v>0</v>
      </c>
      <c r="S236" s="229">
        <f>INDEX('Glosario Partidas'!$M$8:$M$10,MATCH(BD!K236,'Glosario Partidas'!$L$8:$L$10,0))</f>
        <v>17.5</v>
      </c>
      <c r="T236" s="227">
        <f t="shared" si="19"/>
        <v>0</v>
      </c>
      <c r="U236" s="230" t="s">
        <v>315</v>
      </c>
      <c r="V236" s="231" t="s">
        <v>12</v>
      </c>
    </row>
    <row r="237" spans="2:22" ht="12" customHeight="1" x14ac:dyDescent="0.2">
      <c r="B237" s="63" t="s">
        <v>108</v>
      </c>
      <c r="C237" s="63" t="s">
        <v>455</v>
      </c>
      <c r="D237" s="78" t="s">
        <v>451</v>
      </c>
      <c r="E237" s="171" t="s">
        <v>220</v>
      </c>
      <c r="F237" s="78" t="s">
        <v>355</v>
      </c>
      <c r="G237" s="171" t="s">
        <v>342</v>
      </c>
      <c r="H237" s="224" t="s">
        <v>435</v>
      </c>
      <c r="I237" s="225" t="s">
        <v>410</v>
      </c>
      <c r="J237" s="224">
        <v>0</v>
      </c>
      <c r="K237" s="225" t="s">
        <v>153</v>
      </c>
      <c r="L237" s="226">
        <v>2984.59</v>
      </c>
      <c r="M237" s="227">
        <f t="shared" si="15"/>
        <v>0</v>
      </c>
      <c r="N237" s="228">
        <v>0</v>
      </c>
      <c r="O237" s="227">
        <f t="shared" si="16"/>
        <v>0</v>
      </c>
      <c r="P237" s="228">
        <v>0.16</v>
      </c>
      <c r="Q237" s="227">
        <f t="shared" si="17"/>
        <v>0</v>
      </c>
      <c r="R237" s="227">
        <f t="shared" si="18"/>
        <v>0</v>
      </c>
      <c r="S237" s="229">
        <f>INDEX('Glosario Partidas'!$M$8:$M$10,MATCH(BD!K237,'Glosario Partidas'!$L$8:$L$10,0))</f>
        <v>17.5</v>
      </c>
      <c r="T237" s="227">
        <f t="shared" si="19"/>
        <v>0</v>
      </c>
      <c r="U237" s="230" t="s">
        <v>315</v>
      </c>
      <c r="V237" s="231" t="s">
        <v>12</v>
      </c>
    </row>
    <row r="238" spans="2:22" ht="12" customHeight="1" x14ac:dyDescent="0.2">
      <c r="B238" s="63" t="s">
        <v>108</v>
      </c>
      <c r="C238" s="63" t="s">
        <v>455</v>
      </c>
      <c r="D238" s="78" t="s">
        <v>452</v>
      </c>
      <c r="E238" s="171" t="s">
        <v>220</v>
      </c>
      <c r="F238" s="78" t="s">
        <v>355</v>
      </c>
      <c r="G238" s="171" t="s">
        <v>342</v>
      </c>
      <c r="H238" s="224" t="s">
        <v>435</v>
      </c>
      <c r="I238" s="225" t="s">
        <v>410</v>
      </c>
      <c r="J238" s="224">
        <v>1</v>
      </c>
      <c r="K238" s="225" t="s">
        <v>153</v>
      </c>
      <c r="L238" s="226">
        <v>523.80999999999995</v>
      </c>
      <c r="M238" s="227">
        <f t="shared" si="15"/>
        <v>523.80999999999995</v>
      </c>
      <c r="N238" s="228">
        <v>0</v>
      </c>
      <c r="O238" s="227">
        <f t="shared" si="16"/>
        <v>0</v>
      </c>
      <c r="P238" s="228">
        <v>0.16</v>
      </c>
      <c r="Q238" s="227">
        <f t="shared" si="17"/>
        <v>83.809599999999989</v>
      </c>
      <c r="R238" s="227">
        <f t="shared" si="18"/>
        <v>607.61959999999999</v>
      </c>
      <c r="S238" s="229">
        <f>INDEX('Glosario Partidas'!$M$8:$M$10,MATCH(BD!K238,'Glosario Partidas'!$L$8:$L$10,0))</f>
        <v>17.5</v>
      </c>
      <c r="T238" s="227">
        <f t="shared" si="19"/>
        <v>10633.343000000001</v>
      </c>
      <c r="U238" s="230" t="s">
        <v>315</v>
      </c>
      <c r="V238" s="231" t="s">
        <v>12</v>
      </c>
    </row>
    <row r="239" spans="2:22" ht="12" customHeight="1" x14ac:dyDescent="0.2">
      <c r="B239" s="63" t="s">
        <v>108</v>
      </c>
      <c r="C239" s="63" t="s">
        <v>453</v>
      </c>
      <c r="D239" s="78" t="s">
        <v>313</v>
      </c>
      <c r="E239" s="171" t="s">
        <v>220</v>
      </c>
      <c r="F239" s="78" t="s">
        <v>355</v>
      </c>
      <c r="G239" s="171" t="s">
        <v>342</v>
      </c>
      <c r="H239" s="224" t="s">
        <v>456</v>
      </c>
      <c r="I239" s="225" t="s">
        <v>314</v>
      </c>
      <c r="J239" s="224">
        <v>1</v>
      </c>
      <c r="K239" s="225" t="s">
        <v>269</v>
      </c>
      <c r="L239" s="226">
        <v>0</v>
      </c>
      <c r="M239" s="227">
        <f t="shared" si="15"/>
        <v>0</v>
      </c>
      <c r="N239" s="228">
        <v>0</v>
      </c>
      <c r="O239" s="227">
        <f t="shared" si="16"/>
        <v>0</v>
      </c>
      <c r="P239" s="228">
        <v>0.16</v>
      </c>
      <c r="Q239" s="227">
        <f t="shared" si="17"/>
        <v>0</v>
      </c>
      <c r="R239" s="227">
        <f t="shared" si="18"/>
        <v>0</v>
      </c>
      <c r="S239" s="229">
        <f>INDEX('Glosario Partidas'!$M$8:$M$10,MATCH(BD!K239,'Glosario Partidas'!$L$8:$L$10,0))</f>
        <v>1</v>
      </c>
      <c r="T239" s="227">
        <f t="shared" si="19"/>
        <v>0</v>
      </c>
      <c r="U239" s="230" t="s">
        <v>315</v>
      </c>
      <c r="V239" s="231" t="s">
        <v>13</v>
      </c>
    </row>
    <row r="240" spans="2:22" ht="12" customHeight="1" x14ac:dyDescent="0.2">
      <c r="B240" s="63" t="s">
        <v>188</v>
      </c>
      <c r="C240" s="63" t="s">
        <v>457</v>
      </c>
      <c r="D240" s="78" t="s">
        <v>458</v>
      </c>
      <c r="E240" s="171" t="s">
        <v>220</v>
      </c>
      <c r="F240" s="78" t="s">
        <v>221</v>
      </c>
      <c r="G240" s="171" t="s">
        <v>342</v>
      </c>
      <c r="H240" s="224" t="s">
        <v>456</v>
      </c>
      <c r="I240" s="225" t="s">
        <v>410</v>
      </c>
      <c r="J240" s="224">
        <v>1</v>
      </c>
      <c r="K240" s="225" t="s">
        <v>269</v>
      </c>
      <c r="L240" s="239">
        <v>88226</v>
      </c>
      <c r="M240" s="227">
        <f t="shared" si="15"/>
        <v>88226</v>
      </c>
      <c r="N240" s="228">
        <v>0</v>
      </c>
      <c r="O240" s="227">
        <f t="shared" si="16"/>
        <v>0</v>
      </c>
      <c r="P240" s="228">
        <v>0.16</v>
      </c>
      <c r="Q240" s="227">
        <f t="shared" si="17"/>
        <v>14116.16</v>
      </c>
      <c r="R240" s="227">
        <f t="shared" si="18"/>
        <v>102342.16</v>
      </c>
      <c r="S240" s="229">
        <f>INDEX('Glosario Partidas'!$M$8:$M$10,MATCH(BD!K240,'Glosario Partidas'!$L$8:$L$10,0))</f>
        <v>1</v>
      </c>
      <c r="T240" s="227">
        <f t="shared" si="19"/>
        <v>102342.16</v>
      </c>
      <c r="U240" s="230" t="s">
        <v>315</v>
      </c>
      <c r="V240" s="231" t="s">
        <v>13</v>
      </c>
    </row>
    <row r="241" spans="2:22" ht="12" customHeight="1" x14ac:dyDescent="0.2">
      <c r="B241" s="63" t="s">
        <v>188</v>
      </c>
      <c r="C241" s="63" t="s">
        <v>459</v>
      </c>
      <c r="D241" s="78" t="s">
        <v>460</v>
      </c>
      <c r="E241" s="171" t="s">
        <v>220</v>
      </c>
      <c r="F241" s="78" t="s">
        <v>221</v>
      </c>
      <c r="G241" s="171" t="s">
        <v>342</v>
      </c>
      <c r="H241" s="224" t="s">
        <v>456</v>
      </c>
      <c r="I241" s="225" t="s">
        <v>410</v>
      </c>
      <c r="J241" s="224">
        <v>1</v>
      </c>
      <c r="K241" s="225" t="s">
        <v>269</v>
      </c>
      <c r="L241" s="239">
        <v>43840</v>
      </c>
      <c r="M241" s="227">
        <f t="shared" si="15"/>
        <v>43840</v>
      </c>
      <c r="N241" s="228">
        <v>0</v>
      </c>
      <c r="O241" s="227">
        <f t="shared" si="16"/>
        <v>0</v>
      </c>
      <c r="P241" s="228">
        <v>0.16</v>
      </c>
      <c r="Q241" s="227">
        <f t="shared" si="17"/>
        <v>7014.4000000000005</v>
      </c>
      <c r="R241" s="227">
        <f t="shared" si="18"/>
        <v>50854.400000000001</v>
      </c>
      <c r="S241" s="229">
        <f>INDEX('Glosario Partidas'!$M$8:$M$10,MATCH(BD!K241,'Glosario Partidas'!$L$8:$L$10,0))</f>
        <v>1</v>
      </c>
      <c r="T241" s="227">
        <f t="shared" si="19"/>
        <v>50854.400000000001</v>
      </c>
      <c r="U241" s="230" t="s">
        <v>315</v>
      </c>
      <c r="V241" s="231" t="s">
        <v>13</v>
      </c>
    </row>
    <row r="242" spans="2:22" ht="12" customHeight="1" x14ac:dyDescent="0.2">
      <c r="B242" s="63" t="s">
        <v>188</v>
      </c>
      <c r="C242" s="63" t="s">
        <v>459</v>
      </c>
      <c r="D242" s="78" t="s">
        <v>399</v>
      </c>
      <c r="E242" s="171" t="s">
        <v>220</v>
      </c>
      <c r="F242" s="78" t="s">
        <v>221</v>
      </c>
      <c r="G242" s="171" t="s">
        <v>342</v>
      </c>
      <c r="H242" s="224" t="s">
        <v>456</v>
      </c>
      <c r="I242" s="225" t="s">
        <v>410</v>
      </c>
      <c r="J242" s="224">
        <v>1</v>
      </c>
      <c r="K242" s="225" t="s">
        <v>269</v>
      </c>
      <c r="L242" s="239">
        <v>104148</v>
      </c>
      <c r="M242" s="227">
        <f t="shared" si="15"/>
        <v>104148</v>
      </c>
      <c r="N242" s="228">
        <v>0</v>
      </c>
      <c r="O242" s="227">
        <f t="shared" si="16"/>
        <v>0</v>
      </c>
      <c r="P242" s="228">
        <v>0.16</v>
      </c>
      <c r="Q242" s="227">
        <f t="shared" si="17"/>
        <v>16663.68</v>
      </c>
      <c r="R242" s="227">
        <f t="shared" si="18"/>
        <v>120811.68</v>
      </c>
      <c r="S242" s="229">
        <f>INDEX('Glosario Partidas'!$M$8:$M$10,MATCH(BD!K242,'Glosario Partidas'!$L$8:$L$10,0))</f>
        <v>1</v>
      </c>
      <c r="T242" s="227">
        <f t="shared" si="19"/>
        <v>120811.68</v>
      </c>
      <c r="U242" s="230" t="s">
        <v>315</v>
      </c>
      <c r="V242" s="231" t="s">
        <v>13</v>
      </c>
    </row>
    <row r="243" spans="2:22" ht="12" customHeight="1" x14ac:dyDescent="0.2">
      <c r="B243" s="63" t="s">
        <v>188</v>
      </c>
      <c r="C243" s="63" t="s">
        <v>459</v>
      </c>
      <c r="D243" s="78" t="s">
        <v>461</v>
      </c>
      <c r="E243" s="171" t="s">
        <v>220</v>
      </c>
      <c r="F243" s="78" t="s">
        <v>221</v>
      </c>
      <c r="G243" s="171" t="s">
        <v>342</v>
      </c>
      <c r="H243" s="224" t="s">
        <v>456</v>
      </c>
      <c r="I243" s="225" t="s">
        <v>410</v>
      </c>
      <c r="J243" s="224">
        <v>1</v>
      </c>
      <c r="K243" s="225" t="s">
        <v>269</v>
      </c>
      <c r="L243" s="239">
        <v>104148</v>
      </c>
      <c r="M243" s="227">
        <f t="shared" si="15"/>
        <v>104148</v>
      </c>
      <c r="N243" s="228">
        <v>0</v>
      </c>
      <c r="O243" s="227">
        <f t="shared" si="16"/>
        <v>0</v>
      </c>
      <c r="P243" s="228">
        <v>0.16</v>
      </c>
      <c r="Q243" s="227">
        <f t="shared" si="17"/>
        <v>16663.68</v>
      </c>
      <c r="R243" s="227">
        <f t="shared" si="18"/>
        <v>120811.68</v>
      </c>
      <c r="S243" s="229">
        <f>INDEX('Glosario Partidas'!$M$8:$M$10,MATCH(BD!K243,'Glosario Partidas'!$L$8:$L$10,0))</f>
        <v>1</v>
      </c>
      <c r="T243" s="227">
        <f t="shared" si="19"/>
        <v>120811.68</v>
      </c>
      <c r="U243" s="230" t="s">
        <v>315</v>
      </c>
      <c r="V243" s="231" t="s">
        <v>13</v>
      </c>
    </row>
    <row r="244" spans="2:22" ht="12" customHeight="1" x14ac:dyDescent="0.2">
      <c r="B244" s="63" t="s">
        <v>188</v>
      </c>
      <c r="C244" s="63" t="s">
        <v>459</v>
      </c>
      <c r="D244" s="78" t="s">
        <v>462</v>
      </c>
      <c r="E244" s="171" t="s">
        <v>220</v>
      </c>
      <c r="F244" s="78" t="s">
        <v>221</v>
      </c>
      <c r="G244" s="171" t="s">
        <v>342</v>
      </c>
      <c r="H244" s="224" t="s">
        <v>456</v>
      </c>
      <c r="I244" s="225" t="s">
        <v>410</v>
      </c>
      <c r="J244" s="224">
        <v>1</v>
      </c>
      <c r="K244" s="225" t="s">
        <v>269</v>
      </c>
      <c r="L244" s="239">
        <v>43840</v>
      </c>
      <c r="M244" s="227">
        <f t="shared" si="15"/>
        <v>43840</v>
      </c>
      <c r="N244" s="228">
        <v>0</v>
      </c>
      <c r="O244" s="227">
        <f t="shared" si="16"/>
        <v>0</v>
      </c>
      <c r="P244" s="228">
        <v>0.16</v>
      </c>
      <c r="Q244" s="227">
        <f t="shared" si="17"/>
        <v>7014.4000000000005</v>
      </c>
      <c r="R244" s="227">
        <f t="shared" si="18"/>
        <v>50854.400000000001</v>
      </c>
      <c r="S244" s="229">
        <f>INDEX('Glosario Partidas'!$M$8:$M$10,MATCH(BD!K244,'Glosario Partidas'!$L$8:$L$10,0))</f>
        <v>1</v>
      </c>
      <c r="T244" s="227">
        <f t="shared" si="19"/>
        <v>50854.400000000001</v>
      </c>
      <c r="U244" s="230" t="s">
        <v>315</v>
      </c>
      <c r="V244" s="231" t="s">
        <v>13</v>
      </c>
    </row>
    <row r="245" spans="2:22" ht="12" customHeight="1" x14ac:dyDescent="0.2">
      <c r="B245" s="63" t="s">
        <v>188</v>
      </c>
      <c r="C245" s="63" t="s">
        <v>459</v>
      </c>
      <c r="D245" s="78" t="s">
        <v>400</v>
      </c>
      <c r="E245" s="171" t="s">
        <v>220</v>
      </c>
      <c r="F245" s="78" t="s">
        <v>221</v>
      </c>
      <c r="G245" s="171" t="s">
        <v>342</v>
      </c>
      <c r="H245" s="224" t="s">
        <v>456</v>
      </c>
      <c r="I245" s="225" t="s">
        <v>410</v>
      </c>
      <c r="J245" s="224">
        <v>1</v>
      </c>
      <c r="K245" s="225" t="s">
        <v>269</v>
      </c>
      <c r="L245" s="239">
        <v>104148</v>
      </c>
      <c r="M245" s="227">
        <f t="shared" si="15"/>
        <v>104148</v>
      </c>
      <c r="N245" s="228">
        <v>0</v>
      </c>
      <c r="O245" s="227">
        <f t="shared" si="16"/>
        <v>0</v>
      </c>
      <c r="P245" s="228">
        <v>0.16</v>
      </c>
      <c r="Q245" s="227">
        <f t="shared" si="17"/>
        <v>16663.68</v>
      </c>
      <c r="R245" s="227">
        <f t="shared" si="18"/>
        <v>120811.68</v>
      </c>
      <c r="S245" s="229">
        <f>INDEX('Glosario Partidas'!$M$8:$M$10,MATCH(BD!K245,'Glosario Partidas'!$L$8:$L$10,0))</f>
        <v>1</v>
      </c>
      <c r="T245" s="227">
        <f t="shared" si="19"/>
        <v>120811.68</v>
      </c>
      <c r="U245" s="230" t="s">
        <v>315</v>
      </c>
      <c r="V245" s="231" t="s">
        <v>13</v>
      </c>
    </row>
    <row r="246" spans="2:22" ht="12" customHeight="1" x14ac:dyDescent="0.2">
      <c r="B246" s="63" t="s">
        <v>188</v>
      </c>
      <c r="C246" s="63" t="s">
        <v>459</v>
      </c>
      <c r="D246" s="78" t="s">
        <v>463</v>
      </c>
      <c r="E246" s="171" t="s">
        <v>220</v>
      </c>
      <c r="F246" s="78" t="s">
        <v>221</v>
      </c>
      <c r="G246" s="171" t="s">
        <v>342</v>
      </c>
      <c r="H246" s="224" t="s">
        <v>456</v>
      </c>
      <c r="I246" s="225" t="s">
        <v>410</v>
      </c>
      <c r="J246" s="224">
        <v>1</v>
      </c>
      <c r="K246" s="225" t="s">
        <v>269</v>
      </c>
      <c r="L246" s="239">
        <v>104148</v>
      </c>
      <c r="M246" s="227">
        <f t="shared" si="15"/>
        <v>104148</v>
      </c>
      <c r="N246" s="228">
        <v>0</v>
      </c>
      <c r="O246" s="227">
        <f t="shared" si="16"/>
        <v>0</v>
      </c>
      <c r="P246" s="228">
        <v>0.16</v>
      </c>
      <c r="Q246" s="227">
        <f t="shared" si="17"/>
        <v>16663.68</v>
      </c>
      <c r="R246" s="227">
        <f t="shared" si="18"/>
        <v>120811.68</v>
      </c>
      <c r="S246" s="229">
        <f>INDEX('Glosario Partidas'!$M$8:$M$10,MATCH(BD!K246,'Glosario Partidas'!$L$8:$L$10,0))</f>
        <v>1</v>
      </c>
      <c r="T246" s="227">
        <f t="shared" si="19"/>
        <v>120811.68</v>
      </c>
      <c r="U246" s="230" t="s">
        <v>315</v>
      </c>
      <c r="V246" s="231" t="s">
        <v>13</v>
      </c>
    </row>
    <row r="247" spans="2:22" ht="12" customHeight="1" x14ac:dyDescent="0.2">
      <c r="B247" s="63" t="s">
        <v>188</v>
      </c>
      <c r="C247" s="63" t="s">
        <v>459</v>
      </c>
      <c r="D247" s="78" t="s">
        <v>464</v>
      </c>
      <c r="E247" s="171" t="s">
        <v>220</v>
      </c>
      <c r="F247" s="78" t="s">
        <v>221</v>
      </c>
      <c r="G247" s="171" t="s">
        <v>342</v>
      </c>
      <c r="H247" s="224" t="s">
        <v>293</v>
      </c>
      <c r="I247" s="225" t="s">
        <v>410</v>
      </c>
      <c r="J247" s="224">
        <v>0</v>
      </c>
      <c r="K247" s="225" t="s">
        <v>269</v>
      </c>
      <c r="L247" s="226">
        <v>0</v>
      </c>
      <c r="M247" s="227">
        <f t="shared" si="15"/>
        <v>0</v>
      </c>
      <c r="N247" s="228">
        <v>0</v>
      </c>
      <c r="O247" s="227">
        <f t="shared" si="16"/>
        <v>0</v>
      </c>
      <c r="P247" s="228">
        <v>0.16</v>
      </c>
      <c r="Q247" s="227">
        <f t="shared" si="17"/>
        <v>0</v>
      </c>
      <c r="R247" s="227">
        <f t="shared" si="18"/>
        <v>0</v>
      </c>
      <c r="S247" s="229">
        <f>INDEX('Glosario Partidas'!$M$8:$M$10,MATCH(BD!K247,'Glosario Partidas'!$L$8:$L$10,0))</f>
        <v>1</v>
      </c>
      <c r="T247" s="227">
        <f t="shared" si="19"/>
        <v>0</v>
      </c>
      <c r="U247" s="230" t="s">
        <v>315</v>
      </c>
      <c r="V247" s="231" t="s">
        <v>13</v>
      </c>
    </row>
    <row r="248" spans="2:22" ht="12" customHeight="1" x14ac:dyDescent="0.2">
      <c r="B248" s="63" t="s">
        <v>188</v>
      </c>
      <c r="C248" s="63" t="s">
        <v>459</v>
      </c>
      <c r="D248" s="78" t="s">
        <v>465</v>
      </c>
      <c r="E248" s="171" t="s">
        <v>220</v>
      </c>
      <c r="F248" s="78" t="s">
        <v>221</v>
      </c>
      <c r="G248" s="171" t="s">
        <v>342</v>
      </c>
      <c r="H248" s="224" t="s">
        <v>456</v>
      </c>
      <c r="I248" s="225" t="s">
        <v>410</v>
      </c>
      <c r="J248" s="224">
        <v>1</v>
      </c>
      <c r="K248" s="225" t="s">
        <v>269</v>
      </c>
      <c r="L248" s="239">
        <v>43873</v>
      </c>
      <c r="M248" s="227">
        <f t="shared" si="15"/>
        <v>43873</v>
      </c>
      <c r="N248" s="228">
        <v>0</v>
      </c>
      <c r="O248" s="227">
        <f t="shared" si="16"/>
        <v>0</v>
      </c>
      <c r="P248" s="228">
        <v>0.16</v>
      </c>
      <c r="Q248" s="227">
        <f t="shared" si="17"/>
        <v>7019.68</v>
      </c>
      <c r="R248" s="227">
        <f t="shared" si="18"/>
        <v>50892.68</v>
      </c>
      <c r="S248" s="229">
        <f>INDEX('Glosario Partidas'!$M$8:$M$10,MATCH(BD!K248,'Glosario Partidas'!$L$8:$L$10,0))</f>
        <v>1</v>
      </c>
      <c r="T248" s="227">
        <f t="shared" si="19"/>
        <v>50892.68</v>
      </c>
      <c r="U248" s="230" t="s">
        <v>315</v>
      </c>
      <c r="V248" s="231" t="s">
        <v>13</v>
      </c>
    </row>
    <row r="249" spans="2:22" ht="12" customHeight="1" x14ac:dyDescent="0.2">
      <c r="B249" s="63" t="s">
        <v>188</v>
      </c>
      <c r="C249" s="63" t="s">
        <v>459</v>
      </c>
      <c r="D249" s="78" t="s">
        <v>466</v>
      </c>
      <c r="E249" s="171" t="s">
        <v>220</v>
      </c>
      <c r="F249" s="78" t="s">
        <v>221</v>
      </c>
      <c r="G249" s="171" t="s">
        <v>342</v>
      </c>
      <c r="H249" s="224" t="s">
        <v>456</v>
      </c>
      <c r="I249" s="225" t="s">
        <v>410</v>
      </c>
      <c r="J249" s="224">
        <v>2</v>
      </c>
      <c r="K249" s="225" t="s">
        <v>269</v>
      </c>
      <c r="L249" s="239">
        <v>32861</v>
      </c>
      <c r="M249" s="227">
        <f t="shared" si="15"/>
        <v>65722</v>
      </c>
      <c r="N249" s="228">
        <v>0</v>
      </c>
      <c r="O249" s="227">
        <f t="shared" si="16"/>
        <v>0</v>
      </c>
      <c r="P249" s="228">
        <v>0.16</v>
      </c>
      <c r="Q249" s="227">
        <f t="shared" si="17"/>
        <v>10515.52</v>
      </c>
      <c r="R249" s="227">
        <f t="shared" si="18"/>
        <v>76237.52</v>
      </c>
      <c r="S249" s="229">
        <f>INDEX('Glosario Partidas'!$M$8:$M$10,MATCH(BD!K249,'Glosario Partidas'!$L$8:$L$10,0))</f>
        <v>1</v>
      </c>
      <c r="T249" s="227">
        <f t="shared" si="19"/>
        <v>76237.52</v>
      </c>
      <c r="U249" s="230" t="s">
        <v>315</v>
      </c>
      <c r="V249" s="231" t="s">
        <v>13</v>
      </c>
    </row>
    <row r="250" spans="2:22" ht="12" customHeight="1" x14ac:dyDescent="0.2">
      <c r="B250" s="63" t="s">
        <v>188</v>
      </c>
      <c r="C250" s="63" t="s">
        <v>467</v>
      </c>
      <c r="D250" s="78" t="s">
        <v>401</v>
      </c>
      <c r="E250" s="171" t="s">
        <v>220</v>
      </c>
      <c r="F250" s="78" t="s">
        <v>221</v>
      </c>
      <c r="G250" s="171" t="s">
        <v>342</v>
      </c>
      <c r="H250" s="224" t="s">
        <v>456</v>
      </c>
      <c r="I250" s="225" t="s">
        <v>410</v>
      </c>
      <c r="J250" s="224">
        <v>1</v>
      </c>
      <c r="K250" s="225" t="s">
        <v>269</v>
      </c>
      <c r="L250" s="239">
        <v>99722</v>
      </c>
      <c r="M250" s="227">
        <f t="shared" si="15"/>
        <v>99722</v>
      </c>
      <c r="N250" s="228">
        <v>0</v>
      </c>
      <c r="O250" s="227">
        <f t="shared" si="16"/>
        <v>0</v>
      </c>
      <c r="P250" s="228">
        <v>0.16</v>
      </c>
      <c r="Q250" s="227">
        <f t="shared" si="17"/>
        <v>15955.52</v>
      </c>
      <c r="R250" s="227">
        <f t="shared" si="18"/>
        <v>115677.52</v>
      </c>
      <c r="S250" s="229">
        <f>INDEX('Glosario Partidas'!$M$8:$M$10,MATCH(BD!K250,'Glosario Partidas'!$L$8:$L$10,0))</f>
        <v>1</v>
      </c>
      <c r="T250" s="227">
        <f t="shared" si="19"/>
        <v>115677.52</v>
      </c>
      <c r="U250" s="230" t="s">
        <v>315</v>
      </c>
      <c r="V250" s="231" t="s">
        <v>13</v>
      </c>
    </row>
    <row r="251" spans="2:22" ht="12" customHeight="1" x14ac:dyDescent="0.2">
      <c r="B251" s="63" t="s">
        <v>188</v>
      </c>
      <c r="C251" s="63" t="s">
        <v>459</v>
      </c>
      <c r="D251" s="78" t="s">
        <v>468</v>
      </c>
      <c r="E251" s="171" t="s">
        <v>220</v>
      </c>
      <c r="F251" s="78" t="s">
        <v>221</v>
      </c>
      <c r="G251" s="171" t="s">
        <v>342</v>
      </c>
      <c r="H251" s="224" t="s">
        <v>456</v>
      </c>
      <c r="I251" s="225" t="s">
        <v>410</v>
      </c>
      <c r="J251" s="224">
        <v>1</v>
      </c>
      <c r="K251" s="225" t="s">
        <v>269</v>
      </c>
      <c r="L251" s="239">
        <v>43840</v>
      </c>
      <c r="M251" s="227">
        <f t="shared" si="15"/>
        <v>43840</v>
      </c>
      <c r="N251" s="228">
        <v>0</v>
      </c>
      <c r="O251" s="227">
        <f t="shared" si="16"/>
        <v>0</v>
      </c>
      <c r="P251" s="228">
        <v>0.16</v>
      </c>
      <c r="Q251" s="227">
        <f t="shared" si="17"/>
        <v>7014.4000000000005</v>
      </c>
      <c r="R251" s="227">
        <f t="shared" si="18"/>
        <v>50854.400000000001</v>
      </c>
      <c r="S251" s="229">
        <f>INDEX('Glosario Partidas'!$M$8:$M$10,MATCH(BD!K251,'Glosario Partidas'!$L$8:$L$10,0))</f>
        <v>1</v>
      </c>
      <c r="T251" s="227">
        <f t="shared" si="19"/>
        <v>50854.400000000001</v>
      </c>
      <c r="U251" s="230" t="s">
        <v>315</v>
      </c>
      <c r="V251" s="231" t="s">
        <v>13</v>
      </c>
    </row>
    <row r="252" spans="2:22" ht="12" customHeight="1" x14ac:dyDescent="0.2">
      <c r="B252" s="63" t="s">
        <v>188</v>
      </c>
      <c r="C252" s="63" t="s">
        <v>467</v>
      </c>
      <c r="D252" s="78" t="s">
        <v>402</v>
      </c>
      <c r="E252" s="171" t="s">
        <v>220</v>
      </c>
      <c r="F252" s="78" t="s">
        <v>221</v>
      </c>
      <c r="G252" s="171" t="s">
        <v>342</v>
      </c>
      <c r="H252" s="224" t="s">
        <v>456</v>
      </c>
      <c r="I252" s="225" t="s">
        <v>410</v>
      </c>
      <c r="J252" s="224">
        <v>1</v>
      </c>
      <c r="K252" s="225" t="s">
        <v>269</v>
      </c>
      <c r="L252" s="239">
        <v>98898</v>
      </c>
      <c r="M252" s="227">
        <f t="shared" si="15"/>
        <v>98898</v>
      </c>
      <c r="N252" s="228">
        <v>0</v>
      </c>
      <c r="O252" s="227">
        <f t="shared" si="16"/>
        <v>0</v>
      </c>
      <c r="P252" s="228">
        <v>0.16</v>
      </c>
      <c r="Q252" s="227">
        <f t="shared" si="17"/>
        <v>15823.68</v>
      </c>
      <c r="R252" s="227">
        <f t="shared" si="18"/>
        <v>114721.68</v>
      </c>
      <c r="S252" s="229">
        <f>INDEX('Glosario Partidas'!$M$8:$M$10,MATCH(BD!K252,'Glosario Partidas'!$L$8:$L$10,0))</f>
        <v>1</v>
      </c>
      <c r="T252" s="227">
        <f t="shared" si="19"/>
        <v>114721.68</v>
      </c>
      <c r="U252" s="230" t="s">
        <v>315</v>
      </c>
      <c r="V252" s="231" t="s">
        <v>13</v>
      </c>
    </row>
    <row r="253" spans="2:22" ht="12" customHeight="1" x14ac:dyDescent="0.2">
      <c r="B253" s="63" t="s">
        <v>188</v>
      </c>
      <c r="C253" s="63" t="s">
        <v>469</v>
      </c>
      <c r="D253" s="78" t="s">
        <v>470</v>
      </c>
      <c r="E253" s="171" t="s">
        <v>220</v>
      </c>
      <c r="F253" s="78" t="s">
        <v>221</v>
      </c>
      <c r="G253" s="171" t="s">
        <v>342</v>
      </c>
      <c r="H253" s="224" t="s">
        <v>456</v>
      </c>
      <c r="I253" s="225" t="s">
        <v>410</v>
      </c>
      <c r="J253" s="224">
        <v>1</v>
      </c>
      <c r="K253" s="225" t="s">
        <v>269</v>
      </c>
      <c r="L253" s="239">
        <v>32861</v>
      </c>
      <c r="M253" s="227">
        <f t="shared" si="15"/>
        <v>32861</v>
      </c>
      <c r="N253" s="228">
        <v>0</v>
      </c>
      <c r="O253" s="227">
        <f t="shared" si="16"/>
        <v>0</v>
      </c>
      <c r="P253" s="228">
        <v>0.16</v>
      </c>
      <c r="Q253" s="227">
        <f t="shared" si="17"/>
        <v>5257.76</v>
      </c>
      <c r="R253" s="227">
        <f t="shared" si="18"/>
        <v>38118.76</v>
      </c>
      <c r="S253" s="229">
        <f>INDEX('Glosario Partidas'!$M$8:$M$10,MATCH(BD!K253,'Glosario Partidas'!$L$8:$L$10,0))</f>
        <v>1</v>
      </c>
      <c r="T253" s="227">
        <f t="shared" si="19"/>
        <v>38118.76</v>
      </c>
      <c r="U253" s="230" t="s">
        <v>315</v>
      </c>
      <c r="V253" s="231" t="s">
        <v>13</v>
      </c>
    </row>
    <row r="254" spans="2:22" ht="12" customHeight="1" x14ac:dyDescent="0.2">
      <c r="B254" s="63" t="s">
        <v>188</v>
      </c>
      <c r="C254" s="63" t="s">
        <v>467</v>
      </c>
      <c r="D254" s="78" t="s">
        <v>471</v>
      </c>
      <c r="E254" s="171" t="s">
        <v>220</v>
      </c>
      <c r="F254" s="78" t="s">
        <v>221</v>
      </c>
      <c r="G254" s="171" t="s">
        <v>342</v>
      </c>
      <c r="H254" s="224" t="s">
        <v>456</v>
      </c>
      <c r="I254" s="225" t="s">
        <v>410</v>
      </c>
      <c r="J254" s="224">
        <v>1</v>
      </c>
      <c r="K254" s="225" t="s">
        <v>269</v>
      </c>
      <c r="L254" s="239">
        <v>98788</v>
      </c>
      <c r="M254" s="227">
        <f t="shared" si="15"/>
        <v>98788</v>
      </c>
      <c r="N254" s="228">
        <v>0</v>
      </c>
      <c r="O254" s="227">
        <f t="shared" si="16"/>
        <v>0</v>
      </c>
      <c r="P254" s="228">
        <v>0.16</v>
      </c>
      <c r="Q254" s="227">
        <f t="shared" si="17"/>
        <v>15806.08</v>
      </c>
      <c r="R254" s="227">
        <f t="shared" si="18"/>
        <v>114594.08</v>
      </c>
      <c r="S254" s="229">
        <f>INDEX('Glosario Partidas'!$M$8:$M$10,MATCH(BD!K254,'Glosario Partidas'!$L$8:$L$10,0))</f>
        <v>1</v>
      </c>
      <c r="T254" s="227">
        <f t="shared" si="19"/>
        <v>114594.08</v>
      </c>
      <c r="U254" s="230" t="s">
        <v>315</v>
      </c>
      <c r="V254" s="231" t="s">
        <v>13</v>
      </c>
    </row>
    <row r="255" spans="2:22" ht="12" customHeight="1" x14ac:dyDescent="0.2">
      <c r="B255" s="63" t="s">
        <v>188</v>
      </c>
      <c r="C255" s="63" t="s">
        <v>469</v>
      </c>
      <c r="D255" s="78" t="s">
        <v>472</v>
      </c>
      <c r="E255" s="171" t="s">
        <v>220</v>
      </c>
      <c r="F255" s="78" t="s">
        <v>221</v>
      </c>
      <c r="G255" s="171" t="s">
        <v>342</v>
      </c>
      <c r="H255" s="224" t="s">
        <v>456</v>
      </c>
      <c r="I255" s="225" t="s">
        <v>410</v>
      </c>
      <c r="J255" s="224">
        <v>1</v>
      </c>
      <c r="K255" s="225" t="s">
        <v>269</v>
      </c>
      <c r="L255" s="239">
        <v>43873</v>
      </c>
      <c r="M255" s="227">
        <f t="shared" si="15"/>
        <v>43873</v>
      </c>
      <c r="N255" s="228">
        <v>0</v>
      </c>
      <c r="O255" s="227">
        <f t="shared" si="16"/>
        <v>0</v>
      </c>
      <c r="P255" s="228">
        <v>0.16</v>
      </c>
      <c r="Q255" s="227">
        <f t="shared" si="17"/>
        <v>7019.68</v>
      </c>
      <c r="R255" s="227">
        <f t="shared" si="18"/>
        <v>50892.68</v>
      </c>
      <c r="S255" s="229">
        <f>INDEX('Glosario Partidas'!$M$8:$M$10,MATCH(BD!K255,'Glosario Partidas'!$L$8:$L$10,0))</f>
        <v>1</v>
      </c>
      <c r="T255" s="227">
        <f t="shared" si="19"/>
        <v>50892.68</v>
      </c>
      <c r="U255" s="230" t="s">
        <v>315</v>
      </c>
      <c r="V255" s="231" t="s">
        <v>13</v>
      </c>
    </row>
    <row r="256" spans="2:22" ht="12" customHeight="1" x14ac:dyDescent="0.2">
      <c r="B256" s="63" t="s">
        <v>188</v>
      </c>
      <c r="C256" s="63" t="s">
        <v>457</v>
      </c>
      <c r="D256" s="78" t="s">
        <v>458</v>
      </c>
      <c r="E256" s="171" t="s">
        <v>220</v>
      </c>
      <c r="F256" s="78" t="s">
        <v>354</v>
      </c>
      <c r="G256" s="171" t="s">
        <v>342</v>
      </c>
      <c r="H256" s="224" t="s">
        <v>456</v>
      </c>
      <c r="I256" s="225" t="s">
        <v>410</v>
      </c>
      <c r="J256" s="224">
        <v>1</v>
      </c>
      <c r="K256" s="225" t="s">
        <v>269</v>
      </c>
      <c r="L256" s="239">
        <v>88226</v>
      </c>
      <c r="M256" s="227">
        <f t="shared" si="15"/>
        <v>88226</v>
      </c>
      <c r="N256" s="228">
        <v>0</v>
      </c>
      <c r="O256" s="227">
        <f t="shared" si="16"/>
        <v>0</v>
      </c>
      <c r="P256" s="228">
        <v>0.16</v>
      </c>
      <c r="Q256" s="227">
        <f t="shared" si="17"/>
        <v>14116.16</v>
      </c>
      <c r="R256" s="227">
        <f t="shared" si="18"/>
        <v>102342.16</v>
      </c>
      <c r="S256" s="229">
        <f>INDEX('Glosario Partidas'!$M$8:$M$10,MATCH(BD!K256,'Glosario Partidas'!$L$8:$L$10,0))</f>
        <v>1</v>
      </c>
      <c r="T256" s="227">
        <f t="shared" si="19"/>
        <v>102342.16</v>
      </c>
      <c r="U256" s="230" t="s">
        <v>315</v>
      </c>
      <c r="V256" s="231" t="s">
        <v>13</v>
      </c>
    </row>
    <row r="257" spans="2:22" ht="12" customHeight="1" x14ac:dyDescent="0.2">
      <c r="B257" s="63" t="s">
        <v>188</v>
      </c>
      <c r="C257" s="63" t="s">
        <v>459</v>
      </c>
      <c r="D257" s="78" t="s">
        <v>460</v>
      </c>
      <c r="E257" s="171" t="s">
        <v>220</v>
      </c>
      <c r="F257" s="78" t="s">
        <v>354</v>
      </c>
      <c r="G257" s="171" t="s">
        <v>342</v>
      </c>
      <c r="H257" s="224" t="s">
        <v>456</v>
      </c>
      <c r="I257" s="225" t="s">
        <v>410</v>
      </c>
      <c r="J257" s="224">
        <v>1</v>
      </c>
      <c r="K257" s="225" t="s">
        <v>269</v>
      </c>
      <c r="L257" s="239">
        <v>104133</v>
      </c>
      <c r="M257" s="227">
        <f t="shared" si="15"/>
        <v>104133</v>
      </c>
      <c r="N257" s="228">
        <v>0</v>
      </c>
      <c r="O257" s="227">
        <f t="shared" si="16"/>
        <v>0</v>
      </c>
      <c r="P257" s="228">
        <v>0.16</v>
      </c>
      <c r="Q257" s="227">
        <f t="shared" si="17"/>
        <v>16661.28</v>
      </c>
      <c r="R257" s="227">
        <f t="shared" si="18"/>
        <v>120794.28</v>
      </c>
      <c r="S257" s="229">
        <f>INDEX('Glosario Partidas'!$M$8:$M$10,MATCH(BD!K257,'Glosario Partidas'!$L$8:$L$10,0))</f>
        <v>1</v>
      </c>
      <c r="T257" s="227">
        <f t="shared" si="19"/>
        <v>120794.28</v>
      </c>
      <c r="U257" s="230" t="s">
        <v>315</v>
      </c>
      <c r="V257" s="231" t="s">
        <v>13</v>
      </c>
    </row>
    <row r="258" spans="2:22" ht="12" customHeight="1" x14ac:dyDescent="0.2">
      <c r="B258" s="63" t="s">
        <v>188</v>
      </c>
      <c r="C258" s="63" t="s">
        <v>459</v>
      </c>
      <c r="D258" s="78" t="s">
        <v>399</v>
      </c>
      <c r="E258" s="171" t="s">
        <v>220</v>
      </c>
      <c r="F258" s="78" t="s">
        <v>354</v>
      </c>
      <c r="G258" s="171" t="s">
        <v>342</v>
      </c>
      <c r="H258" s="224" t="s">
        <v>456</v>
      </c>
      <c r="I258" s="225" t="s">
        <v>410</v>
      </c>
      <c r="J258" s="224">
        <v>1</v>
      </c>
      <c r="K258" s="225" t="s">
        <v>269</v>
      </c>
      <c r="L258" s="239">
        <v>43834</v>
      </c>
      <c r="M258" s="227">
        <f t="shared" si="15"/>
        <v>43834</v>
      </c>
      <c r="N258" s="228">
        <v>0</v>
      </c>
      <c r="O258" s="227">
        <f t="shared" si="16"/>
        <v>0</v>
      </c>
      <c r="P258" s="228">
        <v>0.16</v>
      </c>
      <c r="Q258" s="227">
        <f t="shared" si="17"/>
        <v>7013.4400000000005</v>
      </c>
      <c r="R258" s="227">
        <f t="shared" si="18"/>
        <v>50847.44</v>
      </c>
      <c r="S258" s="229">
        <f>INDEX('Glosario Partidas'!$M$8:$M$10,MATCH(BD!K258,'Glosario Partidas'!$L$8:$L$10,0))</f>
        <v>1</v>
      </c>
      <c r="T258" s="227">
        <f t="shared" si="19"/>
        <v>50847.44</v>
      </c>
      <c r="U258" s="230" t="s">
        <v>315</v>
      </c>
      <c r="V258" s="231" t="s">
        <v>13</v>
      </c>
    </row>
    <row r="259" spans="2:22" ht="12" customHeight="1" x14ac:dyDescent="0.2">
      <c r="B259" s="63" t="s">
        <v>188</v>
      </c>
      <c r="C259" s="63" t="s">
        <v>459</v>
      </c>
      <c r="D259" s="78" t="s">
        <v>461</v>
      </c>
      <c r="E259" s="171" t="s">
        <v>220</v>
      </c>
      <c r="F259" s="78" t="s">
        <v>354</v>
      </c>
      <c r="G259" s="171" t="s">
        <v>342</v>
      </c>
      <c r="H259" s="224" t="s">
        <v>456</v>
      </c>
      <c r="I259" s="225" t="s">
        <v>410</v>
      </c>
      <c r="J259" s="224">
        <v>1</v>
      </c>
      <c r="K259" s="225" t="s">
        <v>269</v>
      </c>
      <c r="L259" s="239">
        <v>104133</v>
      </c>
      <c r="M259" s="227">
        <f t="shared" si="15"/>
        <v>104133</v>
      </c>
      <c r="N259" s="228">
        <v>0</v>
      </c>
      <c r="O259" s="227">
        <f t="shared" si="16"/>
        <v>0</v>
      </c>
      <c r="P259" s="228">
        <v>0.16</v>
      </c>
      <c r="Q259" s="227">
        <f t="shared" si="17"/>
        <v>16661.28</v>
      </c>
      <c r="R259" s="227">
        <f t="shared" si="18"/>
        <v>120794.28</v>
      </c>
      <c r="S259" s="229">
        <f>INDEX('Glosario Partidas'!$M$8:$M$10,MATCH(BD!K259,'Glosario Partidas'!$L$8:$L$10,0))</f>
        <v>1</v>
      </c>
      <c r="T259" s="227">
        <f t="shared" si="19"/>
        <v>120794.28</v>
      </c>
      <c r="U259" s="230" t="s">
        <v>315</v>
      </c>
      <c r="V259" s="231" t="s">
        <v>13</v>
      </c>
    </row>
    <row r="260" spans="2:22" ht="12" customHeight="1" x14ac:dyDescent="0.2">
      <c r="B260" s="63" t="s">
        <v>188</v>
      </c>
      <c r="C260" s="63" t="s">
        <v>459</v>
      </c>
      <c r="D260" s="78" t="s">
        <v>462</v>
      </c>
      <c r="E260" s="171" t="s">
        <v>220</v>
      </c>
      <c r="F260" s="78" t="s">
        <v>354</v>
      </c>
      <c r="G260" s="171" t="s">
        <v>342</v>
      </c>
      <c r="H260" s="224" t="s">
        <v>456</v>
      </c>
      <c r="I260" s="225" t="s">
        <v>410</v>
      </c>
      <c r="J260" s="224">
        <v>1</v>
      </c>
      <c r="K260" s="225" t="s">
        <v>269</v>
      </c>
      <c r="L260" s="239">
        <v>43834</v>
      </c>
      <c r="M260" s="227">
        <f t="shared" si="15"/>
        <v>43834</v>
      </c>
      <c r="N260" s="228">
        <v>0</v>
      </c>
      <c r="O260" s="227">
        <f t="shared" si="16"/>
        <v>0</v>
      </c>
      <c r="P260" s="228">
        <v>0.16</v>
      </c>
      <c r="Q260" s="227">
        <f t="shared" si="17"/>
        <v>7013.4400000000005</v>
      </c>
      <c r="R260" s="227">
        <f t="shared" si="18"/>
        <v>50847.44</v>
      </c>
      <c r="S260" s="229">
        <f>INDEX('Glosario Partidas'!$M$8:$M$10,MATCH(BD!K260,'Glosario Partidas'!$L$8:$L$10,0))</f>
        <v>1</v>
      </c>
      <c r="T260" s="227">
        <f t="shared" si="19"/>
        <v>50847.44</v>
      </c>
      <c r="U260" s="230" t="s">
        <v>315</v>
      </c>
      <c r="V260" s="231" t="s">
        <v>13</v>
      </c>
    </row>
    <row r="261" spans="2:22" ht="12" customHeight="1" x14ac:dyDescent="0.2">
      <c r="B261" s="63" t="s">
        <v>188</v>
      </c>
      <c r="C261" s="63" t="s">
        <v>459</v>
      </c>
      <c r="D261" s="78" t="s">
        <v>400</v>
      </c>
      <c r="E261" s="171" t="s">
        <v>220</v>
      </c>
      <c r="F261" s="78" t="s">
        <v>354</v>
      </c>
      <c r="G261" s="171" t="s">
        <v>342</v>
      </c>
      <c r="H261" s="224" t="s">
        <v>456</v>
      </c>
      <c r="I261" s="225" t="s">
        <v>410</v>
      </c>
      <c r="J261" s="224">
        <v>1</v>
      </c>
      <c r="K261" s="225" t="s">
        <v>269</v>
      </c>
      <c r="L261" s="239">
        <v>104133</v>
      </c>
      <c r="M261" s="227">
        <f t="shared" ref="M261:M324" si="20">J261*L261</f>
        <v>104133</v>
      </c>
      <c r="N261" s="228">
        <v>0</v>
      </c>
      <c r="O261" s="227">
        <f t="shared" ref="O261:O324" si="21">M261*N261</f>
        <v>0</v>
      </c>
      <c r="P261" s="228">
        <v>0.16</v>
      </c>
      <c r="Q261" s="227">
        <f t="shared" ref="Q261:Q324" si="22">(M261+O261)*P261</f>
        <v>16661.28</v>
      </c>
      <c r="R261" s="227">
        <f t="shared" ref="R261:R324" si="23">M261+O261+Q261</f>
        <v>120794.28</v>
      </c>
      <c r="S261" s="229">
        <f>INDEX('Glosario Partidas'!$M$8:$M$10,MATCH(BD!K261,'Glosario Partidas'!$L$8:$L$10,0))</f>
        <v>1</v>
      </c>
      <c r="T261" s="227">
        <f t="shared" ref="T261:T324" si="24">R261*S261</f>
        <v>120794.28</v>
      </c>
      <c r="U261" s="230" t="s">
        <v>315</v>
      </c>
      <c r="V261" s="231" t="s">
        <v>13</v>
      </c>
    </row>
    <row r="262" spans="2:22" ht="12" customHeight="1" x14ac:dyDescent="0.2">
      <c r="B262" s="63" t="s">
        <v>188</v>
      </c>
      <c r="C262" s="63" t="s">
        <v>459</v>
      </c>
      <c r="D262" s="78" t="s">
        <v>463</v>
      </c>
      <c r="E262" s="171" t="s">
        <v>220</v>
      </c>
      <c r="F262" s="78" t="s">
        <v>354</v>
      </c>
      <c r="G262" s="171" t="s">
        <v>342</v>
      </c>
      <c r="H262" s="224" t="s">
        <v>456</v>
      </c>
      <c r="I262" s="225" t="s">
        <v>410</v>
      </c>
      <c r="J262" s="224">
        <v>1</v>
      </c>
      <c r="K262" s="225" t="s">
        <v>269</v>
      </c>
      <c r="L262" s="239">
        <v>104133</v>
      </c>
      <c r="M262" s="227">
        <f t="shared" si="20"/>
        <v>104133</v>
      </c>
      <c r="N262" s="228">
        <v>0</v>
      </c>
      <c r="O262" s="227">
        <f t="shared" si="21"/>
        <v>0</v>
      </c>
      <c r="P262" s="228">
        <v>0.16</v>
      </c>
      <c r="Q262" s="227">
        <f t="shared" si="22"/>
        <v>16661.28</v>
      </c>
      <c r="R262" s="227">
        <f t="shared" si="23"/>
        <v>120794.28</v>
      </c>
      <c r="S262" s="229">
        <f>INDEX('Glosario Partidas'!$M$8:$M$10,MATCH(BD!K262,'Glosario Partidas'!$L$8:$L$10,0))</f>
        <v>1</v>
      </c>
      <c r="T262" s="227">
        <f t="shared" si="24"/>
        <v>120794.28</v>
      </c>
      <c r="U262" s="230" t="s">
        <v>315</v>
      </c>
      <c r="V262" s="231" t="s">
        <v>13</v>
      </c>
    </row>
    <row r="263" spans="2:22" ht="12" customHeight="1" x14ac:dyDescent="0.2">
      <c r="B263" s="63" t="s">
        <v>188</v>
      </c>
      <c r="C263" s="63" t="s">
        <v>459</v>
      </c>
      <c r="D263" s="78" t="s">
        <v>473</v>
      </c>
      <c r="E263" s="171" t="s">
        <v>220</v>
      </c>
      <c r="F263" s="78" t="s">
        <v>355</v>
      </c>
      <c r="G263" s="171" t="s">
        <v>342</v>
      </c>
      <c r="H263" s="224" t="s">
        <v>456</v>
      </c>
      <c r="I263" s="225" t="s">
        <v>410</v>
      </c>
      <c r="J263" s="224">
        <v>1</v>
      </c>
      <c r="K263" s="225" t="s">
        <v>269</v>
      </c>
      <c r="L263" s="239">
        <v>49350</v>
      </c>
      <c r="M263" s="227">
        <f t="shared" si="20"/>
        <v>49350</v>
      </c>
      <c r="N263" s="228">
        <v>0</v>
      </c>
      <c r="O263" s="227">
        <f t="shared" si="21"/>
        <v>0</v>
      </c>
      <c r="P263" s="228">
        <v>0.16</v>
      </c>
      <c r="Q263" s="227">
        <f t="shared" si="22"/>
        <v>7896</v>
      </c>
      <c r="R263" s="227">
        <f t="shared" si="23"/>
        <v>57246</v>
      </c>
      <c r="S263" s="229">
        <f>INDEX('Glosario Partidas'!$M$8:$M$10,MATCH(BD!K263,'Glosario Partidas'!$L$8:$L$10,0))</f>
        <v>1</v>
      </c>
      <c r="T263" s="227">
        <f t="shared" si="24"/>
        <v>57246</v>
      </c>
      <c r="U263" s="230" t="s">
        <v>315</v>
      </c>
      <c r="V263" s="231" t="s">
        <v>13</v>
      </c>
    </row>
    <row r="264" spans="2:22" ht="12" customHeight="1" x14ac:dyDescent="0.2">
      <c r="B264" s="63" t="s">
        <v>188</v>
      </c>
      <c r="C264" s="63" t="s">
        <v>467</v>
      </c>
      <c r="D264" s="78" t="s">
        <v>471</v>
      </c>
      <c r="E264" s="171" t="s">
        <v>220</v>
      </c>
      <c r="F264" s="78" t="s">
        <v>355</v>
      </c>
      <c r="G264" s="171" t="s">
        <v>342</v>
      </c>
      <c r="H264" s="224" t="s">
        <v>456</v>
      </c>
      <c r="I264" s="225" t="s">
        <v>410</v>
      </c>
      <c r="J264" s="224">
        <v>1</v>
      </c>
      <c r="K264" s="225" t="s">
        <v>269</v>
      </c>
      <c r="L264" s="239">
        <v>98898</v>
      </c>
      <c r="M264" s="227">
        <f t="shared" si="20"/>
        <v>98898</v>
      </c>
      <c r="N264" s="228">
        <v>0</v>
      </c>
      <c r="O264" s="227">
        <f t="shared" si="21"/>
        <v>0</v>
      </c>
      <c r="P264" s="228">
        <v>0.16</v>
      </c>
      <c r="Q264" s="227">
        <f t="shared" si="22"/>
        <v>15823.68</v>
      </c>
      <c r="R264" s="227">
        <f t="shared" si="23"/>
        <v>114721.68</v>
      </c>
      <c r="S264" s="229">
        <f>INDEX('Glosario Partidas'!$M$8:$M$10,MATCH(BD!K264,'Glosario Partidas'!$L$8:$L$10,0))</f>
        <v>1</v>
      </c>
      <c r="T264" s="227">
        <f t="shared" si="24"/>
        <v>114721.68</v>
      </c>
      <c r="U264" s="230" t="s">
        <v>315</v>
      </c>
      <c r="V264" s="231" t="s">
        <v>13</v>
      </c>
    </row>
    <row r="265" spans="2:22" ht="12" customHeight="1" x14ac:dyDescent="0.2">
      <c r="B265" s="63" t="s">
        <v>188</v>
      </c>
      <c r="C265" s="63" t="s">
        <v>467</v>
      </c>
      <c r="D265" s="78" t="s">
        <v>474</v>
      </c>
      <c r="E265" s="171" t="s">
        <v>220</v>
      </c>
      <c r="F265" s="78" t="s">
        <v>355</v>
      </c>
      <c r="G265" s="171" t="s">
        <v>342</v>
      </c>
      <c r="H265" s="224" t="s">
        <v>456</v>
      </c>
      <c r="I265" s="225" t="s">
        <v>410</v>
      </c>
      <c r="J265" s="224">
        <v>1</v>
      </c>
      <c r="K265" s="225" t="s">
        <v>269</v>
      </c>
      <c r="L265" s="239">
        <v>98898</v>
      </c>
      <c r="M265" s="227">
        <f t="shared" si="20"/>
        <v>98898</v>
      </c>
      <c r="N265" s="228">
        <v>0</v>
      </c>
      <c r="O265" s="227">
        <f t="shared" si="21"/>
        <v>0</v>
      </c>
      <c r="P265" s="228">
        <v>0.16</v>
      </c>
      <c r="Q265" s="227">
        <f t="shared" si="22"/>
        <v>15823.68</v>
      </c>
      <c r="R265" s="227">
        <f t="shared" si="23"/>
        <v>114721.68</v>
      </c>
      <c r="S265" s="229">
        <f>INDEX('Glosario Partidas'!$M$8:$M$10,MATCH(BD!K265,'Glosario Partidas'!$L$8:$L$10,0))</f>
        <v>1</v>
      </c>
      <c r="T265" s="227">
        <f t="shared" si="24"/>
        <v>114721.68</v>
      </c>
      <c r="U265" s="230" t="s">
        <v>315</v>
      </c>
      <c r="V265" s="231" t="s">
        <v>13</v>
      </c>
    </row>
    <row r="266" spans="2:22" ht="12" customHeight="1" x14ac:dyDescent="0.2">
      <c r="B266" s="63" t="s">
        <v>188</v>
      </c>
      <c r="C266" s="63" t="s">
        <v>469</v>
      </c>
      <c r="D266" s="78" t="s">
        <v>464</v>
      </c>
      <c r="E266" s="171" t="s">
        <v>220</v>
      </c>
      <c r="F266" s="78" t="s">
        <v>355</v>
      </c>
      <c r="G266" s="171" t="s">
        <v>342</v>
      </c>
      <c r="H266" s="224" t="s">
        <v>293</v>
      </c>
      <c r="I266" s="225" t="s">
        <v>410</v>
      </c>
      <c r="J266" s="224">
        <v>2</v>
      </c>
      <c r="K266" s="225" t="s">
        <v>269</v>
      </c>
      <c r="L266" s="226">
        <v>50000</v>
      </c>
      <c r="M266" s="227">
        <f t="shared" si="20"/>
        <v>100000</v>
      </c>
      <c r="N266" s="228">
        <v>0</v>
      </c>
      <c r="O266" s="227">
        <f t="shared" si="21"/>
        <v>0</v>
      </c>
      <c r="P266" s="228">
        <v>0.16</v>
      </c>
      <c r="Q266" s="227">
        <f t="shared" si="22"/>
        <v>16000</v>
      </c>
      <c r="R266" s="227">
        <f t="shared" si="23"/>
        <v>116000</v>
      </c>
      <c r="S266" s="229">
        <f>INDEX('Glosario Partidas'!$M$8:$M$10,MATCH(BD!K266,'Glosario Partidas'!$L$8:$L$10,0))</f>
        <v>1</v>
      </c>
      <c r="T266" s="227">
        <f t="shared" si="24"/>
        <v>116000</v>
      </c>
      <c r="U266" s="230" t="s">
        <v>315</v>
      </c>
      <c r="V266" s="231" t="s">
        <v>13</v>
      </c>
    </row>
    <row r="267" spans="2:22" ht="12" customHeight="1" x14ac:dyDescent="0.2">
      <c r="B267" s="63" t="s">
        <v>188</v>
      </c>
      <c r="C267" s="63" t="s">
        <v>467</v>
      </c>
      <c r="D267" s="78" t="s">
        <v>475</v>
      </c>
      <c r="E267" s="171" t="s">
        <v>220</v>
      </c>
      <c r="F267" s="78" t="s">
        <v>355</v>
      </c>
      <c r="G267" s="171" t="s">
        <v>342</v>
      </c>
      <c r="H267" s="224" t="s">
        <v>456</v>
      </c>
      <c r="I267" s="225" t="s">
        <v>410</v>
      </c>
      <c r="J267" s="224">
        <v>1</v>
      </c>
      <c r="K267" s="225" t="s">
        <v>269</v>
      </c>
      <c r="L267" s="239">
        <v>32893</v>
      </c>
      <c r="M267" s="227">
        <f t="shared" si="20"/>
        <v>32893</v>
      </c>
      <c r="N267" s="228">
        <v>0</v>
      </c>
      <c r="O267" s="227">
        <f t="shared" si="21"/>
        <v>0</v>
      </c>
      <c r="P267" s="228">
        <v>0.16</v>
      </c>
      <c r="Q267" s="227">
        <f t="shared" si="22"/>
        <v>5262.88</v>
      </c>
      <c r="R267" s="227">
        <f t="shared" si="23"/>
        <v>38155.879999999997</v>
      </c>
      <c r="S267" s="229">
        <f>INDEX('Glosario Partidas'!$M$8:$M$10,MATCH(BD!K267,'Glosario Partidas'!$L$8:$L$10,0))</f>
        <v>1</v>
      </c>
      <c r="T267" s="227">
        <f t="shared" si="24"/>
        <v>38155.879999999997</v>
      </c>
      <c r="U267" s="230" t="s">
        <v>315</v>
      </c>
      <c r="V267" s="231" t="s">
        <v>13</v>
      </c>
    </row>
    <row r="268" spans="2:22" ht="12" customHeight="1" x14ac:dyDescent="0.2">
      <c r="B268" s="63" t="s">
        <v>188</v>
      </c>
      <c r="C268" s="63" t="s">
        <v>469</v>
      </c>
      <c r="D268" s="78" t="s">
        <v>476</v>
      </c>
      <c r="E268" s="171" t="s">
        <v>220</v>
      </c>
      <c r="F268" s="78" t="s">
        <v>355</v>
      </c>
      <c r="G268" s="171" t="s">
        <v>342</v>
      </c>
      <c r="H268" s="224" t="s">
        <v>456</v>
      </c>
      <c r="I268" s="225" t="s">
        <v>410</v>
      </c>
      <c r="J268" s="224">
        <v>1</v>
      </c>
      <c r="K268" s="225" t="s">
        <v>269</v>
      </c>
      <c r="L268" s="239">
        <v>32893</v>
      </c>
      <c r="M268" s="227">
        <f t="shared" si="20"/>
        <v>32893</v>
      </c>
      <c r="N268" s="228">
        <v>0</v>
      </c>
      <c r="O268" s="227">
        <f t="shared" si="21"/>
        <v>0</v>
      </c>
      <c r="P268" s="228">
        <v>0.16</v>
      </c>
      <c r="Q268" s="227">
        <f t="shared" si="22"/>
        <v>5262.88</v>
      </c>
      <c r="R268" s="227">
        <f t="shared" si="23"/>
        <v>38155.879999999997</v>
      </c>
      <c r="S268" s="229">
        <f>INDEX('Glosario Partidas'!$M$8:$M$10,MATCH(BD!K268,'Glosario Partidas'!$L$8:$L$10,0))</f>
        <v>1</v>
      </c>
      <c r="T268" s="227">
        <f t="shared" si="24"/>
        <v>38155.879999999997</v>
      </c>
      <c r="U268" s="230" t="s">
        <v>315</v>
      </c>
      <c r="V268" s="231" t="s">
        <v>13</v>
      </c>
    </row>
    <row r="269" spans="2:22" ht="12" customHeight="1" x14ac:dyDescent="0.2">
      <c r="B269" s="63" t="s">
        <v>188</v>
      </c>
      <c r="C269" s="63" t="s">
        <v>469</v>
      </c>
      <c r="D269" s="78" t="s">
        <v>465</v>
      </c>
      <c r="E269" s="171" t="s">
        <v>220</v>
      </c>
      <c r="F269" s="78" t="s">
        <v>354</v>
      </c>
      <c r="G269" s="171" t="s">
        <v>342</v>
      </c>
      <c r="H269" s="224" t="s">
        <v>456</v>
      </c>
      <c r="I269" s="225" t="s">
        <v>410</v>
      </c>
      <c r="J269" s="224">
        <v>1</v>
      </c>
      <c r="K269" s="225" t="s">
        <v>269</v>
      </c>
      <c r="L269" s="239">
        <v>43834</v>
      </c>
      <c r="M269" s="227">
        <f t="shared" si="20"/>
        <v>43834</v>
      </c>
      <c r="N269" s="228">
        <v>0</v>
      </c>
      <c r="O269" s="227">
        <f t="shared" si="21"/>
        <v>0</v>
      </c>
      <c r="P269" s="228">
        <v>0.16</v>
      </c>
      <c r="Q269" s="227">
        <f t="shared" si="22"/>
        <v>7013.4400000000005</v>
      </c>
      <c r="R269" s="227">
        <f t="shared" si="23"/>
        <v>50847.44</v>
      </c>
      <c r="S269" s="229">
        <f>INDEX('Glosario Partidas'!$M$8:$M$10,MATCH(BD!K269,'Glosario Partidas'!$L$8:$L$10,0))</f>
        <v>1</v>
      </c>
      <c r="T269" s="227">
        <f t="shared" si="24"/>
        <v>50847.44</v>
      </c>
      <c r="U269" s="230" t="s">
        <v>315</v>
      </c>
      <c r="V269" s="231" t="s">
        <v>13</v>
      </c>
    </row>
    <row r="270" spans="2:22" ht="12" customHeight="1" x14ac:dyDescent="0.2">
      <c r="B270" s="63" t="s">
        <v>188</v>
      </c>
      <c r="C270" s="63" t="s">
        <v>467</v>
      </c>
      <c r="D270" s="78" t="s">
        <v>401</v>
      </c>
      <c r="E270" s="171" t="s">
        <v>220</v>
      </c>
      <c r="F270" s="78" t="s">
        <v>354</v>
      </c>
      <c r="G270" s="171" t="s">
        <v>342</v>
      </c>
      <c r="H270" s="224" t="s">
        <v>456</v>
      </c>
      <c r="I270" s="225" t="s">
        <v>410</v>
      </c>
      <c r="J270" s="224">
        <v>1</v>
      </c>
      <c r="K270" s="225" t="s">
        <v>269</v>
      </c>
      <c r="L270" s="239">
        <v>98898</v>
      </c>
      <c r="M270" s="227">
        <f t="shared" si="20"/>
        <v>98898</v>
      </c>
      <c r="N270" s="228">
        <v>0</v>
      </c>
      <c r="O270" s="227">
        <f t="shared" si="21"/>
        <v>0</v>
      </c>
      <c r="P270" s="228">
        <v>0.16</v>
      </c>
      <c r="Q270" s="227">
        <f t="shared" si="22"/>
        <v>15823.68</v>
      </c>
      <c r="R270" s="227">
        <f t="shared" si="23"/>
        <v>114721.68</v>
      </c>
      <c r="S270" s="229">
        <f>INDEX('Glosario Partidas'!$M$8:$M$10,MATCH(BD!K270,'Glosario Partidas'!$L$8:$L$10,0))</f>
        <v>1</v>
      </c>
      <c r="T270" s="227">
        <f t="shared" si="24"/>
        <v>114721.68</v>
      </c>
      <c r="U270" s="230" t="s">
        <v>315</v>
      </c>
      <c r="V270" s="231" t="s">
        <v>13</v>
      </c>
    </row>
    <row r="271" spans="2:22" ht="12" customHeight="1" x14ac:dyDescent="0.2">
      <c r="B271" s="63" t="s">
        <v>188</v>
      </c>
      <c r="C271" s="63" t="s">
        <v>469</v>
      </c>
      <c r="D271" s="78" t="s">
        <v>468</v>
      </c>
      <c r="E271" s="171" t="s">
        <v>220</v>
      </c>
      <c r="F271" s="78" t="s">
        <v>354</v>
      </c>
      <c r="G271" s="171" t="s">
        <v>342</v>
      </c>
      <c r="H271" s="224" t="s">
        <v>456</v>
      </c>
      <c r="I271" s="225" t="s">
        <v>410</v>
      </c>
      <c r="J271" s="224">
        <v>1</v>
      </c>
      <c r="K271" s="225" t="s">
        <v>269</v>
      </c>
      <c r="L271" s="239">
        <v>43867</v>
      </c>
      <c r="M271" s="227">
        <f t="shared" si="20"/>
        <v>43867</v>
      </c>
      <c r="N271" s="228">
        <v>0</v>
      </c>
      <c r="O271" s="227">
        <f t="shared" si="21"/>
        <v>0</v>
      </c>
      <c r="P271" s="228">
        <v>0.16</v>
      </c>
      <c r="Q271" s="227">
        <f t="shared" si="22"/>
        <v>7018.72</v>
      </c>
      <c r="R271" s="227">
        <f t="shared" si="23"/>
        <v>50885.72</v>
      </c>
      <c r="S271" s="229">
        <f>INDEX('Glosario Partidas'!$M$8:$M$10,MATCH(BD!K271,'Glosario Partidas'!$L$8:$L$10,0))</f>
        <v>1</v>
      </c>
      <c r="T271" s="227">
        <f t="shared" si="24"/>
        <v>50885.72</v>
      </c>
      <c r="U271" s="230" t="s">
        <v>315</v>
      </c>
      <c r="V271" s="231" t="s">
        <v>13</v>
      </c>
    </row>
    <row r="272" spans="2:22" ht="12" customHeight="1" x14ac:dyDescent="0.2">
      <c r="B272" s="63" t="s">
        <v>188</v>
      </c>
      <c r="C272" s="63" t="s">
        <v>467</v>
      </c>
      <c r="D272" s="78" t="s">
        <v>402</v>
      </c>
      <c r="E272" s="171" t="s">
        <v>220</v>
      </c>
      <c r="F272" s="78" t="s">
        <v>354</v>
      </c>
      <c r="G272" s="171" t="s">
        <v>342</v>
      </c>
      <c r="H272" s="224" t="s">
        <v>456</v>
      </c>
      <c r="I272" s="225" t="s">
        <v>410</v>
      </c>
      <c r="J272" s="224">
        <v>1</v>
      </c>
      <c r="K272" s="225" t="s">
        <v>269</v>
      </c>
      <c r="L272" s="239">
        <v>99722</v>
      </c>
      <c r="M272" s="227">
        <f t="shared" si="20"/>
        <v>99722</v>
      </c>
      <c r="N272" s="228">
        <v>0</v>
      </c>
      <c r="O272" s="227">
        <f t="shared" si="21"/>
        <v>0</v>
      </c>
      <c r="P272" s="228">
        <v>0.16</v>
      </c>
      <c r="Q272" s="227">
        <f t="shared" si="22"/>
        <v>15955.52</v>
      </c>
      <c r="R272" s="227">
        <f t="shared" si="23"/>
        <v>115677.52</v>
      </c>
      <c r="S272" s="229">
        <f>INDEX('Glosario Partidas'!$M$8:$M$10,MATCH(BD!K272,'Glosario Partidas'!$L$8:$L$10,0))</f>
        <v>1</v>
      </c>
      <c r="T272" s="227">
        <f t="shared" si="24"/>
        <v>115677.52</v>
      </c>
      <c r="U272" s="230" t="s">
        <v>315</v>
      </c>
      <c r="V272" s="231" t="s">
        <v>13</v>
      </c>
    </row>
    <row r="273" spans="2:22" ht="12" customHeight="1" x14ac:dyDescent="0.2">
      <c r="B273" s="63" t="s">
        <v>188</v>
      </c>
      <c r="C273" s="63" t="s">
        <v>467</v>
      </c>
      <c r="D273" s="78" t="s">
        <v>466</v>
      </c>
      <c r="E273" s="171" t="s">
        <v>220</v>
      </c>
      <c r="F273" s="78" t="s">
        <v>354</v>
      </c>
      <c r="G273" s="171" t="s">
        <v>342</v>
      </c>
      <c r="H273" s="224" t="s">
        <v>456</v>
      </c>
      <c r="I273" s="225" t="s">
        <v>410</v>
      </c>
      <c r="J273" s="224">
        <v>1</v>
      </c>
      <c r="K273" s="225" t="s">
        <v>269</v>
      </c>
      <c r="L273" s="239">
        <v>98788</v>
      </c>
      <c r="M273" s="227">
        <f t="shared" si="20"/>
        <v>98788</v>
      </c>
      <c r="N273" s="228">
        <v>0</v>
      </c>
      <c r="O273" s="227">
        <f t="shared" si="21"/>
        <v>0</v>
      </c>
      <c r="P273" s="228">
        <v>0.16</v>
      </c>
      <c r="Q273" s="227">
        <f t="shared" si="22"/>
        <v>15806.08</v>
      </c>
      <c r="R273" s="227">
        <f t="shared" si="23"/>
        <v>114594.08</v>
      </c>
      <c r="S273" s="229">
        <f>INDEX('Glosario Partidas'!$M$8:$M$10,MATCH(BD!K273,'Glosario Partidas'!$L$8:$L$10,0))</f>
        <v>1</v>
      </c>
      <c r="T273" s="227">
        <f t="shared" si="24"/>
        <v>114594.08</v>
      </c>
      <c r="U273" s="230" t="s">
        <v>315</v>
      </c>
      <c r="V273" s="231" t="s">
        <v>13</v>
      </c>
    </row>
    <row r="274" spans="2:22" ht="12" customHeight="1" x14ac:dyDescent="0.2">
      <c r="B274" s="63" t="s">
        <v>188</v>
      </c>
      <c r="C274" s="63" t="s">
        <v>469</v>
      </c>
      <c r="D274" s="78" t="s">
        <v>470</v>
      </c>
      <c r="E274" s="171" t="s">
        <v>220</v>
      </c>
      <c r="F274" s="78" t="s">
        <v>354</v>
      </c>
      <c r="G274" s="171" t="s">
        <v>342</v>
      </c>
      <c r="H274" s="224" t="s">
        <v>456</v>
      </c>
      <c r="I274" s="225" t="s">
        <v>410</v>
      </c>
      <c r="J274" s="224">
        <v>1</v>
      </c>
      <c r="K274" s="225" t="s">
        <v>269</v>
      </c>
      <c r="L274" s="239">
        <v>32856</v>
      </c>
      <c r="M274" s="227">
        <f t="shared" si="20"/>
        <v>32856</v>
      </c>
      <c r="N274" s="228">
        <v>0</v>
      </c>
      <c r="O274" s="227">
        <f t="shared" si="21"/>
        <v>0</v>
      </c>
      <c r="P274" s="228">
        <v>0.16</v>
      </c>
      <c r="Q274" s="227">
        <f t="shared" si="22"/>
        <v>5256.96</v>
      </c>
      <c r="R274" s="227">
        <f t="shared" si="23"/>
        <v>38112.959999999999</v>
      </c>
      <c r="S274" s="229">
        <f>INDEX('Glosario Partidas'!$M$8:$M$10,MATCH(BD!K274,'Glosario Partidas'!$L$8:$L$10,0))</f>
        <v>1</v>
      </c>
      <c r="T274" s="227">
        <f t="shared" si="24"/>
        <v>38112.959999999999</v>
      </c>
      <c r="U274" s="230" t="s">
        <v>315</v>
      </c>
      <c r="V274" s="231" t="s">
        <v>13</v>
      </c>
    </row>
    <row r="275" spans="2:22" ht="12" customHeight="1" x14ac:dyDescent="0.2">
      <c r="B275" s="63" t="s">
        <v>188</v>
      </c>
      <c r="C275" s="63" t="s">
        <v>469</v>
      </c>
      <c r="D275" s="78" t="s">
        <v>470</v>
      </c>
      <c r="E275" s="171" t="s">
        <v>220</v>
      </c>
      <c r="F275" s="78" t="s">
        <v>354</v>
      </c>
      <c r="G275" s="171" t="s">
        <v>342</v>
      </c>
      <c r="H275" s="224" t="s">
        <v>456</v>
      </c>
      <c r="I275" s="225" t="s">
        <v>410</v>
      </c>
      <c r="J275" s="224">
        <v>1</v>
      </c>
      <c r="K275" s="225" t="s">
        <v>269</v>
      </c>
      <c r="L275" s="239">
        <v>32856</v>
      </c>
      <c r="M275" s="227">
        <f t="shared" si="20"/>
        <v>32856</v>
      </c>
      <c r="N275" s="228">
        <v>0</v>
      </c>
      <c r="O275" s="227">
        <f t="shared" si="21"/>
        <v>0</v>
      </c>
      <c r="P275" s="228">
        <v>0.16</v>
      </c>
      <c r="Q275" s="227">
        <f t="shared" si="22"/>
        <v>5256.96</v>
      </c>
      <c r="R275" s="227">
        <f t="shared" si="23"/>
        <v>38112.959999999999</v>
      </c>
      <c r="S275" s="229">
        <f>INDEX('Glosario Partidas'!$M$8:$M$10,MATCH(BD!K275,'Glosario Partidas'!$L$8:$L$10,0))</f>
        <v>1</v>
      </c>
      <c r="T275" s="227">
        <f t="shared" si="24"/>
        <v>38112.959999999999</v>
      </c>
      <c r="U275" s="230" t="s">
        <v>315</v>
      </c>
      <c r="V275" s="231" t="s">
        <v>13</v>
      </c>
    </row>
    <row r="276" spans="2:22" ht="12" customHeight="1" x14ac:dyDescent="0.2">
      <c r="B276" s="63" t="s">
        <v>188</v>
      </c>
      <c r="C276" s="63" t="s">
        <v>467</v>
      </c>
      <c r="D276" s="78" t="s">
        <v>472</v>
      </c>
      <c r="E276" s="171" t="s">
        <v>220</v>
      </c>
      <c r="F276" s="78" t="s">
        <v>354</v>
      </c>
      <c r="G276" s="171" t="s">
        <v>342</v>
      </c>
      <c r="H276" s="224" t="s">
        <v>456</v>
      </c>
      <c r="I276" s="225" t="s">
        <v>410</v>
      </c>
      <c r="J276" s="224">
        <v>1</v>
      </c>
      <c r="K276" s="225" t="s">
        <v>269</v>
      </c>
      <c r="L276" s="239">
        <v>98898</v>
      </c>
      <c r="M276" s="227">
        <f t="shared" si="20"/>
        <v>98898</v>
      </c>
      <c r="N276" s="228">
        <v>0</v>
      </c>
      <c r="O276" s="227">
        <f t="shared" si="21"/>
        <v>0</v>
      </c>
      <c r="P276" s="228">
        <v>0.16</v>
      </c>
      <c r="Q276" s="227">
        <f t="shared" si="22"/>
        <v>15823.68</v>
      </c>
      <c r="R276" s="227">
        <f t="shared" si="23"/>
        <v>114721.68</v>
      </c>
      <c r="S276" s="229">
        <f>INDEX('Glosario Partidas'!$M$8:$M$10,MATCH(BD!K276,'Glosario Partidas'!$L$8:$L$10,0))</f>
        <v>1</v>
      </c>
      <c r="T276" s="227">
        <f t="shared" si="24"/>
        <v>114721.68</v>
      </c>
      <c r="U276" s="230" t="s">
        <v>315</v>
      </c>
      <c r="V276" s="231" t="s">
        <v>13</v>
      </c>
    </row>
    <row r="277" spans="2:22" ht="12" customHeight="1" x14ac:dyDescent="0.2">
      <c r="B277" s="63" t="s">
        <v>188</v>
      </c>
      <c r="C277" s="63" t="s">
        <v>112</v>
      </c>
      <c r="D277" s="78" t="s">
        <v>399</v>
      </c>
      <c r="E277" s="171" t="s">
        <v>220</v>
      </c>
      <c r="F277" s="78" t="s">
        <v>221</v>
      </c>
      <c r="G277" s="171" t="s">
        <v>342</v>
      </c>
      <c r="H277" s="224" t="s">
        <v>456</v>
      </c>
      <c r="I277" s="225" t="s">
        <v>410</v>
      </c>
      <c r="J277" s="224">
        <v>1</v>
      </c>
      <c r="K277" s="225" t="s">
        <v>269</v>
      </c>
      <c r="L277" s="239">
        <v>183614</v>
      </c>
      <c r="M277" s="227">
        <f t="shared" si="20"/>
        <v>183614</v>
      </c>
      <c r="N277" s="228">
        <v>0</v>
      </c>
      <c r="O277" s="227">
        <f t="shared" si="21"/>
        <v>0</v>
      </c>
      <c r="P277" s="228">
        <v>0.16</v>
      </c>
      <c r="Q277" s="227">
        <f t="shared" si="22"/>
        <v>29378.240000000002</v>
      </c>
      <c r="R277" s="227">
        <f t="shared" si="23"/>
        <v>212992.24</v>
      </c>
      <c r="S277" s="229">
        <f>INDEX('Glosario Partidas'!$M$8:$M$10,MATCH(BD!K277,'Glosario Partidas'!$L$8:$L$10,0))</f>
        <v>1</v>
      </c>
      <c r="T277" s="227">
        <f t="shared" si="24"/>
        <v>212992.24</v>
      </c>
      <c r="U277" s="230" t="s">
        <v>432</v>
      </c>
      <c r="V277" s="231" t="s">
        <v>12</v>
      </c>
    </row>
    <row r="278" spans="2:22" ht="12" customHeight="1" x14ac:dyDescent="0.2">
      <c r="B278" s="63" t="s">
        <v>188</v>
      </c>
      <c r="C278" s="63" t="s">
        <v>112</v>
      </c>
      <c r="D278" s="78" t="s">
        <v>400</v>
      </c>
      <c r="E278" s="171" t="s">
        <v>220</v>
      </c>
      <c r="F278" s="78" t="s">
        <v>221</v>
      </c>
      <c r="G278" s="171" t="s">
        <v>342</v>
      </c>
      <c r="H278" s="224" t="s">
        <v>456</v>
      </c>
      <c r="I278" s="225" t="s">
        <v>410</v>
      </c>
      <c r="J278" s="224">
        <v>1</v>
      </c>
      <c r="K278" s="225" t="s">
        <v>269</v>
      </c>
      <c r="L278" s="239">
        <v>183614</v>
      </c>
      <c r="M278" s="227">
        <f t="shared" si="20"/>
        <v>183614</v>
      </c>
      <c r="N278" s="228">
        <v>0</v>
      </c>
      <c r="O278" s="227">
        <f t="shared" si="21"/>
        <v>0</v>
      </c>
      <c r="P278" s="228">
        <v>0.16</v>
      </c>
      <c r="Q278" s="227">
        <f t="shared" si="22"/>
        <v>29378.240000000002</v>
      </c>
      <c r="R278" s="227">
        <f t="shared" si="23"/>
        <v>212992.24</v>
      </c>
      <c r="S278" s="229">
        <f>INDEX('Glosario Partidas'!$M$8:$M$10,MATCH(BD!K278,'Glosario Partidas'!$L$8:$L$10,0))</f>
        <v>1</v>
      </c>
      <c r="T278" s="227">
        <f t="shared" si="24"/>
        <v>212992.24</v>
      </c>
      <c r="U278" s="230" t="s">
        <v>432</v>
      </c>
      <c r="V278" s="231" t="s">
        <v>12</v>
      </c>
    </row>
    <row r="279" spans="2:22" ht="12" customHeight="1" x14ac:dyDescent="0.2">
      <c r="B279" s="63" t="s">
        <v>188</v>
      </c>
      <c r="C279" s="63" t="s">
        <v>112</v>
      </c>
      <c r="D279" s="78" t="s">
        <v>401</v>
      </c>
      <c r="E279" s="171" t="s">
        <v>220</v>
      </c>
      <c r="F279" s="78" t="s">
        <v>221</v>
      </c>
      <c r="G279" s="171" t="s">
        <v>342</v>
      </c>
      <c r="H279" s="224" t="s">
        <v>456</v>
      </c>
      <c r="I279" s="225" t="s">
        <v>410</v>
      </c>
      <c r="J279" s="224">
        <v>1</v>
      </c>
      <c r="K279" s="225" t="s">
        <v>269</v>
      </c>
      <c r="L279" s="239">
        <v>118967</v>
      </c>
      <c r="M279" s="227">
        <f t="shared" si="20"/>
        <v>118967</v>
      </c>
      <c r="N279" s="228">
        <v>0</v>
      </c>
      <c r="O279" s="227">
        <f t="shared" si="21"/>
        <v>0</v>
      </c>
      <c r="P279" s="228">
        <v>0.16</v>
      </c>
      <c r="Q279" s="227">
        <f t="shared" si="22"/>
        <v>19034.72</v>
      </c>
      <c r="R279" s="227">
        <f t="shared" si="23"/>
        <v>138001.72</v>
      </c>
      <c r="S279" s="229">
        <f>INDEX('Glosario Partidas'!$M$8:$M$10,MATCH(BD!K279,'Glosario Partidas'!$L$8:$L$10,0))</f>
        <v>1</v>
      </c>
      <c r="T279" s="227">
        <f t="shared" si="24"/>
        <v>138001.72</v>
      </c>
      <c r="U279" s="230" t="s">
        <v>432</v>
      </c>
      <c r="V279" s="231" t="s">
        <v>12</v>
      </c>
    </row>
    <row r="280" spans="2:22" ht="12" customHeight="1" x14ac:dyDescent="0.2">
      <c r="B280" s="63" t="s">
        <v>188</v>
      </c>
      <c r="C280" s="63" t="s">
        <v>112</v>
      </c>
      <c r="D280" s="78" t="s">
        <v>402</v>
      </c>
      <c r="E280" s="171" t="s">
        <v>220</v>
      </c>
      <c r="F280" s="78" t="s">
        <v>221</v>
      </c>
      <c r="G280" s="171" t="s">
        <v>342</v>
      </c>
      <c r="H280" s="224" t="s">
        <v>456</v>
      </c>
      <c r="I280" s="225" t="s">
        <v>410</v>
      </c>
      <c r="J280" s="224">
        <v>1</v>
      </c>
      <c r="K280" s="225" t="s">
        <v>269</v>
      </c>
      <c r="L280" s="239">
        <v>118967</v>
      </c>
      <c r="M280" s="227">
        <f t="shared" si="20"/>
        <v>118967</v>
      </c>
      <c r="N280" s="228">
        <v>0</v>
      </c>
      <c r="O280" s="227">
        <f t="shared" si="21"/>
        <v>0</v>
      </c>
      <c r="P280" s="228">
        <v>0.16</v>
      </c>
      <c r="Q280" s="227">
        <f t="shared" si="22"/>
        <v>19034.72</v>
      </c>
      <c r="R280" s="227">
        <f t="shared" si="23"/>
        <v>138001.72</v>
      </c>
      <c r="S280" s="229">
        <f>INDEX('Glosario Partidas'!$M$8:$M$10,MATCH(BD!K280,'Glosario Partidas'!$L$8:$L$10,0))</f>
        <v>1</v>
      </c>
      <c r="T280" s="227">
        <f t="shared" si="24"/>
        <v>138001.72</v>
      </c>
      <c r="U280" s="230" t="s">
        <v>405</v>
      </c>
      <c r="V280" s="231" t="s">
        <v>12</v>
      </c>
    </row>
    <row r="281" spans="2:22" ht="12" customHeight="1" x14ac:dyDescent="0.2">
      <c r="B281" s="63" t="s">
        <v>188</v>
      </c>
      <c r="C281" s="63" t="s">
        <v>112</v>
      </c>
      <c r="D281" s="78" t="s">
        <v>477</v>
      </c>
      <c r="E281" s="171" t="s">
        <v>220</v>
      </c>
      <c r="F281" s="78" t="s">
        <v>221</v>
      </c>
      <c r="G281" s="171" t="s">
        <v>342</v>
      </c>
      <c r="H281" s="224" t="s">
        <v>456</v>
      </c>
      <c r="I281" s="225" t="s">
        <v>410</v>
      </c>
      <c r="J281" s="224">
        <v>1</v>
      </c>
      <c r="K281" s="225" t="s">
        <v>269</v>
      </c>
      <c r="L281" s="239">
        <v>109567</v>
      </c>
      <c r="M281" s="227">
        <f t="shared" si="20"/>
        <v>109567</v>
      </c>
      <c r="N281" s="228">
        <v>0</v>
      </c>
      <c r="O281" s="227">
        <f t="shared" si="21"/>
        <v>0</v>
      </c>
      <c r="P281" s="228">
        <v>0.16</v>
      </c>
      <c r="Q281" s="227">
        <f t="shared" si="22"/>
        <v>17530.72</v>
      </c>
      <c r="R281" s="227">
        <f t="shared" si="23"/>
        <v>127097.72</v>
      </c>
      <c r="S281" s="229">
        <f>INDEX('Glosario Partidas'!$M$8:$M$10,MATCH(BD!K281,'Glosario Partidas'!$L$8:$L$10,0))</f>
        <v>1</v>
      </c>
      <c r="T281" s="227">
        <f t="shared" si="24"/>
        <v>127097.72</v>
      </c>
      <c r="U281" s="230" t="s">
        <v>405</v>
      </c>
      <c r="V281" s="231" t="s">
        <v>12</v>
      </c>
    </row>
    <row r="282" spans="2:22" ht="12" customHeight="1" x14ac:dyDescent="0.2">
      <c r="B282" s="63" t="s">
        <v>188</v>
      </c>
      <c r="C282" s="63" t="s">
        <v>112</v>
      </c>
      <c r="D282" s="78" t="s">
        <v>399</v>
      </c>
      <c r="E282" s="171" t="s">
        <v>220</v>
      </c>
      <c r="F282" s="78" t="s">
        <v>354</v>
      </c>
      <c r="G282" s="171" t="s">
        <v>342</v>
      </c>
      <c r="H282" s="224" t="s">
        <v>456</v>
      </c>
      <c r="I282" s="225" t="s">
        <v>410</v>
      </c>
      <c r="J282" s="224">
        <v>1</v>
      </c>
      <c r="K282" s="225" t="s">
        <v>269</v>
      </c>
      <c r="L282" s="239">
        <v>183614</v>
      </c>
      <c r="M282" s="227">
        <f t="shared" si="20"/>
        <v>183614</v>
      </c>
      <c r="N282" s="228">
        <v>0</v>
      </c>
      <c r="O282" s="227">
        <f t="shared" si="21"/>
        <v>0</v>
      </c>
      <c r="P282" s="228">
        <v>0.16</v>
      </c>
      <c r="Q282" s="227">
        <f t="shared" si="22"/>
        <v>29378.240000000002</v>
      </c>
      <c r="R282" s="227">
        <f t="shared" si="23"/>
        <v>212992.24</v>
      </c>
      <c r="S282" s="229">
        <f>INDEX('Glosario Partidas'!$M$8:$M$10,MATCH(BD!K282,'Glosario Partidas'!$L$8:$L$10,0))</f>
        <v>1</v>
      </c>
      <c r="T282" s="227">
        <f t="shared" si="24"/>
        <v>212992.24</v>
      </c>
      <c r="U282" s="230" t="s">
        <v>405</v>
      </c>
      <c r="V282" s="231" t="s">
        <v>12</v>
      </c>
    </row>
    <row r="283" spans="2:22" ht="12" customHeight="1" x14ac:dyDescent="0.2">
      <c r="B283" s="63" t="s">
        <v>188</v>
      </c>
      <c r="C283" s="63" t="s">
        <v>112</v>
      </c>
      <c r="D283" s="78" t="s">
        <v>400</v>
      </c>
      <c r="E283" s="171" t="s">
        <v>220</v>
      </c>
      <c r="F283" s="78" t="s">
        <v>354</v>
      </c>
      <c r="G283" s="171" t="s">
        <v>342</v>
      </c>
      <c r="H283" s="224" t="s">
        <v>456</v>
      </c>
      <c r="I283" s="225" t="s">
        <v>410</v>
      </c>
      <c r="J283" s="224">
        <v>1</v>
      </c>
      <c r="K283" s="225" t="s">
        <v>269</v>
      </c>
      <c r="L283" s="239">
        <v>183614</v>
      </c>
      <c r="M283" s="227">
        <f t="shared" si="20"/>
        <v>183614</v>
      </c>
      <c r="N283" s="228">
        <v>0</v>
      </c>
      <c r="O283" s="227">
        <f t="shared" si="21"/>
        <v>0</v>
      </c>
      <c r="P283" s="228">
        <v>0.16</v>
      </c>
      <c r="Q283" s="227">
        <f t="shared" si="22"/>
        <v>29378.240000000002</v>
      </c>
      <c r="R283" s="227">
        <f t="shared" si="23"/>
        <v>212992.24</v>
      </c>
      <c r="S283" s="229">
        <f>INDEX('Glosario Partidas'!$M$8:$M$10,MATCH(BD!K283,'Glosario Partidas'!$L$8:$L$10,0))</f>
        <v>1</v>
      </c>
      <c r="T283" s="227">
        <f t="shared" si="24"/>
        <v>212992.24</v>
      </c>
      <c r="U283" s="230" t="s">
        <v>405</v>
      </c>
      <c r="V283" s="231" t="s">
        <v>12</v>
      </c>
    </row>
    <row r="284" spans="2:22" ht="12" customHeight="1" x14ac:dyDescent="0.2">
      <c r="B284" s="63" t="s">
        <v>188</v>
      </c>
      <c r="C284" s="63" t="s">
        <v>112</v>
      </c>
      <c r="D284" s="78" t="s">
        <v>401</v>
      </c>
      <c r="E284" s="171" t="s">
        <v>220</v>
      </c>
      <c r="F284" s="78" t="s">
        <v>354</v>
      </c>
      <c r="G284" s="171" t="s">
        <v>342</v>
      </c>
      <c r="H284" s="224" t="s">
        <v>456</v>
      </c>
      <c r="I284" s="225" t="s">
        <v>410</v>
      </c>
      <c r="J284" s="224">
        <v>1</v>
      </c>
      <c r="K284" s="225" t="s">
        <v>269</v>
      </c>
      <c r="L284" s="239">
        <v>118967</v>
      </c>
      <c r="M284" s="227">
        <f t="shared" si="20"/>
        <v>118967</v>
      </c>
      <c r="N284" s="228">
        <v>0</v>
      </c>
      <c r="O284" s="227">
        <f t="shared" si="21"/>
        <v>0</v>
      </c>
      <c r="P284" s="228">
        <v>0.16</v>
      </c>
      <c r="Q284" s="227">
        <f t="shared" si="22"/>
        <v>19034.72</v>
      </c>
      <c r="R284" s="227">
        <f t="shared" si="23"/>
        <v>138001.72</v>
      </c>
      <c r="S284" s="229">
        <f>INDEX('Glosario Partidas'!$M$8:$M$10,MATCH(BD!K284,'Glosario Partidas'!$L$8:$L$10,0))</f>
        <v>1</v>
      </c>
      <c r="T284" s="227">
        <f t="shared" si="24"/>
        <v>138001.72</v>
      </c>
      <c r="U284" s="230" t="s">
        <v>405</v>
      </c>
      <c r="V284" s="231" t="s">
        <v>12</v>
      </c>
    </row>
    <row r="285" spans="2:22" ht="12" customHeight="1" x14ac:dyDescent="0.2">
      <c r="B285" s="63" t="s">
        <v>188</v>
      </c>
      <c r="C285" s="63" t="s">
        <v>112</v>
      </c>
      <c r="D285" s="78" t="s">
        <v>402</v>
      </c>
      <c r="E285" s="171" t="s">
        <v>220</v>
      </c>
      <c r="F285" s="78" t="s">
        <v>354</v>
      </c>
      <c r="G285" s="171" t="s">
        <v>342</v>
      </c>
      <c r="H285" s="224" t="s">
        <v>456</v>
      </c>
      <c r="I285" s="225" t="s">
        <v>410</v>
      </c>
      <c r="J285" s="224">
        <v>1</v>
      </c>
      <c r="K285" s="225" t="s">
        <v>269</v>
      </c>
      <c r="L285" s="239">
        <v>118967</v>
      </c>
      <c r="M285" s="227">
        <f t="shared" si="20"/>
        <v>118967</v>
      </c>
      <c r="N285" s="228">
        <v>0</v>
      </c>
      <c r="O285" s="227">
        <f t="shared" si="21"/>
        <v>0</v>
      </c>
      <c r="P285" s="228">
        <v>0.16</v>
      </c>
      <c r="Q285" s="227">
        <f t="shared" si="22"/>
        <v>19034.72</v>
      </c>
      <c r="R285" s="227">
        <f t="shared" si="23"/>
        <v>138001.72</v>
      </c>
      <c r="S285" s="229">
        <f>INDEX('Glosario Partidas'!$M$8:$M$10,MATCH(BD!K285,'Glosario Partidas'!$L$8:$L$10,0))</f>
        <v>1</v>
      </c>
      <c r="T285" s="227">
        <f t="shared" si="24"/>
        <v>138001.72</v>
      </c>
      <c r="U285" s="230" t="s">
        <v>405</v>
      </c>
      <c r="V285" s="231" t="s">
        <v>12</v>
      </c>
    </row>
    <row r="286" spans="2:22" ht="12" customHeight="1" x14ac:dyDescent="0.2">
      <c r="B286" s="240" t="s">
        <v>188</v>
      </c>
      <c r="C286" s="240" t="s">
        <v>112</v>
      </c>
      <c r="D286" s="241" t="s">
        <v>477</v>
      </c>
      <c r="E286" s="171" t="s">
        <v>220</v>
      </c>
      <c r="F286" s="241" t="s">
        <v>354</v>
      </c>
      <c r="G286" s="171" t="s">
        <v>342</v>
      </c>
      <c r="H286" s="224" t="s">
        <v>456</v>
      </c>
      <c r="I286" s="225" t="s">
        <v>410</v>
      </c>
      <c r="J286" s="224">
        <v>1</v>
      </c>
      <c r="K286" s="225" t="s">
        <v>269</v>
      </c>
      <c r="L286" s="239">
        <v>109567</v>
      </c>
      <c r="M286" s="227">
        <f t="shared" si="20"/>
        <v>109567</v>
      </c>
      <c r="N286" s="228">
        <v>0</v>
      </c>
      <c r="O286" s="227">
        <f t="shared" si="21"/>
        <v>0</v>
      </c>
      <c r="P286" s="228">
        <v>0.16</v>
      </c>
      <c r="Q286" s="227">
        <f t="shared" si="22"/>
        <v>17530.72</v>
      </c>
      <c r="R286" s="227">
        <f t="shared" si="23"/>
        <v>127097.72</v>
      </c>
      <c r="S286" s="229">
        <f>INDEX('Glosario Partidas'!$M$8:$M$10,MATCH(BD!K286,'Glosario Partidas'!$L$8:$L$10,0))</f>
        <v>1</v>
      </c>
      <c r="T286" s="227">
        <f t="shared" si="24"/>
        <v>127097.72</v>
      </c>
      <c r="U286" s="230" t="s">
        <v>432</v>
      </c>
      <c r="V286" s="231" t="s">
        <v>12</v>
      </c>
    </row>
    <row r="287" spans="2:22" ht="12" customHeight="1" x14ac:dyDescent="0.2">
      <c r="B287" s="240" t="s">
        <v>188</v>
      </c>
      <c r="C287" s="240" t="s">
        <v>112</v>
      </c>
      <c r="D287" s="78" t="s">
        <v>403</v>
      </c>
      <c r="E287" s="171" t="s">
        <v>220</v>
      </c>
      <c r="F287" s="241" t="s">
        <v>355</v>
      </c>
      <c r="G287" s="171" t="s">
        <v>342</v>
      </c>
      <c r="H287" s="224" t="s">
        <v>456</v>
      </c>
      <c r="I287" s="225" t="s">
        <v>410</v>
      </c>
      <c r="J287" s="224">
        <v>1</v>
      </c>
      <c r="K287" s="225" t="s">
        <v>269</v>
      </c>
      <c r="L287" s="239">
        <v>113790</v>
      </c>
      <c r="M287" s="227">
        <f t="shared" si="20"/>
        <v>113790</v>
      </c>
      <c r="N287" s="228">
        <v>0</v>
      </c>
      <c r="O287" s="227">
        <f t="shared" si="21"/>
        <v>0</v>
      </c>
      <c r="P287" s="228">
        <v>0.16</v>
      </c>
      <c r="Q287" s="227">
        <f t="shared" si="22"/>
        <v>18206.400000000001</v>
      </c>
      <c r="R287" s="227">
        <f t="shared" si="23"/>
        <v>131996.4</v>
      </c>
      <c r="S287" s="229">
        <f>INDEX('Glosario Partidas'!$M$8:$M$10,MATCH(BD!K287,'Glosario Partidas'!$L$8:$L$10,0))</f>
        <v>1</v>
      </c>
      <c r="T287" s="227">
        <f t="shared" si="24"/>
        <v>131996.4</v>
      </c>
      <c r="U287" s="230" t="s">
        <v>432</v>
      </c>
      <c r="V287" s="231" t="s">
        <v>12</v>
      </c>
    </row>
    <row r="288" spans="2:22" ht="12" customHeight="1" x14ac:dyDescent="0.2">
      <c r="B288" s="240" t="s">
        <v>188</v>
      </c>
      <c r="C288" s="240" t="s">
        <v>112</v>
      </c>
      <c r="D288" s="241" t="s">
        <v>478</v>
      </c>
      <c r="E288" s="171" t="s">
        <v>220</v>
      </c>
      <c r="F288" s="241" t="s">
        <v>355</v>
      </c>
      <c r="G288" s="171" t="s">
        <v>342</v>
      </c>
      <c r="H288" s="224" t="s">
        <v>456</v>
      </c>
      <c r="I288" s="225" t="s">
        <v>410</v>
      </c>
      <c r="J288" s="224">
        <v>1</v>
      </c>
      <c r="K288" s="225" t="s">
        <v>269</v>
      </c>
      <c r="L288" s="239">
        <v>63045</v>
      </c>
      <c r="M288" s="227">
        <f t="shared" si="20"/>
        <v>63045</v>
      </c>
      <c r="N288" s="228">
        <v>0</v>
      </c>
      <c r="O288" s="227">
        <f t="shared" si="21"/>
        <v>0</v>
      </c>
      <c r="P288" s="228">
        <v>0.16</v>
      </c>
      <c r="Q288" s="227">
        <f t="shared" si="22"/>
        <v>10087.200000000001</v>
      </c>
      <c r="R288" s="227">
        <f t="shared" si="23"/>
        <v>73132.2</v>
      </c>
      <c r="S288" s="229">
        <f>INDEX('Glosario Partidas'!$M$8:$M$10,MATCH(BD!K288,'Glosario Partidas'!$L$8:$L$10,0))</f>
        <v>1</v>
      </c>
      <c r="T288" s="227">
        <f t="shared" si="24"/>
        <v>73132.2</v>
      </c>
      <c r="U288" s="230" t="s">
        <v>432</v>
      </c>
      <c r="V288" s="231" t="s">
        <v>12</v>
      </c>
    </row>
    <row r="289" spans="2:22" ht="12" customHeight="1" x14ac:dyDescent="0.2">
      <c r="B289" s="63" t="s">
        <v>188</v>
      </c>
      <c r="C289" s="63" t="s">
        <v>114</v>
      </c>
      <c r="D289" s="78" t="s">
        <v>462</v>
      </c>
      <c r="E289" s="171" t="s">
        <v>220</v>
      </c>
      <c r="F289" s="78" t="s">
        <v>221</v>
      </c>
      <c r="G289" s="171" t="s">
        <v>342</v>
      </c>
      <c r="H289" s="224" t="s">
        <v>456</v>
      </c>
      <c r="I289" s="225" t="s">
        <v>410</v>
      </c>
      <c r="J289" s="224">
        <v>1</v>
      </c>
      <c r="K289" s="225" t="s">
        <v>269</v>
      </c>
      <c r="L289" s="239">
        <v>513211</v>
      </c>
      <c r="M289" s="227">
        <f t="shared" si="20"/>
        <v>513211</v>
      </c>
      <c r="N289" s="228">
        <v>0</v>
      </c>
      <c r="O289" s="227">
        <f t="shared" si="21"/>
        <v>0</v>
      </c>
      <c r="P289" s="228">
        <v>0.16</v>
      </c>
      <c r="Q289" s="227">
        <f t="shared" si="22"/>
        <v>82113.759999999995</v>
      </c>
      <c r="R289" s="227">
        <f t="shared" si="23"/>
        <v>595324.76</v>
      </c>
      <c r="S289" s="229">
        <f>INDEX('Glosario Partidas'!$M$8:$M$10,MATCH(BD!K289,'Glosario Partidas'!$L$8:$L$10,0))</f>
        <v>1</v>
      </c>
      <c r="T289" s="227">
        <f t="shared" si="24"/>
        <v>595324.76</v>
      </c>
      <c r="U289" s="230" t="s">
        <v>479</v>
      </c>
      <c r="V289" s="231" t="s">
        <v>12</v>
      </c>
    </row>
    <row r="290" spans="2:22" ht="12" customHeight="1" x14ac:dyDescent="0.2">
      <c r="B290" s="63" t="s">
        <v>188</v>
      </c>
      <c r="C290" s="63" t="s">
        <v>114</v>
      </c>
      <c r="D290" s="78" t="s">
        <v>465</v>
      </c>
      <c r="E290" s="171" t="s">
        <v>220</v>
      </c>
      <c r="F290" s="78" t="s">
        <v>221</v>
      </c>
      <c r="G290" s="171" t="s">
        <v>342</v>
      </c>
      <c r="H290" s="224" t="s">
        <v>456</v>
      </c>
      <c r="I290" s="225" t="s">
        <v>410</v>
      </c>
      <c r="J290" s="224">
        <v>1</v>
      </c>
      <c r="K290" s="225" t="s">
        <v>269</v>
      </c>
      <c r="L290" s="239">
        <v>298550</v>
      </c>
      <c r="M290" s="227">
        <f t="shared" si="20"/>
        <v>298550</v>
      </c>
      <c r="N290" s="228">
        <v>0</v>
      </c>
      <c r="O290" s="227">
        <f t="shared" si="21"/>
        <v>0</v>
      </c>
      <c r="P290" s="228">
        <v>0.16</v>
      </c>
      <c r="Q290" s="227">
        <f t="shared" si="22"/>
        <v>47768</v>
      </c>
      <c r="R290" s="227">
        <f t="shared" si="23"/>
        <v>346318</v>
      </c>
      <c r="S290" s="229">
        <f>INDEX('Glosario Partidas'!$M$8:$M$10,MATCH(BD!K290,'Glosario Partidas'!$L$8:$L$10,0))</f>
        <v>1</v>
      </c>
      <c r="T290" s="227">
        <f t="shared" si="24"/>
        <v>346318</v>
      </c>
      <c r="U290" s="230" t="s">
        <v>405</v>
      </c>
      <c r="V290" s="231" t="s">
        <v>12</v>
      </c>
    </row>
    <row r="291" spans="2:22" ht="12" customHeight="1" x14ac:dyDescent="0.2">
      <c r="B291" s="63" t="s">
        <v>188</v>
      </c>
      <c r="C291" s="63" t="s">
        <v>114</v>
      </c>
      <c r="D291" s="78" t="s">
        <v>468</v>
      </c>
      <c r="E291" s="171" t="s">
        <v>220</v>
      </c>
      <c r="F291" s="78" t="s">
        <v>221</v>
      </c>
      <c r="G291" s="171" t="s">
        <v>342</v>
      </c>
      <c r="H291" s="224" t="s">
        <v>456</v>
      </c>
      <c r="I291" s="225" t="s">
        <v>410</v>
      </c>
      <c r="J291" s="224">
        <v>1</v>
      </c>
      <c r="K291" s="225" t="s">
        <v>269</v>
      </c>
      <c r="L291" s="239">
        <v>327923</v>
      </c>
      <c r="M291" s="227">
        <f t="shared" si="20"/>
        <v>327923</v>
      </c>
      <c r="N291" s="228">
        <v>0</v>
      </c>
      <c r="O291" s="227">
        <f t="shared" si="21"/>
        <v>0</v>
      </c>
      <c r="P291" s="228">
        <v>0.16</v>
      </c>
      <c r="Q291" s="227">
        <f t="shared" si="22"/>
        <v>52467.68</v>
      </c>
      <c r="R291" s="227">
        <f t="shared" si="23"/>
        <v>380390.68</v>
      </c>
      <c r="S291" s="229">
        <f>INDEX('Glosario Partidas'!$M$8:$M$10,MATCH(BD!K291,'Glosario Partidas'!$L$8:$L$10,0))</f>
        <v>1</v>
      </c>
      <c r="T291" s="227">
        <f t="shared" si="24"/>
        <v>380390.68</v>
      </c>
      <c r="U291" s="230" t="s">
        <v>405</v>
      </c>
      <c r="V291" s="231" t="s">
        <v>12</v>
      </c>
    </row>
    <row r="292" spans="2:22" ht="12" customHeight="1" x14ac:dyDescent="0.2">
      <c r="B292" s="63" t="s">
        <v>188</v>
      </c>
      <c r="C292" s="63" t="s">
        <v>114</v>
      </c>
      <c r="D292" s="78" t="s">
        <v>460</v>
      </c>
      <c r="E292" s="171" t="s">
        <v>220</v>
      </c>
      <c r="F292" s="78" t="s">
        <v>221</v>
      </c>
      <c r="G292" s="171" t="s">
        <v>342</v>
      </c>
      <c r="H292" s="224" t="s">
        <v>456</v>
      </c>
      <c r="I292" s="225" t="s">
        <v>410</v>
      </c>
      <c r="J292" s="224">
        <v>1</v>
      </c>
      <c r="K292" s="225" t="s">
        <v>269</v>
      </c>
      <c r="L292" s="239">
        <v>513211</v>
      </c>
      <c r="M292" s="227">
        <f t="shared" si="20"/>
        <v>513211</v>
      </c>
      <c r="N292" s="228">
        <v>0</v>
      </c>
      <c r="O292" s="227">
        <f t="shared" si="21"/>
        <v>0</v>
      </c>
      <c r="P292" s="228">
        <v>0.16</v>
      </c>
      <c r="Q292" s="227">
        <f t="shared" si="22"/>
        <v>82113.759999999995</v>
      </c>
      <c r="R292" s="227">
        <f t="shared" si="23"/>
        <v>595324.76</v>
      </c>
      <c r="S292" s="229">
        <f>INDEX('Glosario Partidas'!$M$8:$M$10,MATCH(BD!K292,'Glosario Partidas'!$L$8:$L$10,0))</f>
        <v>1</v>
      </c>
      <c r="T292" s="227">
        <f t="shared" si="24"/>
        <v>595324.76</v>
      </c>
      <c r="U292" s="230" t="s">
        <v>405</v>
      </c>
      <c r="V292" s="231" t="s">
        <v>12</v>
      </c>
    </row>
    <row r="293" spans="2:22" ht="12" customHeight="1" x14ac:dyDescent="0.2">
      <c r="B293" s="63" t="s">
        <v>188</v>
      </c>
      <c r="C293" s="63" t="s">
        <v>114</v>
      </c>
      <c r="D293" s="78" t="s">
        <v>462</v>
      </c>
      <c r="E293" s="171" t="s">
        <v>220</v>
      </c>
      <c r="F293" s="78" t="s">
        <v>354</v>
      </c>
      <c r="G293" s="171" t="s">
        <v>342</v>
      </c>
      <c r="H293" s="224" t="s">
        <v>456</v>
      </c>
      <c r="I293" s="225" t="s">
        <v>410</v>
      </c>
      <c r="J293" s="224">
        <v>1</v>
      </c>
      <c r="K293" s="225" t="s">
        <v>269</v>
      </c>
      <c r="L293" s="239">
        <v>513211</v>
      </c>
      <c r="M293" s="227">
        <f t="shared" si="20"/>
        <v>513211</v>
      </c>
      <c r="N293" s="228">
        <v>0</v>
      </c>
      <c r="O293" s="227">
        <f t="shared" si="21"/>
        <v>0</v>
      </c>
      <c r="P293" s="228">
        <v>0.16</v>
      </c>
      <c r="Q293" s="227">
        <f t="shared" si="22"/>
        <v>82113.759999999995</v>
      </c>
      <c r="R293" s="227">
        <f t="shared" si="23"/>
        <v>595324.76</v>
      </c>
      <c r="S293" s="229">
        <f>INDEX('Glosario Partidas'!$M$8:$M$10,MATCH(BD!K293,'Glosario Partidas'!$L$8:$L$10,0))</f>
        <v>1</v>
      </c>
      <c r="T293" s="227">
        <f t="shared" si="24"/>
        <v>595324.76</v>
      </c>
      <c r="U293" s="230" t="s">
        <v>479</v>
      </c>
      <c r="V293" s="231" t="s">
        <v>12</v>
      </c>
    </row>
    <row r="294" spans="2:22" ht="12" customHeight="1" x14ac:dyDescent="0.2">
      <c r="B294" s="63" t="s">
        <v>188</v>
      </c>
      <c r="C294" s="63" t="s">
        <v>114</v>
      </c>
      <c r="D294" s="78" t="s">
        <v>465</v>
      </c>
      <c r="E294" s="171" t="s">
        <v>220</v>
      </c>
      <c r="F294" s="78" t="s">
        <v>354</v>
      </c>
      <c r="G294" s="171" t="s">
        <v>342</v>
      </c>
      <c r="H294" s="224" t="s">
        <v>456</v>
      </c>
      <c r="I294" s="225" t="s">
        <v>410</v>
      </c>
      <c r="J294" s="224">
        <v>1</v>
      </c>
      <c r="K294" s="225" t="s">
        <v>269</v>
      </c>
      <c r="L294" s="239">
        <v>298550</v>
      </c>
      <c r="M294" s="227">
        <f t="shared" si="20"/>
        <v>298550</v>
      </c>
      <c r="N294" s="228">
        <v>0</v>
      </c>
      <c r="O294" s="227">
        <f t="shared" si="21"/>
        <v>0</v>
      </c>
      <c r="P294" s="228">
        <v>0.16</v>
      </c>
      <c r="Q294" s="227">
        <f t="shared" si="22"/>
        <v>47768</v>
      </c>
      <c r="R294" s="227">
        <f t="shared" si="23"/>
        <v>346318</v>
      </c>
      <c r="S294" s="229">
        <f>INDEX('Glosario Partidas'!$M$8:$M$10,MATCH(BD!K294,'Glosario Partidas'!$L$8:$L$10,0))</f>
        <v>1</v>
      </c>
      <c r="T294" s="227">
        <f t="shared" si="24"/>
        <v>346318</v>
      </c>
      <c r="U294" s="230" t="s">
        <v>405</v>
      </c>
      <c r="V294" s="231" t="s">
        <v>12</v>
      </c>
    </row>
    <row r="295" spans="2:22" ht="12" customHeight="1" x14ac:dyDescent="0.2">
      <c r="B295" s="63" t="s">
        <v>188</v>
      </c>
      <c r="C295" s="63" t="s">
        <v>114</v>
      </c>
      <c r="D295" s="78" t="s">
        <v>468</v>
      </c>
      <c r="E295" s="171" t="s">
        <v>220</v>
      </c>
      <c r="F295" s="78" t="s">
        <v>354</v>
      </c>
      <c r="G295" s="171" t="s">
        <v>342</v>
      </c>
      <c r="H295" s="224" t="s">
        <v>456</v>
      </c>
      <c r="I295" s="225" t="s">
        <v>410</v>
      </c>
      <c r="J295" s="224">
        <v>1</v>
      </c>
      <c r="K295" s="225" t="s">
        <v>269</v>
      </c>
      <c r="L295" s="239">
        <v>327923</v>
      </c>
      <c r="M295" s="227">
        <f t="shared" si="20"/>
        <v>327923</v>
      </c>
      <c r="N295" s="228">
        <v>0</v>
      </c>
      <c r="O295" s="227">
        <f t="shared" si="21"/>
        <v>0</v>
      </c>
      <c r="P295" s="228">
        <v>0.16</v>
      </c>
      <c r="Q295" s="227">
        <f t="shared" si="22"/>
        <v>52467.68</v>
      </c>
      <c r="R295" s="227">
        <f t="shared" si="23"/>
        <v>380390.68</v>
      </c>
      <c r="S295" s="229">
        <f>INDEX('Glosario Partidas'!$M$8:$M$10,MATCH(BD!K295,'Glosario Partidas'!$L$8:$L$10,0))</f>
        <v>1</v>
      </c>
      <c r="T295" s="227">
        <f t="shared" si="24"/>
        <v>380390.68</v>
      </c>
      <c r="U295" s="230" t="s">
        <v>405</v>
      </c>
      <c r="V295" s="231" t="s">
        <v>12</v>
      </c>
    </row>
    <row r="296" spans="2:22" ht="12" customHeight="1" x14ac:dyDescent="0.2">
      <c r="B296" s="63" t="s">
        <v>188</v>
      </c>
      <c r="C296" s="63" t="s">
        <v>114</v>
      </c>
      <c r="D296" s="78" t="s">
        <v>460</v>
      </c>
      <c r="E296" s="171" t="s">
        <v>220</v>
      </c>
      <c r="F296" s="78" t="s">
        <v>354</v>
      </c>
      <c r="G296" s="171" t="s">
        <v>342</v>
      </c>
      <c r="H296" s="224" t="s">
        <v>456</v>
      </c>
      <c r="I296" s="225" t="s">
        <v>410</v>
      </c>
      <c r="J296" s="224">
        <v>1</v>
      </c>
      <c r="K296" s="225" t="s">
        <v>269</v>
      </c>
      <c r="L296" s="239">
        <v>513211</v>
      </c>
      <c r="M296" s="227">
        <f t="shared" si="20"/>
        <v>513211</v>
      </c>
      <c r="N296" s="228">
        <v>0</v>
      </c>
      <c r="O296" s="227">
        <f t="shared" si="21"/>
        <v>0</v>
      </c>
      <c r="P296" s="228">
        <v>0.16</v>
      </c>
      <c r="Q296" s="227">
        <f t="shared" si="22"/>
        <v>82113.759999999995</v>
      </c>
      <c r="R296" s="227">
        <f t="shared" si="23"/>
        <v>595324.76</v>
      </c>
      <c r="S296" s="229">
        <f>INDEX('Glosario Partidas'!$M$8:$M$10,MATCH(BD!K296,'Glosario Partidas'!$L$8:$L$10,0))</f>
        <v>1</v>
      </c>
      <c r="T296" s="227">
        <f t="shared" si="24"/>
        <v>595324.76</v>
      </c>
      <c r="U296" s="230" t="s">
        <v>405</v>
      </c>
      <c r="V296" s="231" t="s">
        <v>12</v>
      </c>
    </row>
    <row r="297" spans="2:22" ht="12" customHeight="1" x14ac:dyDescent="0.2">
      <c r="B297" s="63" t="s">
        <v>188</v>
      </c>
      <c r="C297" s="63" t="s">
        <v>114</v>
      </c>
      <c r="D297" s="78" t="s">
        <v>475</v>
      </c>
      <c r="E297" s="171" t="s">
        <v>220</v>
      </c>
      <c r="F297" s="78" t="s">
        <v>355</v>
      </c>
      <c r="G297" s="171" t="s">
        <v>342</v>
      </c>
      <c r="H297" s="224" t="s">
        <v>456</v>
      </c>
      <c r="I297" s="225" t="s">
        <v>410</v>
      </c>
      <c r="J297" s="224">
        <v>1</v>
      </c>
      <c r="K297" s="225" t="s">
        <v>269</v>
      </c>
      <c r="L297" s="239">
        <v>232855</v>
      </c>
      <c r="M297" s="227">
        <f t="shared" si="20"/>
        <v>232855</v>
      </c>
      <c r="N297" s="228">
        <v>0</v>
      </c>
      <c r="O297" s="227">
        <f t="shared" si="21"/>
        <v>0</v>
      </c>
      <c r="P297" s="228">
        <v>0.16</v>
      </c>
      <c r="Q297" s="227">
        <f t="shared" si="22"/>
        <v>37256.800000000003</v>
      </c>
      <c r="R297" s="227">
        <f t="shared" si="23"/>
        <v>270111.8</v>
      </c>
      <c r="S297" s="229">
        <f>INDEX('Glosario Partidas'!$M$8:$M$10,MATCH(BD!K297,'Glosario Partidas'!$L$8:$L$10,0))</f>
        <v>1</v>
      </c>
      <c r="T297" s="227">
        <f t="shared" si="24"/>
        <v>270111.8</v>
      </c>
      <c r="U297" s="230" t="s">
        <v>405</v>
      </c>
      <c r="V297" s="231" t="s">
        <v>12</v>
      </c>
    </row>
    <row r="298" spans="2:22" ht="12" customHeight="1" x14ac:dyDescent="0.2">
      <c r="B298" s="63" t="s">
        <v>188</v>
      </c>
      <c r="C298" s="63" t="s">
        <v>114</v>
      </c>
      <c r="D298" s="78" t="s">
        <v>480</v>
      </c>
      <c r="E298" s="171" t="s">
        <v>220</v>
      </c>
      <c r="F298" s="78" t="s">
        <v>355</v>
      </c>
      <c r="G298" s="171" t="s">
        <v>342</v>
      </c>
      <c r="H298" s="224" t="s">
        <v>293</v>
      </c>
      <c r="I298" s="225" t="s">
        <v>410</v>
      </c>
      <c r="J298" s="224">
        <v>1</v>
      </c>
      <c r="K298" s="225" t="s">
        <v>269</v>
      </c>
      <c r="L298" s="226">
        <v>150000</v>
      </c>
      <c r="M298" s="227">
        <f t="shared" si="20"/>
        <v>150000</v>
      </c>
      <c r="N298" s="228">
        <v>0</v>
      </c>
      <c r="O298" s="227">
        <f t="shared" si="21"/>
        <v>0</v>
      </c>
      <c r="P298" s="228">
        <v>0.16</v>
      </c>
      <c r="Q298" s="227">
        <f t="shared" si="22"/>
        <v>24000</v>
      </c>
      <c r="R298" s="227">
        <f t="shared" si="23"/>
        <v>174000</v>
      </c>
      <c r="S298" s="229">
        <f>INDEX('Glosario Partidas'!$M$8:$M$10,MATCH(BD!K298,'Glosario Partidas'!$L$8:$L$10,0))</f>
        <v>1</v>
      </c>
      <c r="T298" s="227">
        <f t="shared" si="24"/>
        <v>174000</v>
      </c>
      <c r="U298" s="230" t="s">
        <v>405</v>
      </c>
      <c r="V298" s="231" t="s">
        <v>12</v>
      </c>
    </row>
    <row r="299" spans="2:22" ht="12" customHeight="1" x14ac:dyDescent="0.2">
      <c r="B299" s="63" t="s">
        <v>188</v>
      </c>
      <c r="C299" s="63" t="s">
        <v>117</v>
      </c>
      <c r="D299" s="78" t="s">
        <v>481</v>
      </c>
      <c r="E299" s="171" t="s">
        <v>220</v>
      </c>
      <c r="F299" s="78" t="s">
        <v>221</v>
      </c>
      <c r="G299" s="171" t="s">
        <v>342</v>
      </c>
      <c r="H299" s="224" t="s">
        <v>293</v>
      </c>
      <c r="I299" s="225" t="s">
        <v>410</v>
      </c>
      <c r="J299" s="224">
        <v>2</v>
      </c>
      <c r="K299" s="225" t="s">
        <v>269</v>
      </c>
      <c r="L299" s="226">
        <v>80000</v>
      </c>
      <c r="M299" s="227">
        <f t="shared" si="20"/>
        <v>160000</v>
      </c>
      <c r="N299" s="228">
        <v>0</v>
      </c>
      <c r="O299" s="227">
        <f t="shared" si="21"/>
        <v>0</v>
      </c>
      <c r="P299" s="228">
        <v>0.16</v>
      </c>
      <c r="Q299" s="227">
        <f t="shared" si="22"/>
        <v>25600</v>
      </c>
      <c r="R299" s="227">
        <f t="shared" si="23"/>
        <v>185600</v>
      </c>
      <c r="S299" s="229">
        <f>INDEX('Glosario Partidas'!$M$8:$M$10,MATCH(BD!K299,'Glosario Partidas'!$L$8:$L$10,0))</f>
        <v>1</v>
      </c>
      <c r="T299" s="227">
        <f t="shared" si="24"/>
        <v>185600</v>
      </c>
      <c r="U299" s="230" t="s">
        <v>405</v>
      </c>
      <c r="V299" s="231" t="s">
        <v>12</v>
      </c>
    </row>
    <row r="300" spans="2:22" ht="12" customHeight="1" x14ac:dyDescent="0.2">
      <c r="B300" s="63" t="s">
        <v>188</v>
      </c>
      <c r="C300" s="63" t="s">
        <v>116</v>
      </c>
      <c r="D300" s="78" t="s">
        <v>313</v>
      </c>
      <c r="E300" s="171" t="s">
        <v>220</v>
      </c>
      <c r="F300" s="78" t="s">
        <v>221</v>
      </c>
      <c r="G300" s="171" t="s">
        <v>342</v>
      </c>
      <c r="H300" s="224" t="s">
        <v>456</v>
      </c>
      <c r="I300" s="225" t="s">
        <v>314</v>
      </c>
      <c r="J300" s="224">
        <v>1</v>
      </c>
      <c r="K300" s="225" t="s">
        <v>269</v>
      </c>
      <c r="L300" s="239">
        <v>1225485</v>
      </c>
      <c r="M300" s="227">
        <f t="shared" si="20"/>
        <v>1225485</v>
      </c>
      <c r="N300" s="228">
        <v>0</v>
      </c>
      <c r="O300" s="227">
        <f t="shared" si="21"/>
        <v>0</v>
      </c>
      <c r="P300" s="228">
        <v>0.16</v>
      </c>
      <c r="Q300" s="227">
        <f t="shared" si="22"/>
        <v>196077.6</v>
      </c>
      <c r="R300" s="227">
        <f t="shared" si="23"/>
        <v>1421562.6</v>
      </c>
      <c r="S300" s="229">
        <f>INDEX('Glosario Partidas'!$M$8:$M$10,MATCH(BD!K300,'Glosario Partidas'!$L$8:$L$10,0))</f>
        <v>1</v>
      </c>
      <c r="T300" s="227">
        <f t="shared" si="24"/>
        <v>1421562.6</v>
      </c>
      <c r="U300" s="230" t="s">
        <v>405</v>
      </c>
      <c r="V300" s="231" t="s">
        <v>12</v>
      </c>
    </row>
    <row r="301" spans="2:22" ht="12" customHeight="1" x14ac:dyDescent="0.2">
      <c r="B301" s="63" t="s">
        <v>188</v>
      </c>
      <c r="C301" s="63" t="s">
        <v>482</v>
      </c>
      <c r="D301" s="78" t="s">
        <v>313</v>
      </c>
      <c r="E301" s="171" t="s">
        <v>220</v>
      </c>
      <c r="F301" s="78" t="s">
        <v>221</v>
      </c>
      <c r="G301" s="171" t="s">
        <v>342</v>
      </c>
      <c r="H301" s="224" t="s">
        <v>293</v>
      </c>
      <c r="I301" s="225" t="s">
        <v>410</v>
      </c>
      <c r="J301" s="224">
        <v>15</v>
      </c>
      <c r="K301" s="225" t="s">
        <v>269</v>
      </c>
      <c r="L301" s="226">
        <v>4000</v>
      </c>
      <c r="M301" s="227">
        <f t="shared" si="20"/>
        <v>60000</v>
      </c>
      <c r="N301" s="228">
        <v>0</v>
      </c>
      <c r="O301" s="227">
        <f t="shared" si="21"/>
        <v>0</v>
      </c>
      <c r="P301" s="228">
        <v>0.16</v>
      </c>
      <c r="Q301" s="227">
        <f t="shared" si="22"/>
        <v>9600</v>
      </c>
      <c r="R301" s="227">
        <f t="shared" si="23"/>
        <v>69600</v>
      </c>
      <c r="S301" s="229">
        <f>INDEX('Glosario Partidas'!$M$8:$M$10,MATCH(BD!K301,'Glosario Partidas'!$L$8:$L$10,0))</f>
        <v>1</v>
      </c>
      <c r="T301" s="227">
        <f t="shared" si="24"/>
        <v>69600</v>
      </c>
      <c r="U301" s="230" t="s">
        <v>315</v>
      </c>
      <c r="V301" s="231" t="s">
        <v>12</v>
      </c>
    </row>
    <row r="302" spans="2:22" ht="12" customHeight="1" x14ac:dyDescent="0.2">
      <c r="B302" s="63" t="s">
        <v>188</v>
      </c>
      <c r="C302" s="63" t="s">
        <v>482</v>
      </c>
      <c r="D302" s="78" t="s">
        <v>313</v>
      </c>
      <c r="E302" s="171" t="s">
        <v>220</v>
      </c>
      <c r="F302" s="78" t="s">
        <v>354</v>
      </c>
      <c r="G302" s="171" t="s">
        <v>342</v>
      </c>
      <c r="H302" s="224" t="s">
        <v>293</v>
      </c>
      <c r="I302" s="225" t="s">
        <v>410</v>
      </c>
      <c r="J302" s="224">
        <v>14</v>
      </c>
      <c r="K302" s="225" t="s">
        <v>269</v>
      </c>
      <c r="L302" s="226">
        <v>4000</v>
      </c>
      <c r="M302" s="227">
        <f t="shared" si="20"/>
        <v>56000</v>
      </c>
      <c r="N302" s="228">
        <v>0</v>
      </c>
      <c r="O302" s="227">
        <f t="shared" si="21"/>
        <v>0</v>
      </c>
      <c r="P302" s="228">
        <v>0.16</v>
      </c>
      <c r="Q302" s="227">
        <f t="shared" si="22"/>
        <v>8960</v>
      </c>
      <c r="R302" s="227">
        <f t="shared" si="23"/>
        <v>64960</v>
      </c>
      <c r="S302" s="229">
        <f>INDEX('Glosario Partidas'!$M$8:$M$10,MATCH(BD!K302,'Glosario Partidas'!$L$8:$L$10,0))</f>
        <v>1</v>
      </c>
      <c r="T302" s="227">
        <f t="shared" si="24"/>
        <v>64960</v>
      </c>
      <c r="U302" s="230" t="s">
        <v>315</v>
      </c>
      <c r="V302" s="231" t="s">
        <v>12</v>
      </c>
    </row>
    <row r="303" spans="2:22" ht="12" customHeight="1" x14ac:dyDescent="0.2">
      <c r="B303" s="63" t="s">
        <v>188</v>
      </c>
      <c r="C303" s="63" t="s">
        <v>482</v>
      </c>
      <c r="D303" s="78" t="s">
        <v>313</v>
      </c>
      <c r="E303" s="171" t="s">
        <v>220</v>
      </c>
      <c r="F303" s="78" t="s">
        <v>355</v>
      </c>
      <c r="G303" s="171" t="s">
        <v>342</v>
      </c>
      <c r="H303" s="224" t="s">
        <v>293</v>
      </c>
      <c r="I303" s="225" t="s">
        <v>410</v>
      </c>
      <c r="J303" s="224">
        <v>7</v>
      </c>
      <c r="K303" s="225" t="s">
        <v>269</v>
      </c>
      <c r="L303" s="226">
        <v>4000</v>
      </c>
      <c r="M303" s="227">
        <f t="shared" si="20"/>
        <v>28000</v>
      </c>
      <c r="N303" s="228">
        <v>0</v>
      </c>
      <c r="O303" s="227">
        <f t="shared" si="21"/>
        <v>0</v>
      </c>
      <c r="P303" s="228">
        <v>0.16</v>
      </c>
      <c r="Q303" s="227">
        <f t="shared" si="22"/>
        <v>4480</v>
      </c>
      <c r="R303" s="227">
        <f t="shared" si="23"/>
        <v>32480</v>
      </c>
      <c r="S303" s="229">
        <f>INDEX('Glosario Partidas'!$M$8:$M$10,MATCH(BD!K303,'Glosario Partidas'!$L$8:$L$10,0))</f>
        <v>1</v>
      </c>
      <c r="T303" s="227">
        <f t="shared" si="24"/>
        <v>32480</v>
      </c>
      <c r="U303" s="230" t="s">
        <v>315</v>
      </c>
      <c r="V303" s="231" t="s">
        <v>12</v>
      </c>
    </row>
    <row r="304" spans="2:22" ht="12" customHeight="1" x14ac:dyDescent="0.2">
      <c r="B304" s="63" t="s">
        <v>188</v>
      </c>
      <c r="C304" s="63" t="s">
        <v>483</v>
      </c>
      <c r="D304" s="78" t="s">
        <v>313</v>
      </c>
      <c r="E304" s="171" t="s">
        <v>220</v>
      </c>
      <c r="F304" s="78" t="s">
        <v>221</v>
      </c>
      <c r="G304" s="171" t="s">
        <v>342</v>
      </c>
      <c r="H304" s="224" t="s">
        <v>293</v>
      </c>
      <c r="I304" s="225" t="s">
        <v>410</v>
      </c>
      <c r="J304" s="224">
        <v>15</v>
      </c>
      <c r="K304" s="225" t="s">
        <v>269</v>
      </c>
      <c r="L304" s="226">
        <v>125</v>
      </c>
      <c r="M304" s="227">
        <f t="shared" si="20"/>
        <v>1875</v>
      </c>
      <c r="N304" s="228">
        <v>0</v>
      </c>
      <c r="O304" s="227">
        <f t="shared" si="21"/>
        <v>0</v>
      </c>
      <c r="P304" s="228">
        <v>0.16</v>
      </c>
      <c r="Q304" s="227">
        <f t="shared" si="22"/>
        <v>300</v>
      </c>
      <c r="R304" s="227">
        <f t="shared" si="23"/>
        <v>2175</v>
      </c>
      <c r="S304" s="229">
        <f>INDEX('Glosario Partidas'!$M$8:$M$10,MATCH(BD!K304,'Glosario Partidas'!$L$8:$L$10,0))</f>
        <v>1</v>
      </c>
      <c r="T304" s="227">
        <f t="shared" si="24"/>
        <v>2175</v>
      </c>
      <c r="U304" s="230" t="s">
        <v>315</v>
      </c>
      <c r="V304" s="231" t="s">
        <v>12</v>
      </c>
    </row>
    <row r="305" spans="2:23" ht="12" customHeight="1" x14ac:dyDescent="0.2">
      <c r="B305" s="63" t="s">
        <v>188</v>
      </c>
      <c r="C305" s="63" t="s">
        <v>483</v>
      </c>
      <c r="D305" s="78" t="s">
        <v>313</v>
      </c>
      <c r="E305" s="171" t="s">
        <v>220</v>
      </c>
      <c r="F305" s="78" t="s">
        <v>354</v>
      </c>
      <c r="G305" s="171" t="s">
        <v>342</v>
      </c>
      <c r="H305" s="224" t="s">
        <v>293</v>
      </c>
      <c r="I305" s="225" t="s">
        <v>410</v>
      </c>
      <c r="J305" s="224">
        <v>14</v>
      </c>
      <c r="K305" s="225" t="s">
        <v>269</v>
      </c>
      <c r="L305" s="226">
        <v>125</v>
      </c>
      <c r="M305" s="227">
        <f t="shared" si="20"/>
        <v>1750</v>
      </c>
      <c r="N305" s="228">
        <v>0</v>
      </c>
      <c r="O305" s="227">
        <f t="shared" si="21"/>
        <v>0</v>
      </c>
      <c r="P305" s="228">
        <v>0.16</v>
      </c>
      <c r="Q305" s="227">
        <f t="shared" si="22"/>
        <v>280</v>
      </c>
      <c r="R305" s="227">
        <f t="shared" si="23"/>
        <v>2030</v>
      </c>
      <c r="S305" s="229">
        <f>INDEX('Glosario Partidas'!$M$8:$M$10,MATCH(BD!K305,'Glosario Partidas'!$L$8:$L$10,0))</f>
        <v>1</v>
      </c>
      <c r="T305" s="227">
        <f t="shared" si="24"/>
        <v>2030</v>
      </c>
      <c r="U305" s="230" t="s">
        <v>315</v>
      </c>
      <c r="V305" s="231" t="s">
        <v>12</v>
      </c>
    </row>
    <row r="306" spans="2:23" ht="12" customHeight="1" x14ac:dyDescent="0.2">
      <c r="B306" s="63" t="s">
        <v>188</v>
      </c>
      <c r="C306" s="63" t="s">
        <v>483</v>
      </c>
      <c r="D306" s="78" t="s">
        <v>313</v>
      </c>
      <c r="E306" s="171" t="s">
        <v>220</v>
      </c>
      <c r="F306" s="78" t="s">
        <v>355</v>
      </c>
      <c r="G306" s="171" t="s">
        <v>342</v>
      </c>
      <c r="H306" s="224" t="s">
        <v>293</v>
      </c>
      <c r="I306" s="225" t="s">
        <v>410</v>
      </c>
      <c r="J306" s="224">
        <v>7</v>
      </c>
      <c r="K306" s="225" t="s">
        <v>269</v>
      </c>
      <c r="L306" s="226">
        <v>125</v>
      </c>
      <c r="M306" s="227">
        <f t="shared" si="20"/>
        <v>875</v>
      </c>
      <c r="N306" s="228">
        <v>0</v>
      </c>
      <c r="O306" s="227">
        <f t="shared" si="21"/>
        <v>0</v>
      </c>
      <c r="P306" s="228">
        <v>0.16</v>
      </c>
      <c r="Q306" s="227">
        <f t="shared" si="22"/>
        <v>140</v>
      </c>
      <c r="R306" s="227">
        <f t="shared" si="23"/>
        <v>1015</v>
      </c>
      <c r="S306" s="229">
        <f>INDEX('Glosario Partidas'!$M$8:$M$10,MATCH(BD!K306,'Glosario Partidas'!$L$8:$L$10,0))</f>
        <v>1</v>
      </c>
      <c r="T306" s="227">
        <f t="shared" si="24"/>
        <v>1015</v>
      </c>
      <c r="U306" s="230" t="s">
        <v>315</v>
      </c>
      <c r="V306" s="231" t="s">
        <v>12</v>
      </c>
    </row>
    <row r="307" spans="2:23" ht="12" customHeight="1" x14ac:dyDescent="0.2">
      <c r="B307" s="63" t="s">
        <v>188</v>
      </c>
      <c r="C307" s="63" t="s">
        <v>471</v>
      </c>
      <c r="D307" s="78" t="s">
        <v>484</v>
      </c>
      <c r="E307" s="171" t="s">
        <v>220</v>
      </c>
      <c r="F307" s="78" t="s">
        <v>221</v>
      </c>
      <c r="G307" s="171" t="s">
        <v>342</v>
      </c>
      <c r="H307" s="224" t="s">
        <v>456</v>
      </c>
      <c r="I307" s="225" t="s">
        <v>410</v>
      </c>
      <c r="J307" s="224">
        <v>1</v>
      </c>
      <c r="K307" s="225" t="s">
        <v>269</v>
      </c>
      <c r="L307" s="239">
        <v>27036</v>
      </c>
      <c r="M307" s="227">
        <f t="shared" si="20"/>
        <v>27036</v>
      </c>
      <c r="N307" s="228">
        <v>0</v>
      </c>
      <c r="O307" s="227">
        <f t="shared" si="21"/>
        <v>0</v>
      </c>
      <c r="P307" s="228">
        <v>0.16</v>
      </c>
      <c r="Q307" s="227">
        <f t="shared" si="22"/>
        <v>4325.76</v>
      </c>
      <c r="R307" s="227">
        <f t="shared" si="23"/>
        <v>31361.760000000002</v>
      </c>
      <c r="S307" s="229">
        <f>INDEX('Glosario Partidas'!$M$8:$M$10,MATCH(BD!K307,'Glosario Partidas'!$L$8:$L$10,0))</f>
        <v>1</v>
      </c>
      <c r="T307" s="227">
        <f t="shared" si="24"/>
        <v>31361.760000000002</v>
      </c>
      <c r="U307" s="230" t="s">
        <v>432</v>
      </c>
      <c r="V307" s="231" t="s">
        <v>12</v>
      </c>
    </row>
    <row r="308" spans="2:23" ht="12" customHeight="1" x14ac:dyDescent="0.2">
      <c r="B308" s="63" t="s">
        <v>188</v>
      </c>
      <c r="C308" s="63" t="s">
        <v>471</v>
      </c>
      <c r="D308" s="78" t="s">
        <v>484</v>
      </c>
      <c r="E308" s="171" t="s">
        <v>220</v>
      </c>
      <c r="F308" s="78" t="s">
        <v>355</v>
      </c>
      <c r="G308" s="171" t="s">
        <v>342</v>
      </c>
      <c r="H308" s="224" t="s">
        <v>456</v>
      </c>
      <c r="I308" s="225" t="s">
        <v>410</v>
      </c>
      <c r="J308" s="224">
        <v>1</v>
      </c>
      <c r="K308" s="225" t="s">
        <v>269</v>
      </c>
      <c r="L308" s="239">
        <v>88057</v>
      </c>
      <c r="M308" s="227">
        <f t="shared" si="20"/>
        <v>88057</v>
      </c>
      <c r="N308" s="228">
        <v>0</v>
      </c>
      <c r="O308" s="227">
        <f t="shared" si="21"/>
        <v>0</v>
      </c>
      <c r="P308" s="228">
        <v>0.16</v>
      </c>
      <c r="Q308" s="227">
        <f t="shared" si="22"/>
        <v>14089.12</v>
      </c>
      <c r="R308" s="227">
        <f t="shared" si="23"/>
        <v>102146.12</v>
      </c>
      <c r="S308" s="229">
        <f>INDEX('Glosario Partidas'!$M$8:$M$10,MATCH(BD!K308,'Glosario Partidas'!$L$8:$L$10,0))</f>
        <v>1</v>
      </c>
      <c r="T308" s="227">
        <f t="shared" si="24"/>
        <v>102146.12</v>
      </c>
      <c r="U308" s="230" t="s">
        <v>432</v>
      </c>
      <c r="V308" s="231" t="s">
        <v>12</v>
      </c>
    </row>
    <row r="309" spans="2:23" ht="12" customHeight="1" x14ac:dyDescent="0.2">
      <c r="B309" s="63" t="s">
        <v>188</v>
      </c>
      <c r="C309" s="63" t="s">
        <v>485</v>
      </c>
      <c r="D309" s="78" t="s">
        <v>313</v>
      </c>
      <c r="E309" s="171" t="s">
        <v>220</v>
      </c>
      <c r="F309" s="78" t="s">
        <v>221</v>
      </c>
      <c r="G309" s="171" t="s">
        <v>342</v>
      </c>
      <c r="H309" s="224" t="s">
        <v>293</v>
      </c>
      <c r="I309" s="225" t="s">
        <v>410</v>
      </c>
      <c r="J309" s="224">
        <v>1</v>
      </c>
      <c r="K309" s="225" t="s">
        <v>269</v>
      </c>
      <c r="L309" s="226">
        <f>3900000/4</f>
        <v>975000</v>
      </c>
      <c r="M309" s="227">
        <f t="shared" si="20"/>
        <v>975000</v>
      </c>
      <c r="N309" s="228">
        <v>0</v>
      </c>
      <c r="O309" s="227">
        <f t="shared" si="21"/>
        <v>0</v>
      </c>
      <c r="P309" s="228">
        <v>0.16</v>
      </c>
      <c r="Q309" s="227">
        <f t="shared" si="22"/>
        <v>156000</v>
      </c>
      <c r="R309" s="227">
        <f t="shared" si="23"/>
        <v>1131000</v>
      </c>
      <c r="S309" s="229">
        <f>INDEX('Glosario Partidas'!$M$8:$M$10,MATCH(BD!K309,'Glosario Partidas'!$L$8:$L$10,0))</f>
        <v>1</v>
      </c>
      <c r="T309" s="227">
        <f t="shared" si="24"/>
        <v>1131000</v>
      </c>
      <c r="U309" s="230" t="s">
        <v>432</v>
      </c>
      <c r="V309" s="231" t="s">
        <v>12</v>
      </c>
    </row>
    <row r="310" spans="2:23" ht="12" customHeight="1" x14ac:dyDescent="0.2">
      <c r="B310" s="63" t="s">
        <v>188</v>
      </c>
      <c r="C310" s="63" t="s">
        <v>485</v>
      </c>
      <c r="D310" s="78" t="s">
        <v>313</v>
      </c>
      <c r="E310" s="171" t="s">
        <v>220</v>
      </c>
      <c r="F310" s="78" t="s">
        <v>354</v>
      </c>
      <c r="G310" s="171" t="s">
        <v>342</v>
      </c>
      <c r="H310" s="224" t="s">
        <v>293</v>
      </c>
      <c r="I310" s="225" t="s">
        <v>410</v>
      </c>
      <c r="J310" s="224">
        <v>1</v>
      </c>
      <c r="K310" s="225" t="s">
        <v>269</v>
      </c>
      <c r="L310" s="226">
        <f>975000/2</f>
        <v>487500</v>
      </c>
      <c r="M310" s="227">
        <f t="shared" si="20"/>
        <v>487500</v>
      </c>
      <c r="N310" s="228">
        <v>0</v>
      </c>
      <c r="O310" s="227">
        <f t="shared" si="21"/>
        <v>0</v>
      </c>
      <c r="P310" s="228">
        <v>0.16</v>
      </c>
      <c r="Q310" s="227">
        <f t="shared" si="22"/>
        <v>78000</v>
      </c>
      <c r="R310" s="227">
        <f t="shared" si="23"/>
        <v>565500</v>
      </c>
      <c r="S310" s="229">
        <f>INDEX('Glosario Partidas'!$M$8:$M$10,MATCH(BD!K310,'Glosario Partidas'!$L$8:$L$10,0))</f>
        <v>1</v>
      </c>
      <c r="T310" s="227">
        <f t="shared" si="24"/>
        <v>565500</v>
      </c>
      <c r="U310" s="230" t="s">
        <v>432</v>
      </c>
      <c r="V310" s="231" t="s">
        <v>12</v>
      </c>
    </row>
    <row r="311" spans="2:23" ht="12" customHeight="1" x14ac:dyDescent="0.2">
      <c r="B311" s="63" t="s">
        <v>188</v>
      </c>
      <c r="C311" s="63" t="s">
        <v>485</v>
      </c>
      <c r="D311" s="78" t="s">
        <v>313</v>
      </c>
      <c r="E311" s="171" t="s">
        <v>220</v>
      </c>
      <c r="F311" s="78" t="s">
        <v>355</v>
      </c>
      <c r="G311" s="171" t="s">
        <v>342</v>
      </c>
      <c r="H311" s="224" t="s">
        <v>293</v>
      </c>
      <c r="I311" s="225" t="s">
        <v>410</v>
      </c>
      <c r="J311" s="224">
        <v>1</v>
      </c>
      <c r="K311" s="225" t="s">
        <v>269</v>
      </c>
      <c r="L311" s="226">
        <f>975000/2</f>
        <v>487500</v>
      </c>
      <c r="M311" s="227">
        <f t="shared" si="20"/>
        <v>487500</v>
      </c>
      <c r="N311" s="228">
        <v>0</v>
      </c>
      <c r="O311" s="227">
        <f t="shared" si="21"/>
        <v>0</v>
      </c>
      <c r="P311" s="228">
        <v>0.16</v>
      </c>
      <c r="Q311" s="227">
        <f t="shared" si="22"/>
        <v>78000</v>
      </c>
      <c r="R311" s="227">
        <f t="shared" si="23"/>
        <v>565500</v>
      </c>
      <c r="S311" s="229">
        <f>INDEX('Glosario Partidas'!$M$8:$M$10,MATCH(BD!K311,'Glosario Partidas'!$L$8:$L$10,0))</f>
        <v>1</v>
      </c>
      <c r="T311" s="227">
        <f t="shared" si="24"/>
        <v>565500</v>
      </c>
      <c r="U311" s="230" t="s">
        <v>432</v>
      </c>
      <c r="V311" s="231" t="s">
        <v>12</v>
      </c>
    </row>
    <row r="312" spans="2:23" ht="12" customHeight="1" x14ac:dyDescent="0.2">
      <c r="B312" s="63" t="s">
        <v>196</v>
      </c>
      <c r="C312" s="63" t="s">
        <v>123</v>
      </c>
      <c r="D312" s="78" t="s">
        <v>313</v>
      </c>
      <c r="E312" s="171" t="s">
        <v>220</v>
      </c>
      <c r="F312" s="78" t="s">
        <v>313</v>
      </c>
      <c r="G312" s="171" t="s">
        <v>313</v>
      </c>
      <c r="H312" s="224" t="s">
        <v>293</v>
      </c>
      <c r="I312" s="225" t="s">
        <v>207</v>
      </c>
      <c r="J312" s="224">
        <f>1754/2</f>
        <v>877</v>
      </c>
      <c r="K312" s="225" t="s">
        <v>269</v>
      </c>
      <c r="L312" s="226">
        <v>1623.62</v>
      </c>
      <c r="M312" s="227">
        <f t="shared" si="20"/>
        <v>1423914.74</v>
      </c>
      <c r="N312" s="228">
        <v>0</v>
      </c>
      <c r="O312" s="227">
        <f t="shared" si="21"/>
        <v>0</v>
      </c>
      <c r="P312" s="228">
        <v>0.16</v>
      </c>
      <c r="Q312" s="227">
        <f t="shared" si="22"/>
        <v>227826.3584</v>
      </c>
      <c r="R312" s="227">
        <f t="shared" si="23"/>
        <v>1651741.0984</v>
      </c>
      <c r="S312" s="229">
        <f>INDEX('Glosario Partidas'!$M$8:$M$10,MATCH(BD!K312,'Glosario Partidas'!$L$8:$L$10,0))</f>
        <v>1</v>
      </c>
      <c r="T312" s="227">
        <f t="shared" si="24"/>
        <v>1651741.0984</v>
      </c>
      <c r="U312" s="230" t="s">
        <v>315</v>
      </c>
      <c r="V312" s="231" t="s">
        <v>13</v>
      </c>
      <c r="W312" s="231" t="s">
        <v>486</v>
      </c>
    </row>
    <row r="313" spans="2:23" ht="12" customHeight="1" x14ac:dyDescent="0.2">
      <c r="B313" s="63" t="s">
        <v>196</v>
      </c>
      <c r="C313" s="63" t="s">
        <v>124</v>
      </c>
      <c r="D313" s="78" t="s">
        <v>313</v>
      </c>
      <c r="E313" s="171" t="s">
        <v>220</v>
      </c>
      <c r="F313" s="78" t="s">
        <v>313</v>
      </c>
      <c r="G313" s="171" t="s">
        <v>313</v>
      </c>
      <c r="H313" s="224" t="s">
        <v>293</v>
      </c>
      <c r="I313" s="225" t="s">
        <v>207</v>
      </c>
      <c r="J313" s="224">
        <v>1</v>
      </c>
      <c r="K313" s="225" t="s">
        <v>269</v>
      </c>
      <c r="L313" s="226">
        <v>450000</v>
      </c>
      <c r="M313" s="227">
        <f t="shared" si="20"/>
        <v>450000</v>
      </c>
      <c r="N313" s="228">
        <v>0</v>
      </c>
      <c r="O313" s="227">
        <f t="shared" si="21"/>
        <v>0</v>
      </c>
      <c r="P313" s="228">
        <v>0.16</v>
      </c>
      <c r="Q313" s="227">
        <f t="shared" si="22"/>
        <v>72000</v>
      </c>
      <c r="R313" s="227">
        <f t="shared" si="23"/>
        <v>522000</v>
      </c>
      <c r="S313" s="229">
        <f>INDEX('Glosario Partidas'!$M$8:$M$10,MATCH(BD!K313,'Glosario Partidas'!$L$8:$L$10,0))</f>
        <v>1</v>
      </c>
      <c r="T313" s="227">
        <f t="shared" si="24"/>
        <v>522000</v>
      </c>
      <c r="U313" s="230" t="s">
        <v>315</v>
      </c>
      <c r="V313" s="231" t="s">
        <v>13</v>
      </c>
      <c r="W313" s="231" t="s">
        <v>486</v>
      </c>
    </row>
    <row r="314" spans="2:23" ht="12" customHeight="1" x14ac:dyDescent="0.2">
      <c r="B314" s="63" t="s">
        <v>127</v>
      </c>
      <c r="C314" s="63" t="s">
        <v>127</v>
      </c>
      <c r="D314" s="78" t="s">
        <v>313</v>
      </c>
      <c r="E314" s="171" t="s">
        <v>220</v>
      </c>
      <c r="F314" s="78" t="s">
        <v>313</v>
      </c>
      <c r="G314" s="171" t="s">
        <v>313</v>
      </c>
      <c r="H314" s="224" t="s">
        <v>293</v>
      </c>
      <c r="I314" s="225" t="s">
        <v>314</v>
      </c>
      <c r="J314" s="224">
        <v>1</v>
      </c>
      <c r="K314" s="225" t="s">
        <v>269</v>
      </c>
      <c r="L314" s="226">
        <v>900000</v>
      </c>
      <c r="M314" s="227">
        <f t="shared" si="20"/>
        <v>900000</v>
      </c>
      <c r="N314" s="228">
        <v>0</v>
      </c>
      <c r="O314" s="227">
        <f t="shared" si="21"/>
        <v>0</v>
      </c>
      <c r="P314" s="228">
        <v>0</v>
      </c>
      <c r="Q314" s="227">
        <f t="shared" si="22"/>
        <v>0</v>
      </c>
      <c r="R314" s="227">
        <f t="shared" si="23"/>
        <v>900000</v>
      </c>
      <c r="S314" s="229">
        <f>INDEX('Glosario Partidas'!$M$8:$M$10,MATCH(BD!K314,'Glosario Partidas'!$L$8:$L$10,0))</f>
        <v>1</v>
      </c>
      <c r="T314" s="227">
        <f t="shared" si="24"/>
        <v>900000</v>
      </c>
      <c r="U314" s="230" t="s">
        <v>315</v>
      </c>
      <c r="V314" s="231" t="s">
        <v>12</v>
      </c>
    </row>
    <row r="315" spans="2:23" ht="12" customHeight="1" x14ac:dyDescent="0.2">
      <c r="B315" s="63" t="s">
        <v>192</v>
      </c>
      <c r="C315" s="63" t="s">
        <v>130</v>
      </c>
      <c r="D315" s="78" t="s">
        <v>313</v>
      </c>
      <c r="E315" s="171" t="s">
        <v>220</v>
      </c>
      <c r="F315" s="78" t="s">
        <v>313</v>
      </c>
      <c r="G315" s="171" t="s">
        <v>313</v>
      </c>
      <c r="H315" s="224" t="s">
        <v>293</v>
      </c>
      <c r="I315" s="225" t="s">
        <v>207</v>
      </c>
      <c r="J315" s="224">
        <f>1349/2</f>
        <v>674.5</v>
      </c>
      <c r="K315" s="225" t="s">
        <v>269</v>
      </c>
      <c r="L315" s="226">
        <v>3221.7</v>
      </c>
      <c r="M315" s="227">
        <f t="shared" si="20"/>
        <v>2173036.65</v>
      </c>
      <c r="N315" s="228">
        <v>0</v>
      </c>
      <c r="O315" s="227">
        <f t="shared" si="21"/>
        <v>0</v>
      </c>
      <c r="P315" s="228">
        <v>0.16</v>
      </c>
      <c r="Q315" s="227">
        <f t="shared" si="22"/>
        <v>347685.864</v>
      </c>
      <c r="R315" s="227">
        <f t="shared" si="23"/>
        <v>2520722.514</v>
      </c>
      <c r="S315" s="229">
        <f>INDEX('Glosario Partidas'!$M$8:$M$10,MATCH(BD!K315,'Glosario Partidas'!$L$8:$L$10,0))</f>
        <v>1</v>
      </c>
      <c r="T315" s="227">
        <f t="shared" si="24"/>
        <v>2520722.514</v>
      </c>
      <c r="U315" s="230" t="s">
        <v>315</v>
      </c>
      <c r="V315" s="231" t="s">
        <v>13</v>
      </c>
      <c r="W315" s="231" t="s">
        <v>486</v>
      </c>
    </row>
    <row r="316" spans="2:23" ht="12" customHeight="1" x14ac:dyDescent="0.2">
      <c r="B316" s="63" t="s">
        <v>192</v>
      </c>
      <c r="C316" s="63" t="s">
        <v>135</v>
      </c>
      <c r="D316" s="78" t="s">
        <v>313</v>
      </c>
      <c r="E316" s="171" t="s">
        <v>220</v>
      </c>
      <c r="F316" s="78" t="s">
        <v>313</v>
      </c>
      <c r="G316" s="171" t="s">
        <v>313</v>
      </c>
      <c r="H316" s="224" t="s">
        <v>293</v>
      </c>
      <c r="I316" s="225" t="s">
        <v>207</v>
      </c>
      <c r="J316" s="224">
        <v>1</v>
      </c>
      <c r="K316" s="225" t="s">
        <v>269</v>
      </c>
      <c r="L316" s="226">
        <v>5907440</v>
      </c>
      <c r="M316" s="227">
        <f t="shared" si="20"/>
        <v>5907440</v>
      </c>
      <c r="N316" s="228">
        <v>0</v>
      </c>
      <c r="O316" s="227">
        <f t="shared" si="21"/>
        <v>0</v>
      </c>
      <c r="P316" s="228">
        <v>0.16</v>
      </c>
      <c r="Q316" s="227">
        <f t="shared" si="22"/>
        <v>945190.40000000002</v>
      </c>
      <c r="R316" s="227">
        <f t="shared" si="23"/>
        <v>6852630.4000000004</v>
      </c>
      <c r="S316" s="229">
        <f>INDEX('Glosario Partidas'!$M$8:$M$10,MATCH(BD!K316,'Glosario Partidas'!$L$8:$L$10,0))</f>
        <v>1</v>
      </c>
      <c r="T316" s="227">
        <f t="shared" si="24"/>
        <v>6852630.4000000004</v>
      </c>
      <c r="U316" s="230" t="s">
        <v>432</v>
      </c>
      <c r="V316" s="231" t="s">
        <v>13</v>
      </c>
      <c r="W316" s="231" t="s">
        <v>486</v>
      </c>
    </row>
    <row r="317" spans="2:23" ht="12" customHeight="1" x14ac:dyDescent="0.2">
      <c r="B317" s="63" t="s">
        <v>213</v>
      </c>
      <c r="C317" s="63" t="s">
        <v>340</v>
      </c>
      <c r="D317" s="63" t="s">
        <v>341</v>
      </c>
      <c r="E317" s="171" t="s">
        <v>220</v>
      </c>
      <c r="F317" s="63" t="s">
        <v>341</v>
      </c>
      <c r="G317" s="171" t="s">
        <v>487</v>
      </c>
      <c r="H317" s="224" t="s">
        <v>293</v>
      </c>
      <c r="I317" s="225" t="s">
        <v>207</v>
      </c>
      <c r="J317" s="224">
        <v>0</v>
      </c>
      <c r="K317" s="225" t="s">
        <v>269</v>
      </c>
      <c r="L317" s="226">
        <v>905.76900000000001</v>
      </c>
      <c r="M317" s="227">
        <f t="shared" si="20"/>
        <v>0</v>
      </c>
      <c r="N317" s="228">
        <v>0</v>
      </c>
      <c r="O317" s="227">
        <f t="shared" si="21"/>
        <v>0</v>
      </c>
      <c r="P317" s="228">
        <v>0.16</v>
      </c>
      <c r="Q317" s="227">
        <f t="shared" si="22"/>
        <v>0</v>
      </c>
      <c r="R317" s="227">
        <f t="shared" si="23"/>
        <v>0</v>
      </c>
      <c r="S317" s="229">
        <f>INDEX('Glosario Partidas'!$M$8:$M$10,MATCH(BD!K317,'Glosario Partidas'!$L$8:$L$10,0))</f>
        <v>1</v>
      </c>
      <c r="T317" s="227">
        <f t="shared" si="24"/>
        <v>0</v>
      </c>
      <c r="U317" s="230" t="s">
        <v>315</v>
      </c>
      <c r="V317" s="231" t="s">
        <v>13</v>
      </c>
    </row>
    <row r="318" spans="2:23" ht="12" customHeight="1" x14ac:dyDescent="0.2">
      <c r="B318" s="63" t="s">
        <v>213</v>
      </c>
      <c r="C318" s="63" t="s">
        <v>343</v>
      </c>
      <c r="D318" s="63" t="s">
        <v>344</v>
      </c>
      <c r="E318" s="171" t="s">
        <v>220</v>
      </c>
      <c r="F318" s="63" t="s">
        <v>344</v>
      </c>
      <c r="G318" s="171" t="s">
        <v>487</v>
      </c>
      <c r="H318" s="224" t="s">
        <v>293</v>
      </c>
      <c r="I318" s="225" t="s">
        <v>207</v>
      </c>
      <c r="J318" s="224">
        <v>0</v>
      </c>
      <c r="K318" s="225" t="s">
        <v>269</v>
      </c>
      <c r="L318" s="226">
        <v>3593.9409999999998</v>
      </c>
      <c r="M318" s="227">
        <f t="shared" si="20"/>
        <v>0</v>
      </c>
      <c r="N318" s="228">
        <v>0</v>
      </c>
      <c r="O318" s="227">
        <f t="shared" si="21"/>
        <v>0</v>
      </c>
      <c r="P318" s="228">
        <v>0.16</v>
      </c>
      <c r="Q318" s="227">
        <f t="shared" si="22"/>
        <v>0</v>
      </c>
      <c r="R318" s="227">
        <f t="shared" si="23"/>
        <v>0</v>
      </c>
      <c r="S318" s="229">
        <f>INDEX('Glosario Partidas'!$M$8:$M$10,MATCH(BD!K318,'Glosario Partidas'!$L$8:$L$10,0))</f>
        <v>1</v>
      </c>
      <c r="T318" s="227">
        <f t="shared" si="24"/>
        <v>0</v>
      </c>
      <c r="U318" s="230" t="s">
        <v>315</v>
      </c>
      <c r="V318" s="231" t="s">
        <v>13</v>
      </c>
    </row>
    <row r="319" spans="2:23" ht="12" customHeight="1" x14ac:dyDescent="0.2">
      <c r="B319" s="63" t="s">
        <v>213</v>
      </c>
      <c r="C319" s="63" t="s">
        <v>343</v>
      </c>
      <c r="D319" s="63" t="s">
        <v>345</v>
      </c>
      <c r="E319" s="171" t="s">
        <v>220</v>
      </c>
      <c r="F319" s="63" t="s">
        <v>345</v>
      </c>
      <c r="G319" s="171" t="s">
        <v>487</v>
      </c>
      <c r="H319" s="224" t="s">
        <v>293</v>
      </c>
      <c r="I319" s="225" t="s">
        <v>207</v>
      </c>
      <c r="J319" s="224">
        <v>0</v>
      </c>
      <c r="K319" s="225" t="s">
        <v>269</v>
      </c>
      <c r="L319" s="226">
        <v>3593.9409999999998</v>
      </c>
      <c r="M319" s="227">
        <f t="shared" si="20"/>
        <v>0</v>
      </c>
      <c r="N319" s="228">
        <v>0</v>
      </c>
      <c r="O319" s="227">
        <f t="shared" si="21"/>
        <v>0</v>
      </c>
      <c r="P319" s="228">
        <v>0.16</v>
      </c>
      <c r="Q319" s="227">
        <f t="shared" si="22"/>
        <v>0</v>
      </c>
      <c r="R319" s="227">
        <f t="shared" si="23"/>
        <v>0</v>
      </c>
      <c r="S319" s="229">
        <f>INDEX('Glosario Partidas'!$M$8:$M$10,MATCH(BD!K319,'Glosario Partidas'!$L$8:$L$10,0))</f>
        <v>1</v>
      </c>
      <c r="T319" s="227">
        <f t="shared" si="24"/>
        <v>0</v>
      </c>
      <c r="U319" s="230" t="s">
        <v>315</v>
      </c>
      <c r="V319" s="231" t="s">
        <v>13</v>
      </c>
    </row>
    <row r="320" spans="2:23" ht="12" customHeight="1" x14ac:dyDescent="0.2">
      <c r="B320" s="63" t="s">
        <v>213</v>
      </c>
      <c r="C320" s="63" t="s">
        <v>346</v>
      </c>
      <c r="D320" s="63" t="s">
        <v>347</v>
      </c>
      <c r="E320" s="171" t="s">
        <v>220</v>
      </c>
      <c r="F320" s="63" t="s">
        <v>347</v>
      </c>
      <c r="G320" s="171" t="s">
        <v>487</v>
      </c>
      <c r="H320" s="224" t="s">
        <v>293</v>
      </c>
      <c r="I320" s="225" t="s">
        <v>316</v>
      </c>
      <c r="J320" s="224">
        <v>0</v>
      </c>
      <c r="K320" s="225" t="s">
        <v>269</v>
      </c>
      <c r="L320" s="226">
        <v>12880</v>
      </c>
      <c r="M320" s="227">
        <f t="shared" si="20"/>
        <v>0</v>
      </c>
      <c r="N320" s="228">
        <v>0</v>
      </c>
      <c r="O320" s="227">
        <f t="shared" si="21"/>
        <v>0</v>
      </c>
      <c r="P320" s="228">
        <v>0.16</v>
      </c>
      <c r="Q320" s="227">
        <f t="shared" si="22"/>
        <v>0</v>
      </c>
      <c r="R320" s="227">
        <f t="shared" si="23"/>
        <v>0</v>
      </c>
      <c r="S320" s="229">
        <f>INDEX('Glosario Partidas'!$M$8:$M$10,MATCH(BD!K320,'Glosario Partidas'!$L$8:$L$10,0))</f>
        <v>1</v>
      </c>
      <c r="T320" s="227">
        <f t="shared" si="24"/>
        <v>0</v>
      </c>
      <c r="U320" s="230" t="s">
        <v>315</v>
      </c>
      <c r="V320" s="231" t="s">
        <v>13</v>
      </c>
    </row>
    <row r="321" spans="2:22" ht="12" customHeight="1" x14ac:dyDescent="0.2">
      <c r="B321" s="63" t="s">
        <v>79</v>
      </c>
      <c r="C321" s="63" t="s">
        <v>359</v>
      </c>
      <c r="D321" s="78" t="s">
        <v>313</v>
      </c>
      <c r="E321" s="171" t="s">
        <v>220</v>
      </c>
      <c r="F321" s="78" t="s">
        <v>313</v>
      </c>
      <c r="G321" s="171" t="s">
        <v>487</v>
      </c>
      <c r="H321" s="224" t="s">
        <v>293</v>
      </c>
      <c r="I321" s="225" t="s">
        <v>207</v>
      </c>
      <c r="J321" s="224">
        <v>0</v>
      </c>
      <c r="K321" s="225" t="s">
        <v>269</v>
      </c>
      <c r="L321" s="226">
        <v>175</v>
      </c>
      <c r="M321" s="227">
        <f t="shared" si="20"/>
        <v>0</v>
      </c>
      <c r="N321" s="228">
        <v>0</v>
      </c>
      <c r="O321" s="227">
        <f t="shared" si="21"/>
        <v>0</v>
      </c>
      <c r="P321" s="228">
        <v>0.16</v>
      </c>
      <c r="Q321" s="227">
        <f t="shared" si="22"/>
        <v>0</v>
      </c>
      <c r="R321" s="227">
        <f t="shared" si="23"/>
        <v>0</v>
      </c>
      <c r="S321" s="229">
        <f>INDEX('Glosario Partidas'!$M$8:$M$10,MATCH(BD!K321,'Glosario Partidas'!$L$8:$L$10,0))</f>
        <v>1</v>
      </c>
      <c r="T321" s="227">
        <f t="shared" si="24"/>
        <v>0</v>
      </c>
      <c r="U321" s="230" t="s">
        <v>315</v>
      </c>
      <c r="V321" s="231" t="s">
        <v>13</v>
      </c>
    </row>
    <row r="322" spans="2:22" ht="12" customHeight="1" x14ac:dyDescent="0.2">
      <c r="B322" s="63" t="s">
        <v>79</v>
      </c>
      <c r="C322" s="63" t="s">
        <v>360</v>
      </c>
      <c r="D322" s="78" t="s">
        <v>313</v>
      </c>
      <c r="E322" s="171" t="s">
        <v>220</v>
      </c>
      <c r="F322" s="78" t="s">
        <v>313</v>
      </c>
      <c r="G322" s="171" t="s">
        <v>487</v>
      </c>
      <c r="H322" s="224" t="s">
        <v>293</v>
      </c>
      <c r="I322" s="225" t="s">
        <v>207</v>
      </c>
      <c r="J322" s="224">
        <v>0</v>
      </c>
      <c r="K322" s="225" t="s">
        <v>269</v>
      </c>
      <c r="L322" s="226">
        <v>1066</v>
      </c>
      <c r="M322" s="227">
        <f t="shared" si="20"/>
        <v>0</v>
      </c>
      <c r="N322" s="228">
        <v>0</v>
      </c>
      <c r="O322" s="227">
        <f t="shared" si="21"/>
        <v>0</v>
      </c>
      <c r="P322" s="228">
        <v>0.16</v>
      </c>
      <c r="Q322" s="227">
        <f t="shared" si="22"/>
        <v>0</v>
      </c>
      <c r="R322" s="227">
        <f t="shared" si="23"/>
        <v>0</v>
      </c>
      <c r="S322" s="229">
        <f>INDEX('Glosario Partidas'!$M$8:$M$10,MATCH(BD!K322,'Glosario Partidas'!$L$8:$L$10,0))</f>
        <v>1</v>
      </c>
      <c r="T322" s="227">
        <f t="shared" si="24"/>
        <v>0</v>
      </c>
      <c r="U322" s="230" t="s">
        <v>315</v>
      </c>
      <c r="V322" s="231" t="s">
        <v>13</v>
      </c>
    </row>
    <row r="323" spans="2:22" ht="12" customHeight="1" x14ac:dyDescent="0.2">
      <c r="B323" s="63" t="s">
        <v>79</v>
      </c>
      <c r="C323" s="63" t="s">
        <v>361</v>
      </c>
      <c r="D323" s="78" t="s">
        <v>313</v>
      </c>
      <c r="E323" s="171" t="s">
        <v>220</v>
      </c>
      <c r="F323" s="78" t="s">
        <v>313</v>
      </c>
      <c r="G323" s="171" t="s">
        <v>487</v>
      </c>
      <c r="H323" s="224" t="s">
        <v>293</v>
      </c>
      <c r="I323" s="225" t="s">
        <v>207</v>
      </c>
      <c r="J323" s="224">
        <v>0</v>
      </c>
      <c r="K323" s="225" t="s">
        <v>269</v>
      </c>
      <c r="L323" s="226">
        <v>494</v>
      </c>
      <c r="M323" s="227">
        <f t="shared" si="20"/>
        <v>0</v>
      </c>
      <c r="N323" s="228">
        <v>0</v>
      </c>
      <c r="O323" s="227">
        <f t="shared" si="21"/>
        <v>0</v>
      </c>
      <c r="P323" s="228">
        <v>0.16</v>
      </c>
      <c r="Q323" s="227">
        <f t="shared" si="22"/>
        <v>0</v>
      </c>
      <c r="R323" s="227">
        <f t="shared" si="23"/>
        <v>0</v>
      </c>
      <c r="S323" s="229">
        <f>INDEX('Glosario Partidas'!$M$8:$M$10,MATCH(BD!K323,'Glosario Partidas'!$L$8:$L$10,0))</f>
        <v>1</v>
      </c>
      <c r="T323" s="227">
        <f t="shared" si="24"/>
        <v>0</v>
      </c>
      <c r="U323" s="230" t="s">
        <v>315</v>
      </c>
      <c r="V323" s="231" t="s">
        <v>13</v>
      </c>
    </row>
    <row r="324" spans="2:22" ht="12" customHeight="1" x14ac:dyDescent="0.2">
      <c r="B324" s="63" t="s">
        <v>79</v>
      </c>
      <c r="C324" s="63" t="s">
        <v>362</v>
      </c>
      <c r="D324" s="78" t="s">
        <v>313</v>
      </c>
      <c r="E324" s="171" t="s">
        <v>220</v>
      </c>
      <c r="F324" s="78" t="s">
        <v>313</v>
      </c>
      <c r="G324" s="171" t="s">
        <v>487</v>
      </c>
      <c r="H324" s="224" t="s">
        <v>293</v>
      </c>
      <c r="I324" s="225" t="s">
        <v>207</v>
      </c>
      <c r="J324" s="224">
        <v>0</v>
      </c>
      <c r="K324" s="225" t="s">
        <v>269</v>
      </c>
      <c r="L324" s="226">
        <v>1279.2</v>
      </c>
      <c r="M324" s="227">
        <f t="shared" si="20"/>
        <v>0</v>
      </c>
      <c r="N324" s="228">
        <v>0</v>
      </c>
      <c r="O324" s="227">
        <f t="shared" si="21"/>
        <v>0</v>
      </c>
      <c r="P324" s="228">
        <v>0.16</v>
      </c>
      <c r="Q324" s="227">
        <f t="shared" si="22"/>
        <v>0</v>
      </c>
      <c r="R324" s="227">
        <f t="shared" si="23"/>
        <v>0</v>
      </c>
      <c r="S324" s="229">
        <f>INDEX('Glosario Partidas'!$M$8:$M$10,MATCH(BD!K324,'Glosario Partidas'!$L$8:$L$10,0))</f>
        <v>1</v>
      </c>
      <c r="T324" s="227">
        <f t="shared" si="24"/>
        <v>0</v>
      </c>
      <c r="U324" s="230" t="s">
        <v>315</v>
      </c>
      <c r="V324" s="231" t="s">
        <v>13</v>
      </c>
    </row>
    <row r="325" spans="2:22" ht="12" customHeight="1" x14ac:dyDescent="0.2">
      <c r="B325" s="63" t="s">
        <v>79</v>
      </c>
      <c r="C325" s="63" t="s">
        <v>363</v>
      </c>
      <c r="D325" s="78" t="s">
        <v>364</v>
      </c>
      <c r="E325" s="171" t="s">
        <v>220</v>
      </c>
      <c r="F325" s="78" t="s">
        <v>364</v>
      </c>
      <c r="G325" s="171" t="s">
        <v>487</v>
      </c>
      <c r="H325" s="224" t="s">
        <v>293</v>
      </c>
      <c r="I325" s="225" t="s">
        <v>207</v>
      </c>
      <c r="J325" s="224">
        <v>0</v>
      </c>
      <c r="K325" s="225" t="s">
        <v>269</v>
      </c>
      <c r="L325" s="226">
        <v>1050</v>
      </c>
      <c r="M325" s="227">
        <f t="shared" ref="M325:M388" si="25">J325*L325</f>
        <v>0</v>
      </c>
      <c r="N325" s="228">
        <v>0</v>
      </c>
      <c r="O325" s="227">
        <f t="shared" ref="O325:O388" si="26">M325*N325</f>
        <v>0</v>
      </c>
      <c r="P325" s="228">
        <v>0.16</v>
      </c>
      <c r="Q325" s="227">
        <f t="shared" ref="Q325:Q388" si="27">(M325+O325)*P325</f>
        <v>0</v>
      </c>
      <c r="R325" s="227">
        <f t="shared" ref="R325:R388" si="28">M325+O325+Q325</f>
        <v>0</v>
      </c>
      <c r="S325" s="229">
        <f>INDEX('Glosario Partidas'!$M$8:$M$10,MATCH(BD!K325,'Glosario Partidas'!$L$8:$L$10,0))</f>
        <v>1</v>
      </c>
      <c r="T325" s="227">
        <f t="shared" ref="T325:T388" si="29">R325*S325</f>
        <v>0</v>
      </c>
      <c r="U325" s="230" t="s">
        <v>315</v>
      </c>
      <c r="V325" s="231" t="s">
        <v>13</v>
      </c>
    </row>
    <row r="326" spans="2:22" ht="12" customHeight="1" x14ac:dyDescent="0.2">
      <c r="B326" s="63" t="s">
        <v>79</v>
      </c>
      <c r="C326" s="63" t="s">
        <v>363</v>
      </c>
      <c r="D326" s="78" t="s">
        <v>343</v>
      </c>
      <c r="E326" s="171" t="s">
        <v>220</v>
      </c>
      <c r="F326" s="78" t="s">
        <v>343</v>
      </c>
      <c r="G326" s="171" t="s">
        <v>487</v>
      </c>
      <c r="H326" s="224" t="s">
        <v>293</v>
      </c>
      <c r="I326" s="225" t="s">
        <v>207</v>
      </c>
      <c r="J326" s="224">
        <v>0</v>
      </c>
      <c r="K326" s="225" t="s">
        <v>269</v>
      </c>
      <c r="L326" s="226">
        <v>1000</v>
      </c>
      <c r="M326" s="227">
        <f t="shared" si="25"/>
        <v>0</v>
      </c>
      <c r="N326" s="228">
        <v>0</v>
      </c>
      <c r="O326" s="227">
        <f t="shared" si="26"/>
        <v>0</v>
      </c>
      <c r="P326" s="228">
        <v>0.16</v>
      </c>
      <c r="Q326" s="227">
        <f t="shared" si="27"/>
        <v>0</v>
      </c>
      <c r="R326" s="227">
        <f t="shared" si="28"/>
        <v>0</v>
      </c>
      <c r="S326" s="229">
        <f>INDEX('Glosario Partidas'!$M$8:$M$10,MATCH(BD!K326,'Glosario Partidas'!$L$8:$L$10,0))</f>
        <v>1</v>
      </c>
      <c r="T326" s="227">
        <f t="shared" si="29"/>
        <v>0</v>
      </c>
      <c r="U326" s="230" t="s">
        <v>315</v>
      </c>
      <c r="V326" s="231" t="s">
        <v>13</v>
      </c>
    </row>
    <row r="327" spans="2:22" ht="12" customHeight="1" x14ac:dyDescent="0.2">
      <c r="B327" s="63" t="s">
        <v>79</v>
      </c>
      <c r="C327" s="63" t="s">
        <v>365</v>
      </c>
      <c r="D327" s="78" t="s">
        <v>343</v>
      </c>
      <c r="E327" s="171" t="s">
        <v>220</v>
      </c>
      <c r="F327" s="78" t="s">
        <v>343</v>
      </c>
      <c r="G327" s="171" t="s">
        <v>487</v>
      </c>
      <c r="H327" s="224" t="s">
        <v>293</v>
      </c>
      <c r="I327" s="225" t="s">
        <v>207</v>
      </c>
      <c r="J327" s="224">
        <v>0</v>
      </c>
      <c r="K327" s="225" t="s">
        <v>269</v>
      </c>
      <c r="L327" s="226">
        <v>680</v>
      </c>
      <c r="M327" s="227">
        <f t="shared" si="25"/>
        <v>0</v>
      </c>
      <c r="N327" s="228">
        <v>0</v>
      </c>
      <c r="O327" s="227">
        <f t="shared" si="26"/>
        <v>0</v>
      </c>
      <c r="P327" s="228">
        <v>0.16</v>
      </c>
      <c r="Q327" s="227">
        <f t="shared" si="27"/>
        <v>0</v>
      </c>
      <c r="R327" s="227">
        <f t="shared" si="28"/>
        <v>0</v>
      </c>
      <c r="S327" s="229">
        <f>INDEX('Glosario Partidas'!$M$8:$M$10,MATCH(BD!K327,'Glosario Partidas'!$L$8:$L$10,0))</f>
        <v>1</v>
      </c>
      <c r="T327" s="227">
        <f t="shared" si="29"/>
        <v>0</v>
      </c>
      <c r="U327" s="230" t="s">
        <v>315</v>
      </c>
      <c r="V327" s="231" t="s">
        <v>13</v>
      </c>
    </row>
    <row r="328" spans="2:22" ht="12" customHeight="1" x14ac:dyDescent="0.2">
      <c r="B328" s="63" t="s">
        <v>79</v>
      </c>
      <c r="C328" s="63" t="s">
        <v>365</v>
      </c>
      <c r="D328" s="78" t="s">
        <v>366</v>
      </c>
      <c r="E328" s="171" t="s">
        <v>220</v>
      </c>
      <c r="F328" s="78" t="s">
        <v>366</v>
      </c>
      <c r="G328" s="171" t="s">
        <v>487</v>
      </c>
      <c r="H328" s="224" t="s">
        <v>293</v>
      </c>
      <c r="I328" s="225" t="s">
        <v>207</v>
      </c>
      <c r="J328" s="224">
        <v>0</v>
      </c>
      <c r="K328" s="225" t="s">
        <v>269</v>
      </c>
      <c r="L328" s="226">
        <v>884</v>
      </c>
      <c r="M328" s="227">
        <f t="shared" si="25"/>
        <v>0</v>
      </c>
      <c r="N328" s="228">
        <v>0</v>
      </c>
      <c r="O328" s="227">
        <f t="shared" si="26"/>
        <v>0</v>
      </c>
      <c r="P328" s="228">
        <v>0.16</v>
      </c>
      <c r="Q328" s="227">
        <f t="shared" si="27"/>
        <v>0</v>
      </c>
      <c r="R328" s="227">
        <f t="shared" si="28"/>
        <v>0</v>
      </c>
      <c r="S328" s="229">
        <f>INDEX('Glosario Partidas'!$M$8:$M$10,MATCH(BD!K328,'Glosario Partidas'!$L$8:$L$10,0))</f>
        <v>1</v>
      </c>
      <c r="T328" s="227">
        <f t="shared" si="29"/>
        <v>0</v>
      </c>
      <c r="U328" s="230" t="s">
        <v>315</v>
      </c>
      <c r="V328" s="231" t="s">
        <v>13</v>
      </c>
    </row>
    <row r="329" spans="2:22" ht="12" customHeight="1" x14ac:dyDescent="0.2">
      <c r="B329" s="63" t="s">
        <v>198</v>
      </c>
      <c r="C329" s="63" t="s">
        <v>84</v>
      </c>
      <c r="D329" s="78" t="s">
        <v>313</v>
      </c>
      <c r="E329" s="171" t="s">
        <v>220</v>
      </c>
      <c r="F329" s="78" t="s">
        <v>313</v>
      </c>
      <c r="G329" s="171" t="s">
        <v>487</v>
      </c>
      <c r="H329" s="224" t="s">
        <v>293</v>
      </c>
      <c r="I329" s="225" t="s">
        <v>314</v>
      </c>
      <c r="J329" s="224">
        <v>0</v>
      </c>
      <c r="K329" s="225" t="s">
        <v>269</v>
      </c>
      <c r="L329" s="226">
        <v>592338.60400000005</v>
      </c>
      <c r="M329" s="227">
        <f t="shared" si="25"/>
        <v>0</v>
      </c>
      <c r="N329" s="228">
        <v>0</v>
      </c>
      <c r="O329" s="227">
        <f t="shared" si="26"/>
        <v>0</v>
      </c>
      <c r="P329" s="228">
        <v>0.16</v>
      </c>
      <c r="Q329" s="227">
        <f t="shared" si="27"/>
        <v>0</v>
      </c>
      <c r="R329" s="227">
        <f t="shared" si="28"/>
        <v>0</v>
      </c>
      <c r="S329" s="229">
        <f>INDEX('Glosario Partidas'!$M$8:$M$10,MATCH(BD!K329,'Glosario Partidas'!$L$8:$L$10,0))</f>
        <v>1</v>
      </c>
      <c r="T329" s="227">
        <f t="shared" si="29"/>
        <v>0</v>
      </c>
      <c r="U329" s="230" t="s">
        <v>315</v>
      </c>
      <c r="V329" s="231" t="s">
        <v>13</v>
      </c>
    </row>
    <row r="330" spans="2:22" ht="12" customHeight="1" x14ac:dyDescent="0.2">
      <c r="B330" s="63" t="s">
        <v>189</v>
      </c>
      <c r="C330" s="63" t="s">
        <v>61</v>
      </c>
      <c r="D330" s="78" t="s">
        <v>313</v>
      </c>
      <c r="E330" s="171" t="s">
        <v>220</v>
      </c>
      <c r="F330" s="78" t="s">
        <v>221</v>
      </c>
      <c r="G330" s="171" t="s">
        <v>487</v>
      </c>
      <c r="H330" s="224" t="s">
        <v>293</v>
      </c>
      <c r="I330" s="225" t="s">
        <v>207</v>
      </c>
      <c r="J330" s="224">
        <f>323.83*1.1</f>
        <v>356.21300000000002</v>
      </c>
      <c r="K330" s="225" t="s">
        <v>269</v>
      </c>
      <c r="L330" s="226">
        <v>4500</v>
      </c>
      <c r="M330" s="227">
        <f t="shared" si="25"/>
        <v>1602958.5</v>
      </c>
      <c r="N330" s="228">
        <v>0</v>
      </c>
      <c r="O330" s="227">
        <f t="shared" si="26"/>
        <v>0</v>
      </c>
      <c r="P330" s="228">
        <v>0.16</v>
      </c>
      <c r="Q330" s="227">
        <f t="shared" si="27"/>
        <v>256473.36000000002</v>
      </c>
      <c r="R330" s="227">
        <f t="shared" si="28"/>
        <v>1859431.86</v>
      </c>
      <c r="S330" s="229">
        <f>INDEX('Glosario Partidas'!$M$8:$M$10,MATCH(BD!K330,'Glosario Partidas'!$L$8:$L$10,0))</f>
        <v>1</v>
      </c>
      <c r="T330" s="227">
        <f t="shared" si="29"/>
        <v>1859431.86</v>
      </c>
      <c r="U330" s="230" t="s">
        <v>315</v>
      </c>
      <c r="V330" s="231" t="s">
        <v>13</v>
      </c>
    </row>
    <row r="331" spans="2:22" ht="12" customHeight="1" x14ac:dyDescent="0.2">
      <c r="B331" s="63" t="s">
        <v>189</v>
      </c>
      <c r="C331" s="63" t="s">
        <v>61</v>
      </c>
      <c r="D331" s="78" t="s">
        <v>313</v>
      </c>
      <c r="E331" s="171" t="s">
        <v>220</v>
      </c>
      <c r="F331" s="78" t="s">
        <v>367</v>
      </c>
      <c r="G331" s="171" t="s">
        <v>487</v>
      </c>
      <c r="H331" s="224" t="s">
        <v>293</v>
      </c>
      <c r="I331" s="225" t="s">
        <v>207</v>
      </c>
      <c r="J331" s="224">
        <f>404.37*1.1</f>
        <v>444.80700000000002</v>
      </c>
      <c r="K331" s="225" t="s">
        <v>269</v>
      </c>
      <c r="L331" s="226">
        <v>4500</v>
      </c>
      <c r="M331" s="227">
        <f t="shared" si="25"/>
        <v>2001631.5</v>
      </c>
      <c r="N331" s="228">
        <v>0</v>
      </c>
      <c r="O331" s="227">
        <f t="shared" si="26"/>
        <v>0</v>
      </c>
      <c r="P331" s="228">
        <v>0.16</v>
      </c>
      <c r="Q331" s="227">
        <f t="shared" si="27"/>
        <v>320261.03999999998</v>
      </c>
      <c r="R331" s="227">
        <f t="shared" si="28"/>
        <v>2321892.54</v>
      </c>
      <c r="S331" s="229">
        <f>INDEX('Glosario Partidas'!$M$8:$M$10,MATCH(BD!K331,'Glosario Partidas'!$L$8:$L$10,0))</f>
        <v>1</v>
      </c>
      <c r="T331" s="227">
        <f t="shared" si="29"/>
        <v>2321892.54</v>
      </c>
      <c r="U331" s="230" t="s">
        <v>315</v>
      </c>
      <c r="V331" s="231" t="s">
        <v>13</v>
      </c>
    </row>
    <row r="332" spans="2:22" ht="12" customHeight="1" x14ac:dyDescent="0.2">
      <c r="B332" s="63" t="s">
        <v>194</v>
      </c>
      <c r="C332" s="63" t="s">
        <v>64</v>
      </c>
      <c r="D332" s="78" t="s">
        <v>313</v>
      </c>
      <c r="E332" s="171" t="s">
        <v>220</v>
      </c>
      <c r="F332" s="78" t="s">
        <v>221</v>
      </c>
      <c r="G332" s="171" t="s">
        <v>487</v>
      </c>
      <c r="H332" s="224" t="s">
        <v>293</v>
      </c>
      <c r="I332" s="225" t="s">
        <v>207</v>
      </c>
      <c r="J332" s="224">
        <f>323.83*1.1</f>
        <v>356.21300000000002</v>
      </c>
      <c r="K332" s="225" t="s">
        <v>269</v>
      </c>
      <c r="L332" s="226">
        <v>4500</v>
      </c>
      <c r="M332" s="227">
        <f t="shared" si="25"/>
        <v>1602958.5</v>
      </c>
      <c r="N332" s="228">
        <v>0</v>
      </c>
      <c r="O332" s="227">
        <f t="shared" si="26"/>
        <v>0</v>
      </c>
      <c r="P332" s="228">
        <v>0.16</v>
      </c>
      <c r="Q332" s="227">
        <f t="shared" si="27"/>
        <v>256473.36000000002</v>
      </c>
      <c r="R332" s="227">
        <f t="shared" si="28"/>
        <v>1859431.86</v>
      </c>
      <c r="S332" s="229">
        <f>INDEX('Glosario Partidas'!$M$8:$M$10,MATCH(BD!K332,'Glosario Partidas'!$L$8:$L$10,0))</f>
        <v>1</v>
      </c>
      <c r="T332" s="227">
        <f t="shared" si="29"/>
        <v>1859431.86</v>
      </c>
      <c r="U332" s="230" t="s">
        <v>315</v>
      </c>
      <c r="V332" s="231" t="s">
        <v>13</v>
      </c>
    </row>
    <row r="333" spans="2:22" ht="12" customHeight="1" x14ac:dyDescent="0.2">
      <c r="B333" s="63" t="s">
        <v>194</v>
      </c>
      <c r="C333" s="63" t="s">
        <v>64</v>
      </c>
      <c r="D333" s="78" t="s">
        <v>313</v>
      </c>
      <c r="E333" s="171" t="s">
        <v>220</v>
      </c>
      <c r="F333" s="78" t="s">
        <v>367</v>
      </c>
      <c r="G333" s="171" t="s">
        <v>487</v>
      </c>
      <c r="H333" s="224" t="s">
        <v>293</v>
      </c>
      <c r="I333" s="225" t="s">
        <v>207</v>
      </c>
      <c r="J333" s="224">
        <f>404.37*1.1</f>
        <v>444.80700000000002</v>
      </c>
      <c r="K333" s="225" t="s">
        <v>269</v>
      </c>
      <c r="L333" s="226">
        <v>4500</v>
      </c>
      <c r="M333" s="227">
        <f t="shared" si="25"/>
        <v>2001631.5</v>
      </c>
      <c r="N333" s="228">
        <v>0</v>
      </c>
      <c r="O333" s="227">
        <f t="shared" si="26"/>
        <v>0</v>
      </c>
      <c r="P333" s="228">
        <v>0.16</v>
      </c>
      <c r="Q333" s="227">
        <f t="shared" si="27"/>
        <v>320261.03999999998</v>
      </c>
      <c r="R333" s="227">
        <f t="shared" si="28"/>
        <v>2321892.54</v>
      </c>
      <c r="S333" s="229">
        <f>INDEX('Glosario Partidas'!$M$8:$M$10,MATCH(BD!K333,'Glosario Partidas'!$L$8:$L$10,0))</f>
        <v>1</v>
      </c>
      <c r="T333" s="227">
        <f t="shared" si="29"/>
        <v>2321892.54</v>
      </c>
      <c r="U333" s="230" t="s">
        <v>315</v>
      </c>
      <c r="V333" s="231" t="s">
        <v>13</v>
      </c>
    </row>
    <row r="334" spans="2:22" ht="12" customHeight="1" x14ac:dyDescent="0.2">
      <c r="B334" s="63" t="s">
        <v>191</v>
      </c>
      <c r="C334" s="63" t="s">
        <v>120</v>
      </c>
      <c r="D334" s="78" t="s">
        <v>313</v>
      </c>
      <c r="E334" s="171" t="s">
        <v>220</v>
      </c>
      <c r="F334" s="78" t="s">
        <v>221</v>
      </c>
      <c r="G334" s="171" t="s">
        <v>487</v>
      </c>
      <c r="H334" s="224" t="s">
        <v>368</v>
      </c>
      <c r="I334" s="225" t="s">
        <v>207</v>
      </c>
      <c r="J334" s="224">
        <v>84.16</v>
      </c>
      <c r="K334" s="225" t="s">
        <v>269</v>
      </c>
      <c r="L334" s="224">
        <v>40000</v>
      </c>
      <c r="M334" s="227">
        <f t="shared" si="25"/>
        <v>3366400</v>
      </c>
      <c r="N334" s="228">
        <v>0</v>
      </c>
      <c r="O334" s="227">
        <f t="shared" si="26"/>
        <v>0</v>
      </c>
      <c r="P334" s="228">
        <v>0.16</v>
      </c>
      <c r="Q334" s="227">
        <f t="shared" si="27"/>
        <v>538624</v>
      </c>
      <c r="R334" s="227">
        <f t="shared" si="28"/>
        <v>3905024</v>
      </c>
      <c r="S334" s="229">
        <f>INDEX('Glosario Partidas'!$M$8:$M$10,MATCH(BD!K334,'Glosario Partidas'!$L$8:$L$10,0))</f>
        <v>1</v>
      </c>
      <c r="T334" s="227">
        <f t="shared" si="29"/>
        <v>3905024</v>
      </c>
      <c r="U334" s="230" t="s">
        <v>369</v>
      </c>
      <c r="V334" s="231" t="s">
        <v>13</v>
      </c>
    </row>
    <row r="335" spans="2:22" ht="12" customHeight="1" x14ac:dyDescent="0.2">
      <c r="B335" s="63" t="s">
        <v>191</v>
      </c>
      <c r="C335" s="63" t="s">
        <v>120</v>
      </c>
      <c r="D335" s="78" t="s">
        <v>313</v>
      </c>
      <c r="E335" s="171" t="s">
        <v>220</v>
      </c>
      <c r="F335" s="78" t="s">
        <v>355</v>
      </c>
      <c r="G335" s="171" t="s">
        <v>487</v>
      </c>
      <c r="H335" s="224" t="s">
        <v>368</v>
      </c>
      <c r="I335" s="225" t="s">
        <v>207</v>
      </c>
      <c r="J335" s="224">
        <v>84.16</v>
      </c>
      <c r="K335" s="225" t="s">
        <v>269</v>
      </c>
      <c r="L335" s="224">
        <v>40000</v>
      </c>
      <c r="M335" s="227">
        <f t="shared" si="25"/>
        <v>3366400</v>
      </c>
      <c r="N335" s="228">
        <v>0</v>
      </c>
      <c r="O335" s="227">
        <f t="shared" si="26"/>
        <v>0</v>
      </c>
      <c r="P335" s="228">
        <v>0.16</v>
      </c>
      <c r="Q335" s="227">
        <f t="shared" si="27"/>
        <v>538624</v>
      </c>
      <c r="R335" s="227">
        <f t="shared" si="28"/>
        <v>3905024</v>
      </c>
      <c r="S335" s="229">
        <f>INDEX('Glosario Partidas'!$M$8:$M$10,MATCH(BD!K335,'Glosario Partidas'!$L$8:$L$10,0))</f>
        <v>1</v>
      </c>
      <c r="T335" s="227">
        <f t="shared" si="29"/>
        <v>3905024</v>
      </c>
      <c r="U335" s="230" t="s">
        <v>369</v>
      </c>
      <c r="V335" s="231" t="s">
        <v>13</v>
      </c>
    </row>
    <row r="336" spans="2:22" ht="12" customHeight="1" x14ac:dyDescent="0.2">
      <c r="B336" s="63" t="s">
        <v>70</v>
      </c>
      <c r="C336" s="78" t="s">
        <v>313</v>
      </c>
      <c r="D336" s="78" t="s">
        <v>313</v>
      </c>
      <c r="E336" s="171" t="s">
        <v>220</v>
      </c>
      <c r="F336" s="78" t="s">
        <v>221</v>
      </c>
      <c r="G336" s="171" t="s">
        <v>487</v>
      </c>
      <c r="H336" s="224" t="s">
        <v>370</v>
      </c>
      <c r="I336" s="225" t="s">
        <v>314</v>
      </c>
      <c r="J336" s="224">
        <f>323.83*1.1</f>
        <v>356.21300000000002</v>
      </c>
      <c r="K336" s="225" t="s">
        <v>269</v>
      </c>
      <c r="L336" s="226">
        <v>5617.2777959183704</v>
      </c>
      <c r="M336" s="227">
        <f t="shared" si="25"/>
        <v>2000947.3755174705</v>
      </c>
      <c r="N336" s="228">
        <v>0</v>
      </c>
      <c r="O336" s="227">
        <f t="shared" si="26"/>
        <v>0</v>
      </c>
      <c r="P336" s="228">
        <v>0.16</v>
      </c>
      <c r="Q336" s="227">
        <f t="shared" si="27"/>
        <v>320151.58008279529</v>
      </c>
      <c r="R336" s="227">
        <f t="shared" si="28"/>
        <v>2321098.9556002659</v>
      </c>
      <c r="S336" s="229">
        <f>INDEX('Glosario Partidas'!$M$8:$M$10,MATCH(BD!K336,'Glosario Partidas'!$L$8:$L$10,0))</f>
        <v>1</v>
      </c>
      <c r="T336" s="227">
        <f t="shared" si="29"/>
        <v>2321098.9556002659</v>
      </c>
      <c r="U336" s="230" t="s">
        <v>315</v>
      </c>
      <c r="V336" s="231" t="s">
        <v>13</v>
      </c>
    </row>
    <row r="337" spans="2:22" ht="12" customHeight="1" x14ac:dyDescent="0.2">
      <c r="B337" s="63" t="s">
        <v>70</v>
      </c>
      <c r="C337" s="78" t="s">
        <v>313</v>
      </c>
      <c r="D337" s="78" t="s">
        <v>313</v>
      </c>
      <c r="E337" s="171" t="s">
        <v>220</v>
      </c>
      <c r="F337" s="78" t="s">
        <v>367</v>
      </c>
      <c r="G337" s="171" t="s">
        <v>487</v>
      </c>
      <c r="H337" s="224" t="s">
        <v>370</v>
      </c>
      <c r="I337" s="225" t="s">
        <v>314</v>
      </c>
      <c r="J337" s="224">
        <f>404.37*1.1</f>
        <v>444.80700000000002</v>
      </c>
      <c r="K337" s="225" t="s">
        <v>269</v>
      </c>
      <c r="L337" s="226">
        <v>5617.2777959183704</v>
      </c>
      <c r="M337" s="227">
        <f t="shared" si="25"/>
        <v>2498604.4845690625</v>
      </c>
      <c r="N337" s="228">
        <v>0</v>
      </c>
      <c r="O337" s="227">
        <f t="shared" si="26"/>
        <v>0</v>
      </c>
      <c r="P337" s="228">
        <v>0.16</v>
      </c>
      <c r="Q337" s="227">
        <f t="shared" si="27"/>
        <v>399776.71753105003</v>
      </c>
      <c r="R337" s="227">
        <f t="shared" si="28"/>
        <v>2898381.2021001126</v>
      </c>
      <c r="S337" s="229">
        <f>INDEX('Glosario Partidas'!$M$8:$M$10,MATCH(BD!K337,'Glosario Partidas'!$L$8:$L$10,0))</f>
        <v>1</v>
      </c>
      <c r="T337" s="227">
        <f t="shared" si="29"/>
        <v>2898381.2021001126</v>
      </c>
      <c r="U337" s="230" t="s">
        <v>315</v>
      </c>
      <c r="V337" s="231" t="s">
        <v>13</v>
      </c>
    </row>
    <row r="338" spans="2:22" ht="12" customHeight="1" x14ac:dyDescent="0.2">
      <c r="B338" s="63" t="s">
        <v>73</v>
      </c>
      <c r="C338" s="63" t="s">
        <v>371</v>
      </c>
      <c r="D338" s="78" t="s">
        <v>313</v>
      </c>
      <c r="E338" s="171" t="s">
        <v>220</v>
      </c>
      <c r="F338" s="78" t="s">
        <v>221</v>
      </c>
      <c r="G338" s="171" t="s">
        <v>487</v>
      </c>
      <c r="H338" s="224" t="s">
        <v>372</v>
      </c>
      <c r="I338" s="225" t="s">
        <v>207</v>
      </c>
      <c r="J338" s="224">
        <f>323.83*1.1</f>
        <v>356.21300000000002</v>
      </c>
      <c r="K338" s="225" t="s">
        <v>153</v>
      </c>
      <c r="L338" s="226"/>
      <c r="M338" s="227">
        <f t="shared" si="25"/>
        <v>0</v>
      </c>
      <c r="N338" s="228">
        <v>0</v>
      </c>
      <c r="O338" s="227">
        <f t="shared" si="26"/>
        <v>0</v>
      </c>
      <c r="P338" s="228">
        <v>0.16</v>
      </c>
      <c r="Q338" s="227">
        <f t="shared" si="27"/>
        <v>0</v>
      </c>
      <c r="R338" s="227">
        <f t="shared" si="28"/>
        <v>0</v>
      </c>
      <c r="S338" s="229">
        <f>INDEX('Glosario Partidas'!$M$8:$M$10,MATCH(BD!K338,'Glosario Partidas'!$L$8:$L$10,0))</f>
        <v>17.5</v>
      </c>
      <c r="T338" s="227">
        <f t="shared" si="29"/>
        <v>0</v>
      </c>
      <c r="U338" s="230" t="s">
        <v>315</v>
      </c>
      <c r="V338" s="231" t="s">
        <v>13</v>
      </c>
    </row>
    <row r="339" spans="2:22" ht="12" customHeight="1" x14ac:dyDescent="0.2">
      <c r="B339" s="63" t="s">
        <v>73</v>
      </c>
      <c r="C339" s="63" t="s">
        <v>373</v>
      </c>
      <c r="D339" s="78" t="s">
        <v>313</v>
      </c>
      <c r="E339" s="171" t="s">
        <v>220</v>
      </c>
      <c r="F339" s="78" t="s">
        <v>221</v>
      </c>
      <c r="G339" s="171" t="s">
        <v>487</v>
      </c>
      <c r="H339" s="224" t="s">
        <v>372</v>
      </c>
      <c r="I339" s="225" t="s">
        <v>207</v>
      </c>
      <c r="J339" s="224">
        <f>323.83*1.1</f>
        <v>356.21300000000002</v>
      </c>
      <c r="K339" s="225" t="s">
        <v>269</v>
      </c>
      <c r="L339" s="226">
        <v>4700</v>
      </c>
      <c r="M339" s="227">
        <f t="shared" si="25"/>
        <v>1674201.1</v>
      </c>
      <c r="N339" s="228">
        <v>0</v>
      </c>
      <c r="O339" s="227">
        <f t="shared" si="26"/>
        <v>0</v>
      </c>
      <c r="P339" s="228">
        <v>0.16</v>
      </c>
      <c r="Q339" s="227">
        <f t="shared" si="27"/>
        <v>267872.17600000004</v>
      </c>
      <c r="R339" s="227">
        <f t="shared" si="28"/>
        <v>1942073.2760000001</v>
      </c>
      <c r="S339" s="229">
        <f>INDEX('Glosario Partidas'!$M$8:$M$10,MATCH(BD!K339,'Glosario Partidas'!$L$8:$L$10,0))</f>
        <v>1</v>
      </c>
      <c r="T339" s="227">
        <f t="shared" si="29"/>
        <v>1942073.2760000001</v>
      </c>
      <c r="U339" s="230" t="s">
        <v>315</v>
      </c>
      <c r="V339" s="231" t="s">
        <v>13</v>
      </c>
    </row>
    <row r="340" spans="2:22" ht="12" customHeight="1" x14ac:dyDescent="0.2">
      <c r="B340" s="63" t="s">
        <v>73</v>
      </c>
      <c r="C340" s="63" t="s">
        <v>371</v>
      </c>
      <c r="D340" s="78" t="s">
        <v>313</v>
      </c>
      <c r="E340" s="171" t="s">
        <v>220</v>
      </c>
      <c r="F340" s="78" t="s">
        <v>367</v>
      </c>
      <c r="G340" s="171" t="s">
        <v>487</v>
      </c>
      <c r="H340" s="224" t="s">
        <v>372</v>
      </c>
      <c r="I340" s="225" t="s">
        <v>207</v>
      </c>
      <c r="J340" s="224">
        <f>404.37*1.1</f>
        <v>444.80700000000002</v>
      </c>
      <c r="K340" s="225" t="s">
        <v>153</v>
      </c>
      <c r="L340" s="226"/>
      <c r="M340" s="227">
        <f t="shared" si="25"/>
        <v>0</v>
      </c>
      <c r="N340" s="228">
        <v>0</v>
      </c>
      <c r="O340" s="227">
        <f t="shared" si="26"/>
        <v>0</v>
      </c>
      <c r="P340" s="228">
        <v>0.16</v>
      </c>
      <c r="Q340" s="227">
        <f t="shared" si="27"/>
        <v>0</v>
      </c>
      <c r="R340" s="227">
        <f t="shared" si="28"/>
        <v>0</v>
      </c>
      <c r="S340" s="229">
        <f>INDEX('Glosario Partidas'!$M$8:$M$10,MATCH(BD!K340,'Glosario Partidas'!$L$8:$L$10,0))</f>
        <v>17.5</v>
      </c>
      <c r="T340" s="227">
        <f t="shared" si="29"/>
        <v>0</v>
      </c>
      <c r="U340" s="230" t="s">
        <v>315</v>
      </c>
      <c r="V340" s="231" t="s">
        <v>13</v>
      </c>
    </row>
    <row r="341" spans="2:22" ht="12" customHeight="1" x14ac:dyDescent="0.2">
      <c r="B341" s="63" t="s">
        <v>73</v>
      </c>
      <c r="C341" s="63" t="s">
        <v>373</v>
      </c>
      <c r="D341" s="78" t="s">
        <v>313</v>
      </c>
      <c r="E341" s="171" t="s">
        <v>220</v>
      </c>
      <c r="F341" s="78" t="s">
        <v>367</v>
      </c>
      <c r="G341" s="171" t="s">
        <v>487</v>
      </c>
      <c r="H341" s="224" t="s">
        <v>372</v>
      </c>
      <c r="I341" s="225" t="s">
        <v>207</v>
      </c>
      <c r="J341" s="224">
        <f>404.37*1.1</f>
        <v>444.80700000000002</v>
      </c>
      <c r="K341" s="225" t="s">
        <v>269</v>
      </c>
      <c r="L341" s="226">
        <v>4700</v>
      </c>
      <c r="M341" s="227">
        <f t="shared" si="25"/>
        <v>2090592.9000000001</v>
      </c>
      <c r="N341" s="228">
        <v>0</v>
      </c>
      <c r="O341" s="227">
        <f t="shared" si="26"/>
        <v>0</v>
      </c>
      <c r="P341" s="228">
        <v>0.16</v>
      </c>
      <c r="Q341" s="227">
        <f t="shared" si="27"/>
        <v>334494.864</v>
      </c>
      <c r="R341" s="227">
        <f t="shared" si="28"/>
        <v>2425087.764</v>
      </c>
      <c r="S341" s="229">
        <f>INDEX('Glosario Partidas'!$M$8:$M$10,MATCH(BD!K341,'Glosario Partidas'!$L$8:$L$10,0))</f>
        <v>1</v>
      </c>
      <c r="T341" s="227">
        <f t="shared" si="29"/>
        <v>2425087.764</v>
      </c>
      <c r="U341" s="230" t="s">
        <v>315</v>
      </c>
      <c r="V341" s="231" t="s">
        <v>13</v>
      </c>
    </row>
    <row r="342" spans="2:22" ht="12" customHeight="1" x14ac:dyDescent="0.2">
      <c r="B342" s="63" t="s">
        <v>76</v>
      </c>
      <c r="C342" s="63" t="s">
        <v>374</v>
      </c>
      <c r="D342" s="78" t="s">
        <v>313</v>
      </c>
      <c r="E342" s="171" t="s">
        <v>220</v>
      </c>
      <c r="F342" s="78" t="s">
        <v>221</v>
      </c>
      <c r="G342" s="171" t="s">
        <v>487</v>
      </c>
      <c r="H342" s="224" t="s">
        <v>293</v>
      </c>
      <c r="I342" s="225" t="s">
        <v>207</v>
      </c>
      <c r="J342" s="224">
        <v>323.83</v>
      </c>
      <c r="K342" s="225" t="s">
        <v>153</v>
      </c>
      <c r="L342" s="226">
        <v>60</v>
      </c>
      <c r="M342" s="227">
        <f t="shared" si="25"/>
        <v>19429.8</v>
      </c>
      <c r="N342" s="228">
        <v>0</v>
      </c>
      <c r="O342" s="227">
        <f t="shared" si="26"/>
        <v>0</v>
      </c>
      <c r="P342" s="228">
        <v>0.16</v>
      </c>
      <c r="Q342" s="227">
        <f t="shared" si="27"/>
        <v>3108.768</v>
      </c>
      <c r="R342" s="227">
        <f t="shared" si="28"/>
        <v>22538.567999999999</v>
      </c>
      <c r="S342" s="229">
        <f>INDEX('Glosario Partidas'!$M$8:$M$10,MATCH(BD!K342,'Glosario Partidas'!$L$8:$L$10,0))</f>
        <v>17.5</v>
      </c>
      <c r="T342" s="227">
        <f t="shared" si="29"/>
        <v>394424.94</v>
      </c>
      <c r="U342" s="230" t="s">
        <v>315</v>
      </c>
      <c r="V342" s="231" t="s">
        <v>13</v>
      </c>
    </row>
    <row r="343" spans="2:22" ht="12" customHeight="1" x14ac:dyDescent="0.2">
      <c r="B343" s="63" t="s">
        <v>76</v>
      </c>
      <c r="C343" s="63" t="s">
        <v>374</v>
      </c>
      <c r="D343" s="78" t="s">
        <v>313</v>
      </c>
      <c r="E343" s="171" t="s">
        <v>220</v>
      </c>
      <c r="F343" s="78" t="s">
        <v>367</v>
      </c>
      <c r="G343" s="171" t="s">
        <v>487</v>
      </c>
      <c r="H343" s="224" t="s">
        <v>293</v>
      </c>
      <c r="I343" s="225" t="s">
        <v>207</v>
      </c>
      <c r="J343" s="224">
        <v>404.37</v>
      </c>
      <c r="K343" s="225" t="s">
        <v>153</v>
      </c>
      <c r="L343" s="226">
        <v>60</v>
      </c>
      <c r="M343" s="227">
        <f t="shared" si="25"/>
        <v>24262.2</v>
      </c>
      <c r="N343" s="228">
        <v>0</v>
      </c>
      <c r="O343" s="227">
        <f t="shared" si="26"/>
        <v>0</v>
      </c>
      <c r="P343" s="228">
        <v>0.16</v>
      </c>
      <c r="Q343" s="227">
        <f t="shared" si="27"/>
        <v>3881.9520000000002</v>
      </c>
      <c r="R343" s="227">
        <f t="shared" si="28"/>
        <v>28144.152000000002</v>
      </c>
      <c r="S343" s="229">
        <f>INDEX('Glosario Partidas'!$M$8:$M$10,MATCH(BD!K343,'Glosario Partidas'!$L$8:$L$10,0))</f>
        <v>17.5</v>
      </c>
      <c r="T343" s="227">
        <f t="shared" si="29"/>
        <v>492522.66000000003</v>
      </c>
      <c r="U343" s="230" t="s">
        <v>315</v>
      </c>
      <c r="V343" s="231" t="s">
        <v>13</v>
      </c>
    </row>
    <row r="344" spans="2:22" ht="12" customHeight="1" x14ac:dyDescent="0.2">
      <c r="B344" s="63" t="s">
        <v>76</v>
      </c>
      <c r="C344" s="63" t="s">
        <v>375</v>
      </c>
      <c r="D344" s="78" t="s">
        <v>313</v>
      </c>
      <c r="E344" s="171" t="s">
        <v>220</v>
      </c>
      <c r="F344" s="78" t="s">
        <v>221</v>
      </c>
      <c r="G344" s="171" t="s">
        <v>487</v>
      </c>
      <c r="H344" s="224" t="s">
        <v>293</v>
      </c>
      <c r="I344" s="225" t="s">
        <v>207</v>
      </c>
      <c r="J344" s="224">
        <v>203.17</v>
      </c>
      <c r="K344" s="225" t="s">
        <v>153</v>
      </c>
      <c r="L344" s="226">
        <v>40</v>
      </c>
      <c r="M344" s="227">
        <f t="shared" si="25"/>
        <v>8126.7999999999993</v>
      </c>
      <c r="N344" s="228">
        <v>0</v>
      </c>
      <c r="O344" s="227">
        <f t="shared" si="26"/>
        <v>0</v>
      </c>
      <c r="P344" s="228">
        <v>0.16</v>
      </c>
      <c r="Q344" s="227">
        <f t="shared" si="27"/>
        <v>1300.288</v>
      </c>
      <c r="R344" s="227">
        <f t="shared" si="28"/>
        <v>9427.0879999999997</v>
      </c>
      <c r="S344" s="229">
        <f>INDEX('Glosario Partidas'!$M$8:$M$10,MATCH(BD!K344,'Glosario Partidas'!$L$8:$L$10,0))</f>
        <v>17.5</v>
      </c>
      <c r="T344" s="227">
        <f t="shared" si="29"/>
        <v>164974.04</v>
      </c>
      <c r="U344" s="230" t="s">
        <v>315</v>
      </c>
      <c r="V344" s="231" t="s">
        <v>13</v>
      </c>
    </row>
    <row r="345" spans="2:22" ht="12" customHeight="1" x14ac:dyDescent="0.2">
      <c r="B345" s="63" t="s">
        <v>76</v>
      </c>
      <c r="C345" s="63" t="s">
        <v>375</v>
      </c>
      <c r="D345" s="78" t="s">
        <v>313</v>
      </c>
      <c r="E345" s="171" t="s">
        <v>220</v>
      </c>
      <c r="F345" s="78" t="s">
        <v>367</v>
      </c>
      <c r="G345" s="171" t="s">
        <v>487</v>
      </c>
      <c r="H345" s="224" t="s">
        <v>293</v>
      </c>
      <c r="I345" s="225" t="s">
        <v>207</v>
      </c>
      <c r="J345" s="224">
        <v>244.85</v>
      </c>
      <c r="K345" s="225" t="s">
        <v>153</v>
      </c>
      <c r="L345" s="226">
        <v>40</v>
      </c>
      <c r="M345" s="227">
        <f t="shared" si="25"/>
        <v>9794</v>
      </c>
      <c r="N345" s="228">
        <v>0</v>
      </c>
      <c r="O345" s="227">
        <f t="shared" si="26"/>
        <v>0</v>
      </c>
      <c r="P345" s="228">
        <v>0.16</v>
      </c>
      <c r="Q345" s="227">
        <f t="shared" si="27"/>
        <v>1567.04</v>
      </c>
      <c r="R345" s="227">
        <f t="shared" si="28"/>
        <v>11361.04</v>
      </c>
      <c r="S345" s="229">
        <f>INDEX('Glosario Partidas'!$M$8:$M$10,MATCH(BD!K345,'Glosario Partidas'!$L$8:$L$10,0))</f>
        <v>17.5</v>
      </c>
      <c r="T345" s="227">
        <f t="shared" si="29"/>
        <v>198818.2</v>
      </c>
      <c r="U345" s="230" t="s">
        <v>315</v>
      </c>
      <c r="V345" s="231" t="s">
        <v>13</v>
      </c>
    </row>
    <row r="346" spans="2:22" ht="12" customHeight="1" x14ac:dyDescent="0.2">
      <c r="B346" s="63" t="s">
        <v>289</v>
      </c>
      <c r="C346" s="63" t="s">
        <v>376</v>
      </c>
      <c r="D346" s="78" t="s">
        <v>377</v>
      </c>
      <c r="E346" s="171" t="s">
        <v>220</v>
      </c>
      <c r="F346" s="78" t="s">
        <v>221</v>
      </c>
      <c r="G346" s="171" t="s">
        <v>487</v>
      </c>
      <c r="H346" s="224" t="s">
        <v>293</v>
      </c>
      <c r="I346" s="225" t="s">
        <v>207</v>
      </c>
      <c r="J346" s="224">
        <v>423.6</v>
      </c>
      <c r="K346" s="225" t="s">
        <v>153</v>
      </c>
      <c r="L346" s="226">
        <v>60</v>
      </c>
      <c r="M346" s="227">
        <f t="shared" si="25"/>
        <v>25416</v>
      </c>
      <c r="N346" s="228">
        <v>0</v>
      </c>
      <c r="O346" s="227">
        <f t="shared" si="26"/>
        <v>0</v>
      </c>
      <c r="P346" s="228">
        <v>0.16</v>
      </c>
      <c r="Q346" s="227">
        <f t="shared" si="27"/>
        <v>4066.56</v>
      </c>
      <c r="R346" s="227">
        <f t="shared" si="28"/>
        <v>29482.560000000001</v>
      </c>
      <c r="S346" s="229">
        <f>INDEX('Glosario Partidas'!$M$8:$M$10,MATCH(BD!K346,'Glosario Partidas'!$L$8:$L$10,0))</f>
        <v>17.5</v>
      </c>
      <c r="T346" s="227">
        <f t="shared" si="29"/>
        <v>515944.80000000005</v>
      </c>
      <c r="U346" s="230" t="s">
        <v>315</v>
      </c>
      <c r="V346" s="231" t="s">
        <v>13</v>
      </c>
    </row>
    <row r="347" spans="2:22" ht="12" customHeight="1" x14ac:dyDescent="0.2">
      <c r="B347" s="63" t="s">
        <v>289</v>
      </c>
      <c r="C347" s="63" t="s">
        <v>376</v>
      </c>
      <c r="D347" s="78" t="s">
        <v>377</v>
      </c>
      <c r="E347" s="171" t="s">
        <v>220</v>
      </c>
      <c r="F347" s="78" t="s">
        <v>354</v>
      </c>
      <c r="G347" s="171" t="s">
        <v>487</v>
      </c>
      <c r="H347" s="224" t="s">
        <v>293</v>
      </c>
      <c r="I347" s="225" t="s">
        <v>207</v>
      </c>
      <c r="J347" s="224">
        <v>235.2</v>
      </c>
      <c r="K347" s="225" t="s">
        <v>153</v>
      </c>
      <c r="L347" s="226">
        <v>70</v>
      </c>
      <c r="M347" s="227">
        <f t="shared" si="25"/>
        <v>16464</v>
      </c>
      <c r="N347" s="228">
        <v>0</v>
      </c>
      <c r="O347" s="227">
        <f t="shared" si="26"/>
        <v>0</v>
      </c>
      <c r="P347" s="228">
        <v>0.16</v>
      </c>
      <c r="Q347" s="227">
        <f t="shared" si="27"/>
        <v>2634.2400000000002</v>
      </c>
      <c r="R347" s="227">
        <f t="shared" si="28"/>
        <v>19098.240000000002</v>
      </c>
      <c r="S347" s="229">
        <f>INDEX('Glosario Partidas'!$M$8:$M$10,MATCH(BD!K347,'Glosario Partidas'!$L$8:$L$10,0))</f>
        <v>17.5</v>
      </c>
      <c r="T347" s="227">
        <f t="shared" si="29"/>
        <v>334219.2</v>
      </c>
      <c r="U347" s="230" t="s">
        <v>315</v>
      </c>
      <c r="V347" s="231" t="s">
        <v>13</v>
      </c>
    </row>
    <row r="348" spans="2:22" ht="12" customHeight="1" x14ac:dyDescent="0.2">
      <c r="B348" s="63" t="s">
        <v>289</v>
      </c>
      <c r="C348" s="63" t="s">
        <v>376</v>
      </c>
      <c r="D348" s="78" t="s">
        <v>377</v>
      </c>
      <c r="E348" s="171" t="s">
        <v>220</v>
      </c>
      <c r="F348" s="78" t="s">
        <v>355</v>
      </c>
      <c r="G348" s="171" t="s">
        <v>487</v>
      </c>
      <c r="H348" s="224" t="s">
        <v>293</v>
      </c>
      <c r="I348" s="225" t="s">
        <v>207</v>
      </c>
      <c r="J348" s="224">
        <v>302.39999999999998</v>
      </c>
      <c r="K348" s="225" t="s">
        <v>153</v>
      </c>
      <c r="L348" s="226">
        <v>70</v>
      </c>
      <c r="M348" s="227">
        <f t="shared" si="25"/>
        <v>21168</v>
      </c>
      <c r="N348" s="228">
        <v>0</v>
      </c>
      <c r="O348" s="227">
        <f t="shared" si="26"/>
        <v>0</v>
      </c>
      <c r="P348" s="228">
        <v>0.16</v>
      </c>
      <c r="Q348" s="227">
        <f t="shared" si="27"/>
        <v>3386.88</v>
      </c>
      <c r="R348" s="227">
        <f t="shared" si="28"/>
        <v>24554.880000000001</v>
      </c>
      <c r="S348" s="229">
        <f>INDEX('Glosario Partidas'!$M$8:$M$10,MATCH(BD!K348,'Glosario Partidas'!$L$8:$L$10,0))</f>
        <v>17.5</v>
      </c>
      <c r="T348" s="227">
        <f t="shared" si="29"/>
        <v>429710.4</v>
      </c>
      <c r="U348" s="230" t="s">
        <v>315</v>
      </c>
      <c r="V348" s="231" t="s">
        <v>13</v>
      </c>
    </row>
    <row r="349" spans="2:22" ht="12" customHeight="1" x14ac:dyDescent="0.2">
      <c r="B349" s="63" t="s">
        <v>289</v>
      </c>
      <c r="C349" s="63" t="s">
        <v>376</v>
      </c>
      <c r="D349" s="78" t="s">
        <v>378</v>
      </c>
      <c r="E349" s="171" t="s">
        <v>220</v>
      </c>
      <c r="F349" s="78" t="s">
        <v>221</v>
      </c>
      <c r="G349" s="171" t="s">
        <v>487</v>
      </c>
      <c r="H349" s="224" t="s">
        <v>379</v>
      </c>
      <c r="I349" s="225" t="s">
        <v>207</v>
      </c>
      <c r="J349" s="224">
        <v>353</v>
      </c>
      <c r="K349" s="225" t="s">
        <v>269</v>
      </c>
      <c r="L349" s="226">
        <v>1900</v>
      </c>
      <c r="M349" s="227">
        <f t="shared" si="25"/>
        <v>670700</v>
      </c>
      <c r="N349" s="228">
        <v>0</v>
      </c>
      <c r="O349" s="227">
        <f t="shared" si="26"/>
        <v>0</v>
      </c>
      <c r="P349" s="228">
        <v>0.16</v>
      </c>
      <c r="Q349" s="227">
        <f t="shared" si="27"/>
        <v>107312</v>
      </c>
      <c r="R349" s="227">
        <f t="shared" si="28"/>
        <v>778012</v>
      </c>
      <c r="S349" s="229">
        <f>INDEX('Glosario Partidas'!$M$8:$M$10,MATCH(BD!K349,'Glosario Partidas'!$L$8:$L$10,0))</f>
        <v>1</v>
      </c>
      <c r="T349" s="227">
        <f t="shared" si="29"/>
        <v>778012</v>
      </c>
      <c r="U349" s="230" t="s">
        <v>315</v>
      </c>
      <c r="V349" s="231" t="s">
        <v>13</v>
      </c>
    </row>
    <row r="350" spans="2:22" ht="12" customHeight="1" x14ac:dyDescent="0.2">
      <c r="B350" s="63" t="s">
        <v>289</v>
      </c>
      <c r="C350" s="63" t="s">
        <v>376</v>
      </c>
      <c r="D350" s="78" t="s">
        <v>378</v>
      </c>
      <c r="E350" s="171" t="s">
        <v>220</v>
      </c>
      <c r="F350" s="78" t="s">
        <v>354</v>
      </c>
      <c r="G350" s="171" t="s">
        <v>487</v>
      </c>
      <c r="H350" s="224" t="s">
        <v>379</v>
      </c>
      <c r="I350" s="225" t="s">
        <v>207</v>
      </c>
      <c r="J350" s="224">
        <v>196</v>
      </c>
      <c r="K350" s="225" t="s">
        <v>269</v>
      </c>
      <c r="L350" s="226">
        <v>1900</v>
      </c>
      <c r="M350" s="227">
        <f t="shared" si="25"/>
        <v>372400</v>
      </c>
      <c r="N350" s="228">
        <v>0</v>
      </c>
      <c r="O350" s="227">
        <f t="shared" si="26"/>
        <v>0</v>
      </c>
      <c r="P350" s="228">
        <v>0.16</v>
      </c>
      <c r="Q350" s="227">
        <f t="shared" si="27"/>
        <v>59584</v>
      </c>
      <c r="R350" s="227">
        <f t="shared" si="28"/>
        <v>431984</v>
      </c>
      <c r="S350" s="229">
        <f>INDEX('Glosario Partidas'!$M$8:$M$10,MATCH(BD!K350,'Glosario Partidas'!$L$8:$L$10,0))</f>
        <v>1</v>
      </c>
      <c r="T350" s="227">
        <f t="shared" si="29"/>
        <v>431984</v>
      </c>
      <c r="U350" s="230" t="s">
        <v>315</v>
      </c>
      <c r="V350" s="231" t="s">
        <v>13</v>
      </c>
    </row>
    <row r="351" spans="2:22" ht="12" customHeight="1" x14ac:dyDescent="0.2">
      <c r="B351" s="63" t="s">
        <v>289</v>
      </c>
      <c r="C351" s="63" t="s">
        <v>376</v>
      </c>
      <c r="D351" s="78" t="s">
        <v>378</v>
      </c>
      <c r="E351" s="171" t="s">
        <v>220</v>
      </c>
      <c r="F351" s="78" t="s">
        <v>355</v>
      </c>
      <c r="G351" s="171" t="s">
        <v>487</v>
      </c>
      <c r="H351" s="224" t="s">
        <v>379</v>
      </c>
      <c r="I351" s="225" t="s">
        <v>207</v>
      </c>
      <c r="J351" s="224">
        <v>252</v>
      </c>
      <c r="K351" s="225" t="s">
        <v>269</v>
      </c>
      <c r="L351" s="226">
        <v>1900</v>
      </c>
      <c r="M351" s="227">
        <f t="shared" si="25"/>
        <v>478800</v>
      </c>
      <c r="N351" s="228">
        <v>0</v>
      </c>
      <c r="O351" s="227">
        <f t="shared" si="26"/>
        <v>0</v>
      </c>
      <c r="P351" s="228">
        <v>0.16</v>
      </c>
      <c r="Q351" s="227">
        <f t="shared" si="27"/>
        <v>76608</v>
      </c>
      <c r="R351" s="227">
        <f t="shared" si="28"/>
        <v>555408</v>
      </c>
      <c r="S351" s="229">
        <f>INDEX('Glosario Partidas'!$M$8:$M$10,MATCH(BD!K351,'Glosario Partidas'!$L$8:$L$10,0))</f>
        <v>1</v>
      </c>
      <c r="T351" s="227">
        <f t="shared" si="29"/>
        <v>555408</v>
      </c>
      <c r="U351" s="230" t="s">
        <v>315</v>
      </c>
      <c r="V351" s="231" t="s">
        <v>13</v>
      </c>
    </row>
    <row r="352" spans="2:22" ht="12" customHeight="1" x14ac:dyDescent="0.2">
      <c r="B352" s="63" t="s">
        <v>289</v>
      </c>
      <c r="C352" s="63" t="s">
        <v>376</v>
      </c>
      <c r="D352" s="78" t="s">
        <v>380</v>
      </c>
      <c r="E352" s="171" t="s">
        <v>220</v>
      </c>
      <c r="F352" s="78" t="s">
        <v>354</v>
      </c>
      <c r="G352" s="171" t="s">
        <v>487</v>
      </c>
      <c r="H352" s="224" t="s">
        <v>293</v>
      </c>
      <c r="I352" s="225" t="s">
        <v>207</v>
      </c>
      <c r="J352" s="224">
        <v>20</v>
      </c>
      <c r="K352" s="225" t="s">
        <v>153</v>
      </c>
      <c r="L352" s="226">
        <v>250</v>
      </c>
      <c r="M352" s="227">
        <f t="shared" si="25"/>
        <v>5000</v>
      </c>
      <c r="N352" s="228">
        <v>0</v>
      </c>
      <c r="O352" s="227">
        <f t="shared" si="26"/>
        <v>0</v>
      </c>
      <c r="P352" s="228">
        <v>0.16</v>
      </c>
      <c r="Q352" s="227">
        <f t="shared" si="27"/>
        <v>800</v>
      </c>
      <c r="R352" s="227">
        <f t="shared" si="28"/>
        <v>5800</v>
      </c>
      <c r="S352" s="229">
        <f>INDEX('Glosario Partidas'!$M$8:$M$10,MATCH(BD!K352,'Glosario Partidas'!$L$8:$L$10,0))</f>
        <v>17.5</v>
      </c>
      <c r="T352" s="227">
        <f t="shared" si="29"/>
        <v>101500</v>
      </c>
      <c r="U352" s="230" t="s">
        <v>315</v>
      </c>
      <c r="V352" s="231" t="s">
        <v>13</v>
      </c>
    </row>
    <row r="353" spans="2:22" ht="12" customHeight="1" x14ac:dyDescent="0.2">
      <c r="B353" s="63" t="s">
        <v>289</v>
      </c>
      <c r="C353" s="63" t="s">
        <v>376</v>
      </c>
      <c r="D353" s="78" t="s">
        <v>381</v>
      </c>
      <c r="E353" s="171" t="s">
        <v>220</v>
      </c>
      <c r="F353" s="78" t="s">
        <v>354</v>
      </c>
      <c r="G353" s="171" t="s">
        <v>487</v>
      </c>
      <c r="H353" s="224" t="s">
        <v>379</v>
      </c>
      <c r="I353" s="225" t="s">
        <v>207</v>
      </c>
      <c r="J353" s="224">
        <v>22</v>
      </c>
      <c r="K353" s="225" t="s">
        <v>269</v>
      </c>
      <c r="L353" s="226">
        <v>1900</v>
      </c>
      <c r="M353" s="227">
        <f t="shared" si="25"/>
        <v>41800</v>
      </c>
      <c r="N353" s="228">
        <v>0</v>
      </c>
      <c r="O353" s="227">
        <f t="shared" si="26"/>
        <v>0</v>
      </c>
      <c r="P353" s="228">
        <v>0.16</v>
      </c>
      <c r="Q353" s="227">
        <f t="shared" si="27"/>
        <v>6688</v>
      </c>
      <c r="R353" s="227">
        <f t="shared" si="28"/>
        <v>48488</v>
      </c>
      <c r="S353" s="229">
        <f>INDEX('Glosario Partidas'!$M$8:$M$10,MATCH(BD!K353,'Glosario Partidas'!$L$8:$L$10,0))</f>
        <v>1</v>
      </c>
      <c r="T353" s="227">
        <f t="shared" si="29"/>
        <v>48488</v>
      </c>
      <c r="U353" s="230" t="s">
        <v>315</v>
      </c>
      <c r="V353" s="231" t="s">
        <v>13</v>
      </c>
    </row>
    <row r="354" spans="2:22" ht="12" customHeight="1" x14ac:dyDescent="0.2">
      <c r="B354" s="63" t="s">
        <v>289</v>
      </c>
      <c r="C354" s="63" t="s">
        <v>382</v>
      </c>
      <c r="D354" s="78" t="s">
        <v>383</v>
      </c>
      <c r="E354" s="171" t="s">
        <v>220</v>
      </c>
      <c r="F354" s="78" t="s">
        <v>221</v>
      </c>
      <c r="G354" s="171" t="s">
        <v>487</v>
      </c>
      <c r="H354" s="224" t="s">
        <v>293</v>
      </c>
      <c r="I354" s="225" t="s">
        <v>207</v>
      </c>
      <c r="J354" s="224">
        <v>189.96</v>
      </c>
      <c r="K354" s="225" t="s">
        <v>153</v>
      </c>
      <c r="L354" s="226">
        <v>70</v>
      </c>
      <c r="M354" s="227">
        <f t="shared" si="25"/>
        <v>13297.2</v>
      </c>
      <c r="N354" s="228">
        <v>0</v>
      </c>
      <c r="O354" s="227">
        <f t="shared" si="26"/>
        <v>0</v>
      </c>
      <c r="P354" s="228">
        <v>0.16</v>
      </c>
      <c r="Q354" s="227">
        <f t="shared" si="27"/>
        <v>2127.5520000000001</v>
      </c>
      <c r="R354" s="227">
        <f t="shared" si="28"/>
        <v>15424.752</v>
      </c>
      <c r="S354" s="229">
        <f>INDEX('Glosario Partidas'!$M$8:$M$10,MATCH(BD!K354,'Glosario Partidas'!$L$8:$L$10,0))</f>
        <v>17.5</v>
      </c>
      <c r="T354" s="227">
        <f t="shared" si="29"/>
        <v>269933.16000000003</v>
      </c>
      <c r="U354" s="230" t="s">
        <v>315</v>
      </c>
      <c r="V354" s="231" t="s">
        <v>13</v>
      </c>
    </row>
    <row r="355" spans="2:22" ht="12" customHeight="1" x14ac:dyDescent="0.2">
      <c r="B355" s="63" t="s">
        <v>289</v>
      </c>
      <c r="C355" s="63" t="s">
        <v>382</v>
      </c>
      <c r="D355" s="78" t="s">
        <v>384</v>
      </c>
      <c r="E355" s="171" t="s">
        <v>220</v>
      </c>
      <c r="F355" s="78" t="s">
        <v>354</v>
      </c>
      <c r="G355" s="171" t="s">
        <v>487</v>
      </c>
      <c r="H355" s="224" t="s">
        <v>293</v>
      </c>
      <c r="I355" s="225" t="s">
        <v>207</v>
      </c>
      <c r="J355" s="224">
        <v>140.4</v>
      </c>
      <c r="K355" s="225" t="s">
        <v>153</v>
      </c>
      <c r="L355" s="226">
        <v>250</v>
      </c>
      <c r="M355" s="227">
        <f t="shared" si="25"/>
        <v>35100</v>
      </c>
      <c r="N355" s="228">
        <v>0</v>
      </c>
      <c r="O355" s="227">
        <f t="shared" si="26"/>
        <v>0</v>
      </c>
      <c r="P355" s="228">
        <v>0.16</v>
      </c>
      <c r="Q355" s="227">
        <f t="shared" si="27"/>
        <v>5616</v>
      </c>
      <c r="R355" s="227">
        <f t="shared" si="28"/>
        <v>40716</v>
      </c>
      <c r="S355" s="229">
        <f>INDEX('Glosario Partidas'!$M$8:$M$10,MATCH(BD!K355,'Glosario Partidas'!$L$8:$L$10,0))</f>
        <v>17.5</v>
      </c>
      <c r="T355" s="227">
        <f t="shared" si="29"/>
        <v>712530</v>
      </c>
      <c r="U355" s="230" t="s">
        <v>315</v>
      </c>
      <c r="V355" s="231" t="s">
        <v>13</v>
      </c>
    </row>
    <row r="356" spans="2:22" ht="12" customHeight="1" x14ac:dyDescent="0.2">
      <c r="B356" s="63" t="s">
        <v>289</v>
      </c>
      <c r="C356" s="63" t="s">
        <v>382</v>
      </c>
      <c r="D356" s="78" t="s">
        <v>383</v>
      </c>
      <c r="E356" s="171" t="s">
        <v>220</v>
      </c>
      <c r="F356" s="78" t="s">
        <v>355</v>
      </c>
      <c r="G356" s="171" t="s">
        <v>487</v>
      </c>
      <c r="H356" s="224" t="s">
        <v>293</v>
      </c>
      <c r="I356" s="225" t="s">
        <v>207</v>
      </c>
      <c r="J356" s="224">
        <v>72</v>
      </c>
      <c r="K356" s="225" t="s">
        <v>153</v>
      </c>
      <c r="L356" s="226">
        <v>80</v>
      </c>
      <c r="M356" s="227">
        <f t="shared" si="25"/>
        <v>5760</v>
      </c>
      <c r="N356" s="228">
        <v>0</v>
      </c>
      <c r="O356" s="227">
        <f t="shared" si="26"/>
        <v>0</v>
      </c>
      <c r="P356" s="228">
        <v>0.16</v>
      </c>
      <c r="Q356" s="227">
        <f t="shared" si="27"/>
        <v>921.6</v>
      </c>
      <c r="R356" s="227">
        <f t="shared" si="28"/>
        <v>6681.6</v>
      </c>
      <c r="S356" s="229">
        <f>INDEX('Glosario Partidas'!$M$8:$M$10,MATCH(BD!K356,'Glosario Partidas'!$L$8:$L$10,0))</f>
        <v>17.5</v>
      </c>
      <c r="T356" s="227">
        <f t="shared" si="29"/>
        <v>116928</v>
      </c>
      <c r="U356" s="230" t="s">
        <v>315</v>
      </c>
      <c r="V356" s="231" t="s">
        <v>13</v>
      </c>
    </row>
    <row r="357" spans="2:22" ht="12" customHeight="1" x14ac:dyDescent="0.2">
      <c r="B357" s="63" t="s">
        <v>289</v>
      </c>
      <c r="C357" s="63" t="s">
        <v>382</v>
      </c>
      <c r="D357" s="78" t="s">
        <v>378</v>
      </c>
      <c r="E357" s="171" t="s">
        <v>220</v>
      </c>
      <c r="F357" s="78" t="s">
        <v>221</v>
      </c>
      <c r="G357" s="171" t="s">
        <v>487</v>
      </c>
      <c r="H357" s="224" t="s">
        <v>379</v>
      </c>
      <c r="I357" s="225" t="s">
        <v>207</v>
      </c>
      <c r="J357" s="224">
        <v>158</v>
      </c>
      <c r="K357" s="225" t="s">
        <v>269</v>
      </c>
      <c r="L357" s="226">
        <v>1900</v>
      </c>
      <c r="M357" s="227">
        <f t="shared" si="25"/>
        <v>300200</v>
      </c>
      <c r="N357" s="228">
        <v>0</v>
      </c>
      <c r="O357" s="227">
        <f t="shared" si="26"/>
        <v>0</v>
      </c>
      <c r="P357" s="228">
        <v>0.16</v>
      </c>
      <c r="Q357" s="227">
        <f t="shared" si="27"/>
        <v>48032</v>
      </c>
      <c r="R357" s="227">
        <f t="shared" si="28"/>
        <v>348232</v>
      </c>
      <c r="S357" s="229">
        <f>INDEX('Glosario Partidas'!$M$8:$M$10,MATCH(BD!K357,'Glosario Partidas'!$L$8:$L$10,0))</f>
        <v>1</v>
      </c>
      <c r="T357" s="227">
        <f t="shared" si="29"/>
        <v>348232</v>
      </c>
      <c r="U357" s="230" t="s">
        <v>315</v>
      </c>
      <c r="V357" s="231" t="s">
        <v>13</v>
      </c>
    </row>
    <row r="358" spans="2:22" ht="12" customHeight="1" x14ac:dyDescent="0.2">
      <c r="B358" s="63" t="s">
        <v>289</v>
      </c>
      <c r="C358" s="63" t="s">
        <v>382</v>
      </c>
      <c r="D358" s="78" t="s">
        <v>381</v>
      </c>
      <c r="E358" s="171" t="s">
        <v>220</v>
      </c>
      <c r="F358" s="78" t="s">
        <v>354</v>
      </c>
      <c r="G358" s="171" t="s">
        <v>487</v>
      </c>
      <c r="H358" s="224" t="s">
        <v>379</v>
      </c>
      <c r="I358" s="225" t="s">
        <v>207</v>
      </c>
      <c r="J358" s="224">
        <v>117</v>
      </c>
      <c r="K358" s="225" t="s">
        <v>269</v>
      </c>
      <c r="L358" s="226">
        <v>1900</v>
      </c>
      <c r="M358" s="227">
        <f t="shared" si="25"/>
        <v>222300</v>
      </c>
      <c r="N358" s="228">
        <v>0</v>
      </c>
      <c r="O358" s="227">
        <f t="shared" si="26"/>
        <v>0</v>
      </c>
      <c r="P358" s="228">
        <v>0.16</v>
      </c>
      <c r="Q358" s="227">
        <f t="shared" si="27"/>
        <v>35568</v>
      </c>
      <c r="R358" s="227">
        <f t="shared" si="28"/>
        <v>257868</v>
      </c>
      <c r="S358" s="229">
        <f>INDEX('Glosario Partidas'!$M$8:$M$10,MATCH(BD!K358,'Glosario Partidas'!$L$8:$L$10,0))</f>
        <v>1</v>
      </c>
      <c r="T358" s="227">
        <f t="shared" si="29"/>
        <v>257868</v>
      </c>
      <c r="U358" s="230" t="s">
        <v>315</v>
      </c>
      <c r="V358" s="231" t="s">
        <v>13</v>
      </c>
    </row>
    <row r="359" spans="2:22" ht="12" customHeight="1" x14ac:dyDescent="0.2">
      <c r="B359" s="63" t="s">
        <v>289</v>
      </c>
      <c r="C359" s="63" t="s">
        <v>382</v>
      </c>
      <c r="D359" s="78" t="s">
        <v>378</v>
      </c>
      <c r="E359" s="171" t="s">
        <v>220</v>
      </c>
      <c r="F359" s="78" t="s">
        <v>355</v>
      </c>
      <c r="G359" s="171" t="s">
        <v>487</v>
      </c>
      <c r="H359" s="224" t="s">
        <v>379</v>
      </c>
      <c r="I359" s="225" t="s">
        <v>207</v>
      </c>
      <c r="J359" s="224">
        <v>60</v>
      </c>
      <c r="K359" s="225" t="s">
        <v>269</v>
      </c>
      <c r="L359" s="226">
        <v>1900</v>
      </c>
      <c r="M359" s="227">
        <f t="shared" si="25"/>
        <v>114000</v>
      </c>
      <c r="N359" s="228">
        <v>0</v>
      </c>
      <c r="O359" s="227">
        <f t="shared" si="26"/>
        <v>0</v>
      </c>
      <c r="P359" s="228">
        <v>0.16</v>
      </c>
      <c r="Q359" s="227">
        <f t="shared" si="27"/>
        <v>18240</v>
      </c>
      <c r="R359" s="227">
        <f t="shared" si="28"/>
        <v>132240</v>
      </c>
      <c r="S359" s="229">
        <f>INDEX('Glosario Partidas'!$M$8:$M$10,MATCH(BD!K359,'Glosario Partidas'!$L$8:$L$10,0))</f>
        <v>1</v>
      </c>
      <c r="T359" s="227">
        <f t="shared" si="29"/>
        <v>132240</v>
      </c>
      <c r="U359" s="230" t="s">
        <v>315</v>
      </c>
      <c r="V359" s="231" t="s">
        <v>13</v>
      </c>
    </row>
    <row r="360" spans="2:22" ht="12" customHeight="1" x14ac:dyDescent="0.2">
      <c r="B360" s="63" t="s">
        <v>289</v>
      </c>
      <c r="C360" s="63" t="s">
        <v>385</v>
      </c>
      <c r="D360" s="78" t="s">
        <v>386</v>
      </c>
      <c r="E360" s="171" t="s">
        <v>220</v>
      </c>
      <c r="F360" s="78" t="s">
        <v>221</v>
      </c>
      <c r="G360" s="171" t="s">
        <v>487</v>
      </c>
      <c r="H360" s="224" t="s">
        <v>293</v>
      </c>
      <c r="I360" s="225" t="s">
        <v>207</v>
      </c>
      <c r="J360" s="224">
        <v>13.2</v>
      </c>
      <c r="K360" s="225" t="s">
        <v>153</v>
      </c>
      <c r="L360" s="226">
        <v>300</v>
      </c>
      <c r="M360" s="227">
        <f t="shared" si="25"/>
        <v>3960</v>
      </c>
      <c r="N360" s="228">
        <v>0</v>
      </c>
      <c r="O360" s="227">
        <f t="shared" si="26"/>
        <v>0</v>
      </c>
      <c r="P360" s="228">
        <v>0.16</v>
      </c>
      <c r="Q360" s="227">
        <f t="shared" si="27"/>
        <v>633.6</v>
      </c>
      <c r="R360" s="227">
        <f t="shared" si="28"/>
        <v>4593.6000000000004</v>
      </c>
      <c r="S360" s="229">
        <f>INDEX('Glosario Partidas'!$M$8:$M$10,MATCH(BD!K360,'Glosario Partidas'!$L$8:$L$10,0))</f>
        <v>17.5</v>
      </c>
      <c r="T360" s="227">
        <f t="shared" si="29"/>
        <v>80388</v>
      </c>
      <c r="U360" s="230" t="s">
        <v>315</v>
      </c>
      <c r="V360" s="231" t="s">
        <v>13</v>
      </c>
    </row>
    <row r="361" spans="2:22" ht="12" customHeight="1" x14ac:dyDescent="0.2">
      <c r="B361" s="63" t="s">
        <v>289</v>
      </c>
      <c r="C361" s="63" t="s">
        <v>385</v>
      </c>
      <c r="D361" s="78" t="s">
        <v>386</v>
      </c>
      <c r="E361" s="171" t="s">
        <v>220</v>
      </c>
      <c r="F361" s="78" t="s">
        <v>354</v>
      </c>
      <c r="G361" s="171" t="s">
        <v>487</v>
      </c>
      <c r="H361" s="224" t="s">
        <v>293</v>
      </c>
      <c r="I361" s="225" t="s">
        <v>207</v>
      </c>
      <c r="J361" s="224">
        <v>13.2</v>
      </c>
      <c r="K361" s="225" t="s">
        <v>153</v>
      </c>
      <c r="L361" s="226">
        <v>300</v>
      </c>
      <c r="M361" s="227">
        <f t="shared" si="25"/>
        <v>3960</v>
      </c>
      <c r="N361" s="228">
        <v>0</v>
      </c>
      <c r="O361" s="227">
        <f t="shared" si="26"/>
        <v>0</v>
      </c>
      <c r="P361" s="228">
        <v>0.16</v>
      </c>
      <c r="Q361" s="227">
        <f t="shared" si="27"/>
        <v>633.6</v>
      </c>
      <c r="R361" s="227">
        <f t="shared" si="28"/>
        <v>4593.6000000000004</v>
      </c>
      <c r="S361" s="229">
        <f>INDEX('Glosario Partidas'!$M$8:$M$10,MATCH(BD!K361,'Glosario Partidas'!$L$8:$L$10,0))</f>
        <v>17.5</v>
      </c>
      <c r="T361" s="227">
        <f t="shared" si="29"/>
        <v>80388</v>
      </c>
      <c r="U361" s="230" t="s">
        <v>315</v>
      </c>
      <c r="V361" s="231" t="s">
        <v>13</v>
      </c>
    </row>
    <row r="362" spans="2:22" ht="12" customHeight="1" x14ac:dyDescent="0.2">
      <c r="B362" s="63" t="s">
        <v>289</v>
      </c>
      <c r="C362" s="63" t="s">
        <v>385</v>
      </c>
      <c r="D362" s="78" t="s">
        <v>386</v>
      </c>
      <c r="E362" s="171" t="s">
        <v>220</v>
      </c>
      <c r="F362" s="78" t="s">
        <v>355</v>
      </c>
      <c r="G362" s="171" t="s">
        <v>487</v>
      </c>
      <c r="H362" s="224" t="s">
        <v>293</v>
      </c>
      <c r="I362" s="225" t="s">
        <v>207</v>
      </c>
      <c r="J362" s="224">
        <v>0</v>
      </c>
      <c r="K362" s="225" t="s">
        <v>153</v>
      </c>
      <c r="L362" s="226">
        <v>300</v>
      </c>
      <c r="M362" s="227">
        <f t="shared" si="25"/>
        <v>0</v>
      </c>
      <c r="N362" s="228">
        <v>0</v>
      </c>
      <c r="O362" s="227">
        <f t="shared" si="26"/>
        <v>0</v>
      </c>
      <c r="P362" s="228">
        <v>0.16</v>
      </c>
      <c r="Q362" s="227">
        <f t="shared" si="27"/>
        <v>0</v>
      </c>
      <c r="R362" s="227">
        <f t="shared" si="28"/>
        <v>0</v>
      </c>
      <c r="S362" s="229">
        <f>INDEX('Glosario Partidas'!$M$8:$M$10,MATCH(BD!K362,'Glosario Partidas'!$L$8:$L$10,0))</f>
        <v>17.5</v>
      </c>
      <c r="T362" s="227">
        <f t="shared" si="29"/>
        <v>0</v>
      </c>
      <c r="U362" s="230" t="s">
        <v>315</v>
      </c>
      <c r="V362" s="231" t="s">
        <v>13</v>
      </c>
    </row>
    <row r="363" spans="2:22" ht="12" customHeight="1" x14ac:dyDescent="0.2">
      <c r="B363" s="63" t="s">
        <v>289</v>
      </c>
      <c r="C363" s="63" t="s">
        <v>385</v>
      </c>
      <c r="D363" s="78" t="s">
        <v>378</v>
      </c>
      <c r="E363" s="171" t="s">
        <v>220</v>
      </c>
      <c r="F363" s="78" t="s">
        <v>221</v>
      </c>
      <c r="G363" s="171" t="s">
        <v>487</v>
      </c>
      <c r="H363" s="224" t="s">
        <v>379</v>
      </c>
      <c r="I363" s="225" t="s">
        <v>207</v>
      </c>
      <c r="J363" s="224">
        <v>12</v>
      </c>
      <c r="K363" s="225" t="s">
        <v>269</v>
      </c>
      <c r="L363" s="226">
        <v>1900</v>
      </c>
      <c r="M363" s="227">
        <f t="shared" si="25"/>
        <v>22800</v>
      </c>
      <c r="N363" s="228">
        <v>0</v>
      </c>
      <c r="O363" s="227">
        <f t="shared" si="26"/>
        <v>0</v>
      </c>
      <c r="P363" s="228">
        <v>0.16</v>
      </c>
      <c r="Q363" s="227">
        <f t="shared" si="27"/>
        <v>3648</v>
      </c>
      <c r="R363" s="227">
        <f t="shared" si="28"/>
        <v>26448</v>
      </c>
      <c r="S363" s="229">
        <f>INDEX('Glosario Partidas'!$M$8:$M$10,MATCH(BD!K363,'Glosario Partidas'!$L$8:$L$10,0))</f>
        <v>1</v>
      </c>
      <c r="T363" s="227">
        <f t="shared" si="29"/>
        <v>26448</v>
      </c>
      <c r="U363" s="230" t="s">
        <v>315</v>
      </c>
      <c r="V363" s="231" t="s">
        <v>13</v>
      </c>
    </row>
    <row r="364" spans="2:22" ht="12" customHeight="1" x14ac:dyDescent="0.2">
      <c r="B364" s="63" t="s">
        <v>289</v>
      </c>
      <c r="C364" s="63" t="s">
        <v>385</v>
      </c>
      <c r="D364" s="78" t="s">
        <v>378</v>
      </c>
      <c r="E364" s="171" t="s">
        <v>220</v>
      </c>
      <c r="F364" s="78" t="s">
        <v>354</v>
      </c>
      <c r="G364" s="171" t="s">
        <v>487</v>
      </c>
      <c r="H364" s="224" t="s">
        <v>379</v>
      </c>
      <c r="I364" s="225" t="s">
        <v>207</v>
      </c>
      <c r="J364" s="224">
        <v>12</v>
      </c>
      <c r="K364" s="225" t="s">
        <v>269</v>
      </c>
      <c r="L364" s="226">
        <v>1900</v>
      </c>
      <c r="M364" s="227">
        <f t="shared" si="25"/>
        <v>22800</v>
      </c>
      <c r="N364" s="228">
        <v>0</v>
      </c>
      <c r="O364" s="227">
        <f t="shared" si="26"/>
        <v>0</v>
      </c>
      <c r="P364" s="228">
        <v>0.16</v>
      </c>
      <c r="Q364" s="227">
        <f t="shared" si="27"/>
        <v>3648</v>
      </c>
      <c r="R364" s="227">
        <f t="shared" si="28"/>
        <v>26448</v>
      </c>
      <c r="S364" s="229">
        <f>INDEX('Glosario Partidas'!$M$8:$M$10,MATCH(BD!K364,'Glosario Partidas'!$L$8:$L$10,0))</f>
        <v>1</v>
      </c>
      <c r="T364" s="227">
        <f t="shared" si="29"/>
        <v>26448</v>
      </c>
      <c r="U364" s="230" t="s">
        <v>315</v>
      </c>
      <c r="V364" s="231" t="s">
        <v>13</v>
      </c>
    </row>
    <row r="365" spans="2:22" ht="12" customHeight="1" x14ac:dyDescent="0.2">
      <c r="B365" s="63" t="s">
        <v>289</v>
      </c>
      <c r="C365" s="63" t="s">
        <v>385</v>
      </c>
      <c r="D365" s="78" t="s">
        <v>378</v>
      </c>
      <c r="E365" s="171" t="s">
        <v>220</v>
      </c>
      <c r="F365" s="78" t="s">
        <v>355</v>
      </c>
      <c r="G365" s="171" t="s">
        <v>487</v>
      </c>
      <c r="H365" s="224" t="s">
        <v>379</v>
      </c>
      <c r="I365" s="225" t="s">
        <v>207</v>
      </c>
      <c r="J365" s="224">
        <v>0</v>
      </c>
      <c r="K365" s="225" t="s">
        <v>269</v>
      </c>
      <c r="L365" s="226">
        <v>1900</v>
      </c>
      <c r="M365" s="227">
        <f t="shared" si="25"/>
        <v>0</v>
      </c>
      <c r="N365" s="228">
        <v>0</v>
      </c>
      <c r="O365" s="227">
        <f t="shared" si="26"/>
        <v>0</v>
      </c>
      <c r="P365" s="228">
        <v>0.16</v>
      </c>
      <c r="Q365" s="227">
        <f t="shared" si="27"/>
        <v>0</v>
      </c>
      <c r="R365" s="227">
        <f t="shared" si="28"/>
        <v>0</v>
      </c>
      <c r="S365" s="229">
        <f>INDEX('Glosario Partidas'!$M$8:$M$10,MATCH(BD!K365,'Glosario Partidas'!$L$8:$L$10,0))</f>
        <v>1</v>
      </c>
      <c r="T365" s="227">
        <f t="shared" si="29"/>
        <v>0</v>
      </c>
      <c r="U365" s="230" t="s">
        <v>315</v>
      </c>
      <c r="V365" s="231" t="s">
        <v>13</v>
      </c>
    </row>
    <row r="366" spans="2:22" ht="12" customHeight="1" x14ac:dyDescent="0.2">
      <c r="B366" s="63" t="s">
        <v>289</v>
      </c>
      <c r="C366" s="63" t="s">
        <v>387</v>
      </c>
      <c r="D366" s="78" t="s">
        <v>388</v>
      </c>
      <c r="E366" s="171" t="s">
        <v>220</v>
      </c>
      <c r="F366" s="78" t="s">
        <v>221</v>
      </c>
      <c r="G366" s="171" t="s">
        <v>487</v>
      </c>
      <c r="H366" s="224" t="s">
        <v>293</v>
      </c>
      <c r="I366" s="225" t="s">
        <v>207</v>
      </c>
      <c r="J366" s="224">
        <v>38.5</v>
      </c>
      <c r="K366" s="225" t="s">
        <v>153</v>
      </c>
      <c r="L366" s="226">
        <v>250</v>
      </c>
      <c r="M366" s="227">
        <f t="shared" si="25"/>
        <v>9625</v>
      </c>
      <c r="N366" s="228">
        <v>0</v>
      </c>
      <c r="O366" s="227">
        <f t="shared" si="26"/>
        <v>0</v>
      </c>
      <c r="P366" s="228">
        <v>0.16</v>
      </c>
      <c r="Q366" s="227">
        <f t="shared" si="27"/>
        <v>1540</v>
      </c>
      <c r="R366" s="227">
        <f t="shared" si="28"/>
        <v>11165</v>
      </c>
      <c r="S366" s="229">
        <f>INDEX('Glosario Partidas'!$M$8:$M$10,MATCH(BD!K366,'Glosario Partidas'!$L$8:$L$10,0))</f>
        <v>17.5</v>
      </c>
      <c r="T366" s="227">
        <f t="shared" si="29"/>
        <v>195387.5</v>
      </c>
      <c r="U366" s="230" t="s">
        <v>315</v>
      </c>
      <c r="V366" s="231" t="s">
        <v>13</v>
      </c>
    </row>
    <row r="367" spans="2:22" ht="12" customHeight="1" x14ac:dyDescent="0.2">
      <c r="B367" s="63" t="s">
        <v>289</v>
      </c>
      <c r="C367" s="63" t="s">
        <v>387</v>
      </c>
      <c r="D367" s="78" t="s">
        <v>388</v>
      </c>
      <c r="E367" s="171" t="s">
        <v>220</v>
      </c>
      <c r="F367" s="78" t="s">
        <v>354</v>
      </c>
      <c r="G367" s="171" t="s">
        <v>487</v>
      </c>
      <c r="H367" s="224" t="s">
        <v>293</v>
      </c>
      <c r="I367" s="225" t="s">
        <v>207</v>
      </c>
      <c r="J367" s="224">
        <v>38.5</v>
      </c>
      <c r="K367" s="225" t="s">
        <v>153</v>
      </c>
      <c r="L367" s="226">
        <v>250</v>
      </c>
      <c r="M367" s="227">
        <f t="shared" si="25"/>
        <v>9625</v>
      </c>
      <c r="N367" s="228">
        <v>0</v>
      </c>
      <c r="O367" s="227">
        <f t="shared" si="26"/>
        <v>0</v>
      </c>
      <c r="P367" s="228">
        <v>0.16</v>
      </c>
      <c r="Q367" s="227">
        <f t="shared" si="27"/>
        <v>1540</v>
      </c>
      <c r="R367" s="227">
        <f t="shared" si="28"/>
        <v>11165</v>
      </c>
      <c r="S367" s="229">
        <f>INDEX('Glosario Partidas'!$M$8:$M$10,MATCH(BD!K367,'Glosario Partidas'!$L$8:$L$10,0))</f>
        <v>17.5</v>
      </c>
      <c r="T367" s="227">
        <f t="shared" si="29"/>
        <v>195387.5</v>
      </c>
      <c r="U367" s="230" t="s">
        <v>315</v>
      </c>
      <c r="V367" s="231" t="s">
        <v>13</v>
      </c>
    </row>
    <row r="368" spans="2:22" ht="12" customHeight="1" x14ac:dyDescent="0.2">
      <c r="B368" s="63" t="s">
        <v>289</v>
      </c>
      <c r="C368" s="63" t="s">
        <v>387</v>
      </c>
      <c r="D368" s="78" t="s">
        <v>388</v>
      </c>
      <c r="E368" s="171" t="s">
        <v>220</v>
      </c>
      <c r="F368" s="78" t="s">
        <v>355</v>
      </c>
      <c r="G368" s="171" t="s">
        <v>487</v>
      </c>
      <c r="H368" s="224" t="s">
        <v>293</v>
      </c>
      <c r="I368" s="225" t="s">
        <v>207</v>
      </c>
      <c r="J368" s="224">
        <v>36</v>
      </c>
      <c r="K368" s="225" t="s">
        <v>153</v>
      </c>
      <c r="L368" s="226">
        <v>80</v>
      </c>
      <c r="M368" s="227">
        <f t="shared" si="25"/>
        <v>2880</v>
      </c>
      <c r="N368" s="228">
        <v>0</v>
      </c>
      <c r="O368" s="227">
        <f t="shared" si="26"/>
        <v>0</v>
      </c>
      <c r="P368" s="228">
        <v>0.16</v>
      </c>
      <c r="Q368" s="227">
        <f t="shared" si="27"/>
        <v>460.8</v>
      </c>
      <c r="R368" s="227">
        <f t="shared" si="28"/>
        <v>3340.8</v>
      </c>
      <c r="S368" s="229">
        <f>INDEX('Glosario Partidas'!$M$8:$M$10,MATCH(BD!K368,'Glosario Partidas'!$L$8:$L$10,0))</f>
        <v>17.5</v>
      </c>
      <c r="T368" s="227">
        <f t="shared" si="29"/>
        <v>58464</v>
      </c>
      <c r="U368" s="230" t="s">
        <v>315</v>
      </c>
      <c r="V368" s="231" t="s">
        <v>13</v>
      </c>
    </row>
    <row r="369" spans="2:22" ht="12" customHeight="1" x14ac:dyDescent="0.2">
      <c r="B369" s="63" t="s">
        <v>289</v>
      </c>
      <c r="C369" s="63" t="s">
        <v>387</v>
      </c>
      <c r="D369" s="78" t="s">
        <v>378</v>
      </c>
      <c r="E369" s="171" t="s">
        <v>220</v>
      </c>
      <c r="F369" s="78" t="s">
        <v>221</v>
      </c>
      <c r="G369" s="171" t="s">
        <v>487</v>
      </c>
      <c r="H369" s="224" t="s">
        <v>379</v>
      </c>
      <c r="I369" s="225" t="s">
        <v>207</v>
      </c>
      <c r="J369" s="224">
        <v>35</v>
      </c>
      <c r="K369" s="225" t="s">
        <v>269</v>
      </c>
      <c r="L369" s="226">
        <v>1900</v>
      </c>
      <c r="M369" s="227">
        <f t="shared" si="25"/>
        <v>66500</v>
      </c>
      <c r="N369" s="228">
        <v>0</v>
      </c>
      <c r="O369" s="227">
        <f t="shared" si="26"/>
        <v>0</v>
      </c>
      <c r="P369" s="228">
        <v>0.16</v>
      </c>
      <c r="Q369" s="227">
        <f t="shared" si="27"/>
        <v>10640</v>
      </c>
      <c r="R369" s="227">
        <f t="shared" si="28"/>
        <v>77140</v>
      </c>
      <c r="S369" s="229">
        <f>INDEX('Glosario Partidas'!$M$8:$M$10,MATCH(BD!K369,'Glosario Partidas'!$L$8:$L$10,0))</f>
        <v>1</v>
      </c>
      <c r="T369" s="227">
        <f t="shared" si="29"/>
        <v>77140</v>
      </c>
      <c r="U369" s="230" t="s">
        <v>315</v>
      </c>
      <c r="V369" s="231" t="s">
        <v>13</v>
      </c>
    </row>
    <row r="370" spans="2:22" ht="12" customHeight="1" x14ac:dyDescent="0.2">
      <c r="B370" s="63" t="s">
        <v>289</v>
      </c>
      <c r="C370" s="63" t="s">
        <v>387</v>
      </c>
      <c r="D370" s="78" t="s">
        <v>378</v>
      </c>
      <c r="E370" s="171" t="s">
        <v>220</v>
      </c>
      <c r="F370" s="78" t="s">
        <v>354</v>
      </c>
      <c r="G370" s="171" t="s">
        <v>487</v>
      </c>
      <c r="H370" s="224" t="s">
        <v>379</v>
      </c>
      <c r="I370" s="225" t="s">
        <v>207</v>
      </c>
      <c r="J370" s="224">
        <v>35</v>
      </c>
      <c r="K370" s="225" t="s">
        <v>269</v>
      </c>
      <c r="L370" s="226">
        <v>1900</v>
      </c>
      <c r="M370" s="227">
        <f t="shared" si="25"/>
        <v>66500</v>
      </c>
      <c r="N370" s="228">
        <v>0</v>
      </c>
      <c r="O370" s="227">
        <f t="shared" si="26"/>
        <v>0</v>
      </c>
      <c r="P370" s="228">
        <v>0.16</v>
      </c>
      <c r="Q370" s="227">
        <f t="shared" si="27"/>
        <v>10640</v>
      </c>
      <c r="R370" s="227">
        <f t="shared" si="28"/>
        <v>77140</v>
      </c>
      <c r="S370" s="229">
        <f>INDEX('Glosario Partidas'!$M$8:$M$10,MATCH(BD!K370,'Glosario Partidas'!$L$8:$L$10,0))</f>
        <v>1</v>
      </c>
      <c r="T370" s="227">
        <f t="shared" si="29"/>
        <v>77140</v>
      </c>
      <c r="U370" s="230" t="s">
        <v>315</v>
      </c>
      <c r="V370" s="231" t="s">
        <v>13</v>
      </c>
    </row>
    <row r="371" spans="2:22" ht="12" customHeight="1" x14ac:dyDescent="0.2">
      <c r="B371" s="63" t="s">
        <v>289</v>
      </c>
      <c r="C371" s="63" t="s">
        <v>387</v>
      </c>
      <c r="D371" s="78" t="s">
        <v>378</v>
      </c>
      <c r="E371" s="171" t="s">
        <v>220</v>
      </c>
      <c r="F371" s="78" t="s">
        <v>355</v>
      </c>
      <c r="G371" s="171" t="s">
        <v>487</v>
      </c>
      <c r="H371" s="224" t="s">
        <v>379</v>
      </c>
      <c r="I371" s="225" t="s">
        <v>207</v>
      </c>
      <c r="J371" s="224">
        <v>30</v>
      </c>
      <c r="K371" s="225" t="s">
        <v>269</v>
      </c>
      <c r="L371" s="226">
        <v>1900</v>
      </c>
      <c r="M371" s="227">
        <f t="shared" si="25"/>
        <v>57000</v>
      </c>
      <c r="N371" s="228">
        <v>0</v>
      </c>
      <c r="O371" s="227">
        <f t="shared" si="26"/>
        <v>0</v>
      </c>
      <c r="P371" s="228">
        <v>0.16</v>
      </c>
      <c r="Q371" s="227">
        <f t="shared" si="27"/>
        <v>9120</v>
      </c>
      <c r="R371" s="227">
        <f t="shared" si="28"/>
        <v>66120</v>
      </c>
      <c r="S371" s="229">
        <f>INDEX('Glosario Partidas'!$M$8:$M$10,MATCH(BD!K371,'Glosario Partidas'!$L$8:$L$10,0))</f>
        <v>1</v>
      </c>
      <c r="T371" s="227">
        <f t="shared" si="29"/>
        <v>66120</v>
      </c>
      <c r="U371" s="230" t="s">
        <v>315</v>
      </c>
      <c r="V371" s="231" t="s">
        <v>13</v>
      </c>
    </row>
    <row r="372" spans="2:22" ht="12" customHeight="1" x14ac:dyDescent="0.2">
      <c r="B372" s="63" t="s">
        <v>203</v>
      </c>
      <c r="C372" s="63" t="s">
        <v>91</v>
      </c>
      <c r="D372" s="78" t="s">
        <v>389</v>
      </c>
      <c r="E372" s="171" t="s">
        <v>220</v>
      </c>
      <c r="F372" s="78" t="s">
        <v>221</v>
      </c>
      <c r="G372" s="171" t="s">
        <v>487</v>
      </c>
      <c r="H372" s="224" t="s">
        <v>293</v>
      </c>
      <c r="I372" s="225" t="s">
        <v>207</v>
      </c>
      <c r="J372" s="224">
        <v>194.7</v>
      </c>
      <c r="K372" s="225" t="s">
        <v>153</v>
      </c>
      <c r="L372" s="226">
        <v>80</v>
      </c>
      <c r="M372" s="227">
        <f t="shared" si="25"/>
        <v>15576</v>
      </c>
      <c r="N372" s="228">
        <v>0</v>
      </c>
      <c r="O372" s="227">
        <f t="shared" si="26"/>
        <v>0</v>
      </c>
      <c r="P372" s="228">
        <v>0.16</v>
      </c>
      <c r="Q372" s="227">
        <f t="shared" si="27"/>
        <v>2492.16</v>
      </c>
      <c r="R372" s="227">
        <f t="shared" si="28"/>
        <v>18068.16</v>
      </c>
      <c r="S372" s="229">
        <f>INDEX('Glosario Partidas'!$M$8:$M$10,MATCH(BD!K372,'Glosario Partidas'!$L$8:$L$10,0))</f>
        <v>17.5</v>
      </c>
      <c r="T372" s="227">
        <f t="shared" si="29"/>
        <v>316192.8</v>
      </c>
      <c r="U372" s="230" t="s">
        <v>315</v>
      </c>
      <c r="V372" s="231" t="s">
        <v>13</v>
      </c>
    </row>
    <row r="373" spans="2:22" ht="12" customHeight="1" x14ac:dyDescent="0.2">
      <c r="B373" s="63" t="s">
        <v>203</v>
      </c>
      <c r="C373" s="63" t="s">
        <v>91</v>
      </c>
      <c r="D373" s="78" t="s">
        <v>389</v>
      </c>
      <c r="E373" s="171" t="s">
        <v>220</v>
      </c>
      <c r="F373" s="78" t="s">
        <v>354</v>
      </c>
      <c r="G373" s="171" t="s">
        <v>487</v>
      </c>
      <c r="H373" s="224" t="s">
        <v>293</v>
      </c>
      <c r="I373" s="225" t="s">
        <v>207</v>
      </c>
      <c r="J373" s="224">
        <v>194.7</v>
      </c>
      <c r="K373" s="225" t="s">
        <v>153</v>
      </c>
      <c r="L373" s="226">
        <v>80</v>
      </c>
      <c r="M373" s="227">
        <f t="shared" si="25"/>
        <v>15576</v>
      </c>
      <c r="N373" s="228">
        <v>0</v>
      </c>
      <c r="O373" s="227">
        <f t="shared" si="26"/>
        <v>0</v>
      </c>
      <c r="P373" s="228">
        <v>0.16</v>
      </c>
      <c r="Q373" s="227">
        <f t="shared" si="27"/>
        <v>2492.16</v>
      </c>
      <c r="R373" s="227">
        <f t="shared" si="28"/>
        <v>18068.16</v>
      </c>
      <c r="S373" s="229">
        <f>INDEX('Glosario Partidas'!$M$8:$M$10,MATCH(BD!K373,'Glosario Partidas'!$L$8:$L$10,0))</f>
        <v>17.5</v>
      </c>
      <c r="T373" s="227">
        <f t="shared" si="29"/>
        <v>316192.8</v>
      </c>
      <c r="U373" s="230" t="s">
        <v>315</v>
      </c>
      <c r="V373" s="231" t="s">
        <v>13</v>
      </c>
    </row>
    <row r="374" spans="2:22" ht="12" customHeight="1" x14ac:dyDescent="0.2">
      <c r="B374" s="63" t="s">
        <v>203</v>
      </c>
      <c r="C374" s="63" t="s">
        <v>91</v>
      </c>
      <c r="D374" s="78" t="s">
        <v>389</v>
      </c>
      <c r="E374" s="171" t="s">
        <v>220</v>
      </c>
      <c r="F374" s="78" t="s">
        <v>355</v>
      </c>
      <c r="G374" s="171" t="s">
        <v>487</v>
      </c>
      <c r="H374" s="224" t="s">
        <v>293</v>
      </c>
      <c r="I374" s="225" t="s">
        <v>207</v>
      </c>
      <c r="J374" s="224">
        <v>0</v>
      </c>
      <c r="K374" s="225" t="s">
        <v>153</v>
      </c>
      <c r="L374" s="226">
        <v>80</v>
      </c>
      <c r="M374" s="227">
        <f t="shared" si="25"/>
        <v>0</v>
      </c>
      <c r="N374" s="228">
        <v>0</v>
      </c>
      <c r="O374" s="227">
        <f t="shared" si="26"/>
        <v>0</v>
      </c>
      <c r="P374" s="228">
        <v>0.16</v>
      </c>
      <c r="Q374" s="227">
        <f t="shared" si="27"/>
        <v>0</v>
      </c>
      <c r="R374" s="227">
        <f t="shared" si="28"/>
        <v>0</v>
      </c>
      <c r="S374" s="229">
        <f>INDEX('Glosario Partidas'!$M$8:$M$10,MATCH(BD!K374,'Glosario Partidas'!$L$8:$L$10,0))</f>
        <v>17.5</v>
      </c>
      <c r="T374" s="227">
        <f t="shared" si="29"/>
        <v>0</v>
      </c>
      <c r="U374" s="230" t="s">
        <v>315</v>
      </c>
      <c r="V374" s="231" t="s">
        <v>13</v>
      </c>
    </row>
    <row r="375" spans="2:22" ht="12" customHeight="1" x14ac:dyDescent="0.2">
      <c r="B375" s="63" t="s">
        <v>203</v>
      </c>
      <c r="C375" s="63" t="s">
        <v>91</v>
      </c>
      <c r="D375" s="78" t="s">
        <v>390</v>
      </c>
      <c r="E375" s="171" t="s">
        <v>220</v>
      </c>
      <c r="F375" s="78" t="s">
        <v>221</v>
      </c>
      <c r="G375" s="171" t="s">
        <v>487</v>
      </c>
      <c r="H375" s="224" t="s">
        <v>293</v>
      </c>
      <c r="I375" s="225" t="s">
        <v>207</v>
      </c>
      <c r="J375" s="224">
        <v>177</v>
      </c>
      <c r="K375" s="225" t="s">
        <v>269</v>
      </c>
      <c r="L375" s="226">
        <v>700</v>
      </c>
      <c r="M375" s="227">
        <f t="shared" si="25"/>
        <v>123900</v>
      </c>
      <c r="N375" s="228">
        <v>0</v>
      </c>
      <c r="O375" s="227">
        <f t="shared" si="26"/>
        <v>0</v>
      </c>
      <c r="P375" s="228">
        <v>0.16</v>
      </c>
      <c r="Q375" s="227">
        <f t="shared" si="27"/>
        <v>19824</v>
      </c>
      <c r="R375" s="227">
        <f t="shared" si="28"/>
        <v>143724</v>
      </c>
      <c r="S375" s="229">
        <f>INDEX('Glosario Partidas'!$M$8:$M$10,MATCH(BD!K375,'Glosario Partidas'!$L$8:$L$10,0))</f>
        <v>1</v>
      </c>
      <c r="T375" s="227">
        <f t="shared" si="29"/>
        <v>143724</v>
      </c>
      <c r="U375" s="230" t="s">
        <v>315</v>
      </c>
      <c r="V375" s="231" t="s">
        <v>13</v>
      </c>
    </row>
    <row r="376" spans="2:22" ht="12" customHeight="1" x14ac:dyDescent="0.2">
      <c r="B376" s="63" t="s">
        <v>203</v>
      </c>
      <c r="C376" s="63" t="s">
        <v>91</v>
      </c>
      <c r="D376" s="78" t="s">
        <v>390</v>
      </c>
      <c r="E376" s="171" t="s">
        <v>220</v>
      </c>
      <c r="F376" s="78" t="s">
        <v>354</v>
      </c>
      <c r="G376" s="171" t="s">
        <v>487</v>
      </c>
      <c r="H376" s="224" t="s">
        <v>293</v>
      </c>
      <c r="I376" s="225" t="s">
        <v>207</v>
      </c>
      <c r="J376" s="224">
        <v>177</v>
      </c>
      <c r="K376" s="225" t="s">
        <v>269</v>
      </c>
      <c r="L376" s="226">
        <v>700</v>
      </c>
      <c r="M376" s="227">
        <f t="shared" si="25"/>
        <v>123900</v>
      </c>
      <c r="N376" s="228">
        <v>0</v>
      </c>
      <c r="O376" s="227">
        <f t="shared" si="26"/>
        <v>0</v>
      </c>
      <c r="P376" s="228">
        <v>0.16</v>
      </c>
      <c r="Q376" s="227">
        <f t="shared" si="27"/>
        <v>19824</v>
      </c>
      <c r="R376" s="227">
        <f t="shared" si="28"/>
        <v>143724</v>
      </c>
      <c r="S376" s="229">
        <f>INDEX('Glosario Partidas'!$M$8:$M$10,MATCH(BD!K376,'Glosario Partidas'!$L$8:$L$10,0))</f>
        <v>1</v>
      </c>
      <c r="T376" s="227">
        <f t="shared" si="29"/>
        <v>143724</v>
      </c>
      <c r="U376" s="230" t="s">
        <v>315</v>
      </c>
      <c r="V376" s="231" t="s">
        <v>13</v>
      </c>
    </row>
    <row r="377" spans="2:22" ht="12" customHeight="1" x14ac:dyDescent="0.2">
      <c r="B377" s="63" t="s">
        <v>203</v>
      </c>
      <c r="C377" s="63" t="s">
        <v>91</v>
      </c>
      <c r="D377" s="78" t="s">
        <v>390</v>
      </c>
      <c r="E377" s="171" t="s">
        <v>220</v>
      </c>
      <c r="F377" s="78" t="s">
        <v>355</v>
      </c>
      <c r="G377" s="171" t="s">
        <v>487</v>
      </c>
      <c r="H377" s="224" t="s">
        <v>293</v>
      </c>
      <c r="I377" s="225" t="s">
        <v>207</v>
      </c>
      <c r="J377" s="224">
        <v>0</v>
      </c>
      <c r="K377" s="225" t="s">
        <v>269</v>
      </c>
      <c r="L377" s="226">
        <v>700</v>
      </c>
      <c r="M377" s="227">
        <f t="shared" si="25"/>
        <v>0</v>
      </c>
      <c r="N377" s="228">
        <v>0</v>
      </c>
      <c r="O377" s="227">
        <f t="shared" si="26"/>
        <v>0</v>
      </c>
      <c r="P377" s="228">
        <v>0.16</v>
      </c>
      <c r="Q377" s="227">
        <f t="shared" si="27"/>
        <v>0</v>
      </c>
      <c r="R377" s="227">
        <f t="shared" si="28"/>
        <v>0</v>
      </c>
      <c r="S377" s="229">
        <f>INDEX('Glosario Partidas'!$M$8:$M$10,MATCH(BD!K377,'Glosario Partidas'!$L$8:$L$10,0))</f>
        <v>1</v>
      </c>
      <c r="T377" s="227">
        <f t="shared" si="29"/>
        <v>0</v>
      </c>
      <c r="U377" s="230" t="s">
        <v>315</v>
      </c>
      <c r="V377" s="231" t="s">
        <v>13</v>
      </c>
    </row>
    <row r="378" spans="2:22" ht="12" customHeight="1" x14ac:dyDescent="0.2">
      <c r="B378" s="232" t="s">
        <v>203</v>
      </c>
      <c r="C378" s="232" t="s">
        <v>91</v>
      </c>
      <c r="D378" s="233" t="s">
        <v>391</v>
      </c>
      <c r="E378" s="171" t="s">
        <v>220</v>
      </c>
      <c r="F378" s="233" t="s">
        <v>391</v>
      </c>
      <c r="G378" s="171" t="s">
        <v>487</v>
      </c>
      <c r="H378" s="234" t="s">
        <v>293</v>
      </c>
      <c r="I378" s="235" t="s">
        <v>314</v>
      </c>
      <c r="J378" s="234">
        <v>0</v>
      </c>
      <c r="K378" s="235" t="s">
        <v>269</v>
      </c>
      <c r="L378" s="236">
        <v>20018.164079999999</v>
      </c>
      <c r="M378" s="227">
        <f t="shared" si="25"/>
        <v>0</v>
      </c>
      <c r="N378" s="228">
        <v>0</v>
      </c>
      <c r="O378" s="237">
        <f t="shared" si="26"/>
        <v>0</v>
      </c>
      <c r="P378" s="238">
        <v>0.16</v>
      </c>
      <c r="Q378" s="227">
        <f t="shared" si="27"/>
        <v>0</v>
      </c>
      <c r="R378" s="227">
        <f t="shared" si="28"/>
        <v>0</v>
      </c>
      <c r="S378" s="229">
        <f>INDEX('Glosario Partidas'!$M$8:$M$10,MATCH(BD!K378,'Glosario Partidas'!$L$8:$L$10,0))</f>
        <v>1</v>
      </c>
      <c r="T378" s="227">
        <f t="shared" si="29"/>
        <v>0</v>
      </c>
      <c r="U378" s="237" t="s">
        <v>315</v>
      </c>
      <c r="V378" s="231" t="s">
        <v>13</v>
      </c>
    </row>
    <row r="379" spans="2:22" ht="12" customHeight="1" x14ac:dyDescent="0.2">
      <c r="B379" s="232" t="s">
        <v>203</v>
      </c>
      <c r="C379" s="232" t="s">
        <v>91</v>
      </c>
      <c r="D379" s="233" t="s">
        <v>392</v>
      </c>
      <c r="E379" s="171" t="s">
        <v>220</v>
      </c>
      <c r="F379" s="233" t="s">
        <v>392</v>
      </c>
      <c r="G379" s="171" t="s">
        <v>487</v>
      </c>
      <c r="H379" s="234" t="s">
        <v>293</v>
      </c>
      <c r="I379" s="235" t="s">
        <v>207</v>
      </c>
      <c r="J379" s="234">
        <v>0</v>
      </c>
      <c r="K379" s="235" t="s">
        <v>269</v>
      </c>
      <c r="L379" s="236">
        <v>429.97500000000002</v>
      </c>
      <c r="M379" s="227">
        <f t="shared" si="25"/>
        <v>0</v>
      </c>
      <c r="N379" s="228">
        <v>0</v>
      </c>
      <c r="O379" s="237">
        <f t="shared" si="26"/>
        <v>0</v>
      </c>
      <c r="P379" s="238">
        <v>0.16</v>
      </c>
      <c r="Q379" s="227">
        <f t="shared" si="27"/>
        <v>0</v>
      </c>
      <c r="R379" s="227">
        <f t="shared" si="28"/>
        <v>0</v>
      </c>
      <c r="S379" s="229">
        <f>INDEX('Glosario Partidas'!$M$8:$M$10,MATCH(BD!K379,'Glosario Partidas'!$L$8:$L$10,0))</f>
        <v>1</v>
      </c>
      <c r="T379" s="227">
        <f t="shared" si="29"/>
        <v>0</v>
      </c>
      <c r="U379" s="237" t="s">
        <v>315</v>
      </c>
      <c r="V379" s="231" t="s">
        <v>13</v>
      </c>
    </row>
    <row r="380" spans="2:22" ht="12" customHeight="1" x14ac:dyDescent="0.2">
      <c r="B380" s="232" t="s">
        <v>203</v>
      </c>
      <c r="C380" s="232" t="s">
        <v>91</v>
      </c>
      <c r="D380" s="233" t="s">
        <v>393</v>
      </c>
      <c r="E380" s="171" t="s">
        <v>220</v>
      </c>
      <c r="F380" s="233" t="s">
        <v>393</v>
      </c>
      <c r="G380" s="171" t="s">
        <v>487</v>
      </c>
      <c r="H380" s="234" t="s">
        <v>293</v>
      </c>
      <c r="I380" s="235" t="s">
        <v>207</v>
      </c>
      <c r="J380" s="234">
        <v>0</v>
      </c>
      <c r="K380" s="235" t="s">
        <v>269</v>
      </c>
      <c r="L380" s="236">
        <v>199.29224137931001</v>
      </c>
      <c r="M380" s="227">
        <f t="shared" si="25"/>
        <v>0</v>
      </c>
      <c r="N380" s="228">
        <v>0</v>
      </c>
      <c r="O380" s="237">
        <f t="shared" si="26"/>
        <v>0</v>
      </c>
      <c r="P380" s="238">
        <v>0.16</v>
      </c>
      <c r="Q380" s="227">
        <f t="shared" si="27"/>
        <v>0</v>
      </c>
      <c r="R380" s="227">
        <f t="shared" si="28"/>
        <v>0</v>
      </c>
      <c r="S380" s="229">
        <f>INDEX('Glosario Partidas'!$M$8:$M$10,MATCH(BD!K380,'Glosario Partidas'!$L$8:$L$10,0))</f>
        <v>1</v>
      </c>
      <c r="T380" s="227">
        <f t="shared" si="29"/>
        <v>0</v>
      </c>
      <c r="U380" s="237" t="s">
        <v>315</v>
      </c>
      <c r="V380" s="231" t="s">
        <v>13</v>
      </c>
    </row>
    <row r="381" spans="2:22" ht="12" customHeight="1" x14ac:dyDescent="0.2">
      <c r="B381" s="63" t="s">
        <v>203</v>
      </c>
      <c r="C381" s="63" t="s">
        <v>92</v>
      </c>
      <c r="D381" s="78" t="s">
        <v>394</v>
      </c>
      <c r="E381" s="171" t="s">
        <v>220</v>
      </c>
      <c r="F381" s="78" t="s">
        <v>221</v>
      </c>
      <c r="G381" s="171" t="s">
        <v>487</v>
      </c>
      <c r="H381" s="224" t="s">
        <v>293</v>
      </c>
      <c r="I381" s="225" t="s">
        <v>207</v>
      </c>
      <c r="J381" s="224">
        <v>109.56</v>
      </c>
      <c r="K381" s="225" t="s">
        <v>153</v>
      </c>
      <c r="L381" s="226">
        <v>80</v>
      </c>
      <c r="M381" s="227">
        <f t="shared" si="25"/>
        <v>8764.7999999999993</v>
      </c>
      <c r="N381" s="228">
        <v>0</v>
      </c>
      <c r="O381" s="227">
        <f t="shared" si="26"/>
        <v>0</v>
      </c>
      <c r="P381" s="228">
        <v>0.16</v>
      </c>
      <c r="Q381" s="227">
        <f t="shared" si="27"/>
        <v>1402.3679999999999</v>
      </c>
      <c r="R381" s="227">
        <f t="shared" si="28"/>
        <v>10167.168</v>
      </c>
      <c r="S381" s="229">
        <f>INDEX('Glosario Partidas'!$M$8:$M$10,MATCH(BD!K381,'Glosario Partidas'!$L$8:$L$10,0))</f>
        <v>17.5</v>
      </c>
      <c r="T381" s="227">
        <f t="shared" si="29"/>
        <v>177925.44</v>
      </c>
      <c r="U381" s="230" t="s">
        <v>315</v>
      </c>
      <c r="V381" s="231" t="s">
        <v>13</v>
      </c>
    </row>
    <row r="382" spans="2:22" ht="12" customHeight="1" x14ac:dyDescent="0.2">
      <c r="B382" s="63" t="s">
        <v>203</v>
      </c>
      <c r="C382" s="63" t="s">
        <v>92</v>
      </c>
      <c r="D382" s="78" t="s">
        <v>394</v>
      </c>
      <c r="E382" s="171" t="s">
        <v>220</v>
      </c>
      <c r="F382" s="78" t="s">
        <v>354</v>
      </c>
      <c r="G382" s="171" t="s">
        <v>487</v>
      </c>
      <c r="H382" s="224" t="s">
        <v>293</v>
      </c>
      <c r="I382" s="225" t="s">
        <v>207</v>
      </c>
      <c r="J382" s="224">
        <v>109.56</v>
      </c>
      <c r="K382" s="225" t="s">
        <v>153</v>
      </c>
      <c r="L382" s="226">
        <v>80</v>
      </c>
      <c r="M382" s="227">
        <f t="shared" si="25"/>
        <v>8764.7999999999993</v>
      </c>
      <c r="N382" s="228">
        <v>0</v>
      </c>
      <c r="O382" s="227">
        <f t="shared" si="26"/>
        <v>0</v>
      </c>
      <c r="P382" s="228">
        <v>0.16</v>
      </c>
      <c r="Q382" s="227">
        <f t="shared" si="27"/>
        <v>1402.3679999999999</v>
      </c>
      <c r="R382" s="227">
        <f t="shared" si="28"/>
        <v>10167.168</v>
      </c>
      <c r="S382" s="229">
        <f>INDEX('Glosario Partidas'!$M$8:$M$10,MATCH(BD!K382,'Glosario Partidas'!$L$8:$L$10,0))</f>
        <v>17.5</v>
      </c>
      <c r="T382" s="227">
        <f t="shared" si="29"/>
        <v>177925.44</v>
      </c>
      <c r="U382" s="230" t="s">
        <v>315</v>
      </c>
      <c r="V382" s="231" t="s">
        <v>13</v>
      </c>
    </row>
    <row r="383" spans="2:22" ht="12" customHeight="1" x14ac:dyDescent="0.2">
      <c r="B383" s="63" t="s">
        <v>203</v>
      </c>
      <c r="C383" s="63" t="s">
        <v>92</v>
      </c>
      <c r="D383" s="78" t="s">
        <v>394</v>
      </c>
      <c r="E383" s="171" t="s">
        <v>220</v>
      </c>
      <c r="F383" s="78" t="s">
        <v>355</v>
      </c>
      <c r="G383" s="171" t="s">
        <v>487</v>
      </c>
      <c r="H383" s="224" t="s">
        <v>293</v>
      </c>
      <c r="I383" s="225" t="s">
        <v>207</v>
      </c>
      <c r="J383" s="224">
        <v>16.5</v>
      </c>
      <c r="K383" s="225" t="s">
        <v>153</v>
      </c>
      <c r="L383" s="226">
        <v>80</v>
      </c>
      <c r="M383" s="227">
        <f t="shared" si="25"/>
        <v>1320</v>
      </c>
      <c r="N383" s="228">
        <v>0</v>
      </c>
      <c r="O383" s="227">
        <f t="shared" si="26"/>
        <v>0</v>
      </c>
      <c r="P383" s="228">
        <v>0.16</v>
      </c>
      <c r="Q383" s="227">
        <f t="shared" si="27"/>
        <v>211.20000000000002</v>
      </c>
      <c r="R383" s="227">
        <f t="shared" si="28"/>
        <v>1531.2</v>
      </c>
      <c r="S383" s="229">
        <f>INDEX('Glosario Partidas'!$M$8:$M$10,MATCH(BD!K383,'Glosario Partidas'!$L$8:$L$10,0))</f>
        <v>17.5</v>
      </c>
      <c r="T383" s="227">
        <f t="shared" si="29"/>
        <v>26796</v>
      </c>
      <c r="U383" s="230" t="s">
        <v>315</v>
      </c>
      <c r="V383" s="231" t="s">
        <v>13</v>
      </c>
    </row>
    <row r="384" spans="2:22" ht="12" customHeight="1" x14ac:dyDescent="0.2">
      <c r="B384" s="63" t="s">
        <v>203</v>
      </c>
      <c r="C384" s="63" t="s">
        <v>92</v>
      </c>
      <c r="D384" s="78" t="s">
        <v>390</v>
      </c>
      <c r="E384" s="171" t="s">
        <v>220</v>
      </c>
      <c r="F384" s="78" t="s">
        <v>221</v>
      </c>
      <c r="G384" s="171" t="s">
        <v>487</v>
      </c>
      <c r="H384" s="224" t="s">
        <v>293</v>
      </c>
      <c r="I384" s="225" t="s">
        <v>207</v>
      </c>
      <c r="J384" s="224">
        <v>99.6</v>
      </c>
      <c r="K384" s="225" t="s">
        <v>269</v>
      </c>
      <c r="L384" s="226">
        <v>700</v>
      </c>
      <c r="M384" s="227">
        <f t="shared" si="25"/>
        <v>69720</v>
      </c>
      <c r="N384" s="228">
        <v>0</v>
      </c>
      <c r="O384" s="227">
        <f t="shared" si="26"/>
        <v>0</v>
      </c>
      <c r="P384" s="228">
        <v>0.16</v>
      </c>
      <c r="Q384" s="227">
        <f t="shared" si="27"/>
        <v>11155.2</v>
      </c>
      <c r="R384" s="227">
        <f t="shared" si="28"/>
        <v>80875.199999999997</v>
      </c>
      <c r="S384" s="229">
        <f>INDEX('Glosario Partidas'!$M$8:$M$10,MATCH(BD!K384,'Glosario Partidas'!$L$8:$L$10,0))</f>
        <v>1</v>
      </c>
      <c r="T384" s="227">
        <f t="shared" si="29"/>
        <v>80875.199999999997</v>
      </c>
      <c r="U384" s="230" t="s">
        <v>315</v>
      </c>
      <c r="V384" s="231" t="s">
        <v>13</v>
      </c>
    </row>
    <row r="385" spans="2:22" ht="12" customHeight="1" x14ac:dyDescent="0.2">
      <c r="B385" s="63" t="s">
        <v>203</v>
      </c>
      <c r="C385" s="63" t="s">
        <v>92</v>
      </c>
      <c r="D385" s="78" t="s">
        <v>390</v>
      </c>
      <c r="E385" s="171" t="s">
        <v>220</v>
      </c>
      <c r="F385" s="78" t="s">
        <v>354</v>
      </c>
      <c r="G385" s="171" t="s">
        <v>487</v>
      </c>
      <c r="H385" s="224" t="s">
        <v>293</v>
      </c>
      <c r="I385" s="225" t="s">
        <v>207</v>
      </c>
      <c r="J385" s="224">
        <v>99.6</v>
      </c>
      <c r="K385" s="225" t="s">
        <v>269</v>
      </c>
      <c r="L385" s="226">
        <v>700</v>
      </c>
      <c r="M385" s="227">
        <f t="shared" si="25"/>
        <v>69720</v>
      </c>
      <c r="N385" s="228">
        <v>0</v>
      </c>
      <c r="O385" s="227">
        <f t="shared" si="26"/>
        <v>0</v>
      </c>
      <c r="P385" s="228">
        <v>0.16</v>
      </c>
      <c r="Q385" s="227">
        <f t="shared" si="27"/>
        <v>11155.2</v>
      </c>
      <c r="R385" s="227">
        <f t="shared" si="28"/>
        <v>80875.199999999997</v>
      </c>
      <c r="S385" s="229">
        <f>INDEX('Glosario Partidas'!$M$8:$M$10,MATCH(BD!K385,'Glosario Partidas'!$L$8:$L$10,0))</f>
        <v>1</v>
      </c>
      <c r="T385" s="227">
        <f t="shared" si="29"/>
        <v>80875.199999999997</v>
      </c>
      <c r="U385" s="230" t="s">
        <v>315</v>
      </c>
      <c r="V385" s="231" t="s">
        <v>13</v>
      </c>
    </row>
    <row r="386" spans="2:22" ht="12" customHeight="1" x14ac:dyDescent="0.2">
      <c r="B386" s="63" t="s">
        <v>203</v>
      </c>
      <c r="C386" s="63" t="s">
        <v>92</v>
      </c>
      <c r="D386" s="78" t="s">
        <v>390</v>
      </c>
      <c r="E386" s="171" t="s">
        <v>220</v>
      </c>
      <c r="F386" s="78" t="s">
        <v>355</v>
      </c>
      <c r="G386" s="171" t="s">
        <v>487</v>
      </c>
      <c r="H386" s="224" t="s">
        <v>293</v>
      </c>
      <c r="I386" s="225" t="s">
        <v>207</v>
      </c>
      <c r="J386" s="224">
        <v>15</v>
      </c>
      <c r="K386" s="225" t="s">
        <v>269</v>
      </c>
      <c r="L386" s="226">
        <v>700</v>
      </c>
      <c r="M386" s="227">
        <f t="shared" si="25"/>
        <v>10500</v>
      </c>
      <c r="N386" s="228">
        <v>0</v>
      </c>
      <c r="O386" s="227">
        <f t="shared" si="26"/>
        <v>0</v>
      </c>
      <c r="P386" s="228">
        <v>0.16</v>
      </c>
      <c r="Q386" s="227">
        <f t="shared" si="27"/>
        <v>1680</v>
      </c>
      <c r="R386" s="227">
        <f t="shared" si="28"/>
        <v>12180</v>
      </c>
      <c r="S386" s="229">
        <f>INDEX('Glosario Partidas'!$M$8:$M$10,MATCH(BD!K386,'Glosario Partidas'!$L$8:$L$10,0))</f>
        <v>1</v>
      </c>
      <c r="T386" s="227">
        <f t="shared" si="29"/>
        <v>12180</v>
      </c>
      <c r="U386" s="230" t="s">
        <v>315</v>
      </c>
      <c r="V386" s="231" t="s">
        <v>13</v>
      </c>
    </row>
    <row r="387" spans="2:22" ht="12" customHeight="1" x14ac:dyDescent="0.2">
      <c r="B387" s="63" t="s">
        <v>190</v>
      </c>
      <c r="C387" s="63" t="s">
        <v>398</v>
      </c>
      <c r="D387" s="78" t="s">
        <v>399</v>
      </c>
      <c r="E387" s="171" t="s">
        <v>220</v>
      </c>
      <c r="F387" s="78" t="s">
        <v>221</v>
      </c>
      <c r="G387" s="171" t="s">
        <v>487</v>
      </c>
      <c r="H387" s="224" t="s">
        <v>395</v>
      </c>
      <c r="I387" s="225" t="s">
        <v>207</v>
      </c>
      <c r="J387" s="224">
        <v>1</v>
      </c>
      <c r="K387" s="225" t="s">
        <v>269</v>
      </c>
      <c r="L387" s="226">
        <v>63107</v>
      </c>
      <c r="M387" s="227">
        <f t="shared" si="25"/>
        <v>63107</v>
      </c>
      <c r="N387" s="228">
        <v>0</v>
      </c>
      <c r="O387" s="227">
        <f t="shared" si="26"/>
        <v>0</v>
      </c>
      <c r="P387" s="228">
        <v>0.16</v>
      </c>
      <c r="Q387" s="227">
        <f t="shared" si="27"/>
        <v>10097.120000000001</v>
      </c>
      <c r="R387" s="227">
        <f t="shared" si="28"/>
        <v>73204.12</v>
      </c>
      <c r="S387" s="229">
        <f>INDEX('Glosario Partidas'!$M$8:$M$10,MATCH(BD!K387,'Glosario Partidas'!$L$8:$L$10,0))</f>
        <v>1</v>
      </c>
      <c r="T387" s="227">
        <f t="shared" si="29"/>
        <v>73204.12</v>
      </c>
      <c r="U387" s="230" t="s">
        <v>315</v>
      </c>
      <c r="V387" s="231" t="s">
        <v>13</v>
      </c>
    </row>
    <row r="388" spans="2:22" ht="12" customHeight="1" x14ac:dyDescent="0.2">
      <c r="B388" s="63" t="s">
        <v>190</v>
      </c>
      <c r="C388" s="63" t="s">
        <v>398</v>
      </c>
      <c r="D388" s="78" t="s">
        <v>400</v>
      </c>
      <c r="E388" s="171" t="s">
        <v>220</v>
      </c>
      <c r="F388" s="78" t="s">
        <v>221</v>
      </c>
      <c r="G388" s="171" t="s">
        <v>487</v>
      </c>
      <c r="H388" s="224" t="s">
        <v>395</v>
      </c>
      <c r="I388" s="225" t="s">
        <v>207</v>
      </c>
      <c r="J388" s="224">
        <v>1</v>
      </c>
      <c r="K388" s="225" t="s">
        <v>269</v>
      </c>
      <c r="L388" s="226">
        <v>63107</v>
      </c>
      <c r="M388" s="227">
        <f t="shared" si="25"/>
        <v>63107</v>
      </c>
      <c r="N388" s="228">
        <v>0</v>
      </c>
      <c r="O388" s="227">
        <f t="shared" si="26"/>
        <v>0</v>
      </c>
      <c r="P388" s="228">
        <v>0.16</v>
      </c>
      <c r="Q388" s="227">
        <f t="shared" si="27"/>
        <v>10097.120000000001</v>
      </c>
      <c r="R388" s="227">
        <f t="shared" si="28"/>
        <v>73204.12</v>
      </c>
      <c r="S388" s="229">
        <f>INDEX('Glosario Partidas'!$M$8:$M$10,MATCH(BD!K388,'Glosario Partidas'!$L$8:$L$10,0))</f>
        <v>1</v>
      </c>
      <c r="T388" s="227">
        <f t="shared" si="29"/>
        <v>73204.12</v>
      </c>
      <c r="U388" s="230" t="s">
        <v>315</v>
      </c>
      <c r="V388" s="231" t="s">
        <v>13</v>
      </c>
    </row>
    <row r="389" spans="2:22" ht="12" customHeight="1" x14ac:dyDescent="0.2">
      <c r="B389" s="63" t="s">
        <v>190</v>
      </c>
      <c r="C389" s="63" t="s">
        <v>398</v>
      </c>
      <c r="D389" s="78" t="s">
        <v>401</v>
      </c>
      <c r="E389" s="171" t="s">
        <v>220</v>
      </c>
      <c r="F389" s="78" t="s">
        <v>221</v>
      </c>
      <c r="G389" s="171" t="s">
        <v>487</v>
      </c>
      <c r="H389" s="224" t="s">
        <v>395</v>
      </c>
      <c r="I389" s="225" t="s">
        <v>207</v>
      </c>
      <c r="J389" s="224">
        <v>1</v>
      </c>
      <c r="K389" s="225" t="s">
        <v>269</v>
      </c>
      <c r="L389" s="226">
        <v>63107</v>
      </c>
      <c r="M389" s="227">
        <f t="shared" ref="M389:M452" si="30">J389*L389</f>
        <v>63107</v>
      </c>
      <c r="N389" s="228">
        <v>0</v>
      </c>
      <c r="O389" s="227">
        <f t="shared" ref="O389:O452" si="31">M389*N389</f>
        <v>0</v>
      </c>
      <c r="P389" s="228">
        <v>0.16</v>
      </c>
      <c r="Q389" s="227">
        <f t="shared" ref="Q389:Q452" si="32">(M389+O389)*P389</f>
        <v>10097.120000000001</v>
      </c>
      <c r="R389" s="227">
        <f t="shared" ref="R389:R452" si="33">M389+O389+Q389</f>
        <v>73204.12</v>
      </c>
      <c r="S389" s="229">
        <f>INDEX('Glosario Partidas'!$M$8:$M$10,MATCH(BD!K389,'Glosario Partidas'!$L$8:$L$10,0))</f>
        <v>1</v>
      </c>
      <c r="T389" s="227">
        <f t="shared" ref="T389:T452" si="34">R389*S389</f>
        <v>73204.12</v>
      </c>
      <c r="U389" s="230" t="s">
        <v>315</v>
      </c>
      <c r="V389" s="231" t="s">
        <v>13</v>
      </c>
    </row>
    <row r="390" spans="2:22" ht="12" customHeight="1" x14ac:dyDescent="0.2">
      <c r="B390" s="63" t="s">
        <v>190</v>
      </c>
      <c r="C390" s="63" t="s">
        <v>398</v>
      </c>
      <c r="D390" s="78" t="s">
        <v>402</v>
      </c>
      <c r="E390" s="171" t="s">
        <v>220</v>
      </c>
      <c r="F390" s="78" t="s">
        <v>221</v>
      </c>
      <c r="G390" s="171" t="s">
        <v>487</v>
      </c>
      <c r="H390" s="224" t="s">
        <v>395</v>
      </c>
      <c r="I390" s="225" t="s">
        <v>207</v>
      </c>
      <c r="J390" s="224">
        <v>1</v>
      </c>
      <c r="K390" s="225" t="s">
        <v>269</v>
      </c>
      <c r="L390" s="226">
        <v>63107</v>
      </c>
      <c r="M390" s="227">
        <f t="shared" si="30"/>
        <v>63107</v>
      </c>
      <c r="N390" s="228">
        <v>0</v>
      </c>
      <c r="O390" s="227">
        <f t="shared" si="31"/>
        <v>0</v>
      </c>
      <c r="P390" s="228">
        <v>0.16</v>
      </c>
      <c r="Q390" s="227">
        <f t="shared" si="32"/>
        <v>10097.120000000001</v>
      </c>
      <c r="R390" s="227">
        <f t="shared" si="33"/>
        <v>73204.12</v>
      </c>
      <c r="S390" s="229">
        <f>INDEX('Glosario Partidas'!$M$8:$M$10,MATCH(BD!K390,'Glosario Partidas'!$L$8:$L$10,0))</f>
        <v>1</v>
      </c>
      <c r="T390" s="227">
        <f t="shared" si="34"/>
        <v>73204.12</v>
      </c>
      <c r="U390" s="230" t="s">
        <v>315</v>
      </c>
      <c r="V390" s="231" t="s">
        <v>13</v>
      </c>
    </row>
    <row r="391" spans="2:22" ht="12" customHeight="1" x14ac:dyDescent="0.2">
      <c r="B391" s="63" t="s">
        <v>190</v>
      </c>
      <c r="C391" s="63" t="s">
        <v>398</v>
      </c>
      <c r="D391" s="78" t="s">
        <v>399</v>
      </c>
      <c r="E391" s="171" t="s">
        <v>220</v>
      </c>
      <c r="F391" s="78" t="s">
        <v>354</v>
      </c>
      <c r="G391" s="171" t="s">
        <v>487</v>
      </c>
      <c r="H391" s="224" t="s">
        <v>395</v>
      </c>
      <c r="I391" s="225" t="s">
        <v>207</v>
      </c>
      <c r="J391" s="224">
        <v>1</v>
      </c>
      <c r="K391" s="225" t="s">
        <v>269</v>
      </c>
      <c r="L391" s="226">
        <v>63107</v>
      </c>
      <c r="M391" s="227">
        <f t="shared" si="30"/>
        <v>63107</v>
      </c>
      <c r="N391" s="228">
        <v>0</v>
      </c>
      <c r="O391" s="227">
        <f t="shared" si="31"/>
        <v>0</v>
      </c>
      <c r="P391" s="228">
        <v>0.16</v>
      </c>
      <c r="Q391" s="227">
        <f t="shared" si="32"/>
        <v>10097.120000000001</v>
      </c>
      <c r="R391" s="227">
        <f t="shared" si="33"/>
        <v>73204.12</v>
      </c>
      <c r="S391" s="229">
        <f>INDEX('Glosario Partidas'!$M$8:$M$10,MATCH(BD!K391,'Glosario Partidas'!$L$8:$L$10,0))</f>
        <v>1</v>
      </c>
      <c r="T391" s="227">
        <f t="shared" si="34"/>
        <v>73204.12</v>
      </c>
      <c r="U391" s="230" t="s">
        <v>315</v>
      </c>
      <c r="V391" s="231" t="s">
        <v>13</v>
      </c>
    </row>
    <row r="392" spans="2:22" ht="12" customHeight="1" x14ac:dyDescent="0.2">
      <c r="B392" s="63" t="s">
        <v>190</v>
      </c>
      <c r="C392" s="63" t="s">
        <v>398</v>
      </c>
      <c r="D392" s="78" t="s">
        <v>400</v>
      </c>
      <c r="E392" s="171" t="s">
        <v>220</v>
      </c>
      <c r="F392" s="78" t="s">
        <v>354</v>
      </c>
      <c r="G392" s="171" t="s">
        <v>487</v>
      </c>
      <c r="H392" s="224" t="s">
        <v>395</v>
      </c>
      <c r="I392" s="225" t="s">
        <v>207</v>
      </c>
      <c r="J392" s="224">
        <v>1</v>
      </c>
      <c r="K392" s="225" t="s">
        <v>269</v>
      </c>
      <c r="L392" s="226">
        <v>63107</v>
      </c>
      <c r="M392" s="227">
        <f t="shared" si="30"/>
        <v>63107</v>
      </c>
      <c r="N392" s="228">
        <v>0</v>
      </c>
      <c r="O392" s="227">
        <f t="shared" si="31"/>
        <v>0</v>
      </c>
      <c r="P392" s="228">
        <v>0.16</v>
      </c>
      <c r="Q392" s="227">
        <f t="shared" si="32"/>
        <v>10097.120000000001</v>
      </c>
      <c r="R392" s="227">
        <f t="shared" si="33"/>
        <v>73204.12</v>
      </c>
      <c r="S392" s="229">
        <f>INDEX('Glosario Partidas'!$M$8:$M$10,MATCH(BD!K392,'Glosario Partidas'!$L$8:$L$10,0))</f>
        <v>1</v>
      </c>
      <c r="T392" s="227">
        <f t="shared" si="34"/>
        <v>73204.12</v>
      </c>
      <c r="U392" s="230" t="s">
        <v>315</v>
      </c>
      <c r="V392" s="231" t="s">
        <v>13</v>
      </c>
    </row>
    <row r="393" spans="2:22" ht="12" customHeight="1" x14ac:dyDescent="0.2">
      <c r="B393" s="63" t="s">
        <v>190</v>
      </c>
      <c r="C393" s="63" t="s">
        <v>398</v>
      </c>
      <c r="D393" s="78" t="s">
        <v>401</v>
      </c>
      <c r="E393" s="171" t="s">
        <v>220</v>
      </c>
      <c r="F393" s="78" t="s">
        <v>354</v>
      </c>
      <c r="G393" s="171" t="s">
        <v>487</v>
      </c>
      <c r="H393" s="224" t="s">
        <v>395</v>
      </c>
      <c r="I393" s="225" t="s">
        <v>207</v>
      </c>
      <c r="J393" s="224">
        <v>1</v>
      </c>
      <c r="K393" s="225" t="s">
        <v>269</v>
      </c>
      <c r="L393" s="226">
        <v>63107</v>
      </c>
      <c r="M393" s="227">
        <f t="shared" si="30"/>
        <v>63107</v>
      </c>
      <c r="N393" s="228">
        <v>0</v>
      </c>
      <c r="O393" s="227">
        <f t="shared" si="31"/>
        <v>0</v>
      </c>
      <c r="P393" s="228">
        <v>0.16</v>
      </c>
      <c r="Q393" s="227">
        <f t="shared" si="32"/>
        <v>10097.120000000001</v>
      </c>
      <c r="R393" s="227">
        <f t="shared" si="33"/>
        <v>73204.12</v>
      </c>
      <c r="S393" s="229">
        <f>INDEX('Glosario Partidas'!$M$8:$M$10,MATCH(BD!K393,'Glosario Partidas'!$L$8:$L$10,0))</f>
        <v>1</v>
      </c>
      <c r="T393" s="227">
        <f t="shared" si="34"/>
        <v>73204.12</v>
      </c>
      <c r="U393" s="230" t="s">
        <v>315</v>
      </c>
      <c r="V393" s="231" t="s">
        <v>13</v>
      </c>
    </row>
    <row r="394" spans="2:22" ht="12" customHeight="1" x14ac:dyDescent="0.2">
      <c r="B394" s="63" t="s">
        <v>190</v>
      </c>
      <c r="C394" s="63" t="s">
        <v>398</v>
      </c>
      <c r="D394" s="78" t="s">
        <v>402</v>
      </c>
      <c r="E394" s="171" t="s">
        <v>220</v>
      </c>
      <c r="F394" s="78" t="s">
        <v>354</v>
      </c>
      <c r="G394" s="171" t="s">
        <v>487</v>
      </c>
      <c r="H394" s="224" t="s">
        <v>395</v>
      </c>
      <c r="I394" s="225" t="s">
        <v>207</v>
      </c>
      <c r="J394" s="224">
        <v>1</v>
      </c>
      <c r="K394" s="225" t="s">
        <v>269</v>
      </c>
      <c r="L394" s="226">
        <v>63107</v>
      </c>
      <c r="M394" s="227">
        <f t="shared" si="30"/>
        <v>63107</v>
      </c>
      <c r="N394" s="228">
        <v>0</v>
      </c>
      <c r="O394" s="227">
        <f t="shared" si="31"/>
        <v>0</v>
      </c>
      <c r="P394" s="228">
        <v>0.16</v>
      </c>
      <c r="Q394" s="227">
        <f t="shared" si="32"/>
        <v>10097.120000000001</v>
      </c>
      <c r="R394" s="227">
        <f t="shared" si="33"/>
        <v>73204.12</v>
      </c>
      <c r="S394" s="229">
        <f>INDEX('Glosario Partidas'!$M$8:$M$10,MATCH(BD!K394,'Glosario Partidas'!$L$8:$L$10,0))</f>
        <v>1</v>
      </c>
      <c r="T394" s="227">
        <f t="shared" si="34"/>
        <v>73204.12</v>
      </c>
      <c r="U394" s="230" t="s">
        <v>315</v>
      </c>
      <c r="V394" s="231" t="s">
        <v>13</v>
      </c>
    </row>
    <row r="395" spans="2:22" ht="12" customHeight="1" x14ac:dyDescent="0.2">
      <c r="B395" s="63" t="s">
        <v>190</v>
      </c>
      <c r="C395" s="63" t="s">
        <v>398</v>
      </c>
      <c r="D395" s="78" t="s">
        <v>403</v>
      </c>
      <c r="E395" s="171" t="s">
        <v>220</v>
      </c>
      <c r="F395" s="78" t="s">
        <v>355</v>
      </c>
      <c r="G395" s="171" t="s">
        <v>487</v>
      </c>
      <c r="H395" s="224" t="s">
        <v>395</v>
      </c>
      <c r="I395" s="225" t="s">
        <v>207</v>
      </c>
      <c r="J395" s="224">
        <v>1</v>
      </c>
      <c r="K395" s="225" t="s">
        <v>269</v>
      </c>
      <c r="L395" s="226">
        <v>68179</v>
      </c>
      <c r="M395" s="227">
        <f t="shared" si="30"/>
        <v>68179</v>
      </c>
      <c r="N395" s="228">
        <v>0</v>
      </c>
      <c r="O395" s="227">
        <f t="shared" si="31"/>
        <v>0</v>
      </c>
      <c r="P395" s="228">
        <v>0.16</v>
      </c>
      <c r="Q395" s="227">
        <f t="shared" si="32"/>
        <v>10908.64</v>
      </c>
      <c r="R395" s="227">
        <f t="shared" si="33"/>
        <v>79087.64</v>
      </c>
      <c r="S395" s="229">
        <f>INDEX('Glosario Partidas'!$M$8:$M$10,MATCH(BD!K395,'Glosario Partidas'!$L$8:$L$10,0))</f>
        <v>1</v>
      </c>
      <c r="T395" s="227">
        <f t="shared" si="34"/>
        <v>79087.64</v>
      </c>
      <c r="U395" s="230" t="s">
        <v>315</v>
      </c>
      <c r="V395" s="231" t="s">
        <v>13</v>
      </c>
    </row>
    <row r="396" spans="2:22" ht="12" customHeight="1" x14ac:dyDescent="0.2">
      <c r="B396" s="63" t="s">
        <v>193</v>
      </c>
      <c r="C396" s="63" t="s">
        <v>102</v>
      </c>
      <c r="D396" s="78" t="s">
        <v>313</v>
      </c>
      <c r="E396" s="171" t="s">
        <v>220</v>
      </c>
      <c r="F396" s="78" t="s">
        <v>221</v>
      </c>
      <c r="G396" s="171" t="s">
        <v>487</v>
      </c>
      <c r="H396" s="224" t="s">
        <v>404</v>
      </c>
      <c r="I396" s="225" t="s">
        <v>314</v>
      </c>
      <c r="J396" s="224">
        <v>1</v>
      </c>
      <c r="K396" s="225" t="s">
        <v>396</v>
      </c>
      <c r="L396" s="226">
        <f>24000+(24000*0.3)+(24000*0.15)</f>
        <v>34800</v>
      </c>
      <c r="M396" s="227">
        <f t="shared" si="30"/>
        <v>34800</v>
      </c>
      <c r="N396" s="228">
        <v>0</v>
      </c>
      <c r="O396" s="227">
        <f t="shared" si="31"/>
        <v>0</v>
      </c>
      <c r="P396" s="228">
        <v>0.16</v>
      </c>
      <c r="Q396" s="227">
        <f t="shared" si="32"/>
        <v>5568</v>
      </c>
      <c r="R396" s="227">
        <f t="shared" si="33"/>
        <v>40368</v>
      </c>
      <c r="S396" s="229">
        <f>INDEX('Glosario Partidas'!$M$8:$M$10,MATCH(BD!K396,'Glosario Partidas'!$L$8:$L$10,0))</f>
        <v>22</v>
      </c>
      <c r="T396" s="227">
        <f t="shared" si="34"/>
        <v>888096</v>
      </c>
      <c r="U396" s="230" t="s">
        <v>405</v>
      </c>
      <c r="V396" s="231" t="s">
        <v>12</v>
      </c>
    </row>
    <row r="397" spans="2:22" ht="12" customHeight="1" x14ac:dyDescent="0.2">
      <c r="B397" s="63" t="s">
        <v>193</v>
      </c>
      <c r="C397" s="63" t="s">
        <v>102</v>
      </c>
      <c r="D397" s="78" t="s">
        <v>313</v>
      </c>
      <c r="E397" s="171" t="s">
        <v>220</v>
      </c>
      <c r="F397" s="78" t="s">
        <v>354</v>
      </c>
      <c r="G397" s="171" t="s">
        <v>487</v>
      </c>
      <c r="H397" s="224" t="s">
        <v>404</v>
      </c>
      <c r="I397" s="225" t="s">
        <v>314</v>
      </c>
      <c r="J397" s="224">
        <v>1</v>
      </c>
      <c r="K397" s="225" t="s">
        <v>396</v>
      </c>
      <c r="L397" s="226">
        <f>24000+(24000*0.3)+(24000*0.15)</f>
        <v>34800</v>
      </c>
      <c r="M397" s="227">
        <f t="shared" si="30"/>
        <v>34800</v>
      </c>
      <c r="N397" s="228">
        <v>0</v>
      </c>
      <c r="O397" s="227">
        <f t="shared" si="31"/>
        <v>0</v>
      </c>
      <c r="P397" s="228">
        <v>0.16</v>
      </c>
      <c r="Q397" s="227">
        <f t="shared" si="32"/>
        <v>5568</v>
      </c>
      <c r="R397" s="227">
        <f t="shared" si="33"/>
        <v>40368</v>
      </c>
      <c r="S397" s="229">
        <f>INDEX('Glosario Partidas'!$M$8:$M$10,MATCH(BD!K397,'Glosario Partidas'!$L$8:$L$10,0))</f>
        <v>22</v>
      </c>
      <c r="T397" s="227">
        <f t="shared" si="34"/>
        <v>888096</v>
      </c>
      <c r="U397" s="230" t="s">
        <v>405</v>
      </c>
      <c r="V397" s="231" t="s">
        <v>12</v>
      </c>
    </row>
    <row r="398" spans="2:22" ht="12" customHeight="1" x14ac:dyDescent="0.2">
      <c r="B398" s="63" t="s">
        <v>193</v>
      </c>
      <c r="C398" s="63" t="s">
        <v>102</v>
      </c>
      <c r="D398" s="78" t="s">
        <v>313</v>
      </c>
      <c r="E398" s="171" t="s">
        <v>220</v>
      </c>
      <c r="F398" s="78" t="s">
        <v>355</v>
      </c>
      <c r="G398" s="171" t="s">
        <v>487</v>
      </c>
      <c r="H398" s="224" t="s">
        <v>404</v>
      </c>
      <c r="I398" s="225" t="s">
        <v>314</v>
      </c>
      <c r="J398" s="224">
        <v>0</v>
      </c>
      <c r="K398" s="225" t="s">
        <v>396</v>
      </c>
      <c r="L398" s="226">
        <f>35000+(35000*0.3)+(35000*0.05)</f>
        <v>47250</v>
      </c>
      <c r="M398" s="227">
        <f t="shared" si="30"/>
        <v>0</v>
      </c>
      <c r="N398" s="228">
        <v>0</v>
      </c>
      <c r="O398" s="227">
        <f t="shared" si="31"/>
        <v>0</v>
      </c>
      <c r="P398" s="228">
        <v>0.16</v>
      </c>
      <c r="Q398" s="227">
        <f t="shared" si="32"/>
        <v>0</v>
      </c>
      <c r="R398" s="227">
        <f t="shared" si="33"/>
        <v>0</v>
      </c>
      <c r="S398" s="229">
        <f>INDEX('Glosario Partidas'!$M$8:$M$10,MATCH(BD!K398,'Glosario Partidas'!$L$8:$L$10,0))</f>
        <v>22</v>
      </c>
      <c r="T398" s="227">
        <f t="shared" si="34"/>
        <v>0</v>
      </c>
      <c r="U398" s="230" t="s">
        <v>405</v>
      </c>
      <c r="V398" s="231" t="s">
        <v>12</v>
      </c>
    </row>
    <row r="399" spans="2:22" ht="12" customHeight="1" x14ac:dyDescent="0.2">
      <c r="B399" s="63" t="s">
        <v>193</v>
      </c>
      <c r="C399" s="63" t="s">
        <v>406</v>
      </c>
      <c r="D399" s="78" t="s">
        <v>313</v>
      </c>
      <c r="E399" s="171" t="s">
        <v>220</v>
      </c>
      <c r="F399" s="78" t="s">
        <v>221</v>
      </c>
      <c r="G399" s="171" t="s">
        <v>487</v>
      </c>
      <c r="H399" s="224" t="s">
        <v>404</v>
      </c>
      <c r="I399" s="225" t="s">
        <v>314</v>
      </c>
      <c r="J399" s="224">
        <v>1</v>
      </c>
      <c r="K399" s="225" t="s">
        <v>396</v>
      </c>
      <c r="L399" s="226">
        <f>20000+(20000*0.3)+(20000*0.15)</f>
        <v>29000</v>
      </c>
      <c r="M399" s="227">
        <f t="shared" si="30"/>
        <v>29000</v>
      </c>
      <c r="N399" s="228">
        <v>0</v>
      </c>
      <c r="O399" s="227">
        <f t="shared" si="31"/>
        <v>0</v>
      </c>
      <c r="P399" s="228">
        <v>0.16</v>
      </c>
      <c r="Q399" s="227">
        <f t="shared" si="32"/>
        <v>4640</v>
      </c>
      <c r="R399" s="227">
        <f t="shared" si="33"/>
        <v>33640</v>
      </c>
      <c r="S399" s="229">
        <f>INDEX('Glosario Partidas'!$M$8:$M$10,MATCH(BD!K399,'Glosario Partidas'!$L$8:$L$10,0))</f>
        <v>22</v>
      </c>
      <c r="T399" s="227">
        <f t="shared" si="34"/>
        <v>740080</v>
      </c>
      <c r="U399" s="230" t="s">
        <v>405</v>
      </c>
      <c r="V399" s="231" t="s">
        <v>12</v>
      </c>
    </row>
    <row r="400" spans="2:22" ht="12" customHeight="1" x14ac:dyDescent="0.2">
      <c r="B400" s="63" t="s">
        <v>193</v>
      </c>
      <c r="C400" s="63" t="s">
        <v>406</v>
      </c>
      <c r="D400" s="78" t="s">
        <v>313</v>
      </c>
      <c r="E400" s="171" t="s">
        <v>220</v>
      </c>
      <c r="F400" s="78" t="s">
        <v>354</v>
      </c>
      <c r="G400" s="171" t="s">
        <v>487</v>
      </c>
      <c r="H400" s="224" t="s">
        <v>404</v>
      </c>
      <c r="I400" s="225" t="s">
        <v>314</v>
      </c>
      <c r="J400" s="224">
        <v>0</v>
      </c>
      <c r="K400" s="225" t="s">
        <v>396</v>
      </c>
      <c r="L400" s="226">
        <f>30360+(30360*0.3)+(30360*0.05)</f>
        <v>40986</v>
      </c>
      <c r="M400" s="227">
        <f t="shared" si="30"/>
        <v>0</v>
      </c>
      <c r="N400" s="228">
        <v>0</v>
      </c>
      <c r="O400" s="227">
        <f t="shared" si="31"/>
        <v>0</v>
      </c>
      <c r="P400" s="228">
        <v>0.16</v>
      </c>
      <c r="Q400" s="227">
        <f t="shared" si="32"/>
        <v>0</v>
      </c>
      <c r="R400" s="227">
        <f t="shared" si="33"/>
        <v>0</v>
      </c>
      <c r="S400" s="229">
        <f>INDEX('Glosario Partidas'!$M$8:$M$10,MATCH(BD!K400,'Glosario Partidas'!$L$8:$L$10,0))</f>
        <v>22</v>
      </c>
      <c r="T400" s="227">
        <f t="shared" si="34"/>
        <v>0</v>
      </c>
      <c r="U400" s="230" t="s">
        <v>405</v>
      </c>
      <c r="V400" s="231" t="s">
        <v>12</v>
      </c>
    </row>
    <row r="401" spans="2:22" ht="12" customHeight="1" x14ac:dyDescent="0.2">
      <c r="B401" s="63" t="s">
        <v>193</v>
      </c>
      <c r="C401" s="63" t="s">
        <v>406</v>
      </c>
      <c r="D401" s="78" t="s">
        <v>313</v>
      </c>
      <c r="E401" s="171" t="s">
        <v>220</v>
      </c>
      <c r="F401" s="78" t="s">
        <v>355</v>
      </c>
      <c r="G401" s="171" t="s">
        <v>487</v>
      </c>
      <c r="H401" s="224" t="s">
        <v>404</v>
      </c>
      <c r="I401" s="225" t="s">
        <v>314</v>
      </c>
      <c r="J401" s="224">
        <v>1</v>
      </c>
      <c r="K401" s="225" t="s">
        <v>396</v>
      </c>
      <c r="L401" s="226">
        <f>33500+(33500*0.3)+(33500*0.15)</f>
        <v>48575</v>
      </c>
      <c r="M401" s="227">
        <f t="shared" si="30"/>
        <v>48575</v>
      </c>
      <c r="N401" s="228">
        <v>0</v>
      </c>
      <c r="O401" s="227">
        <f t="shared" si="31"/>
        <v>0</v>
      </c>
      <c r="P401" s="228">
        <v>0.16</v>
      </c>
      <c r="Q401" s="227">
        <f t="shared" si="32"/>
        <v>7772</v>
      </c>
      <c r="R401" s="227">
        <f t="shared" si="33"/>
        <v>56347</v>
      </c>
      <c r="S401" s="229">
        <f>INDEX('Glosario Partidas'!$M$8:$M$10,MATCH(BD!K401,'Glosario Partidas'!$L$8:$L$10,0))</f>
        <v>22</v>
      </c>
      <c r="T401" s="227">
        <f t="shared" si="34"/>
        <v>1239634</v>
      </c>
      <c r="U401" s="230" t="s">
        <v>405</v>
      </c>
      <c r="V401" s="231" t="s">
        <v>12</v>
      </c>
    </row>
    <row r="402" spans="2:22" ht="12" customHeight="1" x14ac:dyDescent="0.2">
      <c r="B402" s="63" t="s">
        <v>193</v>
      </c>
      <c r="C402" s="63" t="s">
        <v>407</v>
      </c>
      <c r="D402" s="78" t="s">
        <v>408</v>
      </c>
      <c r="E402" s="171" t="s">
        <v>220</v>
      </c>
      <c r="F402" s="78" t="s">
        <v>221</v>
      </c>
      <c r="G402" s="171" t="s">
        <v>487</v>
      </c>
      <c r="H402" s="224" t="s">
        <v>409</v>
      </c>
      <c r="I402" s="225" t="s">
        <v>410</v>
      </c>
      <c r="J402" s="224">
        <v>1</v>
      </c>
      <c r="K402" s="225" t="s">
        <v>153</v>
      </c>
      <c r="L402" s="226">
        <v>14921</v>
      </c>
      <c r="M402" s="227">
        <f t="shared" si="30"/>
        <v>14921</v>
      </c>
      <c r="N402" s="228">
        <v>0</v>
      </c>
      <c r="O402" s="227">
        <f t="shared" si="31"/>
        <v>0</v>
      </c>
      <c r="P402" s="228">
        <v>0.16</v>
      </c>
      <c r="Q402" s="227">
        <f t="shared" si="32"/>
        <v>2387.36</v>
      </c>
      <c r="R402" s="227">
        <f t="shared" si="33"/>
        <v>17308.36</v>
      </c>
      <c r="S402" s="229">
        <f>INDEX('Glosario Partidas'!$M$8:$M$10,MATCH(BD!K402,'Glosario Partidas'!$L$8:$L$10,0))</f>
        <v>17.5</v>
      </c>
      <c r="T402" s="227">
        <f t="shared" si="34"/>
        <v>302896.3</v>
      </c>
      <c r="U402" s="230" t="s">
        <v>315</v>
      </c>
      <c r="V402" s="231" t="s">
        <v>12</v>
      </c>
    </row>
    <row r="403" spans="2:22" ht="12" customHeight="1" x14ac:dyDescent="0.2">
      <c r="B403" s="63" t="s">
        <v>193</v>
      </c>
      <c r="C403" s="63" t="s">
        <v>407</v>
      </c>
      <c r="D403" s="78" t="s">
        <v>411</v>
      </c>
      <c r="E403" s="171" t="s">
        <v>220</v>
      </c>
      <c r="F403" s="78" t="s">
        <v>221</v>
      </c>
      <c r="G403" s="171" t="s">
        <v>487</v>
      </c>
      <c r="H403" s="224" t="s">
        <v>409</v>
      </c>
      <c r="I403" s="225" t="s">
        <v>410</v>
      </c>
      <c r="J403" s="224">
        <v>3</v>
      </c>
      <c r="K403" s="225" t="s">
        <v>153</v>
      </c>
      <c r="L403" s="226">
        <v>254</v>
      </c>
      <c r="M403" s="227">
        <f t="shared" si="30"/>
        <v>762</v>
      </c>
      <c r="N403" s="228">
        <v>0</v>
      </c>
      <c r="O403" s="227">
        <f t="shared" si="31"/>
        <v>0</v>
      </c>
      <c r="P403" s="228">
        <v>0.16</v>
      </c>
      <c r="Q403" s="227">
        <f t="shared" si="32"/>
        <v>121.92</v>
      </c>
      <c r="R403" s="227">
        <f t="shared" si="33"/>
        <v>883.92</v>
      </c>
      <c r="S403" s="229">
        <f>INDEX('Glosario Partidas'!$M$8:$M$10,MATCH(BD!K403,'Glosario Partidas'!$L$8:$L$10,0))</f>
        <v>17.5</v>
      </c>
      <c r="T403" s="227">
        <f t="shared" si="34"/>
        <v>15468.599999999999</v>
      </c>
      <c r="U403" s="230" t="s">
        <v>315</v>
      </c>
      <c r="V403" s="231" t="s">
        <v>12</v>
      </c>
    </row>
    <row r="404" spans="2:22" ht="12" customHeight="1" x14ac:dyDescent="0.2">
      <c r="B404" s="63" t="s">
        <v>193</v>
      </c>
      <c r="C404" s="63" t="s">
        <v>407</v>
      </c>
      <c r="D404" s="78" t="s">
        <v>412</v>
      </c>
      <c r="E404" s="171" t="s">
        <v>220</v>
      </c>
      <c r="F404" s="78" t="s">
        <v>221</v>
      </c>
      <c r="G404" s="171" t="s">
        <v>487</v>
      </c>
      <c r="H404" s="224" t="s">
        <v>409</v>
      </c>
      <c r="I404" s="225" t="s">
        <v>410</v>
      </c>
      <c r="J404" s="224">
        <v>1</v>
      </c>
      <c r="K404" s="225" t="s">
        <v>153</v>
      </c>
      <c r="L404" s="226">
        <v>5843</v>
      </c>
      <c r="M404" s="227">
        <f t="shared" si="30"/>
        <v>5843</v>
      </c>
      <c r="N404" s="228">
        <v>0</v>
      </c>
      <c r="O404" s="227">
        <f t="shared" si="31"/>
        <v>0</v>
      </c>
      <c r="P404" s="228">
        <v>0.16</v>
      </c>
      <c r="Q404" s="227">
        <f t="shared" si="32"/>
        <v>934.88</v>
      </c>
      <c r="R404" s="227">
        <f t="shared" si="33"/>
        <v>6777.88</v>
      </c>
      <c r="S404" s="229">
        <f>INDEX('Glosario Partidas'!$M$8:$M$10,MATCH(BD!K404,'Glosario Partidas'!$L$8:$L$10,0))</f>
        <v>17.5</v>
      </c>
      <c r="T404" s="227">
        <f t="shared" si="34"/>
        <v>118612.90000000001</v>
      </c>
      <c r="U404" s="230" t="s">
        <v>315</v>
      </c>
      <c r="V404" s="231" t="s">
        <v>12</v>
      </c>
    </row>
    <row r="405" spans="2:22" ht="12" customHeight="1" x14ac:dyDescent="0.2">
      <c r="B405" s="63" t="s">
        <v>193</v>
      </c>
      <c r="C405" s="63" t="s">
        <v>407</v>
      </c>
      <c r="D405" s="78" t="s">
        <v>413</v>
      </c>
      <c r="E405" s="171" t="s">
        <v>220</v>
      </c>
      <c r="F405" s="78" t="s">
        <v>221</v>
      </c>
      <c r="G405" s="171" t="s">
        <v>487</v>
      </c>
      <c r="H405" s="224" t="s">
        <v>409</v>
      </c>
      <c r="I405" s="225" t="s">
        <v>410</v>
      </c>
      <c r="J405" s="224">
        <v>1</v>
      </c>
      <c r="K405" s="225" t="s">
        <v>153</v>
      </c>
      <c r="L405" s="226">
        <v>242</v>
      </c>
      <c r="M405" s="227">
        <f t="shared" si="30"/>
        <v>242</v>
      </c>
      <c r="N405" s="228">
        <v>0</v>
      </c>
      <c r="O405" s="227">
        <f t="shared" si="31"/>
        <v>0</v>
      </c>
      <c r="P405" s="228">
        <v>0.16</v>
      </c>
      <c r="Q405" s="227">
        <f t="shared" si="32"/>
        <v>38.72</v>
      </c>
      <c r="R405" s="227">
        <f t="shared" si="33"/>
        <v>280.72000000000003</v>
      </c>
      <c r="S405" s="229">
        <f>INDEX('Glosario Partidas'!$M$8:$M$10,MATCH(BD!K405,'Glosario Partidas'!$L$8:$L$10,0))</f>
        <v>17.5</v>
      </c>
      <c r="T405" s="227">
        <f t="shared" si="34"/>
        <v>4912.6000000000004</v>
      </c>
      <c r="U405" s="230" t="s">
        <v>315</v>
      </c>
      <c r="V405" s="231" t="s">
        <v>12</v>
      </c>
    </row>
    <row r="406" spans="2:22" ht="12" customHeight="1" x14ac:dyDescent="0.2">
      <c r="B406" s="63" t="s">
        <v>193</v>
      </c>
      <c r="C406" s="63" t="s">
        <v>407</v>
      </c>
      <c r="D406" s="78" t="s">
        <v>414</v>
      </c>
      <c r="E406" s="171" t="s">
        <v>220</v>
      </c>
      <c r="F406" s="78" t="s">
        <v>221</v>
      </c>
      <c r="G406" s="171" t="s">
        <v>487</v>
      </c>
      <c r="H406" s="224" t="s">
        <v>409</v>
      </c>
      <c r="I406" s="225" t="s">
        <v>410</v>
      </c>
      <c r="J406" s="224">
        <v>1</v>
      </c>
      <c r="K406" s="225" t="s">
        <v>153</v>
      </c>
      <c r="L406" s="226">
        <v>5420</v>
      </c>
      <c r="M406" s="227">
        <f t="shared" si="30"/>
        <v>5420</v>
      </c>
      <c r="N406" s="228">
        <v>0</v>
      </c>
      <c r="O406" s="227">
        <f t="shared" si="31"/>
        <v>0</v>
      </c>
      <c r="P406" s="228">
        <v>0.16</v>
      </c>
      <c r="Q406" s="227">
        <f t="shared" si="32"/>
        <v>867.2</v>
      </c>
      <c r="R406" s="227">
        <f t="shared" si="33"/>
        <v>6287.2</v>
      </c>
      <c r="S406" s="229">
        <f>INDEX('Glosario Partidas'!$M$8:$M$10,MATCH(BD!K406,'Glosario Partidas'!$L$8:$L$10,0))</f>
        <v>17.5</v>
      </c>
      <c r="T406" s="227">
        <f t="shared" si="34"/>
        <v>110026</v>
      </c>
      <c r="U406" s="230" t="s">
        <v>315</v>
      </c>
      <c r="V406" s="231" t="s">
        <v>12</v>
      </c>
    </row>
    <row r="407" spans="2:22" ht="12" customHeight="1" x14ac:dyDescent="0.2">
      <c r="B407" s="63" t="s">
        <v>193</v>
      </c>
      <c r="C407" s="63" t="s">
        <v>407</v>
      </c>
      <c r="D407" s="78" t="s">
        <v>415</v>
      </c>
      <c r="E407" s="171" t="s">
        <v>220</v>
      </c>
      <c r="F407" s="78" t="s">
        <v>221</v>
      </c>
      <c r="G407" s="171" t="s">
        <v>487</v>
      </c>
      <c r="H407" s="224" t="s">
        <v>409</v>
      </c>
      <c r="I407" s="225" t="s">
        <v>410</v>
      </c>
      <c r="J407" s="224">
        <v>1</v>
      </c>
      <c r="K407" s="225" t="s">
        <v>153</v>
      </c>
      <c r="L407" s="226">
        <v>10265</v>
      </c>
      <c r="M407" s="227">
        <f t="shared" si="30"/>
        <v>10265</v>
      </c>
      <c r="N407" s="228">
        <v>0</v>
      </c>
      <c r="O407" s="227">
        <f t="shared" si="31"/>
        <v>0</v>
      </c>
      <c r="P407" s="228">
        <v>0.16</v>
      </c>
      <c r="Q407" s="227">
        <f t="shared" si="32"/>
        <v>1642.4</v>
      </c>
      <c r="R407" s="227">
        <f t="shared" si="33"/>
        <v>11907.4</v>
      </c>
      <c r="S407" s="229">
        <f>INDEX('Glosario Partidas'!$M$8:$M$10,MATCH(BD!K407,'Glosario Partidas'!$L$8:$L$10,0))</f>
        <v>17.5</v>
      </c>
      <c r="T407" s="227">
        <f t="shared" si="34"/>
        <v>208379.5</v>
      </c>
      <c r="U407" s="230" t="s">
        <v>315</v>
      </c>
      <c r="V407" s="231" t="s">
        <v>12</v>
      </c>
    </row>
    <row r="408" spans="2:22" ht="12" customHeight="1" x14ac:dyDescent="0.2">
      <c r="B408" s="63" t="s">
        <v>193</v>
      </c>
      <c r="C408" s="63" t="s">
        <v>407</v>
      </c>
      <c r="D408" s="78" t="s">
        <v>416</v>
      </c>
      <c r="E408" s="171" t="s">
        <v>220</v>
      </c>
      <c r="F408" s="78" t="s">
        <v>221</v>
      </c>
      <c r="G408" s="171" t="s">
        <v>487</v>
      </c>
      <c r="H408" s="224" t="s">
        <v>409</v>
      </c>
      <c r="I408" s="225" t="s">
        <v>410</v>
      </c>
      <c r="J408" s="224">
        <v>1</v>
      </c>
      <c r="K408" s="225" t="s">
        <v>153</v>
      </c>
      <c r="L408" s="226">
        <v>5085</v>
      </c>
      <c r="M408" s="227">
        <f t="shared" si="30"/>
        <v>5085</v>
      </c>
      <c r="N408" s="228">
        <v>0</v>
      </c>
      <c r="O408" s="227">
        <f t="shared" si="31"/>
        <v>0</v>
      </c>
      <c r="P408" s="228">
        <v>0.16</v>
      </c>
      <c r="Q408" s="227">
        <f t="shared" si="32"/>
        <v>813.6</v>
      </c>
      <c r="R408" s="227">
        <f t="shared" si="33"/>
        <v>5898.6</v>
      </c>
      <c r="S408" s="229">
        <f>INDEX('Glosario Partidas'!$M$8:$M$10,MATCH(BD!K408,'Glosario Partidas'!$L$8:$L$10,0))</f>
        <v>17.5</v>
      </c>
      <c r="T408" s="227">
        <f t="shared" si="34"/>
        <v>103225.5</v>
      </c>
      <c r="U408" s="230" t="s">
        <v>315</v>
      </c>
      <c r="V408" s="231" t="s">
        <v>12</v>
      </c>
    </row>
    <row r="409" spans="2:22" ht="12" customHeight="1" x14ac:dyDescent="0.2">
      <c r="B409" s="63" t="s">
        <v>193</v>
      </c>
      <c r="C409" s="63" t="s">
        <v>407</v>
      </c>
      <c r="D409" s="78" t="s">
        <v>417</v>
      </c>
      <c r="E409" s="171" t="s">
        <v>220</v>
      </c>
      <c r="F409" s="78" t="s">
        <v>221</v>
      </c>
      <c r="G409" s="171" t="s">
        <v>487</v>
      </c>
      <c r="H409" s="224" t="s">
        <v>409</v>
      </c>
      <c r="I409" s="225" t="s">
        <v>410</v>
      </c>
      <c r="J409" s="224">
        <v>1</v>
      </c>
      <c r="K409" s="225" t="s">
        <v>153</v>
      </c>
      <c r="L409" s="226">
        <v>623</v>
      </c>
      <c r="M409" s="227">
        <f t="shared" si="30"/>
        <v>623</v>
      </c>
      <c r="N409" s="228">
        <v>0</v>
      </c>
      <c r="O409" s="227">
        <f t="shared" si="31"/>
        <v>0</v>
      </c>
      <c r="P409" s="228">
        <v>0.16</v>
      </c>
      <c r="Q409" s="227">
        <f t="shared" si="32"/>
        <v>99.68</v>
      </c>
      <c r="R409" s="227">
        <f t="shared" si="33"/>
        <v>722.68000000000006</v>
      </c>
      <c r="S409" s="229">
        <f>INDEX('Glosario Partidas'!$M$8:$M$10,MATCH(BD!K409,'Glosario Partidas'!$L$8:$L$10,0))</f>
        <v>17.5</v>
      </c>
      <c r="T409" s="227">
        <f t="shared" si="34"/>
        <v>12646.900000000001</v>
      </c>
      <c r="U409" s="230" t="s">
        <v>315</v>
      </c>
      <c r="V409" s="231" t="s">
        <v>12</v>
      </c>
    </row>
    <row r="410" spans="2:22" ht="12" customHeight="1" x14ac:dyDescent="0.2">
      <c r="B410" s="63" t="s">
        <v>193</v>
      </c>
      <c r="C410" s="63" t="s">
        <v>407</v>
      </c>
      <c r="D410" s="78" t="s">
        <v>418</v>
      </c>
      <c r="E410" s="171" t="s">
        <v>220</v>
      </c>
      <c r="F410" s="78" t="s">
        <v>221</v>
      </c>
      <c r="G410" s="171" t="s">
        <v>487</v>
      </c>
      <c r="H410" s="224" t="s">
        <v>409</v>
      </c>
      <c r="I410" s="225" t="s">
        <v>410</v>
      </c>
      <c r="J410" s="224">
        <v>1</v>
      </c>
      <c r="K410" s="225" t="s">
        <v>153</v>
      </c>
      <c r="L410" s="226">
        <v>580</v>
      </c>
      <c r="M410" s="227">
        <f t="shared" si="30"/>
        <v>580</v>
      </c>
      <c r="N410" s="228">
        <v>0</v>
      </c>
      <c r="O410" s="227">
        <f t="shared" si="31"/>
        <v>0</v>
      </c>
      <c r="P410" s="228">
        <v>0.16</v>
      </c>
      <c r="Q410" s="227">
        <f t="shared" si="32"/>
        <v>92.8</v>
      </c>
      <c r="R410" s="227">
        <f t="shared" si="33"/>
        <v>672.8</v>
      </c>
      <c r="S410" s="229">
        <f>INDEX('Glosario Partidas'!$M$8:$M$10,MATCH(BD!K410,'Glosario Partidas'!$L$8:$L$10,0))</f>
        <v>17.5</v>
      </c>
      <c r="T410" s="227">
        <f t="shared" si="34"/>
        <v>11774</v>
      </c>
      <c r="U410" s="230" t="s">
        <v>315</v>
      </c>
      <c r="V410" s="231" t="s">
        <v>12</v>
      </c>
    </row>
    <row r="411" spans="2:22" ht="12" customHeight="1" x14ac:dyDescent="0.2">
      <c r="B411" s="63" t="s">
        <v>193</v>
      </c>
      <c r="C411" s="63" t="s">
        <v>407</v>
      </c>
      <c r="D411" s="78" t="s">
        <v>419</v>
      </c>
      <c r="E411" s="171" t="s">
        <v>220</v>
      </c>
      <c r="F411" s="78" t="s">
        <v>221</v>
      </c>
      <c r="G411" s="171" t="s">
        <v>487</v>
      </c>
      <c r="H411" s="224" t="s">
        <v>409</v>
      </c>
      <c r="I411" s="225" t="s">
        <v>410</v>
      </c>
      <c r="J411" s="224">
        <v>1</v>
      </c>
      <c r="K411" s="225" t="s">
        <v>153</v>
      </c>
      <c r="L411" s="226">
        <v>3800</v>
      </c>
      <c r="M411" s="227">
        <f t="shared" si="30"/>
        <v>3800</v>
      </c>
      <c r="N411" s="228">
        <v>0</v>
      </c>
      <c r="O411" s="227">
        <f t="shared" si="31"/>
        <v>0</v>
      </c>
      <c r="P411" s="228">
        <v>0.16</v>
      </c>
      <c r="Q411" s="227">
        <f t="shared" si="32"/>
        <v>608</v>
      </c>
      <c r="R411" s="227">
        <f t="shared" si="33"/>
        <v>4408</v>
      </c>
      <c r="S411" s="229">
        <f>INDEX('Glosario Partidas'!$M$8:$M$10,MATCH(BD!K411,'Glosario Partidas'!$L$8:$L$10,0))</f>
        <v>17.5</v>
      </c>
      <c r="T411" s="227">
        <f t="shared" si="34"/>
        <v>77140</v>
      </c>
      <c r="U411" s="230" t="s">
        <v>315</v>
      </c>
      <c r="V411" s="231" t="s">
        <v>12</v>
      </c>
    </row>
    <row r="412" spans="2:22" ht="12" customHeight="1" x14ac:dyDescent="0.2">
      <c r="B412" s="63" t="s">
        <v>193</v>
      </c>
      <c r="C412" s="63" t="s">
        <v>407</v>
      </c>
      <c r="D412" s="78" t="s">
        <v>420</v>
      </c>
      <c r="E412" s="171" t="s">
        <v>220</v>
      </c>
      <c r="F412" s="78" t="s">
        <v>221</v>
      </c>
      <c r="G412" s="171" t="s">
        <v>487</v>
      </c>
      <c r="H412" s="224" t="s">
        <v>409</v>
      </c>
      <c r="I412" s="225" t="s">
        <v>410</v>
      </c>
      <c r="J412" s="224">
        <v>1</v>
      </c>
      <c r="K412" s="225" t="s">
        <v>153</v>
      </c>
      <c r="L412" s="226">
        <v>1389</v>
      </c>
      <c r="M412" s="227">
        <f t="shared" si="30"/>
        <v>1389</v>
      </c>
      <c r="N412" s="228">
        <v>0</v>
      </c>
      <c r="O412" s="227">
        <f t="shared" si="31"/>
        <v>0</v>
      </c>
      <c r="P412" s="228">
        <v>0.16</v>
      </c>
      <c r="Q412" s="227">
        <f t="shared" si="32"/>
        <v>222.24</v>
      </c>
      <c r="R412" s="227">
        <f t="shared" si="33"/>
        <v>1611.24</v>
      </c>
      <c r="S412" s="229">
        <f>INDEX('Glosario Partidas'!$M$8:$M$10,MATCH(BD!K412,'Glosario Partidas'!$L$8:$L$10,0))</f>
        <v>17.5</v>
      </c>
      <c r="T412" s="227">
        <f t="shared" si="34"/>
        <v>28196.7</v>
      </c>
      <c r="U412" s="230" t="s">
        <v>315</v>
      </c>
      <c r="V412" s="231" t="s">
        <v>12</v>
      </c>
    </row>
    <row r="413" spans="2:22" ht="12" customHeight="1" x14ac:dyDescent="0.2">
      <c r="B413" s="63" t="s">
        <v>193</v>
      </c>
      <c r="C413" s="63" t="s">
        <v>407</v>
      </c>
      <c r="D413" s="78" t="s">
        <v>421</v>
      </c>
      <c r="E413" s="171" t="s">
        <v>220</v>
      </c>
      <c r="F413" s="78" t="s">
        <v>221</v>
      </c>
      <c r="G413" s="171" t="s">
        <v>487</v>
      </c>
      <c r="H413" s="224" t="s">
        <v>409</v>
      </c>
      <c r="I413" s="225" t="s">
        <v>410</v>
      </c>
      <c r="J413" s="224">
        <v>3</v>
      </c>
      <c r="K413" s="225" t="s">
        <v>153</v>
      </c>
      <c r="L413" s="226">
        <v>128</v>
      </c>
      <c r="M413" s="227">
        <f t="shared" si="30"/>
        <v>384</v>
      </c>
      <c r="N413" s="228">
        <v>0</v>
      </c>
      <c r="O413" s="227">
        <f t="shared" si="31"/>
        <v>0</v>
      </c>
      <c r="P413" s="228">
        <v>0.16</v>
      </c>
      <c r="Q413" s="227">
        <f t="shared" si="32"/>
        <v>61.44</v>
      </c>
      <c r="R413" s="227">
        <f t="shared" si="33"/>
        <v>445.44</v>
      </c>
      <c r="S413" s="229">
        <f>INDEX('Glosario Partidas'!$M$8:$M$10,MATCH(BD!K413,'Glosario Partidas'!$L$8:$L$10,0))</f>
        <v>17.5</v>
      </c>
      <c r="T413" s="227">
        <f t="shared" si="34"/>
        <v>7795.2</v>
      </c>
      <c r="U413" s="230" t="s">
        <v>315</v>
      </c>
      <c r="V413" s="231" t="s">
        <v>12</v>
      </c>
    </row>
    <row r="414" spans="2:22" ht="12" customHeight="1" x14ac:dyDescent="0.2">
      <c r="B414" s="63" t="s">
        <v>193</v>
      </c>
      <c r="C414" s="63" t="s">
        <v>407</v>
      </c>
      <c r="D414" s="78" t="s">
        <v>422</v>
      </c>
      <c r="E414" s="171" t="s">
        <v>220</v>
      </c>
      <c r="F414" s="78" t="s">
        <v>221</v>
      </c>
      <c r="G414" s="171" t="s">
        <v>487</v>
      </c>
      <c r="H414" s="224" t="s">
        <v>409</v>
      </c>
      <c r="I414" s="225" t="s">
        <v>410</v>
      </c>
      <c r="J414" s="224">
        <v>1</v>
      </c>
      <c r="K414" s="225" t="s">
        <v>153</v>
      </c>
      <c r="L414" s="226">
        <v>749</v>
      </c>
      <c r="M414" s="227">
        <f t="shared" si="30"/>
        <v>749</v>
      </c>
      <c r="N414" s="228">
        <v>0</v>
      </c>
      <c r="O414" s="227">
        <f t="shared" si="31"/>
        <v>0</v>
      </c>
      <c r="P414" s="228">
        <v>0.16</v>
      </c>
      <c r="Q414" s="227">
        <f t="shared" si="32"/>
        <v>119.84</v>
      </c>
      <c r="R414" s="227">
        <f t="shared" si="33"/>
        <v>868.84</v>
      </c>
      <c r="S414" s="229">
        <f>INDEX('Glosario Partidas'!$M$8:$M$10,MATCH(BD!K414,'Glosario Partidas'!$L$8:$L$10,0))</f>
        <v>17.5</v>
      </c>
      <c r="T414" s="227">
        <f t="shared" si="34"/>
        <v>15204.7</v>
      </c>
      <c r="U414" s="230" t="s">
        <v>315</v>
      </c>
      <c r="V414" s="231" t="s">
        <v>12</v>
      </c>
    </row>
    <row r="415" spans="2:22" ht="12" customHeight="1" x14ac:dyDescent="0.2">
      <c r="B415" s="63" t="s">
        <v>193</v>
      </c>
      <c r="C415" s="63" t="s">
        <v>407</v>
      </c>
      <c r="D415" s="78" t="s">
        <v>423</v>
      </c>
      <c r="E415" s="171" t="s">
        <v>220</v>
      </c>
      <c r="F415" s="78" t="s">
        <v>221</v>
      </c>
      <c r="G415" s="171" t="s">
        <v>487</v>
      </c>
      <c r="H415" s="224" t="s">
        <v>409</v>
      </c>
      <c r="I415" s="225" t="s">
        <v>410</v>
      </c>
      <c r="J415" s="224">
        <v>1</v>
      </c>
      <c r="K415" s="225" t="s">
        <v>153</v>
      </c>
      <c r="L415" s="226">
        <v>7691</v>
      </c>
      <c r="M415" s="227">
        <f t="shared" si="30"/>
        <v>7691</v>
      </c>
      <c r="N415" s="228">
        <v>0</v>
      </c>
      <c r="O415" s="227">
        <f t="shared" si="31"/>
        <v>0</v>
      </c>
      <c r="P415" s="228">
        <v>0.16</v>
      </c>
      <c r="Q415" s="227">
        <f t="shared" si="32"/>
        <v>1230.56</v>
      </c>
      <c r="R415" s="227">
        <f t="shared" si="33"/>
        <v>8921.56</v>
      </c>
      <c r="S415" s="229">
        <f>INDEX('Glosario Partidas'!$M$8:$M$10,MATCH(BD!K415,'Glosario Partidas'!$L$8:$L$10,0))</f>
        <v>17.5</v>
      </c>
      <c r="T415" s="227">
        <f t="shared" si="34"/>
        <v>156127.29999999999</v>
      </c>
      <c r="U415" s="230" t="s">
        <v>315</v>
      </c>
      <c r="V415" s="231" t="s">
        <v>12</v>
      </c>
    </row>
    <row r="416" spans="2:22" ht="12" customHeight="1" x14ac:dyDescent="0.2">
      <c r="B416" s="63" t="s">
        <v>193</v>
      </c>
      <c r="C416" s="63" t="s">
        <v>407</v>
      </c>
      <c r="D416" s="78" t="s">
        <v>424</v>
      </c>
      <c r="E416" s="171" t="s">
        <v>220</v>
      </c>
      <c r="F416" s="78" t="s">
        <v>221</v>
      </c>
      <c r="G416" s="171" t="s">
        <v>487</v>
      </c>
      <c r="H416" s="224" t="s">
        <v>409</v>
      </c>
      <c r="I416" s="225" t="s">
        <v>410</v>
      </c>
      <c r="J416" s="224">
        <v>1</v>
      </c>
      <c r="K416" s="225" t="s">
        <v>153</v>
      </c>
      <c r="L416" s="226">
        <v>6402</v>
      </c>
      <c r="M416" s="227">
        <f t="shared" si="30"/>
        <v>6402</v>
      </c>
      <c r="N416" s="228">
        <v>0</v>
      </c>
      <c r="O416" s="227">
        <f t="shared" si="31"/>
        <v>0</v>
      </c>
      <c r="P416" s="228">
        <v>0.16</v>
      </c>
      <c r="Q416" s="227">
        <f t="shared" si="32"/>
        <v>1024.32</v>
      </c>
      <c r="R416" s="227">
        <f t="shared" si="33"/>
        <v>7426.32</v>
      </c>
      <c r="S416" s="229">
        <f>INDEX('Glosario Partidas'!$M$8:$M$10,MATCH(BD!K416,'Glosario Partidas'!$L$8:$L$10,0))</f>
        <v>17.5</v>
      </c>
      <c r="T416" s="227">
        <f t="shared" si="34"/>
        <v>129960.59999999999</v>
      </c>
      <c r="U416" s="230" t="s">
        <v>315</v>
      </c>
      <c r="V416" s="231" t="s">
        <v>12</v>
      </c>
    </row>
    <row r="417" spans="2:22" ht="12" customHeight="1" x14ac:dyDescent="0.2">
      <c r="B417" s="63" t="s">
        <v>193</v>
      </c>
      <c r="C417" s="63" t="s">
        <v>407</v>
      </c>
      <c r="D417" s="78" t="s">
        <v>425</v>
      </c>
      <c r="E417" s="171" t="s">
        <v>220</v>
      </c>
      <c r="F417" s="78" t="s">
        <v>221</v>
      </c>
      <c r="G417" s="171" t="s">
        <v>487</v>
      </c>
      <c r="H417" s="224" t="s">
        <v>409</v>
      </c>
      <c r="I417" s="225" t="s">
        <v>410</v>
      </c>
      <c r="J417" s="224">
        <v>1</v>
      </c>
      <c r="K417" s="225" t="s">
        <v>153</v>
      </c>
      <c r="L417" s="226">
        <v>3505</v>
      </c>
      <c r="M417" s="227">
        <f t="shared" si="30"/>
        <v>3505</v>
      </c>
      <c r="N417" s="228">
        <v>0</v>
      </c>
      <c r="O417" s="227">
        <f t="shared" si="31"/>
        <v>0</v>
      </c>
      <c r="P417" s="228">
        <v>0.16</v>
      </c>
      <c r="Q417" s="227">
        <f t="shared" si="32"/>
        <v>560.80000000000007</v>
      </c>
      <c r="R417" s="227">
        <f t="shared" si="33"/>
        <v>4065.8</v>
      </c>
      <c r="S417" s="229">
        <f>INDEX('Glosario Partidas'!$M$8:$M$10,MATCH(BD!K417,'Glosario Partidas'!$L$8:$L$10,0))</f>
        <v>17.5</v>
      </c>
      <c r="T417" s="227">
        <f t="shared" si="34"/>
        <v>71151.5</v>
      </c>
      <c r="U417" s="230" t="s">
        <v>315</v>
      </c>
      <c r="V417" s="231" t="s">
        <v>12</v>
      </c>
    </row>
    <row r="418" spans="2:22" ht="12" customHeight="1" x14ac:dyDescent="0.2">
      <c r="B418" s="63" t="s">
        <v>193</v>
      </c>
      <c r="C418" s="63" t="s">
        <v>407</v>
      </c>
      <c r="D418" s="78" t="s">
        <v>426</v>
      </c>
      <c r="E418" s="171" t="s">
        <v>220</v>
      </c>
      <c r="F418" s="78" t="s">
        <v>221</v>
      </c>
      <c r="G418" s="171" t="s">
        <v>487</v>
      </c>
      <c r="H418" s="224" t="s">
        <v>409</v>
      </c>
      <c r="I418" s="225" t="s">
        <v>410</v>
      </c>
      <c r="J418" s="224">
        <v>1</v>
      </c>
      <c r="K418" s="225" t="s">
        <v>153</v>
      </c>
      <c r="L418" s="226">
        <v>12428</v>
      </c>
      <c r="M418" s="227">
        <f t="shared" si="30"/>
        <v>12428</v>
      </c>
      <c r="N418" s="228">
        <v>0</v>
      </c>
      <c r="O418" s="227">
        <f t="shared" si="31"/>
        <v>0</v>
      </c>
      <c r="P418" s="228">
        <v>0.16</v>
      </c>
      <c r="Q418" s="227">
        <f t="shared" si="32"/>
        <v>1988.48</v>
      </c>
      <c r="R418" s="227">
        <f t="shared" si="33"/>
        <v>14416.48</v>
      </c>
      <c r="S418" s="229">
        <f>INDEX('Glosario Partidas'!$M$8:$M$10,MATCH(BD!K418,'Glosario Partidas'!$L$8:$L$10,0))</f>
        <v>17.5</v>
      </c>
      <c r="T418" s="227">
        <f t="shared" si="34"/>
        <v>252288.4</v>
      </c>
      <c r="U418" s="230" t="s">
        <v>315</v>
      </c>
      <c r="V418" s="231" t="s">
        <v>12</v>
      </c>
    </row>
    <row r="419" spans="2:22" ht="12" customHeight="1" x14ac:dyDescent="0.2">
      <c r="B419" s="63" t="s">
        <v>193</v>
      </c>
      <c r="C419" s="63" t="s">
        <v>407</v>
      </c>
      <c r="D419" s="78" t="s">
        <v>427</v>
      </c>
      <c r="E419" s="171" t="s">
        <v>220</v>
      </c>
      <c r="F419" s="78" t="s">
        <v>221</v>
      </c>
      <c r="G419" s="171" t="s">
        <v>487</v>
      </c>
      <c r="H419" s="224" t="s">
        <v>409</v>
      </c>
      <c r="I419" s="225" t="s">
        <v>410</v>
      </c>
      <c r="J419" s="224">
        <v>1</v>
      </c>
      <c r="K419" s="225" t="s">
        <v>153</v>
      </c>
      <c r="L419" s="226">
        <v>2300</v>
      </c>
      <c r="M419" s="227">
        <f t="shared" si="30"/>
        <v>2300</v>
      </c>
      <c r="N419" s="228">
        <v>0</v>
      </c>
      <c r="O419" s="227">
        <f t="shared" si="31"/>
        <v>0</v>
      </c>
      <c r="P419" s="228">
        <v>0.16</v>
      </c>
      <c r="Q419" s="227">
        <f t="shared" si="32"/>
        <v>368</v>
      </c>
      <c r="R419" s="227">
        <f t="shared" si="33"/>
        <v>2668</v>
      </c>
      <c r="S419" s="229">
        <f>INDEX('Glosario Partidas'!$M$8:$M$10,MATCH(BD!K419,'Glosario Partidas'!$L$8:$L$10,0))</f>
        <v>17.5</v>
      </c>
      <c r="T419" s="227">
        <f t="shared" si="34"/>
        <v>46690</v>
      </c>
      <c r="U419" s="230" t="s">
        <v>315</v>
      </c>
      <c r="V419" s="231" t="s">
        <v>12</v>
      </c>
    </row>
    <row r="420" spans="2:22" ht="12" customHeight="1" x14ac:dyDescent="0.2">
      <c r="B420" s="63" t="s">
        <v>193</v>
      </c>
      <c r="C420" s="63" t="s">
        <v>407</v>
      </c>
      <c r="D420" s="78" t="s">
        <v>428</v>
      </c>
      <c r="E420" s="171" t="s">
        <v>220</v>
      </c>
      <c r="F420" s="78" t="s">
        <v>221</v>
      </c>
      <c r="G420" s="171" t="s">
        <v>487</v>
      </c>
      <c r="H420" s="224" t="s">
        <v>409</v>
      </c>
      <c r="I420" s="225" t="s">
        <v>410</v>
      </c>
      <c r="J420" s="224">
        <v>1</v>
      </c>
      <c r="K420" s="225" t="s">
        <v>153</v>
      </c>
      <c r="L420" s="226">
        <v>1350</v>
      </c>
      <c r="M420" s="227">
        <f t="shared" si="30"/>
        <v>1350</v>
      </c>
      <c r="N420" s="228">
        <v>0</v>
      </c>
      <c r="O420" s="227">
        <f t="shared" si="31"/>
        <v>0</v>
      </c>
      <c r="P420" s="228">
        <v>0.16</v>
      </c>
      <c r="Q420" s="227">
        <f t="shared" si="32"/>
        <v>216</v>
      </c>
      <c r="R420" s="227">
        <f t="shared" si="33"/>
        <v>1566</v>
      </c>
      <c r="S420" s="229">
        <f>INDEX('Glosario Partidas'!$M$8:$M$10,MATCH(BD!K420,'Glosario Partidas'!$L$8:$L$10,0))</f>
        <v>17.5</v>
      </c>
      <c r="T420" s="227">
        <f t="shared" si="34"/>
        <v>27405</v>
      </c>
      <c r="U420" s="230" t="s">
        <v>315</v>
      </c>
      <c r="V420" s="231" t="s">
        <v>12</v>
      </c>
    </row>
    <row r="421" spans="2:22" ht="12" customHeight="1" x14ac:dyDescent="0.2">
      <c r="B421" s="63" t="s">
        <v>193</v>
      </c>
      <c r="C421" s="63" t="s">
        <v>407</v>
      </c>
      <c r="D421" s="78" t="s">
        <v>408</v>
      </c>
      <c r="E421" s="171" t="s">
        <v>220</v>
      </c>
      <c r="F421" s="78" t="s">
        <v>367</v>
      </c>
      <c r="G421" s="171" t="s">
        <v>487</v>
      </c>
      <c r="H421" s="224" t="s">
        <v>409</v>
      </c>
      <c r="I421" s="225" t="s">
        <v>410</v>
      </c>
      <c r="J421" s="224">
        <v>1</v>
      </c>
      <c r="K421" s="225" t="s">
        <v>153</v>
      </c>
      <c r="L421" s="226">
        <v>14921</v>
      </c>
      <c r="M421" s="227">
        <f t="shared" si="30"/>
        <v>14921</v>
      </c>
      <c r="N421" s="228">
        <v>0</v>
      </c>
      <c r="O421" s="227">
        <f t="shared" si="31"/>
        <v>0</v>
      </c>
      <c r="P421" s="228">
        <v>0.16</v>
      </c>
      <c r="Q421" s="227">
        <f t="shared" si="32"/>
        <v>2387.36</v>
      </c>
      <c r="R421" s="227">
        <f t="shared" si="33"/>
        <v>17308.36</v>
      </c>
      <c r="S421" s="229">
        <f>INDEX('Glosario Partidas'!$M$8:$M$10,MATCH(BD!K421,'Glosario Partidas'!$L$8:$L$10,0))</f>
        <v>17.5</v>
      </c>
      <c r="T421" s="227">
        <f t="shared" si="34"/>
        <v>302896.3</v>
      </c>
      <c r="U421" s="230" t="s">
        <v>315</v>
      </c>
      <c r="V421" s="231" t="s">
        <v>12</v>
      </c>
    </row>
    <row r="422" spans="2:22" ht="12" customHeight="1" x14ac:dyDescent="0.2">
      <c r="B422" s="63" t="s">
        <v>193</v>
      </c>
      <c r="C422" s="63" t="s">
        <v>407</v>
      </c>
      <c r="D422" s="78" t="s">
        <v>411</v>
      </c>
      <c r="E422" s="171" t="s">
        <v>220</v>
      </c>
      <c r="F422" s="78" t="s">
        <v>367</v>
      </c>
      <c r="G422" s="171" t="s">
        <v>487</v>
      </c>
      <c r="H422" s="224" t="s">
        <v>409</v>
      </c>
      <c r="I422" s="225" t="s">
        <v>410</v>
      </c>
      <c r="J422" s="224">
        <v>3</v>
      </c>
      <c r="K422" s="225" t="s">
        <v>153</v>
      </c>
      <c r="L422" s="226">
        <v>254</v>
      </c>
      <c r="M422" s="227">
        <f t="shared" si="30"/>
        <v>762</v>
      </c>
      <c r="N422" s="228">
        <v>0</v>
      </c>
      <c r="O422" s="227">
        <f t="shared" si="31"/>
        <v>0</v>
      </c>
      <c r="P422" s="228">
        <v>0.16</v>
      </c>
      <c r="Q422" s="227">
        <f t="shared" si="32"/>
        <v>121.92</v>
      </c>
      <c r="R422" s="227">
        <f t="shared" si="33"/>
        <v>883.92</v>
      </c>
      <c r="S422" s="229">
        <f>INDEX('Glosario Partidas'!$M$8:$M$10,MATCH(BD!K422,'Glosario Partidas'!$L$8:$L$10,0))</f>
        <v>17.5</v>
      </c>
      <c r="T422" s="227">
        <f t="shared" si="34"/>
        <v>15468.599999999999</v>
      </c>
      <c r="U422" s="230" t="s">
        <v>315</v>
      </c>
      <c r="V422" s="231" t="s">
        <v>12</v>
      </c>
    </row>
    <row r="423" spans="2:22" ht="12" customHeight="1" x14ac:dyDescent="0.2">
      <c r="B423" s="63" t="s">
        <v>193</v>
      </c>
      <c r="C423" s="63" t="s">
        <v>407</v>
      </c>
      <c r="D423" s="78" t="s">
        <v>412</v>
      </c>
      <c r="E423" s="171" t="s">
        <v>220</v>
      </c>
      <c r="F423" s="78" t="s">
        <v>367</v>
      </c>
      <c r="G423" s="171" t="s">
        <v>487</v>
      </c>
      <c r="H423" s="224" t="s">
        <v>409</v>
      </c>
      <c r="I423" s="225" t="s">
        <v>410</v>
      </c>
      <c r="J423" s="224">
        <v>1</v>
      </c>
      <c r="K423" s="225" t="s">
        <v>153</v>
      </c>
      <c r="L423" s="226">
        <v>5843</v>
      </c>
      <c r="M423" s="227">
        <f t="shared" si="30"/>
        <v>5843</v>
      </c>
      <c r="N423" s="228">
        <v>0</v>
      </c>
      <c r="O423" s="227">
        <f t="shared" si="31"/>
        <v>0</v>
      </c>
      <c r="P423" s="228">
        <v>0.16</v>
      </c>
      <c r="Q423" s="227">
        <f t="shared" si="32"/>
        <v>934.88</v>
      </c>
      <c r="R423" s="227">
        <f t="shared" si="33"/>
        <v>6777.88</v>
      </c>
      <c r="S423" s="229">
        <f>INDEX('Glosario Partidas'!$M$8:$M$10,MATCH(BD!K423,'Glosario Partidas'!$L$8:$L$10,0))</f>
        <v>17.5</v>
      </c>
      <c r="T423" s="227">
        <f t="shared" si="34"/>
        <v>118612.90000000001</v>
      </c>
      <c r="U423" s="230" t="s">
        <v>315</v>
      </c>
      <c r="V423" s="231" t="s">
        <v>12</v>
      </c>
    </row>
    <row r="424" spans="2:22" ht="12" customHeight="1" x14ac:dyDescent="0.2">
      <c r="B424" s="63" t="s">
        <v>193</v>
      </c>
      <c r="C424" s="63" t="s">
        <v>407</v>
      </c>
      <c r="D424" s="78" t="s">
        <v>413</v>
      </c>
      <c r="E424" s="171" t="s">
        <v>220</v>
      </c>
      <c r="F424" s="78" t="s">
        <v>367</v>
      </c>
      <c r="G424" s="171" t="s">
        <v>487</v>
      </c>
      <c r="H424" s="224" t="s">
        <v>409</v>
      </c>
      <c r="I424" s="225" t="s">
        <v>410</v>
      </c>
      <c r="J424" s="224">
        <v>1</v>
      </c>
      <c r="K424" s="225" t="s">
        <v>153</v>
      </c>
      <c r="L424" s="226">
        <v>242</v>
      </c>
      <c r="M424" s="227">
        <f t="shared" si="30"/>
        <v>242</v>
      </c>
      <c r="N424" s="228">
        <v>0</v>
      </c>
      <c r="O424" s="227">
        <f t="shared" si="31"/>
        <v>0</v>
      </c>
      <c r="P424" s="228">
        <v>0.16</v>
      </c>
      <c r="Q424" s="227">
        <f t="shared" si="32"/>
        <v>38.72</v>
      </c>
      <c r="R424" s="227">
        <f t="shared" si="33"/>
        <v>280.72000000000003</v>
      </c>
      <c r="S424" s="229">
        <f>INDEX('Glosario Partidas'!$M$8:$M$10,MATCH(BD!K424,'Glosario Partidas'!$L$8:$L$10,0))</f>
        <v>17.5</v>
      </c>
      <c r="T424" s="227">
        <f t="shared" si="34"/>
        <v>4912.6000000000004</v>
      </c>
      <c r="U424" s="230" t="s">
        <v>315</v>
      </c>
      <c r="V424" s="231" t="s">
        <v>12</v>
      </c>
    </row>
    <row r="425" spans="2:22" ht="12" customHeight="1" x14ac:dyDescent="0.2">
      <c r="B425" s="63" t="s">
        <v>193</v>
      </c>
      <c r="C425" s="63" t="s">
        <v>407</v>
      </c>
      <c r="D425" s="78" t="s">
        <v>414</v>
      </c>
      <c r="E425" s="171" t="s">
        <v>220</v>
      </c>
      <c r="F425" s="78" t="s">
        <v>367</v>
      </c>
      <c r="G425" s="171" t="s">
        <v>487</v>
      </c>
      <c r="H425" s="224" t="s">
        <v>409</v>
      </c>
      <c r="I425" s="225" t="s">
        <v>410</v>
      </c>
      <c r="J425" s="224">
        <v>1</v>
      </c>
      <c r="K425" s="225" t="s">
        <v>153</v>
      </c>
      <c r="L425" s="226">
        <v>5420</v>
      </c>
      <c r="M425" s="227">
        <f t="shared" si="30"/>
        <v>5420</v>
      </c>
      <c r="N425" s="228">
        <v>0</v>
      </c>
      <c r="O425" s="227">
        <f t="shared" si="31"/>
        <v>0</v>
      </c>
      <c r="P425" s="228">
        <v>0.16</v>
      </c>
      <c r="Q425" s="227">
        <f t="shared" si="32"/>
        <v>867.2</v>
      </c>
      <c r="R425" s="227">
        <f t="shared" si="33"/>
        <v>6287.2</v>
      </c>
      <c r="S425" s="229">
        <f>INDEX('Glosario Partidas'!$M$8:$M$10,MATCH(BD!K425,'Glosario Partidas'!$L$8:$L$10,0))</f>
        <v>17.5</v>
      </c>
      <c r="T425" s="227">
        <f t="shared" si="34"/>
        <v>110026</v>
      </c>
      <c r="U425" s="230" t="s">
        <v>315</v>
      </c>
      <c r="V425" s="231" t="s">
        <v>12</v>
      </c>
    </row>
    <row r="426" spans="2:22" ht="12" customHeight="1" x14ac:dyDescent="0.2">
      <c r="B426" s="63" t="s">
        <v>193</v>
      </c>
      <c r="C426" s="63" t="s">
        <v>407</v>
      </c>
      <c r="D426" s="78" t="s">
        <v>415</v>
      </c>
      <c r="E426" s="171" t="s">
        <v>220</v>
      </c>
      <c r="F426" s="78" t="s">
        <v>367</v>
      </c>
      <c r="G426" s="171" t="s">
        <v>487</v>
      </c>
      <c r="H426" s="224" t="s">
        <v>409</v>
      </c>
      <c r="I426" s="225" t="s">
        <v>410</v>
      </c>
      <c r="J426" s="224">
        <v>1</v>
      </c>
      <c r="K426" s="225" t="s">
        <v>153</v>
      </c>
      <c r="L426" s="226">
        <v>10265</v>
      </c>
      <c r="M426" s="227">
        <f t="shared" si="30"/>
        <v>10265</v>
      </c>
      <c r="N426" s="228">
        <v>0</v>
      </c>
      <c r="O426" s="227">
        <f t="shared" si="31"/>
        <v>0</v>
      </c>
      <c r="P426" s="228">
        <v>0.16</v>
      </c>
      <c r="Q426" s="227">
        <f t="shared" si="32"/>
        <v>1642.4</v>
      </c>
      <c r="R426" s="227">
        <f t="shared" si="33"/>
        <v>11907.4</v>
      </c>
      <c r="S426" s="229">
        <f>INDEX('Glosario Partidas'!$M$8:$M$10,MATCH(BD!K426,'Glosario Partidas'!$L$8:$L$10,0))</f>
        <v>17.5</v>
      </c>
      <c r="T426" s="227">
        <f t="shared" si="34"/>
        <v>208379.5</v>
      </c>
      <c r="U426" s="230" t="s">
        <v>315</v>
      </c>
      <c r="V426" s="231" t="s">
        <v>12</v>
      </c>
    </row>
    <row r="427" spans="2:22" ht="12" customHeight="1" x14ac:dyDescent="0.2">
      <c r="B427" s="63" t="s">
        <v>193</v>
      </c>
      <c r="C427" s="63" t="s">
        <v>407</v>
      </c>
      <c r="D427" s="78" t="s">
        <v>416</v>
      </c>
      <c r="E427" s="171" t="s">
        <v>220</v>
      </c>
      <c r="F427" s="78" t="s">
        <v>367</v>
      </c>
      <c r="G427" s="171" t="s">
        <v>487</v>
      </c>
      <c r="H427" s="224" t="s">
        <v>409</v>
      </c>
      <c r="I427" s="225" t="s">
        <v>410</v>
      </c>
      <c r="J427" s="224">
        <v>1</v>
      </c>
      <c r="K427" s="225" t="s">
        <v>153</v>
      </c>
      <c r="L427" s="226">
        <v>5085</v>
      </c>
      <c r="M427" s="227">
        <f t="shared" si="30"/>
        <v>5085</v>
      </c>
      <c r="N427" s="228">
        <v>0</v>
      </c>
      <c r="O427" s="227">
        <f t="shared" si="31"/>
        <v>0</v>
      </c>
      <c r="P427" s="228">
        <v>0.16</v>
      </c>
      <c r="Q427" s="227">
        <f t="shared" si="32"/>
        <v>813.6</v>
      </c>
      <c r="R427" s="227">
        <f t="shared" si="33"/>
        <v>5898.6</v>
      </c>
      <c r="S427" s="229">
        <f>INDEX('Glosario Partidas'!$M$8:$M$10,MATCH(BD!K427,'Glosario Partidas'!$L$8:$L$10,0))</f>
        <v>17.5</v>
      </c>
      <c r="T427" s="227">
        <f t="shared" si="34"/>
        <v>103225.5</v>
      </c>
      <c r="U427" s="230" t="s">
        <v>315</v>
      </c>
      <c r="V427" s="231" t="s">
        <v>12</v>
      </c>
    </row>
    <row r="428" spans="2:22" ht="12" customHeight="1" x14ac:dyDescent="0.2">
      <c r="B428" s="63" t="s">
        <v>193</v>
      </c>
      <c r="C428" s="63" t="s">
        <v>407</v>
      </c>
      <c r="D428" s="78" t="s">
        <v>417</v>
      </c>
      <c r="E428" s="171" t="s">
        <v>220</v>
      </c>
      <c r="F428" s="78" t="s">
        <v>367</v>
      </c>
      <c r="G428" s="171" t="s">
        <v>487</v>
      </c>
      <c r="H428" s="224" t="s">
        <v>409</v>
      </c>
      <c r="I428" s="225" t="s">
        <v>410</v>
      </c>
      <c r="J428" s="224">
        <v>1</v>
      </c>
      <c r="K428" s="225" t="s">
        <v>153</v>
      </c>
      <c r="L428" s="226">
        <v>623</v>
      </c>
      <c r="M428" s="227">
        <f t="shared" si="30"/>
        <v>623</v>
      </c>
      <c r="N428" s="228">
        <v>0</v>
      </c>
      <c r="O428" s="227">
        <f t="shared" si="31"/>
        <v>0</v>
      </c>
      <c r="P428" s="228">
        <v>0.16</v>
      </c>
      <c r="Q428" s="227">
        <f t="shared" si="32"/>
        <v>99.68</v>
      </c>
      <c r="R428" s="227">
        <f t="shared" si="33"/>
        <v>722.68000000000006</v>
      </c>
      <c r="S428" s="229">
        <f>INDEX('Glosario Partidas'!$M$8:$M$10,MATCH(BD!K428,'Glosario Partidas'!$L$8:$L$10,0))</f>
        <v>17.5</v>
      </c>
      <c r="T428" s="227">
        <f t="shared" si="34"/>
        <v>12646.900000000001</v>
      </c>
      <c r="U428" s="230" t="s">
        <v>315</v>
      </c>
      <c r="V428" s="231" t="s">
        <v>12</v>
      </c>
    </row>
    <row r="429" spans="2:22" ht="12" customHeight="1" x14ac:dyDescent="0.2">
      <c r="B429" s="63" t="s">
        <v>193</v>
      </c>
      <c r="C429" s="63" t="s">
        <v>407</v>
      </c>
      <c r="D429" s="78" t="s">
        <v>418</v>
      </c>
      <c r="E429" s="171" t="s">
        <v>220</v>
      </c>
      <c r="F429" s="78" t="s">
        <v>367</v>
      </c>
      <c r="G429" s="171" t="s">
        <v>487</v>
      </c>
      <c r="H429" s="224" t="s">
        <v>409</v>
      </c>
      <c r="I429" s="225" t="s">
        <v>410</v>
      </c>
      <c r="J429" s="224">
        <v>1</v>
      </c>
      <c r="K429" s="225" t="s">
        <v>153</v>
      </c>
      <c r="L429" s="226">
        <v>580</v>
      </c>
      <c r="M429" s="227">
        <f t="shared" si="30"/>
        <v>580</v>
      </c>
      <c r="N429" s="228">
        <v>0</v>
      </c>
      <c r="O429" s="227">
        <f t="shared" si="31"/>
        <v>0</v>
      </c>
      <c r="P429" s="228">
        <v>0.16</v>
      </c>
      <c r="Q429" s="227">
        <f t="shared" si="32"/>
        <v>92.8</v>
      </c>
      <c r="R429" s="227">
        <f t="shared" si="33"/>
        <v>672.8</v>
      </c>
      <c r="S429" s="229">
        <f>INDEX('Glosario Partidas'!$M$8:$M$10,MATCH(BD!K429,'Glosario Partidas'!$L$8:$L$10,0))</f>
        <v>17.5</v>
      </c>
      <c r="T429" s="227">
        <f t="shared" si="34"/>
        <v>11774</v>
      </c>
      <c r="U429" s="230" t="s">
        <v>315</v>
      </c>
      <c r="V429" s="231" t="s">
        <v>12</v>
      </c>
    </row>
    <row r="430" spans="2:22" ht="12" customHeight="1" x14ac:dyDescent="0.2">
      <c r="B430" s="63" t="s">
        <v>193</v>
      </c>
      <c r="C430" s="63" t="s">
        <v>407</v>
      </c>
      <c r="D430" s="78" t="s">
        <v>419</v>
      </c>
      <c r="E430" s="171" t="s">
        <v>220</v>
      </c>
      <c r="F430" s="78" t="s">
        <v>367</v>
      </c>
      <c r="G430" s="171" t="s">
        <v>487</v>
      </c>
      <c r="H430" s="224" t="s">
        <v>409</v>
      </c>
      <c r="I430" s="225" t="s">
        <v>410</v>
      </c>
      <c r="J430" s="224">
        <v>1</v>
      </c>
      <c r="K430" s="225" t="s">
        <v>153</v>
      </c>
      <c r="L430" s="226">
        <v>3800</v>
      </c>
      <c r="M430" s="227">
        <f t="shared" si="30"/>
        <v>3800</v>
      </c>
      <c r="N430" s="228">
        <v>0</v>
      </c>
      <c r="O430" s="227">
        <f t="shared" si="31"/>
        <v>0</v>
      </c>
      <c r="P430" s="228">
        <v>0.16</v>
      </c>
      <c r="Q430" s="227">
        <f t="shared" si="32"/>
        <v>608</v>
      </c>
      <c r="R430" s="227">
        <f t="shared" si="33"/>
        <v>4408</v>
      </c>
      <c r="S430" s="229">
        <f>INDEX('Glosario Partidas'!$M$8:$M$10,MATCH(BD!K430,'Glosario Partidas'!$L$8:$L$10,0))</f>
        <v>17.5</v>
      </c>
      <c r="T430" s="227">
        <f t="shared" si="34"/>
        <v>77140</v>
      </c>
      <c r="U430" s="230" t="s">
        <v>315</v>
      </c>
      <c r="V430" s="231" t="s">
        <v>12</v>
      </c>
    </row>
    <row r="431" spans="2:22" ht="12" customHeight="1" x14ac:dyDescent="0.2">
      <c r="B431" s="63" t="s">
        <v>193</v>
      </c>
      <c r="C431" s="63" t="s">
        <v>407</v>
      </c>
      <c r="D431" s="78" t="s">
        <v>420</v>
      </c>
      <c r="E431" s="171" t="s">
        <v>220</v>
      </c>
      <c r="F431" s="78" t="s">
        <v>367</v>
      </c>
      <c r="G431" s="171" t="s">
        <v>487</v>
      </c>
      <c r="H431" s="224" t="s">
        <v>409</v>
      </c>
      <c r="I431" s="225" t="s">
        <v>410</v>
      </c>
      <c r="J431" s="224">
        <v>1</v>
      </c>
      <c r="K431" s="225" t="s">
        <v>153</v>
      </c>
      <c r="L431" s="226">
        <v>1389</v>
      </c>
      <c r="M431" s="227">
        <f t="shared" si="30"/>
        <v>1389</v>
      </c>
      <c r="N431" s="228">
        <v>0</v>
      </c>
      <c r="O431" s="227">
        <f t="shared" si="31"/>
        <v>0</v>
      </c>
      <c r="P431" s="228">
        <v>0.16</v>
      </c>
      <c r="Q431" s="227">
        <f t="shared" si="32"/>
        <v>222.24</v>
      </c>
      <c r="R431" s="227">
        <f t="shared" si="33"/>
        <v>1611.24</v>
      </c>
      <c r="S431" s="229">
        <f>INDEX('Glosario Partidas'!$M$8:$M$10,MATCH(BD!K431,'Glosario Partidas'!$L$8:$L$10,0))</f>
        <v>17.5</v>
      </c>
      <c r="T431" s="227">
        <f t="shared" si="34"/>
        <v>28196.7</v>
      </c>
      <c r="U431" s="230" t="s">
        <v>315</v>
      </c>
      <c r="V431" s="231" t="s">
        <v>12</v>
      </c>
    </row>
    <row r="432" spans="2:22" ht="12" customHeight="1" x14ac:dyDescent="0.2">
      <c r="B432" s="63" t="s">
        <v>193</v>
      </c>
      <c r="C432" s="63" t="s">
        <v>407</v>
      </c>
      <c r="D432" s="78" t="s">
        <v>421</v>
      </c>
      <c r="E432" s="171" t="s">
        <v>220</v>
      </c>
      <c r="F432" s="78" t="s">
        <v>367</v>
      </c>
      <c r="G432" s="171" t="s">
        <v>487</v>
      </c>
      <c r="H432" s="224" t="s">
        <v>409</v>
      </c>
      <c r="I432" s="225" t="s">
        <v>410</v>
      </c>
      <c r="J432" s="224">
        <v>3</v>
      </c>
      <c r="K432" s="225" t="s">
        <v>153</v>
      </c>
      <c r="L432" s="226">
        <v>128</v>
      </c>
      <c r="M432" s="227">
        <f t="shared" si="30"/>
        <v>384</v>
      </c>
      <c r="N432" s="228">
        <v>0</v>
      </c>
      <c r="O432" s="227">
        <f t="shared" si="31"/>
        <v>0</v>
      </c>
      <c r="P432" s="228">
        <v>0.16</v>
      </c>
      <c r="Q432" s="227">
        <f t="shared" si="32"/>
        <v>61.44</v>
      </c>
      <c r="R432" s="227">
        <f t="shared" si="33"/>
        <v>445.44</v>
      </c>
      <c r="S432" s="229">
        <f>INDEX('Glosario Partidas'!$M$8:$M$10,MATCH(BD!K432,'Glosario Partidas'!$L$8:$L$10,0))</f>
        <v>17.5</v>
      </c>
      <c r="T432" s="227">
        <f t="shared" si="34"/>
        <v>7795.2</v>
      </c>
      <c r="U432" s="230" t="s">
        <v>315</v>
      </c>
      <c r="V432" s="231" t="s">
        <v>12</v>
      </c>
    </row>
    <row r="433" spans="2:22" ht="12" customHeight="1" x14ac:dyDescent="0.2">
      <c r="B433" s="63" t="s">
        <v>193</v>
      </c>
      <c r="C433" s="63" t="s">
        <v>407</v>
      </c>
      <c r="D433" s="78" t="s">
        <v>422</v>
      </c>
      <c r="E433" s="171" t="s">
        <v>220</v>
      </c>
      <c r="F433" s="78" t="s">
        <v>367</v>
      </c>
      <c r="G433" s="171" t="s">
        <v>487</v>
      </c>
      <c r="H433" s="224" t="s">
        <v>409</v>
      </c>
      <c r="I433" s="225" t="s">
        <v>410</v>
      </c>
      <c r="J433" s="224">
        <v>1</v>
      </c>
      <c r="K433" s="225" t="s">
        <v>153</v>
      </c>
      <c r="L433" s="226">
        <v>749</v>
      </c>
      <c r="M433" s="227">
        <f t="shared" si="30"/>
        <v>749</v>
      </c>
      <c r="N433" s="228">
        <v>0</v>
      </c>
      <c r="O433" s="227">
        <f t="shared" si="31"/>
        <v>0</v>
      </c>
      <c r="P433" s="228">
        <v>0.16</v>
      </c>
      <c r="Q433" s="227">
        <f t="shared" si="32"/>
        <v>119.84</v>
      </c>
      <c r="R433" s="227">
        <f t="shared" si="33"/>
        <v>868.84</v>
      </c>
      <c r="S433" s="229">
        <f>INDEX('Glosario Partidas'!$M$8:$M$10,MATCH(BD!K433,'Glosario Partidas'!$L$8:$L$10,0))</f>
        <v>17.5</v>
      </c>
      <c r="T433" s="227">
        <f t="shared" si="34"/>
        <v>15204.7</v>
      </c>
      <c r="U433" s="230" t="s">
        <v>315</v>
      </c>
      <c r="V433" s="231" t="s">
        <v>12</v>
      </c>
    </row>
    <row r="434" spans="2:22" ht="12" customHeight="1" x14ac:dyDescent="0.2">
      <c r="B434" s="63" t="s">
        <v>193</v>
      </c>
      <c r="C434" s="63" t="s">
        <v>407</v>
      </c>
      <c r="D434" s="78" t="s">
        <v>423</v>
      </c>
      <c r="E434" s="171" t="s">
        <v>220</v>
      </c>
      <c r="F434" s="78" t="s">
        <v>367</v>
      </c>
      <c r="G434" s="171" t="s">
        <v>487</v>
      </c>
      <c r="H434" s="224" t="s">
        <v>409</v>
      </c>
      <c r="I434" s="225" t="s">
        <v>410</v>
      </c>
      <c r="J434" s="224">
        <v>1</v>
      </c>
      <c r="K434" s="225" t="s">
        <v>153</v>
      </c>
      <c r="L434" s="226">
        <v>7691</v>
      </c>
      <c r="M434" s="227">
        <f t="shared" si="30"/>
        <v>7691</v>
      </c>
      <c r="N434" s="228">
        <v>0</v>
      </c>
      <c r="O434" s="227">
        <f t="shared" si="31"/>
        <v>0</v>
      </c>
      <c r="P434" s="228">
        <v>0.16</v>
      </c>
      <c r="Q434" s="227">
        <f t="shared" si="32"/>
        <v>1230.56</v>
      </c>
      <c r="R434" s="227">
        <f t="shared" si="33"/>
        <v>8921.56</v>
      </c>
      <c r="S434" s="229">
        <f>INDEX('Glosario Partidas'!$M$8:$M$10,MATCH(BD!K434,'Glosario Partidas'!$L$8:$L$10,0))</f>
        <v>17.5</v>
      </c>
      <c r="T434" s="227">
        <f t="shared" si="34"/>
        <v>156127.29999999999</v>
      </c>
      <c r="U434" s="230" t="s">
        <v>315</v>
      </c>
      <c r="V434" s="231" t="s">
        <v>12</v>
      </c>
    </row>
    <row r="435" spans="2:22" ht="12" customHeight="1" x14ac:dyDescent="0.2">
      <c r="B435" s="63" t="s">
        <v>193</v>
      </c>
      <c r="C435" s="63" t="s">
        <v>407</v>
      </c>
      <c r="D435" s="78" t="s">
        <v>424</v>
      </c>
      <c r="E435" s="171" t="s">
        <v>220</v>
      </c>
      <c r="F435" s="78" t="s">
        <v>367</v>
      </c>
      <c r="G435" s="171" t="s">
        <v>487</v>
      </c>
      <c r="H435" s="224" t="s">
        <v>409</v>
      </c>
      <c r="I435" s="225" t="s">
        <v>410</v>
      </c>
      <c r="J435" s="224">
        <v>1</v>
      </c>
      <c r="K435" s="225" t="s">
        <v>153</v>
      </c>
      <c r="L435" s="226">
        <v>6402</v>
      </c>
      <c r="M435" s="227">
        <f t="shared" si="30"/>
        <v>6402</v>
      </c>
      <c r="N435" s="228">
        <v>0</v>
      </c>
      <c r="O435" s="227">
        <f t="shared" si="31"/>
        <v>0</v>
      </c>
      <c r="P435" s="228">
        <v>0.16</v>
      </c>
      <c r="Q435" s="227">
        <f t="shared" si="32"/>
        <v>1024.32</v>
      </c>
      <c r="R435" s="227">
        <f t="shared" si="33"/>
        <v>7426.32</v>
      </c>
      <c r="S435" s="229">
        <f>INDEX('Glosario Partidas'!$M$8:$M$10,MATCH(BD!K435,'Glosario Partidas'!$L$8:$L$10,0))</f>
        <v>17.5</v>
      </c>
      <c r="T435" s="227">
        <f t="shared" si="34"/>
        <v>129960.59999999999</v>
      </c>
      <c r="U435" s="230" t="s">
        <v>315</v>
      </c>
      <c r="V435" s="231" t="s">
        <v>12</v>
      </c>
    </row>
    <row r="436" spans="2:22" ht="12" customHeight="1" x14ac:dyDescent="0.2">
      <c r="B436" s="63" t="s">
        <v>193</v>
      </c>
      <c r="C436" s="63" t="s">
        <v>407</v>
      </c>
      <c r="D436" s="78" t="s">
        <v>425</v>
      </c>
      <c r="E436" s="171" t="s">
        <v>220</v>
      </c>
      <c r="F436" s="78" t="s">
        <v>367</v>
      </c>
      <c r="G436" s="171" t="s">
        <v>487</v>
      </c>
      <c r="H436" s="224" t="s">
        <v>409</v>
      </c>
      <c r="I436" s="225" t="s">
        <v>410</v>
      </c>
      <c r="J436" s="224">
        <v>1</v>
      </c>
      <c r="K436" s="225" t="s">
        <v>153</v>
      </c>
      <c r="L436" s="226">
        <v>3505</v>
      </c>
      <c r="M436" s="227">
        <f t="shared" si="30"/>
        <v>3505</v>
      </c>
      <c r="N436" s="228">
        <v>0</v>
      </c>
      <c r="O436" s="227">
        <f t="shared" si="31"/>
        <v>0</v>
      </c>
      <c r="P436" s="228">
        <v>0.16</v>
      </c>
      <c r="Q436" s="227">
        <f t="shared" si="32"/>
        <v>560.80000000000007</v>
      </c>
      <c r="R436" s="227">
        <f t="shared" si="33"/>
        <v>4065.8</v>
      </c>
      <c r="S436" s="229">
        <f>INDEX('Glosario Partidas'!$M$8:$M$10,MATCH(BD!K436,'Glosario Partidas'!$L$8:$L$10,0))</f>
        <v>17.5</v>
      </c>
      <c r="T436" s="227">
        <f t="shared" si="34"/>
        <v>71151.5</v>
      </c>
      <c r="U436" s="230" t="s">
        <v>315</v>
      </c>
      <c r="V436" s="231" t="s">
        <v>12</v>
      </c>
    </row>
    <row r="437" spans="2:22" ht="12" customHeight="1" x14ac:dyDescent="0.2">
      <c r="B437" s="63" t="s">
        <v>193</v>
      </c>
      <c r="C437" s="63" t="s">
        <v>407</v>
      </c>
      <c r="D437" s="78" t="s">
        <v>426</v>
      </c>
      <c r="E437" s="171" t="s">
        <v>220</v>
      </c>
      <c r="F437" s="78" t="s">
        <v>367</v>
      </c>
      <c r="G437" s="171" t="s">
        <v>487</v>
      </c>
      <c r="H437" s="224" t="s">
        <v>409</v>
      </c>
      <c r="I437" s="225" t="s">
        <v>410</v>
      </c>
      <c r="J437" s="224">
        <v>1</v>
      </c>
      <c r="K437" s="225" t="s">
        <v>153</v>
      </c>
      <c r="L437" s="226">
        <v>12428</v>
      </c>
      <c r="M437" s="227">
        <f t="shared" si="30"/>
        <v>12428</v>
      </c>
      <c r="N437" s="228">
        <v>0</v>
      </c>
      <c r="O437" s="227">
        <f t="shared" si="31"/>
        <v>0</v>
      </c>
      <c r="P437" s="228">
        <v>0.16</v>
      </c>
      <c r="Q437" s="227">
        <f t="shared" si="32"/>
        <v>1988.48</v>
      </c>
      <c r="R437" s="227">
        <f t="shared" si="33"/>
        <v>14416.48</v>
      </c>
      <c r="S437" s="229">
        <f>INDEX('Glosario Partidas'!$M$8:$M$10,MATCH(BD!K437,'Glosario Partidas'!$L$8:$L$10,0))</f>
        <v>17.5</v>
      </c>
      <c r="T437" s="227">
        <f t="shared" si="34"/>
        <v>252288.4</v>
      </c>
      <c r="U437" s="230" t="s">
        <v>315</v>
      </c>
      <c r="V437" s="231" t="s">
        <v>12</v>
      </c>
    </row>
    <row r="438" spans="2:22" ht="12" customHeight="1" x14ac:dyDescent="0.2">
      <c r="B438" s="63" t="s">
        <v>193</v>
      </c>
      <c r="C438" s="63" t="s">
        <v>407</v>
      </c>
      <c r="D438" s="78" t="s">
        <v>427</v>
      </c>
      <c r="E438" s="171" t="s">
        <v>220</v>
      </c>
      <c r="F438" s="78" t="s">
        <v>367</v>
      </c>
      <c r="G438" s="171" t="s">
        <v>487</v>
      </c>
      <c r="H438" s="224" t="s">
        <v>409</v>
      </c>
      <c r="I438" s="225" t="s">
        <v>410</v>
      </c>
      <c r="J438" s="224">
        <v>1</v>
      </c>
      <c r="K438" s="225" t="s">
        <v>153</v>
      </c>
      <c r="L438" s="226">
        <v>2300</v>
      </c>
      <c r="M438" s="227">
        <f t="shared" si="30"/>
        <v>2300</v>
      </c>
      <c r="N438" s="228">
        <v>0</v>
      </c>
      <c r="O438" s="227">
        <f t="shared" si="31"/>
        <v>0</v>
      </c>
      <c r="P438" s="228">
        <v>0.16</v>
      </c>
      <c r="Q438" s="227">
        <f t="shared" si="32"/>
        <v>368</v>
      </c>
      <c r="R438" s="227">
        <f t="shared" si="33"/>
        <v>2668</v>
      </c>
      <c r="S438" s="229">
        <f>INDEX('Glosario Partidas'!$M$8:$M$10,MATCH(BD!K438,'Glosario Partidas'!$L$8:$L$10,0))</f>
        <v>17.5</v>
      </c>
      <c r="T438" s="227">
        <f t="shared" si="34"/>
        <v>46690</v>
      </c>
      <c r="U438" s="230" t="s">
        <v>315</v>
      </c>
      <c r="V438" s="231" t="s">
        <v>12</v>
      </c>
    </row>
    <row r="439" spans="2:22" ht="12" customHeight="1" x14ac:dyDescent="0.2">
      <c r="B439" s="63" t="s">
        <v>193</v>
      </c>
      <c r="C439" s="63" t="s">
        <v>407</v>
      </c>
      <c r="D439" s="78" t="s">
        <v>428</v>
      </c>
      <c r="E439" s="171" t="s">
        <v>220</v>
      </c>
      <c r="F439" s="78" t="s">
        <v>367</v>
      </c>
      <c r="G439" s="171" t="s">
        <v>487</v>
      </c>
      <c r="H439" s="224" t="s">
        <v>409</v>
      </c>
      <c r="I439" s="225" t="s">
        <v>410</v>
      </c>
      <c r="J439" s="224">
        <v>1</v>
      </c>
      <c r="K439" s="225" t="s">
        <v>153</v>
      </c>
      <c r="L439" s="226">
        <v>1350</v>
      </c>
      <c r="M439" s="227">
        <f t="shared" si="30"/>
        <v>1350</v>
      </c>
      <c r="N439" s="228">
        <v>0</v>
      </c>
      <c r="O439" s="227">
        <f t="shared" si="31"/>
        <v>0</v>
      </c>
      <c r="P439" s="228">
        <v>0.16</v>
      </c>
      <c r="Q439" s="227">
        <f t="shared" si="32"/>
        <v>216</v>
      </c>
      <c r="R439" s="227">
        <f t="shared" si="33"/>
        <v>1566</v>
      </c>
      <c r="S439" s="229">
        <f>INDEX('Glosario Partidas'!$M$8:$M$10,MATCH(BD!K439,'Glosario Partidas'!$L$8:$L$10,0))</f>
        <v>17.5</v>
      </c>
      <c r="T439" s="227">
        <f t="shared" si="34"/>
        <v>27405</v>
      </c>
      <c r="U439" s="230" t="s">
        <v>315</v>
      </c>
      <c r="V439" s="231" t="s">
        <v>12</v>
      </c>
    </row>
    <row r="440" spans="2:22" ht="12" customHeight="1" x14ac:dyDescent="0.2">
      <c r="B440" s="63" t="s">
        <v>193</v>
      </c>
      <c r="C440" s="63" t="s">
        <v>105</v>
      </c>
      <c r="D440" s="78" t="s">
        <v>429</v>
      </c>
      <c r="E440" s="171" t="s">
        <v>220</v>
      </c>
      <c r="F440" s="78" t="s">
        <v>221</v>
      </c>
      <c r="G440" s="171" t="s">
        <v>487</v>
      </c>
      <c r="H440" s="224" t="s">
        <v>409</v>
      </c>
      <c r="I440" s="225" t="s">
        <v>314</v>
      </c>
      <c r="J440" s="224">
        <v>1</v>
      </c>
      <c r="K440" s="225" t="s">
        <v>153</v>
      </c>
      <c r="L440" s="226">
        <v>2035</v>
      </c>
      <c r="M440" s="227">
        <f t="shared" si="30"/>
        <v>2035</v>
      </c>
      <c r="N440" s="228">
        <v>0</v>
      </c>
      <c r="O440" s="227">
        <f t="shared" si="31"/>
        <v>0</v>
      </c>
      <c r="P440" s="228">
        <v>0.16</v>
      </c>
      <c r="Q440" s="227">
        <f t="shared" si="32"/>
        <v>325.60000000000002</v>
      </c>
      <c r="R440" s="227">
        <f t="shared" si="33"/>
        <v>2360.6</v>
      </c>
      <c r="S440" s="229">
        <f>INDEX('Glosario Partidas'!$M$8:$M$10,MATCH(BD!K440,'Glosario Partidas'!$L$8:$L$10,0))</f>
        <v>17.5</v>
      </c>
      <c r="T440" s="227">
        <f t="shared" si="34"/>
        <v>41310.5</v>
      </c>
      <c r="U440" s="230" t="s">
        <v>315</v>
      </c>
      <c r="V440" s="231" t="s">
        <v>13</v>
      </c>
    </row>
    <row r="441" spans="2:22" ht="12" customHeight="1" x14ac:dyDescent="0.2">
      <c r="B441" s="63" t="s">
        <v>193</v>
      </c>
      <c r="C441" s="63" t="s">
        <v>105</v>
      </c>
      <c r="D441" s="78" t="s">
        <v>429</v>
      </c>
      <c r="E441" s="171" t="s">
        <v>220</v>
      </c>
      <c r="F441" s="78" t="s">
        <v>354</v>
      </c>
      <c r="G441" s="171" t="s">
        <v>487</v>
      </c>
      <c r="H441" s="224" t="s">
        <v>409</v>
      </c>
      <c r="I441" s="225" t="s">
        <v>314</v>
      </c>
      <c r="J441" s="224">
        <v>1</v>
      </c>
      <c r="K441" s="225" t="s">
        <v>153</v>
      </c>
      <c r="L441" s="226">
        <v>2035</v>
      </c>
      <c r="M441" s="227">
        <f t="shared" si="30"/>
        <v>2035</v>
      </c>
      <c r="N441" s="228">
        <v>0</v>
      </c>
      <c r="O441" s="227">
        <f t="shared" si="31"/>
        <v>0</v>
      </c>
      <c r="P441" s="228">
        <v>0.16</v>
      </c>
      <c r="Q441" s="227">
        <f t="shared" si="32"/>
        <v>325.60000000000002</v>
      </c>
      <c r="R441" s="227">
        <f t="shared" si="33"/>
        <v>2360.6</v>
      </c>
      <c r="S441" s="229">
        <f>INDEX('Glosario Partidas'!$M$8:$M$10,MATCH(BD!K441,'Glosario Partidas'!$L$8:$L$10,0))</f>
        <v>17.5</v>
      </c>
      <c r="T441" s="227">
        <f t="shared" si="34"/>
        <v>41310.5</v>
      </c>
      <c r="U441" s="230" t="s">
        <v>315</v>
      </c>
      <c r="V441" s="231" t="s">
        <v>13</v>
      </c>
    </row>
    <row r="442" spans="2:22" ht="12" customHeight="1" x14ac:dyDescent="0.2">
      <c r="B442" s="63" t="s">
        <v>193</v>
      </c>
      <c r="C442" s="63" t="s">
        <v>105</v>
      </c>
      <c r="D442" s="78" t="s">
        <v>429</v>
      </c>
      <c r="E442" s="171" t="s">
        <v>220</v>
      </c>
      <c r="F442" s="78" t="s">
        <v>355</v>
      </c>
      <c r="G442" s="171" t="s">
        <v>487</v>
      </c>
      <c r="H442" s="224" t="s">
        <v>409</v>
      </c>
      <c r="I442" s="225" t="s">
        <v>314</v>
      </c>
      <c r="J442" s="224">
        <v>1</v>
      </c>
      <c r="K442" s="225" t="s">
        <v>153</v>
      </c>
      <c r="L442" s="226">
        <v>2035</v>
      </c>
      <c r="M442" s="227">
        <f t="shared" si="30"/>
        <v>2035</v>
      </c>
      <c r="N442" s="228">
        <v>0</v>
      </c>
      <c r="O442" s="227">
        <f t="shared" si="31"/>
        <v>0</v>
      </c>
      <c r="P442" s="228">
        <v>0.16</v>
      </c>
      <c r="Q442" s="227">
        <f t="shared" si="32"/>
        <v>325.60000000000002</v>
      </c>
      <c r="R442" s="227">
        <f t="shared" si="33"/>
        <v>2360.6</v>
      </c>
      <c r="S442" s="229">
        <f>INDEX('Glosario Partidas'!$M$8:$M$10,MATCH(BD!K442,'Glosario Partidas'!$L$8:$L$10,0))</f>
        <v>17.5</v>
      </c>
      <c r="T442" s="227">
        <f t="shared" si="34"/>
        <v>41310.5</v>
      </c>
      <c r="U442" s="230" t="s">
        <v>315</v>
      </c>
      <c r="V442" s="231" t="s">
        <v>13</v>
      </c>
    </row>
    <row r="443" spans="2:22" ht="12" customHeight="1" x14ac:dyDescent="0.2">
      <c r="B443" s="63" t="s">
        <v>193</v>
      </c>
      <c r="C443" s="63" t="s">
        <v>105</v>
      </c>
      <c r="D443" s="78" t="s">
        <v>430</v>
      </c>
      <c r="E443" s="171" t="s">
        <v>220</v>
      </c>
      <c r="F443" s="78" t="s">
        <v>221</v>
      </c>
      <c r="G443" s="171" t="s">
        <v>487</v>
      </c>
      <c r="H443" s="224" t="s">
        <v>409</v>
      </c>
      <c r="I443" s="225" t="s">
        <v>314</v>
      </c>
      <c r="J443" s="224">
        <v>1</v>
      </c>
      <c r="K443" s="225" t="s">
        <v>153</v>
      </c>
      <c r="L443" s="226">
        <v>1440</v>
      </c>
      <c r="M443" s="227">
        <f t="shared" si="30"/>
        <v>1440</v>
      </c>
      <c r="N443" s="228">
        <v>0</v>
      </c>
      <c r="O443" s="227">
        <f t="shared" si="31"/>
        <v>0</v>
      </c>
      <c r="P443" s="228">
        <v>0.16</v>
      </c>
      <c r="Q443" s="227">
        <f t="shared" si="32"/>
        <v>230.4</v>
      </c>
      <c r="R443" s="227">
        <f t="shared" si="33"/>
        <v>1670.4</v>
      </c>
      <c r="S443" s="229">
        <f>INDEX('Glosario Partidas'!$M$8:$M$10,MATCH(BD!K443,'Glosario Partidas'!$L$8:$L$10,0))</f>
        <v>17.5</v>
      </c>
      <c r="T443" s="227">
        <f t="shared" si="34"/>
        <v>29232</v>
      </c>
      <c r="U443" s="230" t="s">
        <v>315</v>
      </c>
      <c r="V443" s="231" t="s">
        <v>13</v>
      </c>
    </row>
    <row r="444" spans="2:22" ht="12" customHeight="1" x14ac:dyDescent="0.2">
      <c r="B444" s="63" t="s">
        <v>193</v>
      </c>
      <c r="C444" s="63" t="s">
        <v>105</v>
      </c>
      <c r="D444" s="78" t="s">
        <v>430</v>
      </c>
      <c r="E444" s="171" t="s">
        <v>220</v>
      </c>
      <c r="F444" s="78" t="s">
        <v>354</v>
      </c>
      <c r="G444" s="171" t="s">
        <v>487</v>
      </c>
      <c r="H444" s="224" t="s">
        <v>409</v>
      </c>
      <c r="I444" s="225" t="s">
        <v>314</v>
      </c>
      <c r="J444" s="224">
        <v>1</v>
      </c>
      <c r="K444" s="225" t="s">
        <v>153</v>
      </c>
      <c r="L444" s="226">
        <v>1440</v>
      </c>
      <c r="M444" s="227">
        <f t="shared" si="30"/>
        <v>1440</v>
      </c>
      <c r="N444" s="228">
        <v>0</v>
      </c>
      <c r="O444" s="227">
        <f t="shared" si="31"/>
        <v>0</v>
      </c>
      <c r="P444" s="228">
        <v>0.16</v>
      </c>
      <c r="Q444" s="227">
        <f t="shared" si="32"/>
        <v>230.4</v>
      </c>
      <c r="R444" s="227">
        <f t="shared" si="33"/>
        <v>1670.4</v>
      </c>
      <c r="S444" s="229">
        <f>INDEX('Glosario Partidas'!$M$8:$M$10,MATCH(BD!K444,'Glosario Partidas'!$L$8:$L$10,0))</f>
        <v>17.5</v>
      </c>
      <c r="T444" s="227">
        <f t="shared" si="34"/>
        <v>29232</v>
      </c>
      <c r="U444" s="230" t="s">
        <v>315</v>
      </c>
      <c r="V444" s="231" t="s">
        <v>13</v>
      </c>
    </row>
    <row r="445" spans="2:22" ht="12" customHeight="1" x14ac:dyDescent="0.2">
      <c r="B445" s="63" t="s">
        <v>193</v>
      </c>
      <c r="C445" s="63" t="s">
        <v>105</v>
      </c>
      <c r="D445" s="78" t="s">
        <v>430</v>
      </c>
      <c r="E445" s="171" t="s">
        <v>220</v>
      </c>
      <c r="F445" s="78" t="s">
        <v>355</v>
      </c>
      <c r="G445" s="171" t="s">
        <v>487</v>
      </c>
      <c r="H445" s="224" t="s">
        <v>409</v>
      </c>
      <c r="I445" s="225" t="s">
        <v>314</v>
      </c>
      <c r="J445" s="224">
        <v>1</v>
      </c>
      <c r="K445" s="225" t="s">
        <v>153</v>
      </c>
      <c r="L445" s="226">
        <v>1440</v>
      </c>
      <c r="M445" s="227">
        <f t="shared" si="30"/>
        <v>1440</v>
      </c>
      <c r="N445" s="228">
        <v>0</v>
      </c>
      <c r="O445" s="227">
        <f t="shared" si="31"/>
        <v>0</v>
      </c>
      <c r="P445" s="228">
        <v>0.16</v>
      </c>
      <c r="Q445" s="227">
        <f t="shared" si="32"/>
        <v>230.4</v>
      </c>
      <c r="R445" s="227">
        <f t="shared" si="33"/>
        <v>1670.4</v>
      </c>
      <c r="S445" s="229">
        <f>INDEX('Glosario Partidas'!$M$8:$M$10,MATCH(BD!K445,'Glosario Partidas'!$L$8:$L$10,0))</f>
        <v>17.5</v>
      </c>
      <c r="T445" s="227">
        <f t="shared" si="34"/>
        <v>29232</v>
      </c>
      <c r="U445" s="230" t="s">
        <v>315</v>
      </c>
      <c r="V445" s="231" t="s">
        <v>13</v>
      </c>
    </row>
    <row r="446" spans="2:22" ht="12" customHeight="1" x14ac:dyDescent="0.2">
      <c r="B446" s="63" t="s">
        <v>193</v>
      </c>
      <c r="C446" s="63" t="s">
        <v>105</v>
      </c>
      <c r="D446" s="78" t="s">
        <v>431</v>
      </c>
      <c r="E446" s="171" t="s">
        <v>220</v>
      </c>
      <c r="F446" s="78" t="s">
        <v>221</v>
      </c>
      <c r="G446" s="171" t="s">
        <v>487</v>
      </c>
      <c r="H446" s="224" t="s">
        <v>409</v>
      </c>
      <c r="I446" s="225" t="s">
        <v>314</v>
      </c>
      <c r="J446" s="224">
        <v>0</v>
      </c>
      <c r="K446" s="225" t="s">
        <v>153</v>
      </c>
      <c r="L446" s="226">
        <v>0</v>
      </c>
      <c r="M446" s="227">
        <f t="shared" si="30"/>
        <v>0</v>
      </c>
      <c r="N446" s="228">
        <v>0</v>
      </c>
      <c r="O446" s="227">
        <f t="shared" si="31"/>
        <v>0</v>
      </c>
      <c r="P446" s="228">
        <v>0.16</v>
      </c>
      <c r="Q446" s="227">
        <f t="shared" si="32"/>
        <v>0</v>
      </c>
      <c r="R446" s="227">
        <f t="shared" si="33"/>
        <v>0</v>
      </c>
      <c r="S446" s="229">
        <f>INDEX('Glosario Partidas'!$M$8:$M$10,MATCH(BD!K446,'Glosario Partidas'!$L$8:$L$10,0))</f>
        <v>17.5</v>
      </c>
      <c r="T446" s="227">
        <f t="shared" si="34"/>
        <v>0</v>
      </c>
      <c r="U446" s="230" t="s">
        <v>432</v>
      </c>
      <c r="V446" s="231" t="s">
        <v>13</v>
      </c>
    </row>
    <row r="447" spans="2:22" ht="12" customHeight="1" x14ac:dyDescent="0.2">
      <c r="B447" s="63" t="s">
        <v>193</v>
      </c>
      <c r="C447" s="63" t="s">
        <v>105</v>
      </c>
      <c r="D447" s="78" t="s">
        <v>431</v>
      </c>
      <c r="E447" s="171" t="s">
        <v>220</v>
      </c>
      <c r="F447" s="78" t="s">
        <v>354</v>
      </c>
      <c r="G447" s="171" t="s">
        <v>487</v>
      </c>
      <c r="H447" s="224" t="s">
        <v>409</v>
      </c>
      <c r="I447" s="225" t="s">
        <v>314</v>
      </c>
      <c r="J447" s="224">
        <v>0</v>
      </c>
      <c r="K447" s="225" t="s">
        <v>153</v>
      </c>
      <c r="L447" s="226">
        <v>0</v>
      </c>
      <c r="M447" s="227">
        <f t="shared" si="30"/>
        <v>0</v>
      </c>
      <c r="N447" s="228">
        <v>0</v>
      </c>
      <c r="O447" s="227">
        <f t="shared" si="31"/>
        <v>0</v>
      </c>
      <c r="P447" s="228">
        <v>0.16</v>
      </c>
      <c r="Q447" s="227">
        <f t="shared" si="32"/>
        <v>0</v>
      </c>
      <c r="R447" s="227">
        <f t="shared" si="33"/>
        <v>0</v>
      </c>
      <c r="S447" s="229">
        <f>INDEX('Glosario Partidas'!$M$8:$M$10,MATCH(BD!K447,'Glosario Partidas'!$L$8:$L$10,0))</f>
        <v>17.5</v>
      </c>
      <c r="T447" s="227">
        <f t="shared" si="34"/>
        <v>0</v>
      </c>
      <c r="U447" s="230" t="s">
        <v>432</v>
      </c>
      <c r="V447" s="231" t="s">
        <v>13</v>
      </c>
    </row>
    <row r="448" spans="2:22" ht="12" customHeight="1" x14ac:dyDescent="0.2">
      <c r="B448" s="63" t="s">
        <v>193</v>
      </c>
      <c r="C448" s="63" t="s">
        <v>105</v>
      </c>
      <c r="D448" s="78" t="s">
        <v>431</v>
      </c>
      <c r="E448" s="171" t="s">
        <v>220</v>
      </c>
      <c r="F448" s="78" t="s">
        <v>355</v>
      </c>
      <c r="G448" s="171" t="s">
        <v>487</v>
      </c>
      <c r="H448" s="224" t="s">
        <v>409</v>
      </c>
      <c r="I448" s="225" t="s">
        <v>314</v>
      </c>
      <c r="J448" s="224">
        <v>0</v>
      </c>
      <c r="K448" s="225" t="s">
        <v>153</v>
      </c>
      <c r="L448" s="226">
        <v>0</v>
      </c>
      <c r="M448" s="227">
        <f t="shared" si="30"/>
        <v>0</v>
      </c>
      <c r="N448" s="228">
        <v>0</v>
      </c>
      <c r="O448" s="227">
        <f t="shared" si="31"/>
        <v>0</v>
      </c>
      <c r="P448" s="228">
        <v>0.16</v>
      </c>
      <c r="Q448" s="227">
        <f t="shared" si="32"/>
        <v>0</v>
      </c>
      <c r="R448" s="227">
        <f t="shared" si="33"/>
        <v>0</v>
      </c>
      <c r="S448" s="229">
        <f>INDEX('Glosario Partidas'!$M$8:$M$10,MATCH(BD!K448,'Glosario Partidas'!$L$8:$L$10,0))</f>
        <v>17.5</v>
      </c>
      <c r="T448" s="227">
        <f t="shared" si="34"/>
        <v>0</v>
      </c>
      <c r="U448" s="230" t="s">
        <v>432</v>
      </c>
      <c r="V448" s="231" t="s">
        <v>13</v>
      </c>
    </row>
    <row r="449" spans="2:22" ht="12" customHeight="1" x14ac:dyDescent="0.2">
      <c r="B449" s="63" t="s">
        <v>108</v>
      </c>
      <c r="C449" s="63" t="s">
        <v>433</v>
      </c>
      <c r="D449" s="78" t="s">
        <v>434</v>
      </c>
      <c r="E449" s="171" t="s">
        <v>220</v>
      </c>
      <c r="F449" s="78" t="s">
        <v>221</v>
      </c>
      <c r="G449" s="171" t="s">
        <v>487</v>
      </c>
      <c r="H449" s="224" t="s">
        <v>435</v>
      </c>
      <c r="I449" s="225" t="s">
        <v>410</v>
      </c>
      <c r="J449" s="224">
        <v>5</v>
      </c>
      <c r="K449" s="225" t="s">
        <v>153</v>
      </c>
      <c r="L449" s="226">
        <v>270.36</v>
      </c>
      <c r="M449" s="227">
        <f t="shared" si="30"/>
        <v>1351.8000000000002</v>
      </c>
      <c r="N449" s="228">
        <v>0</v>
      </c>
      <c r="O449" s="227">
        <f t="shared" si="31"/>
        <v>0</v>
      </c>
      <c r="P449" s="228">
        <v>0.16</v>
      </c>
      <c r="Q449" s="227">
        <f t="shared" si="32"/>
        <v>216.28800000000004</v>
      </c>
      <c r="R449" s="227">
        <f t="shared" si="33"/>
        <v>1568.0880000000002</v>
      </c>
      <c r="S449" s="229">
        <f>INDEX('Glosario Partidas'!$M$8:$M$10,MATCH(BD!K449,'Glosario Partidas'!$L$8:$L$10,0))</f>
        <v>17.5</v>
      </c>
      <c r="T449" s="227">
        <f t="shared" si="34"/>
        <v>27441.540000000005</v>
      </c>
      <c r="U449" s="230" t="s">
        <v>315</v>
      </c>
      <c r="V449" s="231" t="s">
        <v>12</v>
      </c>
    </row>
    <row r="450" spans="2:22" ht="12" customHeight="1" x14ac:dyDescent="0.2">
      <c r="B450" s="63" t="s">
        <v>108</v>
      </c>
      <c r="C450" s="63" t="s">
        <v>433</v>
      </c>
      <c r="D450" s="78" t="s">
        <v>436</v>
      </c>
      <c r="E450" s="171" t="s">
        <v>220</v>
      </c>
      <c r="F450" s="78" t="s">
        <v>221</v>
      </c>
      <c r="G450" s="171" t="s">
        <v>487</v>
      </c>
      <c r="H450" s="224" t="s">
        <v>435</v>
      </c>
      <c r="I450" s="225" t="s">
        <v>410</v>
      </c>
      <c r="J450" s="224">
        <v>8</v>
      </c>
      <c r="K450" s="225" t="s">
        <v>153</v>
      </c>
      <c r="L450" s="226">
        <v>60.77</v>
      </c>
      <c r="M450" s="227">
        <f t="shared" si="30"/>
        <v>486.16</v>
      </c>
      <c r="N450" s="228">
        <v>0</v>
      </c>
      <c r="O450" s="227">
        <f t="shared" si="31"/>
        <v>0</v>
      </c>
      <c r="P450" s="228">
        <v>0.16</v>
      </c>
      <c r="Q450" s="227">
        <f t="shared" si="32"/>
        <v>77.785600000000002</v>
      </c>
      <c r="R450" s="227">
        <f t="shared" si="33"/>
        <v>563.94560000000001</v>
      </c>
      <c r="S450" s="229">
        <f>INDEX('Glosario Partidas'!$M$8:$M$10,MATCH(BD!K450,'Glosario Partidas'!$L$8:$L$10,0))</f>
        <v>17.5</v>
      </c>
      <c r="T450" s="227">
        <f t="shared" si="34"/>
        <v>9869.0480000000007</v>
      </c>
      <c r="U450" s="230" t="s">
        <v>315</v>
      </c>
      <c r="V450" s="231" t="s">
        <v>12</v>
      </c>
    </row>
    <row r="451" spans="2:22" ht="12" customHeight="1" x14ac:dyDescent="0.2">
      <c r="B451" s="63" t="s">
        <v>108</v>
      </c>
      <c r="C451" s="63" t="s">
        <v>433</v>
      </c>
      <c r="D451" s="78" t="s">
        <v>437</v>
      </c>
      <c r="E451" s="171" t="s">
        <v>220</v>
      </c>
      <c r="F451" s="78" t="s">
        <v>221</v>
      </c>
      <c r="G451" s="171" t="s">
        <v>487</v>
      </c>
      <c r="H451" s="224" t="s">
        <v>435</v>
      </c>
      <c r="I451" s="225" t="s">
        <v>410</v>
      </c>
      <c r="J451" s="224">
        <v>9</v>
      </c>
      <c r="K451" s="225" t="s">
        <v>153</v>
      </c>
      <c r="L451" s="226">
        <v>647.5</v>
      </c>
      <c r="M451" s="227">
        <f t="shared" si="30"/>
        <v>5827.5</v>
      </c>
      <c r="N451" s="228">
        <v>0</v>
      </c>
      <c r="O451" s="227">
        <f t="shared" si="31"/>
        <v>0</v>
      </c>
      <c r="P451" s="228">
        <v>0.16</v>
      </c>
      <c r="Q451" s="227">
        <f t="shared" si="32"/>
        <v>932.4</v>
      </c>
      <c r="R451" s="227">
        <f t="shared" si="33"/>
        <v>6759.9</v>
      </c>
      <c r="S451" s="229">
        <f>INDEX('Glosario Partidas'!$M$8:$M$10,MATCH(BD!K451,'Glosario Partidas'!$L$8:$L$10,0))</f>
        <v>17.5</v>
      </c>
      <c r="T451" s="227">
        <f t="shared" si="34"/>
        <v>118298.25</v>
      </c>
      <c r="U451" s="230" t="s">
        <v>315</v>
      </c>
      <c r="V451" s="231" t="s">
        <v>12</v>
      </c>
    </row>
    <row r="452" spans="2:22" ht="12" customHeight="1" x14ac:dyDescent="0.2">
      <c r="B452" s="63" t="s">
        <v>108</v>
      </c>
      <c r="C452" s="63" t="s">
        <v>433</v>
      </c>
      <c r="D452" s="78" t="s">
        <v>438</v>
      </c>
      <c r="E452" s="171" t="s">
        <v>220</v>
      </c>
      <c r="F452" s="78" t="s">
        <v>221</v>
      </c>
      <c r="G452" s="171" t="s">
        <v>487</v>
      </c>
      <c r="H452" s="224" t="s">
        <v>435</v>
      </c>
      <c r="I452" s="225" t="s">
        <v>410</v>
      </c>
      <c r="J452" s="224">
        <v>9</v>
      </c>
      <c r="K452" s="225" t="s">
        <v>153</v>
      </c>
      <c r="L452" s="226">
        <v>388.5</v>
      </c>
      <c r="M452" s="227">
        <f t="shared" si="30"/>
        <v>3496.5</v>
      </c>
      <c r="N452" s="228">
        <v>0</v>
      </c>
      <c r="O452" s="227">
        <f t="shared" si="31"/>
        <v>0</v>
      </c>
      <c r="P452" s="228">
        <v>0.16</v>
      </c>
      <c r="Q452" s="227">
        <f t="shared" si="32"/>
        <v>559.44000000000005</v>
      </c>
      <c r="R452" s="227">
        <f t="shared" si="33"/>
        <v>4055.94</v>
      </c>
      <c r="S452" s="229">
        <f>INDEX('Glosario Partidas'!$M$8:$M$10,MATCH(BD!K452,'Glosario Partidas'!$L$8:$L$10,0))</f>
        <v>17.5</v>
      </c>
      <c r="T452" s="227">
        <f t="shared" si="34"/>
        <v>70978.95</v>
      </c>
      <c r="U452" s="230" t="s">
        <v>315</v>
      </c>
      <c r="V452" s="231" t="s">
        <v>12</v>
      </c>
    </row>
    <row r="453" spans="2:22" ht="12" customHeight="1" x14ac:dyDescent="0.2">
      <c r="B453" s="63" t="s">
        <v>108</v>
      </c>
      <c r="C453" s="63" t="s">
        <v>433</v>
      </c>
      <c r="D453" s="78" t="s">
        <v>439</v>
      </c>
      <c r="E453" s="171" t="s">
        <v>220</v>
      </c>
      <c r="F453" s="78" t="s">
        <v>221</v>
      </c>
      <c r="G453" s="171" t="s">
        <v>487</v>
      </c>
      <c r="H453" s="224" t="s">
        <v>435</v>
      </c>
      <c r="I453" s="225" t="s">
        <v>410</v>
      </c>
      <c r="J453" s="224">
        <v>1</v>
      </c>
      <c r="K453" s="225" t="s">
        <v>153</v>
      </c>
      <c r="L453" s="226">
        <v>582.75</v>
      </c>
      <c r="M453" s="227">
        <f t="shared" ref="M453:M516" si="35">J453*L453</f>
        <v>582.75</v>
      </c>
      <c r="N453" s="228">
        <v>0</v>
      </c>
      <c r="O453" s="227">
        <f t="shared" ref="O453:O463" si="36">M453*N453</f>
        <v>0</v>
      </c>
      <c r="P453" s="228">
        <v>0.16</v>
      </c>
      <c r="Q453" s="227">
        <f t="shared" ref="Q453:Q516" si="37">(M453+O453)*P453</f>
        <v>93.24</v>
      </c>
      <c r="R453" s="227">
        <f t="shared" ref="R453:R516" si="38">M453+O453+Q453</f>
        <v>675.99</v>
      </c>
      <c r="S453" s="229">
        <f>INDEX('Glosario Partidas'!$M$8:$M$10,MATCH(BD!K453,'Glosario Partidas'!$L$8:$L$10,0))</f>
        <v>17.5</v>
      </c>
      <c r="T453" s="227">
        <f t="shared" ref="T453:T516" si="39">R453*S453</f>
        <v>11829.825000000001</v>
      </c>
      <c r="U453" s="230" t="s">
        <v>315</v>
      </c>
      <c r="V453" s="231" t="s">
        <v>12</v>
      </c>
    </row>
    <row r="454" spans="2:22" ht="12" customHeight="1" x14ac:dyDescent="0.2">
      <c r="B454" s="63" t="s">
        <v>108</v>
      </c>
      <c r="C454" s="63" t="s">
        <v>433</v>
      </c>
      <c r="D454" s="78" t="s">
        <v>440</v>
      </c>
      <c r="E454" s="171" t="s">
        <v>220</v>
      </c>
      <c r="F454" s="78" t="s">
        <v>221</v>
      </c>
      <c r="G454" s="171" t="s">
        <v>487</v>
      </c>
      <c r="H454" s="224" t="s">
        <v>435</v>
      </c>
      <c r="I454" s="225" t="s">
        <v>410</v>
      </c>
      <c r="J454" s="224">
        <v>4</v>
      </c>
      <c r="K454" s="225" t="s">
        <v>153</v>
      </c>
      <c r="L454" s="226">
        <v>2445.6999999999998</v>
      </c>
      <c r="M454" s="227">
        <f t="shared" si="35"/>
        <v>9782.7999999999993</v>
      </c>
      <c r="N454" s="228">
        <v>0</v>
      </c>
      <c r="O454" s="227">
        <f t="shared" si="36"/>
        <v>0</v>
      </c>
      <c r="P454" s="228">
        <v>0.16</v>
      </c>
      <c r="Q454" s="227">
        <f t="shared" si="37"/>
        <v>1565.2479999999998</v>
      </c>
      <c r="R454" s="227">
        <f t="shared" si="38"/>
        <v>11348.047999999999</v>
      </c>
      <c r="S454" s="229">
        <f>INDEX('Glosario Partidas'!$M$8:$M$10,MATCH(BD!K454,'Glosario Partidas'!$L$8:$L$10,0))</f>
        <v>17.5</v>
      </c>
      <c r="T454" s="227">
        <f t="shared" si="39"/>
        <v>198590.83999999997</v>
      </c>
      <c r="U454" s="230" t="s">
        <v>315</v>
      </c>
      <c r="V454" s="231" t="s">
        <v>12</v>
      </c>
    </row>
    <row r="455" spans="2:22" ht="12" customHeight="1" x14ac:dyDescent="0.2">
      <c r="B455" s="63" t="s">
        <v>108</v>
      </c>
      <c r="C455" s="63" t="s">
        <v>433</v>
      </c>
      <c r="D455" s="78" t="s">
        <v>441</v>
      </c>
      <c r="E455" s="171" t="s">
        <v>220</v>
      </c>
      <c r="F455" s="78" t="s">
        <v>221</v>
      </c>
      <c r="G455" s="171" t="s">
        <v>487</v>
      </c>
      <c r="H455" s="224" t="s">
        <v>435</v>
      </c>
      <c r="I455" s="225" t="s">
        <v>410</v>
      </c>
      <c r="J455" s="224">
        <v>4</v>
      </c>
      <c r="K455" s="225" t="s">
        <v>153</v>
      </c>
      <c r="L455" s="226">
        <v>364.21</v>
      </c>
      <c r="M455" s="227">
        <f t="shared" si="35"/>
        <v>1456.84</v>
      </c>
      <c r="N455" s="228">
        <v>0</v>
      </c>
      <c r="O455" s="227">
        <f t="shared" si="36"/>
        <v>0</v>
      </c>
      <c r="P455" s="228">
        <v>0.16</v>
      </c>
      <c r="Q455" s="227">
        <f t="shared" si="37"/>
        <v>233.09439999999998</v>
      </c>
      <c r="R455" s="227">
        <f t="shared" si="38"/>
        <v>1689.9343999999999</v>
      </c>
      <c r="S455" s="229">
        <f>INDEX('Glosario Partidas'!$M$8:$M$10,MATCH(BD!K455,'Glosario Partidas'!$L$8:$L$10,0))</f>
        <v>17.5</v>
      </c>
      <c r="T455" s="227">
        <f t="shared" si="39"/>
        <v>29573.851999999999</v>
      </c>
      <c r="U455" s="230" t="s">
        <v>315</v>
      </c>
      <c r="V455" s="231" t="s">
        <v>12</v>
      </c>
    </row>
    <row r="456" spans="2:22" ht="12" customHeight="1" x14ac:dyDescent="0.2">
      <c r="B456" s="63" t="s">
        <v>108</v>
      </c>
      <c r="C456" s="63" t="s">
        <v>433</v>
      </c>
      <c r="D456" s="78" t="s">
        <v>442</v>
      </c>
      <c r="E456" s="171" t="s">
        <v>220</v>
      </c>
      <c r="F456" s="78" t="s">
        <v>221</v>
      </c>
      <c r="G456" s="171" t="s">
        <v>487</v>
      </c>
      <c r="H456" s="224" t="s">
        <v>435</v>
      </c>
      <c r="I456" s="225" t="s">
        <v>410</v>
      </c>
      <c r="J456" s="224">
        <v>4</v>
      </c>
      <c r="K456" s="225" t="s">
        <v>153</v>
      </c>
      <c r="L456" s="226">
        <v>209.38</v>
      </c>
      <c r="M456" s="227">
        <f t="shared" si="35"/>
        <v>837.52</v>
      </c>
      <c r="N456" s="228">
        <v>0</v>
      </c>
      <c r="O456" s="227">
        <f t="shared" si="36"/>
        <v>0</v>
      </c>
      <c r="P456" s="228">
        <v>0.16</v>
      </c>
      <c r="Q456" s="227">
        <f t="shared" si="37"/>
        <v>134.00319999999999</v>
      </c>
      <c r="R456" s="227">
        <f t="shared" si="38"/>
        <v>971.52319999999997</v>
      </c>
      <c r="S456" s="229">
        <f>INDEX('Glosario Partidas'!$M$8:$M$10,MATCH(BD!K456,'Glosario Partidas'!$L$8:$L$10,0))</f>
        <v>17.5</v>
      </c>
      <c r="T456" s="227">
        <f t="shared" si="39"/>
        <v>17001.655999999999</v>
      </c>
      <c r="U456" s="230" t="s">
        <v>315</v>
      </c>
      <c r="V456" s="231" t="s">
        <v>12</v>
      </c>
    </row>
    <row r="457" spans="2:22" ht="12" customHeight="1" x14ac:dyDescent="0.2">
      <c r="B457" s="63" t="s">
        <v>108</v>
      </c>
      <c r="C457" s="63" t="s">
        <v>433</v>
      </c>
      <c r="D457" s="78" t="s">
        <v>443</v>
      </c>
      <c r="E457" s="171" t="s">
        <v>220</v>
      </c>
      <c r="F457" s="78" t="s">
        <v>221</v>
      </c>
      <c r="G457" s="171" t="s">
        <v>487</v>
      </c>
      <c r="H457" s="224" t="s">
        <v>435</v>
      </c>
      <c r="I457" s="225" t="s">
        <v>410</v>
      </c>
      <c r="J457" s="224">
        <v>1</v>
      </c>
      <c r="K457" s="225" t="s">
        <v>153</v>
      </c>
      <c r="L457" s="226">
        <v>3198.65</v>
      </c>
      <c r="M457" s="227">
        <f t="shared" si="35"/>
        <v>3198.65</v>
      </c>
      <c r="N457" s="228">
        <v>0</v>
      </c>
      <c r="O457" s="227">
        <f t="shared" si="36"/>
        <v>0</v>
      </c>
      <c r="P457" s="228">
        <v>0.16</v>
      </c>
      <c r="Q457" s="227">
        <f t="shared" si="37"/>
        <v>511.78400000000005</v>
      </c>
      <c r="R457" s="227">
        <f t="shared" si="38"/>
        <v>3710.4340000000002</v>
      </c>
      <c r="S457" s="229">
        <f>INDEX('Glosario Partidas'!$M$8:$M$10,MATCH(BD!K457,'Glosario Partidas'!$L$8:$L$10,0))</f>
        <v>17.5</v>
      </c>
      <c r="T457" s="227">
        <f t="shared" si="39"/>
        <v>64932.595000000001</v>
      </c>
      <c r="U457" s="230" t="s">
        <v>315</v>
      </c>
      <c r="V457" s="231" t="s">
        <v>12</v>
      </c>
    </row>
    <row r="458" spans="2:22" ht="12" customHeight="1" x14ac:dyDescent="0.2">
      <c r="B458" s="63" t="s">
        <v>108</v>
      </c>
      <c r="C458" s="63" t="s">
        <v>433</v>
      </c>
      <c r="D458" s="78" t="s">
        <v>444</v>
      </c>
      <c r="E458" s="171" t="s">
        <v>220</v>
      </c>
      <c r="F458" s="78" t="s">
        <v>221</v>
      </c>
      <c r="G458" s="171" t="s">
        <v>487</v>
      </c>
      <c r="H458" s="224" t="s">
        <v>435</v>
      </c>
      <c r="I458" s="225" t="s">
        <v>410</v>
      </c>
      <c r="J458" s="224">
        <v>1</v>
      </c>
      <c r="K458" s="225" t="s">
        <v>153</v>
      </c>
      <c r="L458" s="226">
        <v>2577.33</v>
      </c>
      <c r="M458" s="227">
        <f t="shared" si="35"/>
        <v>2577.33</v>
      </c>
      <c r="N458" s="228">
        <v>0</v>
      </c>
      <c r="O458" s="227">
        <f t="shared" si="36"/>
        <v>0</v>
      </c>
      <c r="P458" s="228">
        <v>0.16</v>
      </c>
      <c r="Q458" s="227">
        <f t="shared" si="37"/>
        <v>412.37279999999998</v>
      </c>
      <c r="R458" s="227">
        <f t="shared" si="38"/>
        <v>2989.7028</v>
      </c>
      <c r="S458" s="229">
        <f>INDEX('Glosario Partidas'!$M$8:$M$10,MATCH(BD!K458,'Glosario Partidas'!$L$8:$L$10,0))</f>
        <v>17.5</v>
      </c>
      <c r="T458" s="227">
        <f t="shared" si="39"/>
        <v>52319.798999999999</v>
      </c>
      <c r="U458" s="230" t="s">
        <v>315</v>
      </c>
      <c r="V458" s="231" t="s">
        <v>12</v>
      </c>
    </row>
    <row r="459" spans="2:22" ht="12" customHeight="1" x14ac:dyDescent="0.2">
      <c r="B459" s="63" t="s">
        <v>108</v>
      </c>
      <c r="C459" s="63" t="s">
        <v>433</v>
      </c>
      <c r="D459" s="78" t="s">
        <v>445</v>
      </c>
      <c r="E459" s="171" t="s">
        <v>220</v>
      </c>
      <c r="F459" s="78" t="s">
        <v>221</v>
      </c>
      <c r="G459" s="171" t="s">
        <v>487</v>
      </c>
      <c r="H459" s="224" t="s">
        <v>435</v>
      </c>
      <c r="I459" s="225" t="s">
        <v>410</v>
      </c>
      <c r="J459" s="224">
        <v>1</v>
      </c>
      <c r="K459" s="225" t="s">
        <v>153</v>
      </c>
      <c r="L459" s="226">
        <v>220.8</v>
      </c>
      <c r="M459" s="227">
        <f t="shared" si="35"/>
        <v>220.8</v>
      </c>
      <c r="N459" s="228">
        <v>0</v>
      </c>
      <c r="O459" s="227">
        <f t="shared" si="36"/>
        <v>0</v>
      </c>
      <c r="P459" s="228">
        <v>0.16</v>
      </c>
      <c r="Q459" s="227">
        <f t="shared" si="37"/>
        <v>35.328000000000003</v>
      </c>
      <c r="R459" s="227">
        <f t="shared" si="38"/>
        <v>256.12800000000004</v>
      </c>
      <c r="S459" s="229">
        <f>INDEX('Glosario Partidas'!$M$8:$M$10,MATCH(BD!K459,'Glosario Partidas'!$L$8:$L$10,0))</f>
        <v>17.5</v>
      </c>
      <c r="T459" s="227">
        <f t="shared" si="39"/>
        <v>4482.2400000000007</v>
      </c>
      <c r="U459" s="230" t="s">
        <v>315</v>
      </c>
      <c r="V459" s="231" t="s">
        <v>12</v>
      </c>
    </row>
    <row r="460" spans="2:22" ht="12" customHeight="1" x14ac:dyDescent="0.2">
      <c r="B460" s="63" t="s">
        <v>108</v>
      </c>
      <c r="C460" s="63" t="s">
        <v>433</v>
      </c>
      <c r="D460" s="78" t="s">
        <v>446</v>
      </c>
      <c r="E460" s="171" t="s">
        <v>220</v>
      </c>
      <c r="F460" s="78" t="s">
        <v>221</v>
      </c>
      <c r="G460" s="171" t="s">
        <v>487</v>
      </c>
      <c r="H460" s="224" t="s">
        <v>435</v>
      </c>
      <c r="I460" s="225" t="s">
        <v>410</v>
      </c>
      <c r="J460" s="224">
        <v>1</v>
      </c>
      <c r="K460" s="225" t="s">
        <v>153</v>
      </c>
      <c r="L460" s="226">
        <v>5986.81</v>
      </c>
      <c r="M460" s="227">
        <f t="shared" si="35"/>
        <v>5986.81</v>
      </c>
      <c r="N460" s="228">
        <v>0</v>
      </c>
      <c r="O460" s="227">
        <f t="shared" si="36"/>
        <v>0</v>
      </c>
      <c r="P460" s="228">
        <v>0.16</v>
      </c>
      <c r="Q460" s="227">
        <f t="shared" si="37"/>
        <v>957.88960000000009</v>
      </c>
      <c r="R460" s="227">
        <f t="shared" si="38"/>
        <v>6944.6996000000008</v>
      </c>
      <c r="S460" s="229">
        <f>INDEX('Glosario Partidas'!$M$8:$M$10,MATCH(BD!K460,'Glosario Partidas'!$L$8:$L$10,0))</f>
        <v>17.5</v>
      </c>
      <c r="T460" s="227">
        <f t="shared" si="39"/>
        <v>121532.24300000002</v>
      </c>
      <c r="U460" s="230" t="s">
        <v>315</v>
      </c>
      <c r="V460" s="231" t="s">
        <v>12</v>
      </c>
    </row>
    <row r="461" spans="2:22" ht="12" customHeight="1" x14ac:dyDescent="0.2">
      <c r="B461" s="63" t="s">
        <v>108</v>
      </c>
      <c r="C461" s="63" t="s">
        <v>433</v>
      </c>
      <c r="D461" s="233" t="s">
        <v>447</v>
      </c>
      <c r="E461" s="171" t="s">
        <v>220</v>
      </c>
      <c r="F461" s="78" t="s">
        <v>221</v>
      </c>
      <c r="G461" s="171" t="s">
        <v>487</v>
      </c>
      <c r="H461" s="224" t="s">
        <v>435</v>
      </c>
      <c r="I461" s="225" t="s">
        <v>410</v>
      </c>
      <c r="J461" s="224">
        <v>1</v>
      </c>
      <c r="K461" s="225" t="s">
        <v>153</v>
      </c>
      <c r="L461" s="226">
        <v>0</v>
      </c>
      <c r="M461" s="227">
        <f t="shared" si="35"/>
        <v>0</v>
      </c>
      <c r="N461" s="228">
        <v>0</v>
      </c>
      <c r="O461" s="227">
        <f t="shared" si="36"/>
        <v>0</v>
      </c>
      <c r="P461" s="228">
        <v>0.16</v>
      </c>
      <c r="Q461" s="227">
        <f t="shared" si="37"/>
        <v>0</v>
      </c>
      <c r="R461" s="227">
        <f t="shared" si="38"/>
        <v>0</v>
      </c>
      <c r="S461" s="229">
        <f>INDEX('Glosario Partidas'!$M$8:$M$10,MATCH(BD!K461,'Glosario Partidas'!$L$8:$L$10,0))</f>
        <v>17.5</v>
      </c>
      <c r="T461" s="227">
        <f t="shared" si="39"/>
        <v>0</v>
      </c>
      <c r="U461" s="230" t="s">
        <v>315</v>
      </c>
      <c r="V461" s="231" t="s">
        <v>12</v>
      </c>
    </row>
    <row r="462" spans="2:22" ht="12" customHeight="1" x14ac:dyDescent="0.2">
      <c r="B462" s="63" t="s">
        <v>108</v>
      </c>
      <c r="C462" s="63" t="s">
        <v>433</v>
      </c>
      <c r="D462" s="78" t="s">
        <v>448</v>
      </c>
      <c r="E462" s="171" t="s">
        <v>220</v>
      </c>
      <c r="F462" s="78" t="s">
        <v>221</v>
      </c>
      <c r="G462" s="171" t="s">
        <v>487</v>
      </c>
      <c r="H462" s="224" t="s">
        <v>435</v>
      </c>
      <c r="I462" s="225" t="s">
        <v>410</v>
      </c>
      <c r="J462" s="224">
        <v>0</v>
      </c>
      <c r="K462" s="225" t="s">
        <v>153</v>
      </c>
      <c r="L462" s="226">
        <v>1994.83</v>
      </c>
      <c r="M462" s="227">
        <f t="shared" si="35"/>
        <v>0</v>
      </c>
      <c r="N462" s="228">
        <v>0</v>
      </c>
      <c r="O462" s="227">
        <f t="shared" si="36"/>
        <v>0</v>
      </c>
      <c r="P462" s="228">
        <v>0.16</v>
      </c>
      <c r="Q462" s="227">
        <f t="shared" si="37"/>
        <v>0</v>
      </c>
      <c r="R462" s="227">
        <f t="shared" si="38"/>
        <v>0</v>
      </c>
      <c r="S462" s="229">
        <f>INDEX('Glosario Partidas'!$M$8:$M$10,MATCH(BD!K462,'Glosario Partidas'!$L$8:$L$10,0))</f>
        <v>17.5</v>
      </c>
      <c r="T462" s="227">
        <f t="shared" si="39"/>
        <v>0</v>
      </c>
      <c r="U462" s="230" t="s">
        <v>315</v>
      </c>
      <c r="V462" s="231" t="s">
        <v>12</v>
      </c>
    </row>
    <row r="463" spans="2:22" ht="12" customHeight="1" x14ac:dyDescent="0.2">
      <c r="B463" s="63" t="s">
        <v>108</v>
      </c>
      <c r="C463" s="63" t="s">
        <v>433</v>
      </c>
      <c r="D463" s="78" t="s">
        <v>449</v>
      </c>
      <c r="E463" s="171" t="s">
        <v>220</v>
      </c>
      <c r="F463" s="78" t="s">
        <v>221</v>
      </c>
      <c r="G463" s="171" t="s">
        <v>487</v>
      </c>
      <c r="H463" s="224" t="s">
        <v>435</v>
      </c>
      <c r="I463" s="225" t="s">
        <v>410</v>
      </c>
      <c r="J463" s="224">
        <v>1</v>
      </c>
      <c r="K463" s="225" t="s">
        <v>153</v>
      </c>
      <c r="L463" s="226">
        <v>2265.08</v>
      </c>
      <c r="M463" s="227">
        <f t="shared" si="35"/>
        <v>2265.08</v>
      </c>
      <c r="N463" s="228">
        <v>0</v>
      </c>
      <c r="O463" s="227">
        <f t="shared" si="36"/>
        <v>0</v>
      </c>
      <c r="P463" s="228">
        <v>0.16</v>
      </c>
      <c r="Q463" s="227">
        <f t="shared" si="37"/>
        <v>362.4128</v>
      </c>
      <c r="R463" s="227">
        <f t="shared" si="38"/>
        <v>2627.4928</v>
      </c>
      <c r="S463" s="229">
        <f>INDEX('Glosario Partidas'!$M$8:$M$10,MATCH(BD!K463,'Glosario Partidas'!$L$8:$L$10,0))</f>
        <v>17.5</v>
      </c>
      <c r="T463" s="227">
        <f t="shared" si="39"/>
        <v>45981.123999999996</v>
      </c>
      <c r="U463" s="230" t="s">
        <v>315</v>
      </c>
      <c r="V463" s="231" t="s">
        <v>12</v>
      </c>
    </row>
    <row r="464" spans="2:22" ht="12" customHeight="1" x14ac:dyDescent="0.2">
      <c r="B464" s="63" t="s">
        <v>108</v>
      </c>
      <c r="C464" s="63" t="s">
        <v>433</v>
      </c>
      <c r="D464" s="78" t="s">
        <v>450</v>
      </c>
      <c r="E464" s="171" t="s">
        <v>220</v>
      </c>
      <c r="F464" s="78" t="s">
        <v>221</v>
      </c>
      <c r="G464" s="171" t="s">
        <v>487</v>
      </c>
      <c r="H464" s="224" t="s">
        <v>435</v>
      </c>
      <c r="I464" s="225" t="s">
        <v>410</v>
      </c>
      <c r="J464" s="224">
        <v>0</v>
      </c>
      <c r="K464" s="225" t="s">
        <v>153</v>
      </c>
      <c r="L464" s="226">
        <v>184.45</v>
      </c>
      <c r="M464" s="227">
        <f t="shared" si="35"/>
        <v>0</v>
      </c>
      <c r="N464" s="228">
        <v>0</v>
      </c>
      <c r="O464" s="227"/>
      <c r="P464" s="228">
        <v>0.16</v>
      </c>
      <c r="Q464" s="227">
        <f t="shared" si="37"/>
        <v>0</v>
      </c>
      <c r="R464" s="227">
        <f t="shared" si="38"/>
        <v>0</v>
      </c>
      <c r="S464" s="229">
        <f>INDEX('Glosario Partidas'!$M$8:$M$10,MATCH(BD!K464,'Glosario Partidas'!$L$8:$L$10,0))</f>
        <v>17.5</v>
      </c>
      <c r="T464" s="227">
        <f t="shared" si="39"/>
        <v>0</v>
      </c>
      <c r="U464" s="230" t="s">
        <v>315</v>
      </c>
      <c r="V464" s="231" t="s">
        <v>12</v>
      </c>
    </row>
    <row r="465" spans="2:22" ht="12" customHeight="1" x14ac:dyDescent="0.2">
      <c r="B465" s="63" t="s">
        <v>108</v>
      </c>
      <c r="C465" s="63" t="s">
        <v>433</v>
      </c>
      <c r="D465" s="78" t="s">
        <v>451</v>
      </c>
      <c r="E465" s="171" t="s">
        <v>220</v>
      </c>
      <c r="F465" s="78" t="s">
        <v>221</v>
      </c>
      <c r="G465" s="171" t="s">
        <v>487</v>
      </c>
      <c r="H465" s="224" t="s">
        <v>435</v>
      </c>
      <c r="I465" s="225" t="s">
        <v>410</v>
      </c>
      <c r="J465" s="224">
        <v>0</v>
      </c>
      <c r="K465" s="225" t="s">
        <v>153</v>
      </c>
      <c r="L465" s="226">
        <v>2984.59</v>
      </c>
      <c r="M465" s="227">
        <f t="shared" si="35"/>
        <v>0</v>
      </c>
      <c r="N465" s="228">
        <v>0</v>
      </c>
      <c r="O465" s="227"/>
      <c r="P465" s="228">
        <v>0.16</v>
      </c>
      <c r="Q465" s="227">
        <f t="shared" si="37"/>
        <v>0</v>
      </c>
      <c r="R465" s="227">
        <f t="shared" si="38"/>
        <v>0</v>
      </c>
      <c r="S465" s="229">
        <f>INDEX('Glosario Partidas'!$M$8:$M$10,MATCH(BD!K465,'Glosario Partidas'!$L$8:$L$10,0))</f>
        <v>17.5</v>
      </c>
      <c r="T465" s="227">
        <f t="shared" si="39"/>
        <v>0</v>
      </c>
      <c r="U465" s="230" t="s">
        <v>315</v>
      </c>
      <c r="V465" s="231" t="s">
        <v>12</v>
      </c>
    </row>
    <row r="466" spans="2:22" ht="12" customHeight="1" x14ac:dyDescent="0.2">
      <c r="B466" s="63" t="s">
        <v>108</v>
      </c>
      <c r="C466" s="63" t="s">
        <v>433</v>
      </c>
      <c r="D466" s="78" t="s">
        <v>452</v>
      </c>
      <c r="E466" s="171" t="s">
        <v>220</v>
      </c>
      <c r="F466" s="78" t="s">
        <v>221</v>
      </c>
      <c r="G466" s="171" t="s">
        <v>487</v>
      </c>
      <c r="H466" s="224" t="s">
        <v>435</v>
      </c>
      <c r="I466" s="225" t="s">
        <v>410</v>
      </c>
      <c r="J466" s="224">
        <v>4</v>
      </c>
      <c r="K466" s="225" t="s">
        <v>153</v>
      </c>
      <c r="L466" s="226">
        <v>523.80999999999995</v>
      </c>
      <c r="M466" s="227">
        <f t="shared" si="35"/>
        <v>2095.2399999999998</v>
      </c>
      <c r="N466" s="228">
        <v>0</v>
      </c>
      <c r="O466" s="227"/>
      <c r="P466" s="228">
        <v>0.16</v>
      </c>
      <c r="Q466" s="227">
        <f t="shared" si="37"/>
        <v>335.23839999999996</v>
      </c>
      <c r="R466" s="227">
        <f t="shared" si="38"/>
        <v>2430.4784</v>
      </c>
      <c r="S466" s="229">
        <f>INDEX('Glosario Partidas'!$M$8:$M$10,MATCH(BD!K466,'Glosario Partidas'!$L$8:$L$10,0))</f>
        <v>17.5</v>
      </c>
      <c r="T466" s="227">
        <f t="shared" si="39"/>
        <v>42533.372000000003</v>
      </c>
      <c r="U466" s="230" t="s">
        <v>315</v>
      </c>
      <c r="V466" s="231" t="s">
        <v>12</v>
      </c>
    </row>
    <row r="467" spans="2:22" ht="12" customHeight="1" x14ac:dyDescent="0.2">
      <c r="B467" s="63" t="s">
        <v>108</v>
      </c>
      <c r="C467" s="63" t="s">
        <v>453</v>
      </c>
      <c r="D467" s="78" t="s">
        <v>313</v>
      </c>
      <c r="E467" s="171" t="s">
        <v>220</v>
      </c>
      <c r="F467" s="78" t="s">
        <v>221</v>
      </c>
      <c r="G467" s="171" t="s">
        <v>487</v>
      </c>
      <c r="H467" s="224" t="s">
        <v>293</v>
      </c>
      <c r="I467" s="225" t="s">
        <v>314</v>
      </c>
      <c r="J467" s="224">
        <v>1</v>
      </c>
      <c r="K467" s="225" t="s">
        <v>269</v>
      </c>
      <c r="L467" s="226">
        <v>0</v>
      </c>
      <c r="M467" s="227">
        <f t="shared" si="35"/>
        <v>0</v>
      </c>
      <c r="N467" s="228">
        <v>0</v>
      </c>
      <c r="O467" s="227">
        <f t="shared" ref="O467:O482" si="40">M467*N467</f>
        <v>0</v>
      </c>
      <c r="P467" s="228">
        <v>0</v>
      </c>
      <c r="Q467" s="227">
        <f t="shared" si="37"/>
        <v>0</v>
      </c>
      <c r="R467" s="227">
        <f t="shared" si="38"/>
        <v>0</v>
      </c>
      <c r="S467" s="229">
        <f>INDEX('Glosario Partidas'!$M$8:$M$10,MATCH(BD!K467,'Glosario Partidas'!$L$8:$L$10,0))</f>
        <v>1</v>
      </c>
      <c r="T467" s="227">
        <f t="shared" si="39"/>
        <v>0</v>
      </c>
      <c r="U467" s="230" t="s">
        <v>315</v>
      </c>
      <c r="V467" s="231" t="s">
        <v>13</v>
      </c>
    </row>
    <row r="468" spans="2:22" ht="12" customHeight="1" x14ac:dyDescent="0.2">
      <c r="B468" s="63" t="s">
        <v>108</v>
      </c>
      <c r="C468" s="63" t="s">
        <v>454</v>
      </c>
      <c r="D468" s="78" t="s">
        <v>434</v>
      </c>
      <c r="E468" s="171" t="s">
        <v>220</v>
      </c>
      <c r="F468" s="78" t="s">
        <v>354</v>
      </c>
      <c r="G468" s="171" t="s">
        <v>487</v>
      </c>
      <c r="H468" s="224" t="s">
        <v>435</v>
      </c>
      <c r="I468" s="225" t="s">
        <v>410</v>
      </c>
      <c r="J468" s="224">
        <v>5</v>
      </c>
      <c r="K468" s="225" t="s">
        <v>153</v>
      </c>
      <c r="L468" s="226">
        <v>270.36</v>
      </c>
      <c r="M468" s="227">
        <f t="shared" si="35"/>
        <v>1351.8000000000002</v>
      </c>
      <c r="N468" s="228">
        <v>0</v>
      </c>
      <c r="O468" s="227">
        <f t="shared" si="40"/>
        <v>0</v>
      </c>
      <c r="P468" s="228">
        <v>0.16</v>
      </c>
      <c r="Q468" s="227">
        <f t="shared" si="37"/>
        <v>216.28800000000004</v>
      </c>
      <c r="R468" s="227">
        <f t="shared" si="38"/>
        <v>1568.0880000000002</v>
      </c>
      <c r="S468" s="229">
        <f>INDEX('Glosario Partidas'!$M$8:$M$10,MATCH(BD!K468,'Glosario Partidas'!$L$8:$L$10,0))</f>
        <v>17.5</v>
      </c>
      <c r="T468" s="227">
        <f t="shared" si="39"/>
        <v>27441.540000000005</v>
      </c>
      <c r="U468" s="230" t="s">
        <v>315</v>
      </c>
      <c r="V468" s="231" t="s">
        <v>12</v>
      </c>
    </row>
    <row r="469" spans="2:22" ht="12" customHeight="1" x14ac:dyDescent="0.2">
      <c r="B469" s="63" t="s">
        <v>108</v>
      </c>
      <c r="C469" s="63" t="s">
        <v>454</v>
      </c>
      <c r="D469" s="78" t="s">
        <v>436</v>
      </c>
      <c r="E469" s="171" t="s">
        <v>220</v>
      </c>
      <c r="F469" s="78" t="s">
        <v>354</v>
      </c>
      <c r="G469" s="171" t="s">
        <v>487</v>
      </c>
      <c r="H469" s="224" t="s">
        <v>435</v>
      </c>
      <c r="I469" s="225" t="s">
        <v>410</v>
      </c>
      <c r="J469" s="224">
        <v>8</v>
      </c>
      <c r="K469" s="225" t="s">
        <v>153</v>
      </c>
      <c r="L469" s="226">
        <v>60.77</v>
      </c>
      <c r="M469" s="227">
        <f t="shared" si="35"/>
        <v>486.16</v>
      </c>
      <c r="N469" s="228">
        <v>0</v>
      </c>
      <c r="O469" s="227">
        <f t="shared" si="40"/>
        <v>0</v>
      </c>
      <c r="P469" s="228">
        <v>0.16</v>
      </c>
      <c r="Q469" s="227">
        <f t="shared" si="37"/>
        <v>77.785600000000002</v>
      </c>
      <c r="R469" s="227">
        <f t="shared" si="38"/>
        <v>563.94560000000001</v>
      </c>
      <c r="S469" s="229">
        <f>INDEX('Glosario Partidas'!$M$8:$M$10,MATCH(BD!K469,'Glosario Partidas'!$L$8:$L$10,0))</f>
        <v>17.5</v>
      </c>
      <c r="T469" s="227">
        <f t="shared" si="39"/>
        <v>9869.0480000000007</v>
      </c>
      <c r="U469" s="230" t="s">
        <v>315</v>
      </c>
      <c r="V469" s="231" t="s">
        <v>12</v>
      </c>
    </row>
    <row r="470" spans="2:22" ht="12" customHeight="1" x14ac:dyDescent="0.2">
      <c r="B470" s="63" t="s">
        <v>108</v>
      </c>
      <c r="C470" s="63" t="s">
        <v>454</v>
      </c>
      <c r="D470" s="78" t="s">
        <v>437</v>
      </c>
      <c r="E470" s="171" t="s">
        <v>220</v>
      </c>
      <c r="F470" s="78" t="s">
        <v>354</v>
      </c>
      <c r="G470" s="171" t="s">
        <v>487</v>
      </c>
      <c r="H470" s="224" t="s">
        <v>435</v>
      </c>
      <c r="I470" s="225" t="s">
        <v>410</v>
      </c>
      <c r="J470" s="224">
        <v>9</v>
      </c>
      <c r="K470" s="225" t="s">
        <v>153</v>
      </c>
      <c r="L470" s="226">
        <v>647.5</v>
      </c>
      <c r="M470" s="227">
        <f t="shared" si="35"/>
        <v>5827.5</v>
      </c>
      <c r="N470" s="228">
        <v>0</v>
      </c>
      <c r="O470" s="227">
        <f t="shared" si="40"/>
        <v>0</v>
      </c>
      <c r="P470" s="228">
        <v>0.16</v>
      </c>
      <c r="Q470" s="227">
        <f t="shared" si="37"/>
        <v>932.4</v>
      </c>
      <c r="R470" s="227">
        <f t="shared" si="38"/>
        <v>6759.9</v>
      </c>
      <c r="S470" s="229">
        <f>INDEX('Glosario Partidas'!$M$8:$M$10,MATCH(BD!K470,'Glosario Partidas'!$L$8:$L$10,0))</f>
        <v>17.5</v>
      </c>
      <c r="T470" s="227">
        <f t="shared" si="39"/>
        <v>118298.25</v>
      </c>
      <c r="U470" s="230" t="s">
        <v>315</v>
      </c>
      <c r="V470" s="231" t="s">
        <v>12</v>
      </c>
    </row>
    <row r="471" spans="2:22" ht="12" customHeight="1" x14ac:dyDescent="0.2">
      <c r="B471" s="63" t="s">
        <v>108</v>
      </c>
      <c r="C471" s="63" t="s">
        <v>454</v>
      </c>
      <c r="D471" s="78" t="s">
        <v>438</v>
      </c>
      <c r="E471" s="171" t="s">
        <v>220</v>
      </c>
      <c r="F471" s="78" t="s">
        <v>354</v>
      </c>
      <c r="G471" s="171" t="s">
        <v>487</v>
      </c>
      <c r="H471" s="224" t="s">
        <v>435</v>
      </c>
      <c r="I471" s="225" t="s">
        <v>410</v>
      </c>
      <c r="J471" s="224">
        <v>9</v>
      </c>
      <c r="K471" s="225" t="s">
        <v>153</v>
      </c>
      <c r="L471" s="226">
        <v>388.5</v>
      </c>
      <c r="M471" s="227">
        <f t="shared" si="35"/>
        <v>3496.5</v>
      </c>
      <c r="N471" s="228">
        <v>0</v>
      </c>
      <c r="O471" s="227">
        <f t="shared" si="40"/>
        <v>0</v>
      </c>
      <c r="P471" s="228">
        <v>0.16</v>
      </c>
      <c r="Q471" s="227">
        <f t="shared" si="37"/>
        <v>559.44000000000005</v>
      </c>
      <c r="R471" s="227">
        <f t="shared" si="38"/>
        <v>4055.94</v>
      </c>
      <c r="S471" s="229">
        <f>INDEX('Glosario Partidas'!$M$8:$M$10,MATCH(BD!K471,'Glosario Partidas'!$L$8:$L$10,0))</f>
        <v>17.5</v>
      </c>
      <c r="T471" s="227">
        <f t="shared" si="39"/>
        <v>70978.95</v>
      </c>
      <c r="U471" s="230" t="s">
        <v>315</v>
      </c>
      <c r="V471" s="231" t="s">
        <v>12</v>
      </c>
    </row>
    <row r="472" spans="2:22" ht="12" customHeight="1" x14ac:dyDescent="0.2">
      <c r="B472" s="63" t="s">
        <v>108</v>
      </c>
      <c r="C472" s="63" t="s">
        <v>454</v>
      </c>
      <c r="D472" s="78" t="s">
        <v>439</v>
      </c>
      <c r="E472" s="171" t="s">
        <v>220</v>
      </c>
      <c r="F472" s="78" t="s">
        <v>354</v>
      </c>
      <c r="G472" s="171" t="s">
        <v>487</v>
      </c>
      <c r="H472" s="224" t="s">
        <v>435</v>
      </c>
      <c r="I472" s="225" t="s">
        <v>410</v>
      </c>
      <c r="J472" s="224">
        <v>1</v>
      </c>
      <c r="K472" s="225" t="s">
        <v>153</v>
      </c>
      <c r="L472" s="226">
        <v>582.75</v>
      </c>
      <c r="M472" s="227">
        <f t="shared" si="35"/>
        <v>582.75</v>
      </c>
      <c r="N472" s="228">
        <v>0</v>
      </c>
      <c r="O472" s="227">
        <f t="shared" si="40"/>
        <v>0</v>
      </c>
      <c r="P472" s="228">
        <v>0.16</v>
      </c>
      <c r="Q472" s="227">
        <f t="shared" si="37"/>
        <v>93.24</v>
      </c>
      <c r="R472" s="227">
        <f t="shared" si="38"/>
        <v>675.99</v>
      </c>
      <c r="S472" s="229">
        <f>INDEX('Glosario Partidas'!$M$8:$M$10,MATCH(BD!K472,'Glosario Partidas'!$L$8:$L$10,0))</f>
        <v>17.5</v>
      </c>
      <c r="T472" s="227">
        <f t="shared" si="39"/>
        <v>11829.825000000001</v>
      </c>
      <c r="U472" s="230" t="s">
        <v>315</v>
      </c>
      <c r="V472" s="231" t="s">
        <v>12</v>
      </c>
    </row>
    <row r="473" spans="2:22" ht="12" customHeight="1" x14ac:dyDescent="0.2">
      <c r="B473" s="63" t="s">
        <v>108</v>
      </c>
      <c r="C473" s="63" t="s">
        <v>454</v>
      </c>
      <c r="D473" s="78" t="s">
        <v>440</v>
      </c>
      <c r="E473" s="171" t="s">
        <v>220</v>
      </c>
      <c r="F473" s="78" t="s">
        <v>354</v>
      </c>
      <c r="G473" s="171" t="s">
        <v>487</v>
      </c>
      <c r="H473" s="224" t="s">
        <v>435</v>
      </c>
      <c r="I473" s="225" t="s">
        <v>410</v>
      </c>
      <c r="J473" s="224">
        <v>4</v>
      </c>
      <c r="K473" s="225" t="s">
        <v>153</v>
      </c>
      <c r="L473" s="226">
        <v>2445.6999999999998</v>
      </c>
      <c r="M473" s="227">
        <f t="shared" si="35"/>
        <v>9782.7999999999993</v>
      </c>
      <c r="N473" s="228">
        <v>0</v>
      </c>
      <c r="O473" s="227">
        <f t="shared" si="40"/>
        <v>0</v>
      </c>
      <c r="P473" s="228">
        <v>0.16</v>
      </c>
      <c r="Q473" s="227">
        <f t="shared" si="37"/>
        <v>1565.2479999999998</v>
      </c>
      <c r="R473" s="227">
        <f t="shared" si="38"/>
        <v>11348.047999999999</v>
      </c>
      <c r="S473" s="229">
        <f>INDEX('Glosario Partidas'!$M$8:$M$10,MATCH(BD!K473,'Glosario Partidas'!$L$8:$L$10,0))</f>
        <v>17.5</v>
      </c>
      <c r="T473" s="227">
        <f t="shared" si="39"/>
        <v>198590.83999999997</v>
      </c>
      <c r="U473" s="230" t="s">
        <v>315</v>
      </c>
      <c r="V473" s="231" t="s">
        <v>12</v>
      </c>
    </row>
    <row r="474" spans="2:22" ht="12" customHeight="1" x14ac:dyDescent="0.2">
      <c r="B474" s="63" t="s">
        <v>108</v>
      </c>
      <c r="C474" s="63" t="s">
        <v>454</v>
      </c>
      <c r="D474" s="78" t="s">
        <v>441</v>
      </c>
      <c r="E474" s="171" t="s">
        <v>220</v>
      </c>
      <c r="F474" s="78" t="s">
        <v>354</v>
      </c>
      <c r="G474" s="171" t="s">
        <v>487</v>
      </c>
      <c r="H474" s="224" t="s">
        <v>435</v>
      </c>
      <c r="I474" s="225" t="s">
        <v>410</v>
      </c>
      <c r="J474" s="224">
        <v>4</v>
      </c>
      <c r="K474" s="225" t="s">
        <v>153</v>
      </c>
      <c r="L474" s="226">
        <v>364.21</v>
      </c>
      <c r="M474" s="227">
        <f t="shared" si="35"/>
        <v>1456.84</v>
      </c>
      <c r="N474" s="228">
        <v>0</v>
      </c>
      <c r="O474" s="227">
        <f t="shared" si="40"/>
        <v>0</v>
      </c>
      <c r="P474" s="228">
        <v>0.16</v>
      </c>
      <c r="Q474" s="227">
        <f t="shared" si="37"/>
        <v>233.09439999999998</v>
      </c>
      <c r="R474" s="227">
        <f t="shared" si="38"/>
        <v>1689.9343999999999</v>
      </c>
      <c r="S474" s="229">
        <f>INDEX('Glosario Partidas'!$M$8:$M$10,MATCH(BD!K474,'Glosario Partidas'!$L$8:$L$10,0))</f>
        <v>17.5</v>
      </c>
      <c r="T474" s="227">
        <f t="shared" si="39"/>
        <v>29573.851999999999</v>
      </c>
      <c r="U474" s="230" t="s">
        <v>315</v>
      </c>
      <c r="V474" s="231" t="s">
        <v>12</v>
      </c>
    </row>
    <row r="475" spans="2:22" ht="12" customHeight="1" x14ac:dyDescent="0.2">
      <c r="B475" s="63" t="s">
        <v>108</v>
      </c>
      <c r="C475" s="63" t="s">
        <v>454</v>
      </c>
      <c r="D475" s="78" t="s">
        <v>442</v>
      </c>
      <c r="E475" s="171" t="s">
        <v>220</v>
      </c>
      <c r="F475" s="78" t="s">
        <v>354</v>
      </c>
      <c r="G475" s="171" t="s">
        <v>487</v>
      </c>
      <c r="H475" s="224" t="s">
        <v>435</v>
      </c>
      <c r="I475" s="225" t="s">
        <v>410</v>
      </c>
      <c r="J475" s="224">
        <v>4</v>
      </c>
      <c r="K475" s="225" t="s">
        <v>153</v>
      </c>
      <c r="L475" s="226">
        <v>209.38</v>
      </c>
      <c r="M475" s="227">
        <f t="shared" si="35"/>
        <v>837.52</v>
      </c>
      <c r="N475" s="228">
        <v>0</v>
      </c>
      <c r="O475" s="227">
        <f t="shared" si="40"/>
        <v>0</v>
      </c>
      <c r="P475" s="228">
        <v>0.16</v>
      </c>
      <c r="Q475" s="227">
        <f t="shared" si="37"/>
        <v>134.00319999999999</v>
      </c>
      <c r="R475" s="227">
        <f t="shared" si="38"/>
        <v>971.52319999999997</v>
      </c>
      <c r="S475" s="229">
        <f>INDEX('Glosario Partidas'!$M$8:$M$10,MATCH(BD!K475,'Glosario Partidas'!$L$8:$L$10,0))</f>
        <v>17.5</v>
      </c>
      <c r="T475" s="227">
        <f t="shared" si="39"/>
        <v>17001.655999999999</v>
      </c>
      <c r="U475" s="230" t="s">
        <v>315</v>
      </c>
      <c r="V475" s="231" t="s">
        <v>12</v>
      </c>
    </row>
    <row r="476" spans="2:22" ht="12" customHeight="1" x14ac:dyDescent="0.2">
      <c r="B476" s="63" t="s">
        <v>108</v>
      </c>
      <c r="C476" s="63" t="s">
        <v>454</v>
      </c>
      <c r="D476" s="78" t="s">
        <v>443</v>
      </c>
      <c r="E476" s="171" t="s">
        <v>220</v>
      </c>
      <c r="F476" s="78" t="s">
        <v>354</v>
      </c>
      <c r="G476" s="171" t="s">
        <v>487</v>
      </c>
      <c r="H476" s="224" t="s">
        <v>435</v>
      </c>
      <c r="I476" s="225" t="s">
        <v>410</v>
      </c>
      <c r="J476" s="224">
        <v>1</v>
      </c>
      <c r="K476" s="225" t="s">
        <v>153</v>
      </c>
      <c r="L476" s="226">
        <v>3198.65</v>
      </c>
      <c r="M476" s="227">
        <f t="shared" si="35"/>
        <v>3198.65</v>
      </c>
      <c r="N476" s="228">
        <v>0</v>
      </c>
      <c r="O476" s="227">
        <f t="shared" si="40"/>
        <v>0</v>
      </c>
      <c r="P476" s="228">
        <v>0.16</v>
      </c>
      <c r="Q476" s="227">
        <f t="shared" si="37"/>
        <v>511.78400000000005</v>
      </c>
      <c r="R476" s="227">
        <f t="shared" si="38"/>
        <v>3710.4340000000002</v>
      </c>
      <c r="S476" s="229">
        <f>INDEX('Glosario Partidas'!$M$8:$M$10,MATCH(BD!K476,'Glosario Partidas'!$L$8:$L$10,0))</f>
        <v>17.5</v>
      </c>
      <c r="T476" s="227">
        <f t="shared" si="39"/>
        <v>64932.595000000001</v>
      </c>
      <c r="U476" s="230" t="s">
        <v>315</v>
      </c>
      <c r="V476" s="231" t="s">
        <v>12</v>
      </c>
    </row>
    <row r="477" spans="2:22" ht="12" customHeight="1" x14ac:dyDescent="0.2">
      <c r="B477" s="63" t="s">
        <v>108</v>
      </c>
      <c r="C477" s="63" t="s">
        <v>454</v>
      </c>
      <c r="D477" s="78" t="s">
        <v>444</v>
      </c>
      <c r="E477" s="171" t="s">
        <v>220</v>
      </c>
      <c r="F477" s="78" t="s">
        <v>354</v>
      </c>
      <c r="G477" s="171" t="s">
        <v>487</v>
      </c>
      <c r="H477" s="224" t="s">
        <v>435</v>
      </c>
      <c r="I477" s="225" t="s">
        <v>410</v>
      </c>
      <c r="J477" s="224">
        <v>1</v>
      </c>
      <c r="K477" s="225" t="s">
        <v>153</v>
      </c>
      <c r="L477" s="226">
        <v>2577.33</v>
      </c>
      <c r="M477" s="227">
        <f t="shared" si="35"/>
        <v>2577.33</v>
      </c>
      <c r="N477" s="228">
        <v>0</v>
      </c>
      <c r="O477" s="227">
        <f t="shared" si="40"/>
        <v>0</v>
      </c>
      <c r="P477" s="228">
        <v>0.16</v>
      </c>
      <c r="Q477" s="227">
        <f t="shared" si="37"/>
        <v>412.37279999999998</v>
      </c>
      <c r="R477" s="227">
        <f t="shared" si="38"/>
        <v>2989.7028</v>
      </c>
      <c r="S477" s="229">
        <f>INDEX('Glosario Partidas'!$M$8:$M$10,MATCH(BD!K477,'Glosario Partidas'!$L$8:$L$10,0))</f>
        <v>17.5</v>
      </c>
      <c r="T477" s="227">
        <f t="shared" si="39"/>
        <v>52319.798999999999</v>
      </c>
      <c r="U477" s="230" t="s">
        <v>315</v>
      </c>
      <c r="V477" s="231" t="s">
        <v>12</v>
      </c>
    </row>
    <row r="478" spans="2:22" ht="12" customHeight="1" x14ac:dyDescent="0.2">
      <c r="B478" s="63" t="s">
        <v>108</v>
      </c>
      <c r="C478" s="63" t="s">
        <v>454</v>
      </c>
      <c r="D478" s="78" t="s">
        <v>445</v>
      </c>
      <c r="E478" s="171" t="s">
        <v>220</v>
      </c>
      <c r="F478" s="78" t="s">
        <v>354</v>
      </c>
      <c r="G478" s="171" t="s">
        <v>487</v>
      </c>
      <c r="H478" s="224" t="s">
        <v>435</v>
      </c>
      <c r="I478" s="225" t="s">
        <v>410</v>
      </c>
      <c r="J478" s="224">
        <v>1</v>
      </c>
      <c r="K478" s="225" t="s">
        <v>153</v>
      </c>
      <c r="L478" s="226">
        <v>220.8</v>
      </c>
      <c r="M478" s="227">
        <f t="shared" si="35"/>
        <v>220.8</v>
      </c>
      <c r="N478" s="228">
        <v>0</v>
      </c>
      <c r="O478" s="227">
        <f t="shared" si="40"/>
        <v>0</v>
      </c>
      <c r="P478" s="228">
        <v>0.16</v>
      </c>
      <c r="Q478" s="227">
        <f t="shared" si="37"/>
        <v>35.328000000000003</v>
      </c>
      <c r="R478" s="227">
        <f t="shared" si="38"/>
        <v>256.12800000000004</v>
      </c>
      <c r="S478" s="229">
        <f>INDEX('Glosario Partidas'!$M$8:$M$10,MATCH(BD!K478,'Glosario Partidas'!$L$8:$L$10,0))</f>
        <v>17.5</v>
      </c>
      <c r="T478" s="227">
        <f t="shared" si="39"/>
        <v>4482.2400000000007</v>
      </c>
      <c r="U478" s="230" t="s">
        <v>315</v>
      </c>
      <c r="V478" s="231" t="s">
        <v>12</v>
      </c>
    </row>
    <row r="479" spans="2:22" ht="12" customHeight="1" x14ac:dyDescent="0.2">
      <c r="B479" s="63" t="s">
        <v>108</v>
      </c>
      <c r="C479" s="63" t="s">
        <v>454</v>
      </c>
      <c r="D479" s="78" t="s">
        <v>446</v>
      </c>
      <c r="E479" s="171" t="s">
        <v>220</v>
      </c>
      <c r="F479" s="78" t="s">
        <v>354</v>
      </c>
      <c r="G479" s="171" t="s">
        <v>487</v>
      </c>
      <c r="H479" s="224" t="s">
        <v>435</v>
      </c>
      <c r="I479" s="225" t="s">
        <v>410</v>
      </c>
      <c r="J479" s="224">
        <v>1</v>
      </c>
      <c r="K479" s="225" t="s">
        <v>153</v>
      </c>
      <c r="L479" s="226">
        <v>5986.81</v>
      </c>
      <c r="M479" s="227">
        <f t="shared" si="35"/>
        <v>5986.81</v>
      </c>
      <c r="N479" s="228">
        <v>0</v>
      </c>
      <c r="O479" s="227">
        <f t="shared" si="40"/>
        <v>0</v>
      </c>
      <c r="P479" s="228">
        <v>0.16</v>
      </c>
      <c r="Q479" s="227">
        <f t="shared" si="37"/>
        <v>957.88960000000009</v>
      </c>
      <c r="R479" s="227">
        <f t="shared" si="38"/>
        <v>6944.6996000000008</v>
      </c>
      <c r="S479" s="229">
        <f>INDEX('Glosario Partidas'!$M$8:$M$10,MATCH(BD!K479,'Glosario Partidas'!$L$8:$L$10,0))</f>
        <v>17.5</v>
      </c>
      <c r="T479" s="227">
        <f t="shared" si="39"/>
        <v>121532.24300000002</v>
      </c>
      <c r="U479" s="230" t="s">
        <v>315</v>
      </c>
      <c r="V479" s="231" t="s">
        <v>12</v>
      </c>
    </row>
    <row r="480" spans="2:22" ht="12" customHeight="1" x14ac:dyDescent="0.2">
      <c r="B480" s="63" t="s">
        <v>108</v>
      </c>
      <c r="C480" s="63" t="s">
        <v>454</v>
      </c>
      <c r="D480" s="233" t="s">
        <v>447</v>
      </c>
      <c r="E480" s="171" t="s">
        <v>220</v>
      </c>
      <c r="F480" s="78" t="s">
        <v>354</v>
      </c>
      <c r="G480" s="171" t="s">
        <v>487</v>
      </c>
      <c r="H480" s="224" t="s">
        <v>435</v>
      </c>
      <c r="I480" s="225" t="s">
        <v>410</v>
      </c>
      <c r="J480" s="224">
        <v>1</v>
      </c>
      <c r="K480" s="225" t="s">
        <v>153</v>
      </c>
      <c r="L480" s="226">
        <v>0</v>
      </c>
      <c r="M480" s="227">
        <f t="shared" si="35"/>
        <v>0</v>
      </c>
      <c r="N480" s="228">
        <v>0</v>
      </c>
      <c r="O480" s="227">
        <f t="shared" si="40"/>
        <v>0</v>
      </c>
      <c r="P480" s="228">
        <v>0.16</v>
      </c>
      <c r="Q480" s="227">
        <f t="shared" si="37"/>
        <v>0</v>
      </c>
      <c r="R480" s="227">
        <f t="shared" si="38"/>
        <v>0</v>
      </c>
      <c r="S480" s="229">
        <f>INDEX('Glosario Partidas'!$M$8:$M$10,MATCH(BD!K480,'Glosario Partidas'!$L$8:$L$10,0))</f>
        <v>17.5</v>
      </c>
      <c r="T480" s="227">
        <f t="shared" si="39"/>
        <v>0</v>
      </c>
      <c r="U480" s="230" t="s">
        <v>315</v>
      </c>
      <c r="V480" s="231" t="s">
        <v>12</v>
      </c>
    </row>
    <row r="481" spans="2:22" ht="12" customHeight="1" x14ac:dyDescent="0.2">
      <c r="B481" s="63" t="s">
        <v>108</v>
      </c>
      <c r="C481" s="63" t="s">
        <v>454</v>
      </c>
      <c r="D481" s="78" t="s">
        <v>448</v>
      </c>
      <c r="E481" s="171" t="s">
        <v>220</v>
      </c>
      <c r="F481" s="78" t="s">
        <v>354</v>
      </c>
      <c r="G481" s="171" t="s">
        <v>487</v>
      </c>
      <c r="H481" s="224" t="s">
        <v>435</v>
      </c>
      <c r="I481" s="225" t="s">
        <v>410</v>
      </c>
      <c r="J481" s="224">
        <v>0</v>
      </c>
      <c r="K481" s="225" t="s">
        <v>153</v>
      </c>
      <c r="L481" s="226">
        <v>1994.83</v>
      </c>
      <c r="M481" s="227">
        <f t="shared" si="35"/>
        <v>0</v>
      </c>
      <c r="N481" s="228">
        <v>0</v>
      </c>
      <c r="O481" s="227">
        <f t="shared" si="40"/>
        <v>0</v>
      </c>
      <c r="P481" s="228">
        <v>0.16</v>
      </c>
      <c r="Q481" s="227">
        <f t="shared" si="37"/>
        <v>0</v>
      </c>
      <c r="R481" s="227">
        <f t="shared" si="38"/>
        <v>0</v>
      </c>
      <c r="S481" s="229">
        <f>INDEX('Glosario Partidas'!$M$8:$M$10,MATCH(BD!K481,'Glosario Partidas'!$L$8:$L$10,0))</f>
        <v>17.5</v>
      </c>
      <c r="T481" s="227">
        <f t="shared" si="39"/>
        <v>0</v>
      </c>
      <c r="U481" s="230" t="s">
        <v>315</v>
      </c>
      <c r="V481" s="231" t="s">
        <v>12</v>
      </c>
    </row>
    <row r="482" spans="2:22" ht="12" customHeight="1" x14ac:dyDescent="0.2">
      <c r="B482" s="63" t="s">
        <v>108</v>
      </c>
      <c r="C482" s="63" t="s">
        <v>454</v>
      </c>
      <c r="D482" s="78" t="s">
        <v>449</v>
      </c>
      <c r="E482" s="171" t="s">
        <v>220</v>
      </c>
      <c r="F482" s="78" t="s">
        <v>354</v>
      </c>
      <c r="G482" s="171" t="s">
        <v>487</v>
      </c>
      <c r="H482" s="224" t="s">
        <v>435</v>
      </c>
      <c r="I482" s="225" t="s">
        <v>410</v>
      </c>
      <c r="J482" s="224">
        <v>1</v>
      </c>
      <c r="K482" s="225" t="s">
        <v>153</v>
      </c>
      <c r="L482" s="226">
        <v>2265.08</v>
      </c>
      <c r="M482" s="227">
        <f t="shared" si="35"/>
        <v>2265.08</v>
      </c>
      <c r="N482" s="228">
        <v>0</v>
      </c>
      <c r="O482" s="227">
        <f t="shared" si="40"/>
        <v>0</v>
      </c>
      <c r="P482" s="228">
        <v>0.16</v>
      </c>
      <c r="Q482" s="227">
        <f t="shared" si="37"/>
        <v>362.4128</v>
      </c>
      <c r="R482" s="227">
        <f t="shared" si="38"/>
        <v>2627.4928</v>
      </c>
      <c r="S482" s="229">
        <f>INDEX('Glosario Partidas'!$M$8:$M$10,MATCH(BD!K482,'Glosario Partidas'!$L$8:$L$10,0))</f>
        <v>17.5</v>
      </c>
      <c r="T482" s="227">
        <f t="shared" si="39"/>
        <v>45981.123999999996</v>
      </c>
      <c r="U482" s="230" t="s">
        <v>315</v>
      </c>
      <c r="V482" s="231" t="s">
        <v>12</v>
      </c>
    </row>
    <row r="483" spans="2:22" ht="12" customHeight="1" x14ac:dyDescent="0.2">
      <c r="B483" s="63" t="s">
        <v>108</v>
      </c>
      <c r="C483" s="63" t="s">
        <v>454</v>
      </c>
      <c r="D483" s="78" t="s">
        <v>450</v>
      </c>
      <c r="E483" s="171" t="s">
        <v>220</v>
      </c>
      <c r="F483" s="78" t="s">
        <v>354</v>
      </c>
      <c r="G483" s="171" t="s">
        <v>487</v>
      </c>
      <c r="H483" s="224" t="s">
        <v>435</v>
      </c>
      <c r="I483" s="225" t="s">
        <v>410</v>
      </c>
      <c r="J483" s="224">
        <v>0</v>
      </c>
      <c r="K483" s="225" t="s">
        <v>153</v>
      </c>
      <c r="L483" s="226">
        <v>184.45</v>
      </c>
      <c r="M483" s="227">
        <f t="shared" si="35"/>
        <v>0</v>
      </c>
      <c r="N483" s="228">
        <v>0</v>
      </c>
      <c r="O483" s="227"/>
      <c r="P483" s="228">
        <v>0.16</v>
      </c>
      <c r="Q483" s="227">
        <f t="shared" si="37"/>
        <v>0</v>
      </c>
      <c r="R483" s="227">
        <f t="shared" si="38"/>
        <v>0</v>
      </c>
      <c r="S483" s="229">
        <f>INDEX('Glosario Partidas'!$M$8:$M$10,MATCH(BD!K483,'Glosario Partidas'!$L$8:$L$10,0))</f>
        <v>17.5</v>
      </c>
      <c r="T483" s="227">
        <f t="shared" si="39"/>
        <v>0</v>
      </c>
      <c r="U483" s="230" t="s">
        <v>315</v>
      </c>
      <c r="V483" s="231" t="s">
        <v>12</v>
      </c>
    </row>
    <row r="484" spans="2:22" ht="12" customHeight="1" x14ac:dyDescent="0.2">
      <c r="B484" s="63" t="s">
        <v>108</v>
      </c>
      <c r="C484" s="63" t="s">
        <v>454</v>
      </c>
      <c r="D484" s="78" t="s">
        <v>451</v>
      </c>
      <c r="E484" s="171" t="s">
        <v>220</v>
      </c>
      <c r="F484" s="78" t="s">
        <v>354</v>
      </c>
      <c r="G484" s="171" t="s">
        <v>487</v>
      </c>
      <c r="H484" s="224" t="s">
        <v>435</v>
      </c>
      <c r="I484" s="225" t="s">
        <v>410</v>
      </c>
      <c r="J484" s="224">
        <v>0</v>
      </c>
      <c r="K484" s="225" t="s">
        <v>153</v>
      </c>
      <c r="L484" s="226">
        <v>2984.59</v>
      </c>
      <c r="M484" s="227">
        <f t="shared" si="35"/>
        <v>0</v>
      </c>
      <c r="N484" s="228">
        <v>0</v>
      </c>
      <c r="O484" s="227"/>
      <c r="P484" s="228">
        <v>0.16</v>
      </c>
      <c r="Q484" s="227">
        <f t="shared" si="37"/>
        <v>0</v>
      </c>
      <c r="R484" s="227">
        <f t="shared" si="38"/>
        <v>0</v>
      </c>
      <c r="S484" s="229">
        <f>INDEX('Glosario Partidas'!$M$8:$M$10,MATCH(BD!K484,'Glosario Partidas'!$L$8:$L$10,0))</f>
        <v>17.5</v>
      </c>
      <c r="T484" s="227">
        <f t="shared" si="39"/>
        <v>0</v>
      </c>
      <c r="U484" s="230" t="s">
        <v>315</v>
      </c>
      <c r="V484" s="231" t="s">
        <v>12</v>
      </c>
    </row>
    <row r="485" spans="2:22" ht="12" customHeight="1" x14ac:dyDescent="0.2">
      <c r="B485" s="63" t="s">
        <v>108</v>
      </c>
      <c r="C485" s="63" t="s">
        <v>454</v>
      </c>
      <c r="D485" s="78" t="s">
        <v>452</v>
      </c>
      <c r="E485" s="171" t="s">
        <v>220</v>
      </c>
      <c r="F485" s="78" t="s">
        <v>354</v>
      </c>
      <c r="G485" s="171" t="s">
        <v>487</v>
      </c>
      <c r="H485" s="224" t="s">
        <v>435</v>
      </c>
      <c r="I485" s="225" t="s">
        <v>410</v>
      </c>
      <c r="J485" s="224">
        <v>4</v>
      </c>
      <c r="K485" s="225" t="s">
        <v>153</v>
      </c>
      <c r="L485" s="226">
        <v>523.80999999999995</v>
      </c>
      <c r="M485" s="227">
        <f t="shared" si="35"/>
        <v>2095.2399999999998</v>
      </c>
      <c r="N485" s="228">
        <v>0</v>
      </c>
      <c r="O485" s="227"/>
      <c r="P485" s="228">
        <v>0.16</v>
      </c>
      <c r="Q485" s="227">
        <f t="shared" si="37"/>
        <v>335.23839999999996</v>
      </c>
      <c r="R485" s="227">
        <f t="shared" si="38"/>
        <v>2430.4784</v>
      </c>
      <c r="S485" s="229">
        <f>INDEX('Glosario Partidas'!$M$8:$M$10,MATCH(BD!K485,'Glosario Partidas'!$L$8:$L$10,0))</f>
        <v>17.5</v>
      </c>
      <c r="T485" s="227">
        <f t="shared" si="39"/>
        <v>42533.372000000003</v>
      </c>
      <c r="U485" s="230" t="s">
        <v>315</v>
      </c>
      <c r="V485" s="231" t="s">
        <v>12</v>
      </c>
    </row>
    <row r="486" spans="2:22" ht="12" customHeight="1" x14ac:dyDescent="0.2">
      <c r="B486" s="63" t="s">
        <v>108</v>
      </c>
      <c r="C486" s="63" t="s">
        <v>453</v>
      </c>
      <c r="D486" s="78" t="s">
        <v>313</v>
      </c>
      <c r="E486" s="171" t="s">
        <v>220</v>
      </c>
      <c r="F486" s="78" t="s">
        <v>354</v>
      </c>
      <c r="G486" s="171" t="s">
        <v>487</v>
      </c>
      <c r="H486" s="224" t="s">
        <v>293</v>
      </c>
      <c r="I486" s="225" t="s">
        <v>314</v>
      </c>
      <c r="J486" s="224">
        <v>1</v>
      </c>
      <c r="K486" s="225" t="s">
        <v>269</v>
      </c>
      <c r="L486" s="226">
        <v>0</v>
      </c>
      <c r="M486" s="227">
        <f t="shared" si="35"/>
        <v>0</v>
      </c>
      <c r="N486" s="228">
        <v>0</v>
      </c>
      <c r="O486" s="227">
        <f t="shared" ref="O486:O517" si="41">M486*N486</f>
        <v>0</v>
      </c>
      <c r="P486" s="228">
        <v>0</v>
      </c>
      <c r="Q486" s="227">
        <f t="shared" si="37"/>
        <v>0</v>
      </c>
      <c r="R486" s="227">
        <f t="shared" si="38"/>
        <v>0</v>
      </c>
      <c r="S486" s="229">
        <f>INDEX('Glosario Partidas'!$M$8:$M$10,MATCH(BD!K486,'Glosario Partidas'!$L$8:$L$10,0))</f>
        <v>1</v>
      </c>
      <c r="T486" s="227">
        <f t="shared" si="39"/>
        <v>0</v>
      </c>
      <c r="U486" s="230" t="s">
        <v>315</v>
      </c>
      <c r="V486" s="231" t="s">
        <v>13</v>
      </c>
    </row>
    <row r="487" spans="2:22" ht="12" customHeight="1" x14ac:dyDescent="0.2">
      <c r="B487" s="63" t="s">
        <v>108</v>
      </c>
      <c r="C487" s="63" t="s">
        <v>455</v>
      </c>
      <c r="D487" s="78" t="s">
        <v>434</v>
      </c>
      <c r="E487" s="171" t="s">
        <v>220</v>
      </c>
      <c r="F487" s="78" t="s">
        <v>355</v>
      </c>
      <c r="G487" s="171" t="s">
        <v>487</v>
      </c>
      <c r="H487" s="224" t="s">
        <v>435</v>
      </c>
      <c r="I487" s="225" t="s">
        <v>410</v>
      </c>
      <c r="J487" s="224">
        <v>1</v>
      </c>
      <c r="K487" s="225" t="s">
        <v>153</v>
      </c>
      <c r="L487" s="226">
        <v>270.36</v>
      </c>
      <c r="M487" s="227">
        <f t="shared" si="35"/>
        <v>270.36</v>
      </c>
      <c r="N487" s="228">
        <v>0</v>
      </c>
      <c r="O487" s="227">
        <f t="shared" si="41"/>
        <v>0</v>
      </c>
      <c r="P487" s="228">
        <v>0.16</v>
      </c>
      <c r="Q487" s="227">
        <f t="shared" si="37"/>
        <v>43.257600000000004</v>
      </c>
      <c r="R487" s="227">
        <f t="shared" si="38"/>
        <v>313.61760000000004</v>
      </c>
      <c r="S487" s="229">
        <f>INDEX('Glosario Partidas'!$M$8:$M$10,MATCH(BD!K487,'Glosario Partidas'!$L$8:$L$10,0))</f>
        <v>17.5</v>
      </c>
      <c r="T487" s="227">
        <f t="shared" si="39"/>
        <v>5488.3080000000009</v>
      </c>
      <c r="U487" s="230" t="s">
        <v>315</v>
      </c>
      <c r="V487" s="231" t="s">
        <v>12</v>
      </c>
    </row>
    <row r="488" spans="2:22" ht="12" customHeight="1" x14ac:dyDescent="0.2">
      <c r="B488" s="63" t="s">
        <v>108</v>
      </c>
      <c r="C488" s="63" t="s">
        <v>455</v>
      </c>
      <c r="D488" s="78" t="s">
        <v>436</v>
      </c>
      <c r="E488" s="171" t="s">
        <v>220</v>
      </c>
      <c r="F488" s="78" t="s">
        <v>355</v>
      </c>
      <c r="G488" s="171" t="s">
        <v>487</v>
      </c>
      <c r="H488" s="224" t="s">
        <v>435</v>
      </c>
      <c r="I488" s="225" t="s">
        <v>410</v>
      </c>
      <c r="J488" s="224">
        <v>2</v>
      </c>
      <c r="K488" s="225" t="s">
        <v>153</v>
      </c>
      <c r="L488" s="226">
        <v>60.77</v>
      </c>
      <c r="M488" s="227">
        <f t="shared" si="35"/>
        <v>121.54</v>
      </c>
      <c r="N488" s="228">
        <v>0</v>
      </c>
      <c r="O488" s="227">
        <f t="shared" si="41"/>
        <v>0</v>
      </c>
      <c r="P488" s="228">
        <v>0.16</v>
      </c>
      <c r="Q488" s="227">
        <f t="shared" si="37"/>
        <v>19.446400000000001</v>
      </c>
      <c r="R488" s="227">
        <f t="shared" si="38"/>
        <v>140.9864</v>
      </c>
      <c r="S488" s="229">
        <f>INDEX('Glosario Partidas'!$M$8:$M$10,MATCH(BD!K488,'Glosario Partidas'!$L$8:$L$10,0))</f>
        <v>17.5</v>
      </c>
      <c r="T488" s="227">
        <f t="shared" si="39"/>
        <v>2467.2620000000002</v>
      </c>
      <c r="U488" s="230" t="s">
        <v>315</v>
      </c>
      <c r="V488" s="231" t="s">
        <v>12</v>
      </c>
    </row>
    <row r="489" spans="2:22" ht="12" customHeight="1" x14ac:dyDescent="0.2">
      <c r="B489" s="63" t="s">
        <v>108</v>
      </c>
      <c r="C489" s="63" t="s">
        <v>455</v>
      </c>
      <c r="D489" s="78" t="s">
        <v>437</v>
      </c>
      <c r="E489" s="171" t="s">
        <v>220</v>
      </c>
      <c r="F489" s="78" t="s">
        <v>355</v>
      </c>
      <c r="G489" s="171" t="s">
        <v>487</v>
      </c>
      <c r="H489" s="224" t="s">
        <v>435</v>
      </c>
      <c r="I489" s="225" t="s">
        <v>410</v>
      </c>
      <c r="J489" s="224">
        <v>1</v>
      </c>
      <c r="K489" s="225" t="s">
        <v>153</v>
      </c>
      <c r="L489" s="226">
        <v>647.5</v>
      </c>
      <c r="M489" s="227">
        <f t="shared" si="35"/>
        <v>647.5</v>
      </c>
      <c r="N489" s="228">
        <v>0</v>
      </c>
      <c r="O489" s="227">
        <f t="shared" si="41"/>
        <v>0</v>
      </c>
      <c r="P489" s="228">
        <v>0.16</v>
      </c>
      <c r="Q489" s="227">
        <f t="shared" si="37"/>
        <v>103.60000000000001</v>
      </c>
      <c r="R489" s="227">
        <f t="shared" si="38"/>
        <v>751.1</v>
      </c>
      <c r="S489" s="229">
        <f>INDEX('Glosario Partidas'!$M$8:$M$10,MATCH(BD!K489,'Glosario Partidas'!$L$8:$L$10,0))</f>
        <v>17.5</v>
      </c>
      <c r="T489" s="227">
        <f t="shared" si="39"/>
        <v>13144.25</v>
      </c>
      <c r="U489" s="230" t="s">
        <v>315</v>
      </c>
      <c r="V489" s="231" t="s">
        <v>12</v>
      </c>
    </row>
    <row r="490" spans="2:22" ht="12" customHeight="1" x14ac:dyDescent="0.2">
      <c r="B490" s="63" t="s">
        <v>108</v>
      </c>
      <c r="C490" s="63" t="s">
        <v>455</v>
      </c>
      <c r="D490" s="78" t="s">
        <v>438</v>
      </c>
      <c r="E490" s="171" t="s">
        <v>220</v>
      </c>
      <c r="F490" s="78" t="s">
        <v>355</v>
      </c>
      <c r="G490" s="171" t="s">
        <v>487</v>
      </c>
      <c r="H490" s="224" t="s">
        <v>435</v>
      </c>
      <c r="I490" s="225" t="s">
        <v>410</v>
      </c>
      <c r="J490" s="224">
        <v>1</v>
      </c>
      <c r="K490" s="225" t="s">
        <v>153</v>
      </c>
      <c r="L490" s="226">
        <v>388.5</v>
      </c>
      <c r="M490" s="227">
        <f t="shared" si="35"/>
        <v>388.5</v>
      </c>
      <c r="N490" s="228">
        <v>0</v>
      </c>
      <c r="O490" s="227">
        <f t="shared" si="41"/>
        <v>0</v>
      </c>
      <c r="P490" s="228">
        <v>0.16</v>
      </c>
      <c r="Q490" s="227">
        <f t="shared" si="37"/>
        <v>62.160000000000004</v>
      </c>
      <c r="R490" s="227">
        <f t="shared" si="38"/>
        <v>450.66</v>
      </c>
      <c r="S490" s="229">
        <f>INDEX('Glosario Partidas'!$M$8:$M$10,MATCH(BD!K490,'Glosario Partidas'!$L$8:$L$10,0))</f>
        <v>17.5</v>
      </c>
      <c r="T490" s="227">
        <f t="shared" si="39"/>
        <v>7886.55</v>
      </c>
      <c r="U490" s="230" t="s">
        <v>315</v>
      </c>
      <c r="V490" s="231" t="s">
        <v>12</v>
      </c>
    </row>
    <row r="491" spans="2:22" ht="12" customHeight="1" x14ac:dyDescent="0.2">
      <c r="B491" s="63" t="s">
        <v>108</v>
      </c>
      <c r="C491" s="63" t="s">
        <v>455</v>
      </c>
      <c r="D491" s="78" t="s">
        <v>439</v>
      </c>
      <c r="E491" s="171" t="s">
        <v>220</v>
      </c>
      <c r="F491" s="78" t="s">
        <v>355</v>
      </c>
      <c r="G491" s="171" t="s">
        <v>487</v>
      </c>
      <c r="H491" s="224" t="s">
        <v>435</v>
      </c>
      <c r="I491" s="225" t="s">
        <v>410</v>
      </c>
      <c r="J491" s="224">
        <v>0</v>
      </c>
      <c r="K491" s="225" t="s">
        <v>153</v>
      </c>
      <c r="L491" s="226">
        <v>582.75</v>
      </c>
      <c r="M491" s="227">
        <f t="shared" si="35"/>
        <v>0</v>
      </c>
      <c r="N491" s="228">
        <v>0</v>
      </c>
      <c r="O491" s="227">
        <f t="shared" si="41"/>
        <v>0</v>
      </c>
      <c r="P491" s="228">
        <v>0.16</v>
      </c>
      <c r="Q491" s="227">
        <f t="shared" si="37"/>
        <v>0</v>
      </c>
      <c r="R491" s="227">
        <f t="shared" si="38"/>
        <v>0</v>
      </c>
      <c r="S491" s="229">
        <f>INDEX('Glosario Partidas'!$M$8:$M$10,MATCH(BD!K491,'Glosario Partidas'!$L$8:$L$10,0))</f>
        <v>17.5</v>
      </c>
      <c r="T491" s="227">
        <f t="shared" si="39"/>
        <v>0</v>
      </c>
      <c r="U491" s="230" t="s">
        <v>315</v>
      </c>
      <c r="V491" s="231" t="s">
        <v>12</v>
      </c>
    </row>
    <row r="492" spans="2:22" ht="12" customHeight="1" x14ac:dyDescent="0.2">
      <c r="B492" s="63" t="s">
        <v>108</v>
      </c>
      <c r="C492" s="63" t="s">
        <v>455</v>
      </c>
      <c r="D492" s="78" t="s">
        <v>440</v>
      </c>
      <c r="E492" s="171" t="s">
        <v>220</v>
      </c>
      <c r="F492" s="78" t="s">
        <v>355</v>
      </c>
      <c r="G492" s="171" t="s">
        <v>487</v>
      </c>
      <c r="H492" s="224" t="s">
        <v>435</v>
      </c>
      <c r="I492" s="225" t="s">
        <v>410</v>
      </c>
      <c r="J492" s="224">
        <v>1</v>
      </c>
      <c r="K492" s="225" t="s">
        <v>153</v>
      </c>
      <c r="L492" s="226">
        <v>2445.6999999999998</v>
      </c>
      <c r="M492" s="227">
        <f t="shared" si="35"/>
        <v>2445.6999999999998</v>
      </c>
      <c r="N492" s="228">
        <v>0</v>
      </c>
      <c r="O492" s="227">
        <f t="shared" si="41"/>
        <v>0</v>
      </c>
      <c r="P492" s="228">
        <v>0.16</v>
      </c>
      <c r="Q492" s="227">
        <f t="shared" si="37"/>
        <v>391.31199999999995</v>
      </c>
      <c r="R492" s="227">
        <f t="shared" si="38"/>
        <v>2837.0119999999997</v>
      </c>
      <c r="S492" s="229">
        <f>INDEX('Glosario Partidas'!$M$8:$M$10,MATCH(BD!K492,'Glosario Partidas'!$L$8:$L$10,0))</f>
        <v>17.5</v>
      </c>
      <c r="T492" s="227">
        <f t="shared" si="39"/>
        <v>49647.709999999992</v>
      </c>
      <c r="U492" s="230" t="s">
        <v>315</v>
      </c>
      <c r="V492" s="231" t="s">
        <v>12</v>
      </c>
    </row>
    <row r="493" spans="2:22" ht="12" customHeight="1" x14ac:dyDescent="0.2">
      <c r="B493" s="63" t="s">
        <v>108</v>
      </c>
      <c r="C493" s="63" t="s">
        <v>455</v>
      </c>
      <c r="D493" s="78" t="s">
        <v>441</v>
      </c>
      <c r="E493" s="171" t="s">
        <v>220</v>
      </c>
      <c r="F493" s="78" t="s">
        <v>355</v>
      </c>
      <c r="G493" s="171" t="s">
        <v>487</v>
      </c>
      <c r="H493" s="224" t="s">
        <v>435</v>
      </c>
      <c r="I493" s="225" t="s">
        <v>410</v>
      </c>
      <c r="J493" s="224">
        <v>1</v>
      </c>
      <c r="K493" s="225" t="s">
        <v>153</v>
      </c>
      <c r="L493" s="226">
        <v>364.21</v>
      </c>
      <c r="M493" s="227">
        <f t="shared" si="35"/>
        <v>364.21</v>
      </c>
      <c r="N493" s="228">
        <v>0</v>
      </c>
      <c r="O493" s="227">
        <f t="shared" si="41"/>
        <v>0</v>
      </c>
      <c r="P493" s="228">
        <v>0.16</v>
      </c>
      <c r="Q493" s="227">
        <f t="shared" si="37"/>
        <v>58.273599999999995</v>
      </c>
      <c r="R493" s="227">
        <f t="shared" si="38"/>
        <v>422.48359999999997</v>
      </c>
      <c r="S493" s="229">
        <f>INDEX('Glosario Partidas'!$M$8:$M$10,MATCH(BD!K493,'Glosario Partidas'!$L$8:$L$10,0))</f>
        <v>17.5</v>
      </c>
      <c r="T493" s="227">
        <f t="shared" si="39"/>
        <v>7393.4629999999997</v>
      </c>
      <c r="U493" s="230" t="s">
        <v>315</v>
      </c>
      <c r="V493" s="231" t="s">
        <v>12</v>
      </c>
    </row>
    <row r="494" spans="2:22" ht="12" customHeight="1" x14ac:dyDescent="0.2">
      <c r="B494" s="63" t="s">
        <v>108</v>
      </c>
      <c r="C494" s="63" t="s">
        <v>455</v>
      </c>
      <c r="D494" s="78" t="s">
        <v>442</v>
      </c>
      <c r="E494" s="171" t="s">
        <v>220</v>
      </c>
      <c r="F494" s="78" t="s">
        <v>355</v>
      </c>
      <c r="G494" s="171" t="s">
        <v>487</v>
      </c>
      <c r="H494" s="224" t="s">
        <v>435</v>
      </c>
      <c r="I494" s="225" t="s">
        <v>410</v>
      </c>
      <c r="J494" s="224">
        <v>1</v>
      </c>
      <c r="K494" s="225" t="s">
        <v>153</v>
      </c>
      <c r="L494" s="226">
        <v>209.38</v>
      </c>
      <c r="M494" s="227">
        <f t="shared" si="35"/>
        <v>209.38</v>
      </c>
      <c r="N494" s="228">
        <v>0</v>
      </c>
      <c r="O494" s="227">
        <f t="shared" si="41"/>
        <v>0</v>
      </c>
      <c r="P494" s="228">
        <v>0.16</v>
      </c>
      <c r="Q494" s="227">
        <f t="shared" si="37"/>
        <v>33.500799999999998</v>
      </c>
      <c r="R494" s="227">
        <f t="shared" si="38"/>
        <v>242.88079999999999</v>
      </c>
      <c r="S494" s="229">
        <f>INDEX('Glosario Partidas'!$M$8:$M$10,MATCH(BD!K494,'Glosario Partidas'!$L$8:$L$10,0))</f>
        <v>17.5</v>
      </c>
      <c r="T494" s="227">
        <f t="shared" si="39"/>
        <v>4250.4139999999998</v>
      </c>
      <c r="U494" s="230" t="s">
        <v>315</v>
      </c>
      <c r="V494" s="231" t="s">
        <v>12</v>
      </c>
    </row>
    <row r="495" spans="2:22" ht="12" customHeight="1" x14ac:dyDescent="0.2">
      <c r="B495" s="63" t="s">
        <v>108</v>
      </c>
      <c r="C495" s="63" t="s">
        <v>455</v>
      </c>
      <c r="D495" s="78" t="s">
        <v>443</v>
      </c>
      <c r="E495" s="171" t="s">
        <v>220</v>
      </c>
      <c r="F495" s="78" t="s">
        <v>355</v>
      </c>
      <c r="G495" s="171" t="s">
        <v>487</v>
      </c>
      <c r="H495" s="224" t="s">
        <v>435</v>
      </c>
      <c r="I495" s="225" t="s">
        <v>410</v>
      </c>
      <c r="J495" s="224">
        <v>0</v>
      </c>
      <c r="K495" s="225" t="s">
        <v>153</v>
      </c>
      <c r="L495" s="226">
        <v>3198.65</v>
      </c>
      <c r="M495" s="227">
        <f t="shared" si="35"/>
        <v>0</v>
      </c>
      <c r="N495" s="228">
        <v>0</v>
      </c>
      <c r="O495" s="227">
        <f t="shared" si="41"/>
        <v>0</v>
      </c>
      <c r="P495" s="228">
        <v>0.16</v>
      </c>
      <c r="Q495" s="227">
        <f t="shared" si="37"/>
        <v>0</v>
      </c>
      <c r="R495" s="227">
        <f t="shared" si="38"/>
        <v>0</v>
      </c>
      <c r="S495" s="229">
        <f>INDEX('Glosario Partidas'!$M$8:$M$10,MATCH(BD!K495,'Glosario Partidas'!$L$8:$L$10,0))</f>
        <v>17.5</v>
      </c>
      <c r="T495" s="227">
        <f t="shared" si="39"/>
        <v>0</v>
      </c>
      <c r="U495" s="230" t="s">
        <v>315</v>
      </c>
      <c r="V495" s="231" t="s">
        <v>12</v>
      </c>
    </row>
    <row r="496" spans="2:22" ht="12" customHeight="1" x14ac:dyDescent="0.2">
      <c r="B496" s="63" t="s">
        <v>108</v>
      </c>
      <c r="C496" s="63" t="s">
        <v>455</v>
      </c>
      <c r="D496" s="78" t="s">
        <v>444</v>
      </c>
      <c r="E496" s="171" t="s">
        <v>220</v>
      </c>
      <c r="F496" s="78" t="s">
        <v>355</v>
      </c>
      <c r="G496" s="171" t="s">
        <v>487</v>
      </c>
      <c r="H496" s="224" t="s">
        <v>435</v>
      </c>
      <c r="I496" s="225" t="s">
        <v>410</v>
      </c>
      <c r="J496" s="224">
        <v>0</v>
      </c>
      <c r="K496" s="225" t="s">
        <v>153</v>
      </c>
      <c r="L496" s="226">
        <v>2577.33</v>
      </c>
      <c r="M496" s="227">
        <f t="shared" si="35"/>
        <v>0</v>
      </c>
      <c r="N496" s="228">
        <v>0</v>
      </c>
      <c r="O496" s="227">
        <f t="shared" si="41"/>
        <v>0</v>
      </c>
      <c r="P496" s="228">
        <v>0.16</v>
      </c>
      <c r="Q496" s="227">
        <f t="shared" si="37"/>
        <v>0</v>
      </c>
      <c r="R496" s="227">
        <f t="shared" si="38"/>
        <v>0</v>
      </c>
      <c r="S496" s="229">
        <f>INDEX('Glosario Partidas'!$M$8:$M$10,MATCH(BD!K496,'Glosario Partidas'!$L$8:$L$10,0))</f>
        <v>17.5</v>
      </c>
      <c r="T496" s="227">
        <f t="shared" si="39"/>
        <v>0</v>
      </c>
      <c r="U496" s="230" t="s">
        <v>315</v>
      </c>
      <c r="V496" s="231" t="s">
        <v>12</v>
      </c>
    </row>
    <row r="497" spans="2:22" ht="12" customHeight="1" x14ac:dyDescent="0.2">
      <c r="B497" s="63" t="s">
        <v>108</v>
      </c>
      <c r="C497" s="63" t="s">
        <v>455</v>
      </c>
      <c r="D497" s="78" t="s">
        <v>445</v>
      </c>
      <c r="E497" s="171" t="s">
        <v>220</v>
      </c>
      <c r="F497" s="78" t="s">
        <v>355</v>
      </c>
      <c r="G497" s="171" t="s">
        <v>487</v>
      </c>
      <c r="H497" s="224" t="s">
        <v>435</v>
      </c>
      <c r="I497" s="225" t="s">
        <v>410</v>
      </c>
      <c r="J497" s="224">
        <v>0</v>
      </c>
      <c r="K497" s="225" t="s">
        <v>153</v>
      </c>
      <c r="L497" s="226">
        <v>220.8</v>
      </c>
      <c r="M497" s="227">
        <f t="shared" si="35"/>
        <v>0</v>
      </c>
      <c r="N497" s="228">
        <v>0</v>
      </c>
      <c r="O497" s="227">
        <f t="shared" si="41"/>
        <v>0</v>
      </c>
      <c r="P497" s="228">
        <v>0.16</v>
      </c>
      <c r="Q497" s="227">
        <f t="shared" si="37"/>
        <v>0</v>
      </c>
      <c r="R497" s="227">
        <f t="shared" si="38"/>
        <v>0</v>
      </c>
      <c r="S497" s="229">
        <f>INDEX('Glosario Partidas'!$M$8:$M$10,MATCH(BD!K497,'Glosario Partidas'!$L$8:$L$10,0))</f>
        <v>17.5</v>
      </c>
      <c r="T497" s="227">
        <f t="shared" si="39"/>
        <v>0</v>
      </c>
      <c r="U497" s="230" t="s">
        <v>315</v>
      </c>
      <c r="V497" s="231" t="s">
        <v>12</v>
      </c>
    </row>
    <row r="498" spans="2:22" ht="12" customHeight="1" x14ac:dyDescent="0.2">
      <c r="B498" s="63" t="s">
        <v>108</v>
      </c>
      <c r="C498" s="63" t="s">
        <v>455</v>
      </c>
      <c r="D498" s="78" t="s">
        <v>446</v>
      </c>
      <c r="E498" s="171" t="s">
        <v>220</v>
      </c>
      <c r="F498" s="78" t="s">
        <v>355</v>
      </c>
      <c r="G498" s="171" t="s">
        <v>487</v>
      </c>
      <c r="H498" s="224" t="s">
        <v>435</v>
      </c>
      <c r="I498" s="225" t="s">
        <v>410</v>
      </c>
      <c r="J498" s="224">
        <v>0</v>
      </c>
      <c r="K498" s="225" t="s">
        <v>153</v>
      </c>
      <c r="L498" s="226">
        <v>5986.81</v>
      </c>
      <c r="M498" s="227">
        <f t="shared" si="35"/>
        <v>0</v>
      </c>
      <c r="N498" s="228">
        <v>0</v>
      </c>
      <c r="O498" s="227">
        <f t="shared" si="41"/>
        <v>0</v>
      </c>
      <c r="P498" s="228">
        <v>0.16</v>
      </c>
      <c r="Q498" s="227">
        <f t="shared" si="37"/>
        <v>0</v>
      </c>
      <c r="R498" s="227">
        <f t="shared" si="38"/>
        <v>0</v>
      </c>
      <c r="S498" s="229">
        <f>INDEX('Glosario Partidas'!$M$8:$M$10,MATCH(BD!K498,'Glosario Partidas'!$L$8:$L$10,0))</f>
        <v>17.5</v>
      </c>
      <c r="T498" s="227">
        <f t="shared" si="39"/>
        <v>0</v>
      </c>
      <c r="U498" s="230" t="s">
        <v>315</v>
      </c>
      <c r="V498" s="231" t="s">
        <v>12</v>
      </c>
    </row>
    <row r="499" spans="2:22" ht="12" customHeight="1" x14ac:dyDescent="0.2">
      <c r="B499" s="63" t="s">
        <v>108</v>
      </c>
      <c r="C499" s="63" t="s">
        <v>455</v>
      </c>
      <c r="D499" s="233" t="s">
        <v>447</v>
      </c>
      <c r="E499" s="171" t="s">
        <v>220</v>
      </c>
      <c r="F499" s="78" t="s">
        <v>355</v>
      </c>
      <c r="G499" s="171" t="s">
        <v>487</v>
      </c>
      <c r="H499" s="224" t="s">
        <v>435</v>
      </c>
      <c r="I499" s="225" t="s">
        <v>410</v>
      </c>
      <c r="J499" s="224">
        <v>0</v>
      </c>
      <c r="K499" s="225" t="s">
        <v>153</v>
      </c>
      <c r="L499" s="226">
        <v>0</v>
      </c>
      <c r="M499" s="227">
        <f t="shared" si="35"/>
        <v>0</v>
      </c>
      <c r="N499" s="228">
        <v>0</v>
      </c>
      <c r="O499" s="227">
        <f t="shared" si="41"/>
        <v>0</v>
      </c>
      <c r="P499" s="228">
        <v>0.16</v>
      </c>
      <c r="Q499" s="227">
        <f t="shared" si="37"/>
        <v>0</v>
      </c>
      <c r="R499" s="227">
        <f t="shared" si="38"/>
        <v>0</v>
      </c>
      <c r="S499" s="229">
        <f>INDEX('Glosario Partidas'!$M$8:$M$10,MATCH(BD!K499,'Glosario Partidas'!$L$8:$L$10,0))</f>
        <v>17.5</v>
      </c>
      <c r="T499" s="227">
        <f t="shared" si="39"/>
        <v>0</v>
      </c>
      <c r="U499" s="230" t="s">
        <v>315</v>
      </c>
      <c r="V499" s="231" t="s">
        <v>12</v>
      </c>
    </row>
    <row r="500" spans="2:22" ht="12" customHeight="1" x14ac:dyDescent="0.2">
      <c r="B500" s="63" t="s">
        <v>108</v>
      </c>
      <c r="C500" s="63" t="s">
        <v>455</v>
      </c>
      <c r="D500" s="78" t="s">
        <v>448</v>
      </c>
      <c r="E500" s="171" t="s">
        <v>220</v>
      </c>
      <c r="F500" s="78" t="s">
        <v>355</v>
      </c>
      <c r="G500" s="171" t="s">
        <v>487</v>
      </c>
      <c r="H500" s="224" t="s">
        <v>435</v>
      </c>
      <c r="I500" s="225" t="s">
        <v>410</v>
      </c>
      <c r="J500" s="224">
        <v>1</v>
      </c>
      <c r="K500" s="225" t="s">
        <v>153</v>
      </c>
      <c r="L500" s="226">
        <v>1994.83</v>
      </c>
      <c r="M500" s="227">
        <f t="shared" si="35"/>
        <v>1994.83</v>
      </c>
      <c r="N500" s="228">
        <v>0</v>
      </c>
      <c r="O500" s="227">
        <f t="shared" si="41"/>
        <v>0</v>
      </c>
      <c r="P500" s="228">
        <v>0.16</v>
      </c>
      <c r="Q500" s="227">
        <f t="shared" si="37"/>
        <v>319.1728</v>
      </c>
      <c r="R500" s="227">
        <f t="shared" si="38"/>
        <v>2314.0027999999998</v>
      </c>
      <c r="S500" s="229">
        <f>INDEX('Glosario Partidas'!$M$8:$M$10,MATCH(BD!K500,'Glosario Partidas'!$L$8:$L$10,0))</f>
        <v>17.5</v>
      </c>
      <c r="T500" s="227">
        <f t="shared" si="39"/>
        <v>40495.048999999999</v>
      </c>
      <c r="U500" s="230" t="s">
        <v>315</v>
      </c>
      <c r="V500" s="231" t="s">
        <v>12</v>
      </c>
    </row>
    <row r="501" spans="2:22" ht="12" customHeight="1" x14ac:dyDescent="0.2">
      <c r="B501" s="63" t="s">
        <v>108</v>
      </c>
      <c r="C501" s="63" t="s">
        <v>455</v>
      </c>
      <c r="D501" s="78" t="s">
        <v>449</v>
      </c>
      <c r="E501" s="171" t="s">
        <v>220</v>
      </c>
      <c r="F501" s="78" t="s">
        <v>355</v>
      </c>
      <c r="G501" s="171" t="s">
        <v>487</v>
      </c>
      <c r="H501" s="224" t="s">
        <v>435</v>
      </c>
      <c r="I501" s="225" t="s">
        <v>410</v>
      </c>
      <c r="J501" s="224">
        <v>1</v>
      </c>
      <c r="K501" s="225" t="s">
        <v>153</v>
      </c>
      <c r="L501" s="226">
        <v>2265.08</v>
      </c>
      <c r="M501" s="227">
        <f t="shared" si="35"/>
        <v>2265.08</v>
      </c>
      <c r="N501" s="228">
        <v>0</v>
      </c>
      <c r="O501" s="227">
        <f t="shared" si="41"/>
        <v>0</v>
      </c>
      <c r="P501" s="228">
        <v>0.16</v>
      </c>
      <c r="Q501" s="227">
        <f t="shared" si="37"/>
        <v>362.4128</v>
      </c>
      <c r="R501" s="227">
        <f t="shared" si="38"/>
        <v>2627.4928</v>
      </c>
      <c r="S501" s="229">
        <f>INDEX('Glosario Partidas'!$M$8:$M$10,MATCH(BD!K501,'Glosario Partidas'!$L$8:$L$10,0))</f>
        <v>17.5</v>
      </c>
      <c r="T501" s="227">
        <f t="shared" si="39"/>
        <v>45981.123999999996</v>
      </c>
      <c r="U501" s="230" t="s">
        <v>315</v>
      </c>
      <c r="V501" s="231" t="s">
        <v>12</v>
      </c>
    </row>
    <row r="502" spans="2:22" ht="12" customHeight="1" x14ac:dyDescent="0.2">
      <c r="B502" s="63" t="s">
        <v>108</v>
      </c>
      <c r="C502" s="63" t="s">
        <v>455</v>
      </c>
      <c r="D502" s="78" t="s">
        <v>450</v>
      </c>
      <c r="E502" s="171" t="s">
        <v>220</v>
      </c>
      <c r="F502" s="78" t="s">
        <v>355</v>
      </c>
      <c r="G502" s="171" t="s">
        <v>487</v>
      </c>
      <c r="H502" s="224" t="s">
        <v>435</v>
      </c>
      <c r="I502" s="225" t="s">
        <v>410</v>
      </c>
      <c r="J502" s="224">
        <v>0</v>
      </c>
      <c r="K502" s="225" t="s">
        <v>153</v>
      </c>
      <c r="L502" s="226">
        <v>184.45</v>
      </c>
      <c r="M502" s="227">
        <f t="shared" si="35"/>
        <v>0</v>
      </c>
      <c r="N502" s="228">
        <v>0</v>
      </c>
      <c r="O502" s="227">
        <f t="shared" si="41"/>
        <v>0</v>
      </c>
      <c r="P502" s="228">
        <v>0.16</v>
      </c>
      <c r="Q502" s="227">
        <f t="shared" si="37"/>
        <v>0</v>
      </c>
      <c r="R502" s="227">
        <f t="shared" si="38"/>
        <v>0</v>
      </c>
      <c r="S502" s="229">
        <f>INDEX('Glosario Partidas'!$M$8:$M$10,MATCH(BD!K502,'Glosario Partidas'!$L$8:$L$10,0))</f>
        <v>17.5</v>
      </c>
      <c r="T502" s="227">
        <f t="shared" si="39"/>
        <v>0</v>
      </c>
      <c r="U502" s="230" t="s">
        <v>315</v>
      </c>
      <c r="V502" s="231" t="s">
        <v>12</v>
      </c>
    </row>
    <row r="503" spans="2:22" ht="12" customHeight="1" x14ac:dyDescent="0.2">
      <c r="B503" s="63" t="s">
        <v>108</v>
      </c>
      <c r="C503" s="63" t="s">
        <v>455</v>
      </c>
      <c r="D503" s="78" t="s">
        <v>451</v>
      </c>
      <c r="E503" s="171" t="s">
        <v>220</v>
      </c>
      <c r="F503" s="78" t="s">
        <v>355</v>
      </c>
      <c r="G503" s="171" t="s">
        <v>487</v>
      </c>
      <c r="H503" s="224" t="s">
        <v>435</v>
      </c>
      <c r="I503" s="225" t="s">
        <v>410</v>
      </c>
      <c r="J503" s="224">
        <v>0</v>
      </c>
      <c r="K503" s="225" t="s">
        <v>153</v>
      </c>
      <c r="L503" s="226">
        <v>2984.59</v>
      </c>
      <c r="M503" s="227">
        <f t="shared" si="35"/>
        <v>0</v>
      </c>
      <c r="N503" s="228">
        <v>0</v>
      </c>
      <c r="O503" s="227">
        <f t="shared" si="41"/>
        <v>0</v>
      </c>
      <c r="P503" s="228">
        <v>0.16</v>
      </c>
      <c r="Q503" s="227">
        <f t="shared" si="37"/>
        <v>0</v>
      </c>
      <c r="R503" s="227">
        <f t="shared" si="38"/>
        <v>0</v>
      </c>
      <c r="S503" s="229">
        <f>INDEX('Glosario Partidas'!$M$8:$M$10,MATCH(BD!K503,'Glosario Partidas'!$L$8:$L$10,0))</f>
        <v>17.5</v>
      </c>
      <c r="T503" s="227">
        <f t="shared" si="39"/>
        <v>0</v>
      </c>
      <c r="U503" s="230" t="s">
        <v>315</v>
      </c>
      <c r="V503" s="231" t="s">
        <v>12</v>
      </c>
    </row>
    <row r="504" spans="2:22" ht="12" customHeight="1" x14ac:dyDescent="0.2">
      <c r="B504" s="63" t="s">
        <v>108</v>
      </c>
      <c r="C504" s="63" t="s">
        <v>455</v>
      </c>
      <c r="D504" s="78" t="s">
        <v>452</v>
      </c>
      <c r="E504" s="171" t="s">
        <v>220</v>
      </c>
      <c r="F504" s="78" t="s">
        <v>355</v>
      </c>
      <c r="G504" s="171" t="s">
        <v>487</v>
      </c>
      <c r="H504" s="224" t="s">
        <v>435</v>
      </c>
      <c r="I504" s="225" t="s">
        <v>410</v>
      </c>
      <c r="J504" s="224">
        <v>1</v>
      </c>
      <c r="K504" s="225" t="s">
        <v>153</v>
      </c>
      <c r="L504" s="226">
        <v>523.80999999999995</v>
      </c>
      <c r="M504" s="227">
        <f t="shared" si="35"/>
        <v>523.80999999999995</v>
      </c>
      <c r="N504" s="228">
        <v>0</v>
      </c>
      <c r="O504" s="227">
        <f t="shared" si="41"/>
        <v>0</v>
      </c>
      <c r="P504" s="228">
        <v>0.16</v>
      </c>
      <c r="Q504" s="227">
        <f t="shared" si="37"/>
        <v>83.809599999999989</v>
      </c>
      <c r="R504" s="227">
        <f t="shared" si="38"/>
        <v>607.61959999999999</v>
      </c>
      <c r="S504" s="229">
        <f>INDEX('Glosario Partidas'!$M$8:$M$10,MATCH(BD!K504,'Glosario Partidas'!$L$8:$L$10,0))</f>
        <v>17.5</v>
      </c>
      <c r="T504" s="227">
        <f t="shared" si="39"/>
        <v>10633.343000000001</v>
      </c>
      <c r="U504" s="230" t="s">
        <v>315</v>
      </c>
      <c r="V504" s="231" t="s">
        <v>12</v>
      </c>
    </row>
    <row r="505" spans="2:22" ht="12" customHeight="1" x14ac:dyDescent="0.2">
      <c r="B505" s="63" t="s">
        <v>108</v>
      </c>
      <c r="C505" s="63" t="s">
        <v>453</v>
      </c>
      <c r="D505" s="78" t="s">
        <v>313</v>
      </c>
      <c r="E505" s="171" t="s">
        <v>220</v>
      </c>
      <c r="F505" s="78" t="s">
        <v>355</v>
      </c>
      <c r="G505" s="171" t="s">
        <v>487</v>
      </c>
      <c r="H505" s="224" t="s">
        <v>456</v>
      </c>
      <c r="I505" s="225" t="s">
        <v>314</v>
      </c>
      <c r="J505" s="224">
        <v>1</v>
      </c>
      <c r="K505" s="225" t="s">
        <v>269</v>
      </c>
      <c r="L505" s="226">
        <v>0</v>
      </c>
      <c r="M505" s="227">
        <f t="shared" si="35"/>
        <v>0</v>
      </c>
      <c r="N505" s="228">
        <v>0</v>
      </c>
      <c r="O505" s="227">
        <f t="shared" si="41"/>
        <v>0</v>
      </c>
      <c r="P505" s="228">
        <v>0.16</v>
      </c>
      <c r="Q505" s="227">
        <f t="shared" si="37"/>
        <v>0</v>
      </c>
      <c r="R505" s="227">
        <f t="shared" si="38"/>
        <v>0</v>
      </c>
      <c r="S505" s="229">
        <f>INDEX('Glosario Partidas'!$M$8:$M$10,MATCH(BD!K505,'Glosario Partidas'!$L$8:$L$10,0))</f>
        <v>1</v>
      </c>
      <c r="T505" s="227">
        <f t="shared" si="39"/>
        <v>0</v>
      </c>
      <c r="U505" s="230" t="s">
        <v>315</v>
      </c>
      <c r="V505" s="231" t="s">
        <v>13</v>
      </c>
    </row>
    <row r="506" spans="2:22" ht="12" customHeight="1" x14ac:dyDescent="0.2">
      <c r="B506" s="63" t="s">
        <v>188</v>
      </c>
      <c r="C506" s="63" t="s">
        <v>457</v>
      </c>
      <c r="D506" s="78" t="s">
        <v>458</v>
      </c>
      <c r="E506" s="171" t="s">
        <v>220</v>
      </c>
      <c r="F506" s="78" t="s">
        <v>221</v>
      </c>
      <c r="G506" s="171" t="s">
        <v>487</v>
      </c>
      <c r="H506" s="224" t="s">
        <v>456</v>
      </c>
      <c r="I506" s="225" t="s">
        <v>410</v>
      </c>
      <c r="J506" s="224">
        <v>1</v>
      </c>
      <c r="K506" s="225" t="s">
        <v>269</v>
      </c>
      <c r="L506" s="239">
        <v>88226</v>
      </c>
      <c r="M506" s="227">
        <f t="shared" si="35"/>
        <v>88226</v>
      </c>
      <c r="N506" s="228">
        <v>0</v>
      </c>
      <c r="O506" s="227">
        <f t="shared" si="41"/>
        <v>0</v>
      </c>
      <c r="P506" s="228">
        <v>0.16</v>
      </c>
      <c r="Q506" s="227">
        <f t="shared" si="37"/>
        <v>14116.16</v>
      </c>
      <c r="R506" s="227">
        <f t="shared" si="38"/>
        <v>102342.16</v>
      </c>
      <c r="S506" s="229">
        <f>INDEX('Glosario Partidas'!$M$8:$M$10,MATCH(BD!K506,'Glosario Partidas'!$L$8:$L$10,0))</f>
        <v>1</v>
      </c>
      <c r="T506" s="227">
        <f t="shared" si="39"/>
        <v>102342.16</v>
      </c>
      <c r="U506" s="230" t="s">
        <v>315</v>
      </c>
      <c r="V506" s="231" t="s">
        <v>13</v>
      </c>
    </row>
    <row r="507" spans="2:22" ht="12" customHeight="1" x14ac:dyDescent="0.2">
      <c r="B507" s="63" t="s">
        <v>188</v>
      </c>
      <c r="C507" s="63" t="s">
        <v>459</v>
      </c>
      <c r="D507" s="78" t="s">
        <v>460</v>
      </c>
      <c r="E507" s="171" t="s">
        <v>220</v>
      </c>
      <c r="F507" s="78" t="s">
        <v>221</v>
      </c>
      <c r="G507" s="171" t="s">
        <v>487</v>
      </c>
      <c r="H507" s="224" t="s">
        <v>456</v>
      </c>
      <c r="I507" s="225" t="s">
        <v>410</v>
      </c>
      <c r="J507" s="224">
        <v>1</v>
      </c>
      <c r="K507" s="225" t="s">
        <v>269</v>
      </c>
      <c r="L507" s="239">
        <v>43840</v>
      </c>
      <c r="M507" s="227">
        <f t="shared" si="35"/>
        <v>43840</v>
      </c>
      <c r="N507" s="228">
        <v>0</v>
      </c>
      <c r="O507" s="227">
        <f t="shared" si="41"/>
        <v>0</v>
      </c>
      <c r="P507" s="228">
        <v>0.16</v>
      </c>
      <c r="Q507" s="227">
        <f t="shared" si="37"/>
        <v>7014.4000000000005</v>
      </c>
      <c r="R507" s="227">
        <f t="shared" si="38"/>
        <v>50854.400000000001</v>
      </c>
      <c r="S507" s="229">
        <f>INDEX('Glosario Partidas'!$M$8:$M$10,MATCH(BD!K507,'Glosario Partidas'!$L$8:$L$10,0))</f>
        <v>1</v>
      </c>
      <c r="T507" s="227">
        <f t="shared" si="39"/>
        <v>50854.400000000001</v>
      </c>
      <c r="U507" s="230" t="s">
        <v>315</v>
      </c>
      <c r="V507" s="231" t="s">
        <v>13</v>
      </c>
    </row>
    <row r="508" spans="2:22" ht="12" customHeight="1" x14ac:dyDescent="0.2">
      <c r="B508" s="63" t="s">
        <v>188</v>
      </c>
      <c r="C508" s="63" t="s">
        <v>459</v>
      </c>
      <c r="D508" s="78" t="s">
        <v>399</v>
      </c>
      <c r="E508" s="171" t="s">
        <v>220</v>
      </c>
      <c r="F508" s="78" t="s">
        <v>221</v>
      </c>
      <c r="G508" s="171" t="s">
        <v>487</v>
      </c>
      <c r="H508" s="224" t="s">
        <v>456</v>
      </c>
      <c r="I508" s="225" t="s">
        <v>410</v>
      </c>
      <c r="J508" s="224">
        <v>1</v>
      </c>
      <c r="K508" s="225" t="s">
        <v>269</v>
      </c>
      <c r="L508" s="239">
        <v>104148</v>
      </c>
      <c r="M508" s="227">
        <f t="shared" si="35"/>
        <v>104148</v>
      </c>
      <c r="N508" s="228">
        <v>0</v>
      </c>
      <c r="O508" s="227">
        <f t="shared" si="41"/>
        <v>0</v>
      </c>
      <c r="P508" s="228">
        <v>0.16</v>
      </c>
      <c r="Q508" s="227">
        <f t="shared" si="37"/>
        <v>16663.68</v>
      </c>
      <c r="R508" s="227">
        <f t="shared" si="38"/>
        <v>120811.68</v>
      </c>
      <c r="S508" s="229">
        <f>INDEX('Glosario Partidas'!$M$8:$M$10,MATCH(BD!K508,'Glosario Partidas'!$L$8:$L$10,0))</f>
        <v>1</v>
      </c>
      <c r="T508" s="227">
        <f t="shared" si="39"/>
        <v>120811.68</v>
      </c>
      <c r="U508" s="230" t="s">
        <v>315</v>
      </c>
      <c r="V508" s="231" t="s">
        <v>13</v>
      </c>
    </row>
    <row r="509" spans="2:22" ht="12" customHeight="1" x14ac:dyDescent="0.2">
      <c r="B509" s="63" t="s">
        <v>188</v>
      </c>
      <c r="C509" s="63" t="s">
        <v>459</v>
      </c>
      <c r="D509" s="78" t="s">
        <v>461</v>
      </c>
      <c r="E509" s="171" t="s">
        <v>220</v>
      </c>
      <c r="F509" s="78" t="s">
        <v>221</v>
      </c>
      <c r="G509" s="171" t="s">
        <v>487</v>
      </c>
      <c r="H509" s="224" t="s">
        <v>456</v>
      </c>
      <c r="I509" s="225" t="s">
        <v>410</v>
      </c>
      <c r="J509" s="224">
        <v>1</v>
      </c>
      <c r="K509" s="225" t="s">
        <v>269</v>
      </c>
      <c r="L509" s="239">
        <v>104148</v>
      </c>
      <c r="M509" s="227">
        <f t="shared" si="35"/>
        <v>104148</v>
      </c>
      <c r="N509" s="228">
        <v>0</v>
      </c>
      <c r="O509" s="227">
        <f t="shared" si="41"/>
        <v>0</v>
      </c>
      <c r="P509" s="228">
        <v>0.16</v>
      </c>
      <c r="Q509" s="227">
        <f t="shared" si="37"/>
        <v>16663.68</v>
      </c>
      <c r="R509" s="227">
        <f t="shared" si="38"/>
        <v>120811.68</v>
      </c>
      <c r="S509" s="229">
        <f>INDEX('Glosario Partidas'!$M$8:$M$10,MATCH(BD!K509,'Glosario Partidas'!$L$8:$L$10,0))</f>
        <v>1</v>
      </c>
      <c r="T509" s="227">
        <f t="shared" si="39"/>
        <v>120811.68</v>
      </c>
      <c r="U509" s="230" t="s">
        <v>315</v>
      </c>
      <c r="V509" s="231" t="s">
        <v>13</v>
      </c>
    </row>
    <row r="510" spans="2:22" ht="12" customHeight="1" x14ac:dyDescent="0.2">
      <c r="B510" s="63" t="s">
        <v>188</v>
      </c>
      <c r="C510" s="63" t="s">
        <v>459</v>
      </c>
      <c r="D510" s="78" t="s">
        <v>462</v>
      </c>
      <c r="E510" s="171" t="s">
        <v>220</v>
      </c>
      <c r="F510" s="78" t="s">
        <v>221</v>
      </c>
      <c r="G510" s="171" t="s">
        <v>487</v>
      </c>
      <c r="H510" s="224" t="s">
        <v>456</v>
      </c>
      <c r="I510" s="225" t="s">
        <v>410</v>
      </c>
      <c r="J510" s="224">
        <v>1</v>
      </c>
      <c r="K510" s="225" t="s">
        <v>269</v>
      </c>
      <c r="L510" s="239">
        <v>43840</v>
      </c>
      <c r="M510" s="227">
        <f t="shared" si="35"/>
        <v>43840</v>
      </c>
      <c r="N510" s="228">
        <v>0</v>
      </c>
      <c r="O510" s="227">
        <f t="shared" si="41"/>
        <v>0</v>
      </c>
      <c r="P510" s="228">
        <v>0.16</v>
      </c>
      <c r="Q510" s="227">
        <f t="shared" si="37"/>
        <v>7014.4000000000005</v>
      </c>
      <c r="R510" s="227">
        <f t="shared" si="38"/>
        <v>50854.400000000001</v>
      </c>
      <c r="S510" s="229">
        <f>INDEX('Glosario Partidas'!$M$8:$M$10,MATCH(BD!K510,'Glosario Partidas'!$L$8:$L$10,0))</f>
        <v>1</v>
      </c>
      <c r="T510" s="227">
        <f t="shared" si="39"/>
        <v>50854.400000000001</v>
      </c>
      <c r="U510" s="230" t="s">
        <v>315</v>
      </c>
      <c r="V510" s="231" t="s">
        <v>13</v>
      </c>
    </row>
    <row r="511" spans="2:22" ht="12" customHeight="1" x14ac:dyDescent="0.2">
      <c r="B511" s="63" t="s">
        <v>188</v>
      </c>
      <c r="C511" s="63" t="s">
        <v>459</v>
      </c>
      <c r="D511" s="78" t="s">
        <v>400</v>
      </c>
      <c r="E511" s="171" t="s">
        <v>220</v>
      </c>
      <c r="F511" s="78" t="s">
        <v>221</v>
      </c>
      <c r="G511" s="171" t="s">
        <v>487</v>
      </c>
      <c r="H511" s="224" t="s">
        <v>456</v>
      </c>
      <c r="I511" s="225" t="s">
        <v>410</v>
      </c>
      <c r="J511" s="224">
        <v>1</v>
      </c>
      <c r="K511" s="225" t="s">
        <v>269</v>
      </c>
      <c r="L511" s="239">
        <v>104148</v>
      </c>
      <c r="M511" s="227">
        <f t="shared" si="35"/>
        <v>104148</v>
      </c>
      <c r="N511" s="228">
        <v>0</v>
      </c>
      <c r="O511" s="227">
        <f t="shared" si="41"/>
        <v>0</v>
      </c>
      <c r="P511" s="228">
        <v>0.16</v>
      </c>
      <c r="Q511" s="227">
        <f t="shared" si="37"/>
        <v>16663.68</v>
      </c>
      <c r="R511" s="227">
        <f t="shared" si="38"/>
        <v>120811.68</v>
      </c>
      <c r="S511" s="229">
        <f>INDEX('Glosario Partidas'!$M$8:$M$10,MATCH(BD!K511,'Glosario Partidas'!$L$8:$L$10,0))</f>
        <v>1</v>
      </c>
      <c r="T511" s="227">
        <f t="shared" si="39"/>
        <v>120811.68</v>
      </c>
      <c r="U511" s="230" t="s">
        <v>315</v>
      </c>
      <c r="V511" s="231" t="s">
        <v>13</v>
      </c>
    </row>
    <row r="512" spans="2:22" ht="12" customHeight="1" x14ac:dyDescent="0.2">
      <c r="B512" s="63" t="s">
        <v>188</v>
      </c>
      <c r="C512" s="63" t="s">
        <v>459</v>
      </c>
      <c r="D512" s="78" t="s">
        <v>463</v>
      </c>
      <c r="E512" s="171" t="s">
        <v>220</v>
      </c>
      <c r="F512" s="78" t="s">
        <v>221</v>
      </c>
      <c r="G512" s="171" t="s">
        <v>487</v>
      </c>
      <c r="H512" s="224" t="s">
        <v>456</v>
      </c>
      <c r="I512" s="225" t="s">
        <v>410</v>
      </c>
      <c r="J512" s="224">
        <v>1</v>
      </c>
      <c r="K512" s="225" t="s">
        <v>269</v>
      </c>
      <c r="L512" s="239">
        <v>104148</v>
      </c>
      <c r="M512" s="227">
        <f t="shared" si="35"/>
        <v>104148</v>
      </c>
      <c r="N512" s="228">
        <v>0</v>
      </c>
      <c r="O512" s="227">
        <f t="shared" si="41"/>
        <v>0</v>
      </c>
      <c r="P512" s="228">
        <v>0.16</v>
      </c>
      <c r="Q512" s="227">
        <f t="shared" si="37"/>
        <v>16663.68</v>
      </c>
      <c r="R512" s="227">
        <f t="shared" si="38"/>
        <v>120811.68</v>
      </c>
      <c r="S512" s="229">
        <f>INDEX('Glosario Partidas'!$M$8:$M$10,MATCH(BD!K512,'Glosario Partidas'!$L$8:$L$10,0))</f>
        <v>1</v>
      </c>
      <c r="T512" s="227">
        <f t="shared" si="39"/>
        <v>120811.68</v>
      </c>
      <c r="U512" s="230" t="s">
        <v>315</v>
      </c>
      <c r="V512" s="231" t="s">
        <v>13</v>
      </c>
    </row>
    <row r="513" spans="2:22" ht="12" customHeight="1" x14ac:dyDescent="0.2">
      <c r="B513" s="63" t="s">
        <v>188</v>
      </c>
      <c r="C513" s="63" t="s">
        <v>459</v>
      </c>
      <c r="D513" s="78" t="s">
        <v>464</v>
      </c>
      <c r="E513" s="171" t="s">
        <v>220</v>
      </c>
      <c r="F513" s="78" t="s">
        <v>221</v>
      </c>
      <c r="G513" s="171" t="s">
        <v>487</v>
      </c>
      <c r="H513" s="224" t="s">
        <v>293</v>
      </c>
      <c r="I513" s="225" t="s">
        <v>410</v>
      </c>
      <c r="J513" s="224">
        <v>0</v>
      </c>
      <c r="K513" s="225" t="s">
        <v>269</v>
      </c>
      <c r="L513" s="226">
        <v>0</v>
      </c>
      <c r="M513" s="227">
        <f t="shared" si="35"/>
        <v>0</v>
      </c>
      <c r="N513" s="228">
        <v>0</v>
      </c>
      <c r="O513" s="227">
        <f t="shared" si="41"/>
        <v>0</v>
      </c>
      <c r="P513" s="228">
        <v>0.16</v>
      </c>
      <c r="Q513" s="227">
        <f t="shared" si="37"/>
        <v>0</v>
      </c>
      <c r="R513" s="227">
        <f t="shared" si="38"/>
        <v>0</v>
      </c>
      <c r="S513" s="229">
        <f>INDEX('Glosario Partidas'!$M$8:$M$10,MATCH(BD!K513,'Glosario Partidas'!$L$8:$L$10,0))</f>
        <v>1</v>
      </c>
      <c r="T513" s="227">
        <f t="shared" si="39"/>
        <v>0</v>
      </c>
      <c r="U513" s="230" t="s">
        <v>315</v>
      </c>
      <c r="V513" s="231" t="s">
        <v>13</v>
      </c>
    </row>
    <row r="514" spans="2:22" ht="12" customHeight="1" x14ac:dyDescent="0.2">
      <c r="B514" s="63" t="s">
        <v>188</v>
      </c>
      <c r="C514" s="63" t="s">
        <v>459</v>
      </c>
      <c r="D514" s="78" t="s">
        <v>465</v>
      </c>
      <c r="E514" s="171" t="s">
        <v>220</v>
      </c>
      <c r="F514" s="78" t="s">
        <v>221</v>
      </c>
      <c r="G514" s="171" t="s">
        <v>487</v>
      </c>
      <c r="H514" s="224" t="s">
        <v>456</v>
      </c>
      <c r="I514" s="225" t="s">
        <v>410</v>
      </c>
      <c r="J514" s="224">
        <v>1</v>
      </c>
      <c r="K514" s="225" t="s">
        <v>269</v>
      </c>
      <c r="L514" s="239">
        <v>43873</v>
      </c>
      <c r="M514" s="227">
        <f t="shared" si="35"/>
        <v>43873</v>
      </c>
      <c r="N514" s="228">
        <v>0</v>
      </c>
      <c r="O514" s="227">
        <f t="shared" si="41"/>
        <v>0</v>
      </c>
      <c r="P514" s="228">
        <v>0.16</v>
      </c>
      <c r="Q514" s="227">
        <f t="shared" si="37"/>
        <v>7019.68</v>
      </c>
      <c r="R514" s="227">
        <f t="shared" si="38"/>
        <v>50892.68</v>
      </c>
      <c r="S514" s="229">
        <f>INDEX('Glosario Partidas'!$M$8:$M$10,MATCH(BD!K514,'Glosario Partidas'!$L$8:$L$10,0))</f>
        <v>1</v>
      </c>
      <c r="T514" s="227">
        <f t="shared" si="39"/>
        <v>50892.68</v>
      </c>
      <c r="U514" s="230" t="s">
        <v>315</v>
      </c>
      <c r="V514" s="231" t="s">
        <v>13</v>
      </c>
    </row>
    <row r="515" spans="2:22" ht="12" customHeight="1" x14ac:dyDescent="0.2">
      <c r="B515" s="63" t="s">
        <v>188</v>
      </c>
      <c r="C515" s="63" t="s">
        <v>459</v>
      </c>
      <c r="D515" s="78" t="s">
        <v>466</v>
      </c>
      <c r="E515" s="171" t="s">
        <v>220</v>
      </c>
      <c r="F515" s="78" t="s">
        <v>221</v>
      </c>
      <c r="G515" s="171" t="s">
        <v>487</v>
      </c>
      <c r="H515" s="224" t="s">
        <v>456</v>
      </c>
      <c r="I515" s="225" t="s">
        <v>410</v>
      </c>
      <c r="J515" s="224">
        <v>2</v>
      </c>
      <c r="K515" s="225" t="s">
        <v>269</v>
      </c>
      <c r="L515" s="239">
        <v>32861</v>
      </c>
      <c r="M515" s="227">
        <f t="shared" si="35"/>
        <v>65722</v>
      </c>
      <c r="N515" s="228">
        <v>0</v>
      </c>
      <c r="O515" s="227">
        <f t="shared" si="41"/>
        <v>0</v>
      </c>
      <c r="P515" s="228">
        <v>0.16</v>
      </c>
      <c r="Q515" s="227">
        <f t="shared" si="37"/>
        <v>10515.52</v>
      </c>
      <c r="R515" s="227">
        <f t="shared" si="38"/>
        <v>76237.52</v>
      </c>
      <c r="S515" s="229">
        <f>INDEX('Glosario Partidas'!$M$8:$M$10,MATCH(BD!K515,'Glosario Partidas'!$L$8:$L$10,0))</f>
        <v>1</v>
      </c>
      <c r="T515" s="227">
        <f t="shared" si="39"/>
        <v>76237.52</v>
      </c>
      <c r="U515" s="230" t="s">
        <v>315</v>
      </c>
      <c r="V515" s="231" t="s">
        <v>13</v>
      </c>
    </row>
    <row r="516" spans="2:22" ht="12" customHeight="1" x14ac:dyDescent="0.2">
      <c r="B516" s="63" t="s">
        <v>188</v>
      </c>
      <c r="C516" s="63" t="s">
        <v>467</v>
      </c>
      <c r="D516" s="78" t="s">
        <v>401</v>
      </c>
      <c r="E516" s="171" t="s">
        <v>220</v>
      </c>
      <c r="F516" s="78" t="s">
        <v>221</v>
      </c>
      <c r="G516" s="171" t="s">
        <v>487</v>
      </c>
      <c r="H516" s="224" t="s">
        <v>456</v>
      </c>
      <c r="I516" s="225" t="s">
        <v>410</v>
      </c>
      <c r="J516" s="224">
        <v>1</v>
      </c>
      <c r="K516" s="225" t="s">
        <v>269</v>
      </c>
      <c r="L516" s="239">
        <v>99722</v>
      </c>
      <c r="M516" s="227">
        <f t="shared" si="35"/>
        <v>99722</v>
      </c>
      <c r="N516" s="228">
        <v>0</v>
      </c>
      <c r="O516" s="227">
        <f t="shared" si="41"/>
        <v>0</v>
      </c>
      <c r="P516" s="228">
        <v>0.16</v>
      </c>
      <c r="Q516" s="227">
        <f t="shared" si="37"/>
        <v>15955.52</v>
      </c>
      <c r="R516" s="227">
        <f t="shared" si="38"/>
        <v>115677.52</v>
      </c>
      <c r="S516" s="229">
        <f>INDEX('Glosario Partidas'!$M$8:$M$10,MATCH(BD!K516,'Glosario Partidas'!$L$8:$L$10,0))</f>
        <v>1</v>
      </c>
      <c r="T516" s="227">
        <f t="shared" si="39"/>
        <v>115677.52</v>
      </c>
      <c r="U516" s="230" t="s">
        <v>315</v>
      </c>
      <c r="V516" s="231" t="s">
        <v>13</v>
      </c>
    </row>
    <row r="517" spans="2:22" ht="12" customHeight="1" x14ac:dyDescent="0.2">
      <c r="B517" s="63" t="s">
        <v>188</v>
      </c>
      <c r="C517" s="63" t="s">
        <v>459</v>
      </c>
      <c r="D517" s="78" t="s">
        <v>468</v>
      </c>
      <c r="E517" s="171" t="s">
        <v>220</v>
      </c>
      <c r="F517" s="78" t="s">
        <v>221</v>
      </c>
      <c r="G517" s="171" t="s">
        <v>487</v>
      </c>
      <c r="H517" s="224" t="s">
        <v>456</v>
      </c>
      <c r="I517" s="225" t="s">
        <v>410</v>
      </c>
      <c r="J517" s="224">
        <v>1</v>
      </c>
      <c r="K517" s="225" t="s">
        <v>269</v>
      </c>
      <c r="L517" s="239">
        <v>43840</v>
      </c>
      <c r="M517" s="227">
        <f t="shared" ref="M517:M577" si="42">J517*L517</f>
        <v>43840</v>
      </c>
      <c r="N517" s="228">
        <v>0</v>
      </c>
      <c r="O517" s="227">
        <f t="shared" si="41"/>
        <v>0</v>
      </c>
      <c r="P517" s="228">
        <v>0.16</v>
      </c>
      <c r="Q517" s="227">
        <f t="shared" ref="Q517:Q577" si="43">(M517+O517)*P517</f>
        <v>7014.4000000000005</v>
      </c>
      <c r="R517" s="227">
        <f t="shared" ref="R517:R577" si="44">M517+O517+Q517</f>
        <v>50854.400000000001</v>
      </c>
      <c r="S517" s="229">
        <f>INDEX('Glosario Partidas'!$M$8:$M$10,MATCH(BD!K517,'Glosario Partidas'!$L$8:$L$10,0))</f>
        <v>1</v>
      </c>
      <c r="T517" s="227">
        <f t="shared" ref="T517:T577" si="45">R517*S517</f>
        <v>50854.400000000001</v>
      </c>
      <c r="U517" s="230" t="s">
        <v>315</v>
      </c>
      <c r="V517" s="231" t="s">
        <v>13</v>
      </c>
    </row>
    <row r="518" spans="2:22" ht="12" customHeight="1" x14ac:dyDescent="0.2">
      <c r="B518" s="63" t="s">
        <v>188</v>
      </c>
      <c r="C518" s="63" t="s">
        <v>467</v>
      </c>
      <c r="D518" s="78" t="s">
        <v>402</v>
      </c>
      <c r="E518" s="171" t="s">
        <v>220</v>
      </c>
      <c r="F518" s="78" t="s">
        <v>221</v>
      </c>
      <c r="G518" s="171" t="s">
        <v>487</v>
      </c>
      <c r="H518" s="224" t="s">
        <v>456</v>
      </c>
      <c r="I518" s="225" t="s">
        <v>410</v>
      </c>
      <c r="J518" s="224">
        <v>1</v>
      </c>
      <c r="K518" s="225" t="s">
        <v>269</v>
      </c>
      <c r="L518" s="239">
        <v>98898</v>
      </c>
      <c r="M518" s="227">
        <f t="shared" si="42"/>
        <v>98898</v>
      </c>
      <c r="N518" s="228">
        <v>0</v>
      </c>
      <c r="O518" s="227">
        <f t="shared" ref="O518:O549" si="46">M518*N518</f>
        <v>0</v>
      </c>
      <c r="P518" s="228">
        <v>0.16</v>
      </c>
      <c r="Q518" s="227">
        <f t="shared" si="43"/>
        <v>15823.68</v>
      </c>
      <c r="R518" s="227">
        <f t="shared" si="44"/>
        <v>114721.68</v>
      </c>
      <c r="S518" s="229">
        <f>INDEX('Glosario Partidas'!$M$8:$M$10,MATCH(BD!K518,'Glosario Partidas'!$L$8:$L$10,0))</f>
        <v>1</v>
      </c>
      <c r="T518" s="227">
        <f t="shared" si="45"/>
        <v>114721.68</v>
      </c>
      <c r="U518" s="230" t="s">
        <v>315</v>
      </c>
      <c r="V518" s="231" t="s">
        <v>13</v>
      </c>
    </row>
    <row r="519" spans="2:22" ht="12" customHeight="1" x14ac:dyDescent="0.2">
      <c r="B519" s="63" t="s">
        <v>188</v>
      </c>
      <c r="C519" s="63" t="s">
        <v>469</v>
      </c>
      <c r="D519" s="78" t="s">
        <v>470</v>
      </c>
      <c r="E519" s="171" t="s">
        <v>220</v>
      </c>
      <c r="F519" s="78" t="s">
        <v>221</v>
      </c>
      <c r="G519" s="171" t="s">
        <v>487</v>
      </c>
      <c r="H519" s="224" t="s">
        <v>456</v>
      </c>
      <c r="I519" s="225" t="s">
        <v>410</v>
      </c>
      <c r="J519" s="224">
        <v>1</v>
      </c>
      <c r="K519" s="225" t="s">
        <v>269</v>
      </c>
      <c r="L519" s="239">
        <v>32861</v>
      </c>
      <c r="M519" s="227">
        <f t="shared" si="42"/>
        <v>32861</v>
      </c>
      <c r="N519" s="228">
        <v>0</v>
      </c>
      <c r="O519" s="227">
        <f t="shared" si="46"/>
        <v>0</v>
      </c>
      <c r="P519" s="228">
        <v>0.16</v>
      </c>
      <c r="Q519" s="227">
        <f t="shared" si="43"/>
        <v>5257.76</v>
      </c>
      <c r="R519" s="227">
        <f t="shared" si="44"/>
        <v>38118.76</v>
      </c>
      <c r="S519" s="229">
        <f>INDEX('Glosario Partidas'!$M$8:$M$10,MATCH(BD!K519,'Glosario Partidas'!$L$8:$L$10,0))</f>
        <v>1</v>
      </c>
      <c r="T519" s="227">
        <f t="shared" si="45"/>
        <v>38118.76</v>
      </c>
      <c r="U519" s="230" t="s">
        <v>315</v>
      </c>
      <c r="V519" s="231" t="s">
        <v>13</v>
      </c>
    </row>
    <row r="520" spans="2:22" ht="12" customHeight="1" x14ac:dyDescent="0.2">
      <c r="B520" s="63" t="s">
        <v>188</v>
      </c>
      <c r="C520" s="63" t="s">
        <v>467</v>
      </c>
      <c r="D520" s="78" t="s">
        <v>471</v>
      </c>
      <c r="E520" s="171" t="s">
        <v>220</v>
      </c>
      <c r="F520" s="78" t="s">
        <v>221</v>
      </c>
      <c r="G520" s="171" t="s">
        <v>487</v>
      </c>
      <c r="H520" s="224" t="s">
        <v>456</v>
      </c>
      <c r="I520" s="225" t="s">
        <v>410</v>
      </c>
      <c r="J520" s="224">
        <v>1</v>
      </c>
      <c r="K520" s="225" t="s">
        <v>269</v>
      </c>
      <c r="L520" s="239">
        <v>98788</v>
      </c>
      <c r="M520" s="227">
        <f t="shared" si="42"/>
        <v>98788</v>
      </c>
      <c r="N520" s="228">
        <v>0</v>
      </c>
      <c r="O520" s="227">
        <f t="shared" si="46"/>
        <v>0</v>
      </c>
      <c r="P520" s="228">
        <v>0.16</v>
      </c>
      <c r="Q520" s="227">
        <f t="shared" si="43"/>
        <v>15806.08</v>
      </c>
      <c r="R520" s="227">
        <f t="shared" si="44"/>
        <v>114594.08</v>
      </c>
      <c r="S520" s="229">
        <f>INDEX('Glosario Partidas'!$M$8:$M$10,MATCH(BD!K520,'Glosario Partidas'!$L$8:$L$10,0))</f>
        <v>1</v>
      </c>
      <c r="T520" s="227">
        <f t="shared" si="45"/>
        <v>114594.08</v>
      </c>
      <c r="U520" s="230" t="s">
        <v>315</v>
      </c>
      <c r="V520" s="231" t="s">
        <v>13</v>
      </c>
    </row>
    <row r="521" spans="2:22" ht="12" customHeight="1" x14ac:dyDescent="0.2">
      <c r="B521" s="63" t="s">
        <v>188</v>
      </c>
      <c r="C521" s="63" t="s">
        <v>469</v>
      </c>
      <c r="D521" s="78" t="s">
        <v>472</v>
      </c>
      <c r="E521" s="171" t="s">
        <v>220</v>
      </c>
      <c r="F521" s="78" t="s">
        <v>221</v>
      </c>
      <c r="G521" s="171" t="s">
        <v>487</v>
      </c>
      <c r="H521" s="224" t="s">
        <v>456</v>
      </c>
      <c r="I521" s="225" t="s">
        <v>410</v>
      </c>
      <c r="J521" s="224">
        <v>1</v>
      </c>
      <c r="K521" s="225" t="s">
        <v>269</v>
      </c>
      <c r="L521" s="239">
        <v>43873</v>
      </c>
      <c r="M521" s="227">
        <f t="shared" si="42"/>
        <v>43873</v>
      </c>
      <c r="N521" s="228">
        <v>0</v>
      </c>
      <c r="O521" s="227">
        <f t="shared" si="46"/>
        <v>0</v>
      </c>
      <c r="P521" s="228">
        <v>0.16</v>
      </c>
      <c r="Q521" s="227">
        <f t="shared" si="43"/>
        <v>7019.68</v>
      </c>
      <c r="R521" s="227">
        <f t="shared" si="44"/>
        <v>50892.68</v>
      </c>
      <c r="S521" s="229">
        <f>INDEX('Glosario Partidas'!$M$8:$M$10,MATCH(BD!K521,'Glosario Partidas'!$L$8:$L$10,0))</f>
        <v>1</v>
      </c>
      <c r="T521" s="227">
        <f t="shared" si="45"/>
        <v>50892.68</v>
      </c>
      <c r="U521" s="230" t="s">
        <v>315</v>
      </c>
      <c r="V521" s="231" t="s">
        <v>13</v>
      </c>
    </row>
    <row r="522" spans="2:22" ht="12" customHeight="1" x14ac:dyDescent="0.2">
      <c r="B522" s="63" t="s">
        <v>188</v>
      </c>
      <c r="C522" s="63" t="s">
        <v>457</v>
      </c>
      <c r="D522" s="78" t="s">
        <v>458</v>
      </c>
      <c r="E522" s="171" t="s">
        <v>220</v>
      </c>
      <c r="F522" s="78" t="s">
        <v>354</v>
      </c>
      <c r="G522" s="171" t="s">
        <v>487</v>
      </c>
      <c r="H522" s="224" t="s">
        <v>456</v>
      </c>
      <c r="I522" s="225" t="s">
        <v>410</v>
      </c>
      <c r="J522" s="224">
        <v>1</v>
      </c>
      <c r="K522" s="225" t="s">
        <v>269</v>
      </c>
      <c r="L522" s="239">
        <v>88226</v>
      </c>
      <c r="M522" s="227">
        <f t="shared" si="42"/>
        <v>88226</v>
      </c>
      <c r="N522" s="228">
        <v>0</v>
      </c>
      <c r="O522" s="227">
        <f t="shared" si="46"/>
        <v>0</v>
      </c>
      <c r="P522" s="228">
        <v>0.16</v>
      </c>
      <c r="Q522" s="227">
        <f t="shared" si="43"/>
        <v>14116.16</v>
      </c>
      <c r="R522" s="227">
        <f t="shared" si="44"/>
        <v>102342.16</v>
      </c>
      <c r="S522" s="229">
        <f>INDEX('Glosario Partidas'!$M$8:$M$10,MATCH(BD!K522,'Glosario Partidas'!$L$8:$L$10,0))</f>
        <v>1</v>
      </c>
      <c r="T522" s="227">
        <f t="shared" si="45"/>
        <v>102342.16</v>
      </c>
      <c r="U522" s="230" t="s">
        <v>315</v>
      </c>
      <c r="V522" s="231" t="s">
        <v>13</v>
      </c>
    </row>
    <row r="523" spans="2:22" ht="12" customHeight="1" x14ac:dyDescent="0.2">
      <c r="B523" s="63" t="s">
        <v>188</v>
      </c>
      <c r="C523" s="63" t="s">
        <v>459</v>
      </c>
      <c r="D523" s="78" t="s">
        <v>460</v>
      </c>
      <c r="E523" s="171" t="s">
        <v>220</v>
      </c>
      <c r="F523" s="78" t="s">
        <v>354</v>
      </c>
      <c r="G523" s="171" t="s">
        <v>487</v>
      </c>
      <c r="H523" s="224" t="s">
        <v>456</v>
      </c>
      <c r="I523" s="225" t="s">
        <v>410</v>
      </c>
      <c r="J523" s="224">
        <v>1</v>
      </c>
      <c r="K523" s="225" t="s">
        <v>269</v>
      </c>
      <c r="L523" s="239">
        <v>104133</v>
      </c>
      <c r="M523" s="227">
        <f t="shared" si="42"/>
        <v>104133</v>
      </c>
      <c r="N523" s="228">
        <v>0</v>
      </c>
      <c r="O523" s="227">
        <f t="shared" si="46"/>
        <v>0</v>
      </c>
      <c r="P523" s="228">
        <v>0.16</v>
      </c>
      <c r="Q523" s="227">
        <f t="shared" si="43"/>
        <v>16661.28</v>
      </c>
      <c r="R523" s="227">
        <f t="shared" si="44"/>
        <v>120794.28</v>
      </c>
      <c r="S523" s="229">
        <f>INDEX('Glosario Partidas'!$M$8:$M$10,MATCH(BD!K523,'Glosario Partidas'!$L$8:$L$10,0))</f>
        <v>1</v>
      </c>
      <c r="T523" s="227">
        <f t="shared" si="45"/>
        <v>120794.28</v>
      </c>
      <c r="U523" s="230" t="s">
        <v>315</v>
      </c>
      <c r="V523" s="231" t="s">
        <v>13</v>
      </c>
    </row>
    <row r="524" spans="2:22" ht="12" customHeight="1" x14ac:dyDescent="0.2">
      <c r="B524" s="63" t="s">
        <v>188</v>
      </c>
      <c r="C524" s="63" t="s">
        <v>459</v>
      </c>
      <c r="D524" s="78" t="s">
        <v>399</v>
      </c>
      <c r="E524" s="171" t="s">
        <v>220</v>
      </c>
      <c r="F524" s="78" t="s">
        <v>354</v>
      </c>
      <c r="G524" s="171" t="s">
        <v>487</v>
      </c>
      <c r="H524" s="224" t="s">
        <v>456</v>
      </c>
      <c r="I524" s="225" t="s">
        <v>410</v>
      </c>
      <c r="J524" s="224">
        <v>1</v>
      </c>
      <c r="K524" s="225" t="s">
        <v>269</v>
      </c>
      <c r="L524" s="239">
        <v>43834</v>
      </c>
      <c r="M524" s="227">
        <f t="shared" si="42"/>
        <v>43834</v>
      </c>
      <c r="N524" s="228">
        <v>0</v>
      </c>
      <c r="O524" s="227">
        <f t="shared" si="46"/>
        <v>0</v>
      </c>
      <c r="P524" s="228">
        <v>0.16</v>
      </c>
      <c r="Q524" s="227">
        <f t="shared" si="43"/>
        <v>7013.4400000000005</v>
      </c>
      <c r="R524" s="227">
        <f t="shared" si="44"/>
        <v>50847.44</v>
      </c>
      <c r="S524" s="229">
        <f>INDEX('Glosario Partidas'!$M$8:$M$10,MATCH(BD!K524,'Glosario Partidas'!$L$8:$L$10,0))</f>
        <v>1</v>
      </c>
      <c r="T524" s="227">
        <f t="shared" si="45"/>
        <v>50847.44</v>
      </c>
      <c r="U524" s="230" t="s">
        <v>315</v>
      </c>
      <c r="V524" s="231" t="s">
        <v>13</v>
      </c>
    </row>
    <row r="525" spans="2:22" ht="12" customHeight="1" x14ac:dyDescent="0.2">
      <c r="B525" s="63" t="s">
        <v>188</v>
      </c>
      <c r="C525" s="63" t="s">
        <v>459</v>
      </c>
      <c r="D525" s="78" t="s">
        <v>461</v>
      </c>
      <c r="E525" s="171" t="s">
        <v>220</v>
      </c>
      <c r="F525" s="78" t="s">
        <v>354</v>
      </c>
      <c r="G525" s="171" t="s">
        <v>487</v>
      </c>
      <c r="H525" s="224" t="s">
        <v>456</v>
      </c>
      <c r="I525" s="225" t="s">
        <v>410</v>
      </c>
      <c r="J525" s="224">
        <v>1</v>
      </c>
      <c r="K525" s="225" t="s">
        <v>269</v>
      </c>
      <c r="L525" s="239">
        <v>104133</v>
      </c>
      <c r="M525" s="227">
        <f t="shared" si="42"/>
        <v>104133</v>
      </c>
      <c r="N525" s="228">
        <v>0</v>
      </c>
      <c r="O525" s="227">
        <f t="shared" si="46"/>
        <v>0</v>
      </c>
      <c r="P525" s="228">
        <v>0.16</v>
      </c>
      <c r="Q525" s="227">
        <f t="shared" si="43"/>
        <v>16661.28</v>
      </c>
      <c r="R525" s="227">
        <f t="shared" si="44"/>
        <v>120794.28</v>
      </c>
      <c r="S525" s="229">
        <f>INDEX('Glosario Partidas'!$M$8:$M$10,MATCH(BD!K525,'Glosario Partidas'!$L$8:$L$10,0))</f>
        <v>1</v>
      </c>
      <c r="T525" s="227">
        <f t="shared" si="45"/>
        <v>120794.28</v>
      </c>
      <c r="U525" s="230" t="s">
        <v>315</v>
      </c>
      <c r="V525" s="231" t="s">
        <v>13</v>
      </c>
    </row>
    <row r="526" spans="2:22" ht="12" customHeight="1" x14ac:dyDescent="0.2">
      <c r="B526" s="63" t="s">
        <v>188</v>
      </c>
      <c r="C526" s="63" t="s">
        <v>459</v>
      </c>
      <c r="D526" s="78" t="s">
        <v>462</v>
      </c>
      <c r="E526" s="171" t="s">
        <v>220</v>
      </c>
      <c r="F526" s="78" t="s">
        <v>354</v>
      </c>
      <c r="G526" s="171" t="s">
        <v>487</v>
      </c>
      <c r="H526" s="224" t="s">
        <v>456</v>
      </c>
      <c r="I526" s="225" t="s">
        <v>410</v>
      </c>
      <c r="J526" s="224">
        <v>1</v>
      </c>
      <c r="K526" s="225" t="s">
        <v>269</v>
      </c>
      <c r="L526" s="239">
        <v>43834</v>
      </c>
      <c r="M526" s="227">
        <f t="shared" si="42"/>
        <v>43834</v>
      </c>
      <c r="N526" s="228">
        <v>0</v>
      </c>
      <c r="O526" s="227">
        <f t="shared" si="46"/>
        <v>0</v>
      </c>
      <c r="P526" s="228">
        <v>0.16</v>
      </c>
      <c r="Q526" s="227">
        <f t="shared" si="43"/>
        <v>7013.4400000000005</v>
      </c>
      <c r="R526" s="227">
        <f t="shared" si="44"/>
        <v>50847.44</v>
      </c>
      <c r="S526" s="229">
        <f>INDEX('Glosario Partidas'!$M$8:$M$10,MATCH(BD!K526,'Glosario Partidas'!$L$8:$L$10,0))</f>
        <v>1</v>
      </c>
      <c r="T526" s="227">
        <f t="shared" si="45"/>
        <v>50847.44</v>
      </c>
      <c r="U526" s="230" t="s">
        <v>315</v>
      </c>
      <c r="V526" s="231" t="s">
        <v>13</v>
      </c>
    </row>
    <row r="527" spans="2:22" ht="12" customHeight="1" x14ac:dyDescent="0.2">
      <c r="B527" s="63" t="s">
        <v>188</v>
      </c>
      <c r="C527" s="63" t="s">
        <v>459</v>
      </c>
      <c r="D527" s="78" t="s">
        <v>400</v>
      </c>
      <c r="E527" s="171" t="s">
        <v>220</v>
      </c>
      <c r="F527" s="78" t="s">
        <v>354</v>
      </c>
      <c r="G527" s="171" t="s">
        <v>487</v>
      </c>
      <c r="H527" s="224" t="s">
        <v>456</v>
      </c>
      <c r="I527" s="225" t="s">
        <v>410</v>
      </c>
      <c r="J527" s="224">
        <v>1</v>
      </c>
      <c r="K527" s="225" t="s">
        <v>269</v>
      </c>
      <c r="L527" s="239">
        <v>104133</v>
      </c>
      <c r="M527" s="227">
        <f t="shared" si="42"/>
        <v>104133</v>
      </c>
      <c r="N527" s="228">
        <v>0</v>
      </c>
      <c r="O527" s="227">
        <f t="shared" si="46"/>
        <v>0</v>
      </c>
      <c r="P527" s="228">
        <v>0.16</v>
      </c>
      <c r="Q527" s="227">
        <f t="shared" si="43"/>
        <v>16661.28</v>
      </c>
      <c r="R527" s="227">
        <f t="shared" si="44"/>
        <v>120794.28</v>
      </c>
      <c r="S527" s="229">
        <f>INDEX('Glosario Partidas'!$M$8:$M$10,MATCH(BD!K527,'Glosario Partidas'!$L$8:$L$10,0))</f>
        <v>1</v>
      </c>
      <c r="T527" s="227">
        <f t="shared" si="45"/>
        <v>120794.28</v>
      </c>
      <c r="U527" s="230" t="s">
        <v>315</v>
      </c>
      <c r="V527" s="231" t="s">
        <v>13</v>
      </c>
    </row>
    <row r="528" spans="2:22" ht="12" customHeight="1" x14ac:dyDescent="0.2">
      <c r="B528" s="63" t="s">
        <v>188</v>
      </c>
      <c r="C528" s="63" t="s">
        <v>459</v>
      </c>
      <c r="D528" s="78" t="s">
        <v>463</v>
      </c>
      <c r="E528" s="171" t="s">
        <v>220</v>
      </c>
      <c r="F528" s="78" t="s">
        <v>354</v>
      </c>
      <c r="G528" s="171" t="s">
        <v>487</v>
      </c>
      <c r="H528" s="224" t="s">
        <v>456</v>
      </c>
      <c r="I528" s="225" t="s">
        <v>410</v>
      </c>
      <c r="J528" s="224">
        <v>1</v>
      </c>
      <c r="K528" s="225" t="s">
        <v>269</v>
      </c>
      <c r="L528" s="239">
        <v>104133</v>
      </c>
      <c r="M528" s="227">
        <f t="shared" si="42"/>
        <v>104133</v>
      </c>
      <c r="N528" s="228">
        <v>0</v>
      </c>
      <c r="O528" s="227">
        <f t="shared" si="46"/>
        <v>0</v>
      </c>
      <c r="P528" s="228">
        <v>0.16</v>
      </c>
      <c r="Q528" s="227">
        <f t="shared" si="43"/>
        <v>16661.28</v>
      </c>
      <c r="R528" s="227">
        <f t="shared" si="44"/>
        <v>120794.28</v>
      </c>
      <c r="S528" s="229">
        <f>INDEX('Glosario Partidas'!$M$8:$M$10,MATCH(BD!K528,'Glosario Partidas'!$L$8:$L$10,0))</f>
        <v>1</v>
      </c>
      <c r="T528" s="227">
        <f t="shared" si="45"/>
        <v>120794.28</v>
      </c>
      <c r="U528" s="230" t="s">
        <v>315</v>
      </c>
      <c r="V528" s="231" t="s">
        <v>13</v>
      </c>
    </row>
    <row r="529" spans="2:22" ht="12" customHeight="1" x14ac:dyDescent="0.2">
      <c r="B529" s="63" t="s">
        <v>188</v>
      </c>
      <c r="C529" s="63" t="s">
        <v>459</v>
      </c>
      <c r="D529" s="78" t="s">
        <v>473</v>
      </c>
      <c r="E529" s="171" t="s">
        <v>220</v>
      </c>
      <c r="F529" s="78" t="s">
        <v>355</v>
      </c>
      <c r="G529" s="171" t="s">
        <v>487</v>
      </c>
      <c r="H529" s="224" t="s">
        <v>456</v>
      </c>
      <c r="I529" s="225" t="s">
        <v>410</v>
      </c>
      <c r="J529" s="224">
        <v>1</v>
      </c>
      <c r="K529" s="225" t="s">
        <v>269</v>
      </c>
      <c r="L529" s="239">
        <v>49350</v>
      </c>
      <c r="M529" s="227">
        <f t="shared" si="42"/>
        <v>49350</v>
      </c>
      <c r="N529" s="228">
        <v>0</v>
      </c>
      <c r="O529" s="227">
        <f t="shared" si="46"/>
        <v>0</v>
      </c>
      <c r="P529" s="228">
        <v>0.16</v>
      </c>
      <c r="Q529" s="227">
        <f t="shared" si="43"/>
        <v>7896</v>
      </c>
      <c r="R529" s="227">
        <f t="shared" si="44"/>
        <v>57246</v>
      </c>
      <c r="S529" s="229">
        <f>INDEX('Glosario Partidas'!$M$8:$M$10,MATCH(BD!K529,'Glosario Partidas'!$L$8:$L$10,0))</f>
        <v>1</v>
      </c>
      <c r="T529" s="227">
        <f t="shared" si="45"/>
        <v>57246</v>
      </c>
      <c r="U529" s="230" t="s">
        <v>315</v>
      </c>
      <c r="V529" s="231" t="s">
        <v>13</v>
      </c>
    </row>
    <row r="530" spans="2:22" ht="12" customHeight="1" x14ac:dyDescent="0.2">
      <c r="B530" s="63" t="s">
        <v>188</v>
      </c>
      <c r="C530" s="63" t="s">
        <v>467</v>
      </c>
      <c r="D530" s="78" t="s">
        <v>471</v>
      </c>
      <c r="E530" s="171" t="s">
        <v>220</v>
      </c>
      <c r="F530" s="78" t="s">
        <v>355</v>
      </c>
      <c r="G530" s="171" t="s">
        <v>487</v>
      </c>
      <c r="H530" s="224" t="s">
        <v>456</v>
      </c>
      <c r="I530" s="225" t="s">
        <v>410</v>
      </c>
      <c r="J530" s="224">
        <v>1</v>
      </c>
      <c r="K530" s="225" t="s">
        <v>269</v>
      </c>
      <c r="L530" s="239">
        <v>98898</v>
      </c>
      <c r="M530" s="227">
        <f t="shared" si="42"/>
        <v>98898</v>
      </c>
      <c r="N530" s="228">
        <v>0</v>
      </c>
      <c r="O530" s="227">
        <f t="shared" si="46"/>
        <v>0</v>
      </c>
      <c r="P530" s="228">
        <v>0.16</v>
      </c>
      <c r="Q530" s="227">
        <f t="shared" si="43"/>
        <v>15823.68</v>
      </c>
      <c r="R530" s="227">
        <f t="shared" si="44"/>
        <v>114721.68</v>
      </c>
      <c r="S530" s="229">
        <f>INDEX('Glosario Partidas'!$M$8:$M$10,MATCH(BD!K530,'Glosario Partidas'!$L$8:$L$10,0))</f>
        <v>1</v>
      </c>
      <c r="T530" s="227">
        <f t="shared" si="45"/>
        <v>114721.68</v>
      </c>
      <c r="U530" s="230" t="s">
        <v>315</v>
      </c>
      <c r="V530" s="231" t="s">
        <v>13</v>
      </c>
    </row>
    <row r="531" spans="2:22" ht="12" customHeight="1" x14ac:dyDescent="0.2">
      <c r="B531" s="63" t="s">
        <v>188</v>
      </c>
      <c r="C531" s="63" t="s">
        <v>467</v>
      </c>
      <c r="D531" s="78" t="s">
        <v>474</v>
      </c>
      <c r="E531" s="171" t="s">
        <v>220</v>
      </c>
      <c r="F531" s="78" t="s">
        <v>355</v>
      </c>
      <c r="G531" s="171" t="s">
        <v>487</v>
      </c>
      <c r="H531" s="224" t="s">
        <v>456</v>
      </c>
      <c r="I531" s="225" t="s">
        <v>410</v>
      </c>
      <c r="J531" s="224">
        <v>1</v>
      </c>
      <c r="K531" s="225" t="s">
        <v>269</v>
      </c>
      <c r="L531" s="239">
        <v>98898</v>
      </c>
      <c r="M531" s="227">
        <f t="shared" si="42"/>
        <v>98898</v>
      </c>
      <c r="N531" s="228">
        <v>0</v>
      </c>
      <c r="O531" s="227">
        <f t="shared" si="46"/>
        <v>0</v>
      </c>
      <c r="P531" s="228">
        <v>0.16</v>
      </c>
      <c r="Q531" s="227">
        <f t="shared" si="43"/>
        <v>15823.68</v>
      </c>
      <c r="R531" s="227">
        <f t="shared" si="44"/>
        <v>114721.68</v>
      </c>
      <c r="S531" s="229">
        <f>INDEX('Glosario Partidas'!$M$8:$M$10,MATCH(BD!K531,'Glosario Partidas'!$L$8:$L$10,0))</f>
        <v>1</v>
      </c>
      <c r="T531" s="227">
        <f t="shared" si="45"/>
        <v>114721.68</v>
      </c>
      <c r="U531" s="230" t="s">
        <v>315</v>
      </c>
      <c r="V531" s="231" t="s">
        <v>13</v>
      </c>
    </row>
    <row r="532" spans="2:22" ht="12" customHeight="1" x14ac:dyDescent="0.2">
      <c r="B532" s="63" t="s">
        <v>188</v>
      </c>
      <c r="C532" s="63" t="s">
        <v>469</v>
      </c>
      <c r="D532" s="78" t="s">
        <v>464</v>
      </c>
      <c r="E532" s="171" t="s">
        <v>220</v>
      </c>
      <c r="F532" s="78" t="s">
        <v>355</v>
      </c>
      <c r="G532" s="171" t="s">
        <v>487</v>
      </c>
      <c r="H532" s="224" t="s">
        <v>293</v>
      </c>
      <c r="I532" s="225" t="s">
        <v>410</v>
      </c>
      <c r="J532" s="224">
        <v>2</v>
      </c>
      <c r="K532" s="225" t="s">
        <v>269</v>
      </c>
      <c r="L532" s="226">
        <v>50000</v>
      </c>
      <c r="M532" s="227">
        <f t="shared" si="42"/>
        <v>100000</v>
      </c>
      <c r="N532" s="228">
        <v>0</v>
      </c>
      <c r="O532" s="227">
        <f t="shared" si="46"/>
        <v>0</v>
      </c>
      <c r="P532" s="228">
        <v>0.16</v>
      </c>
      <c r="Q532" s="227">
        <f t="shared" si="43"/>
        <v>16000</v>
      </c>
      <c r="R532" s="227">
        <f t="shared" si="44"/>
        <v>116000</v>
      </c>
      <c r="S532" s="229">
        <f>INDEX('Glosario Partidas'!$M$8:$M$10,MATCH(BD!K532,'Glosario Partidas'!$L$8:$L$10,0))</f>
        <v>1</v>
      </c>
      <c r="T532" s="227">
        <f t="shared" si="45"/>
        <v>116000</v>
      </c>
      <c r="U532" s="230" t="s">
        <v>315</v>
      </c>
      <c r="V532" s="231" t="s">
        <v>13</v>
      </c>
    </row>
    <row r="533" spans="2:22" ht="12" customHeight="1" x14ac:dyDescent="0.2">
      <c r="B533" s="63" t="s">
        <v>188</v>
      </c>
      <c r="C533" s="63" t="s">
        <v>467</v>
      </c>
      <c r="D533" s="78" t="s">
        <v>475</v>
      </c>
      <c r="E533" s="171" t="s">
        <v>220</v>
      </c>
      <c r="F533" s="78" t="s">
        <v>355</v>
      </c>
      <c r="G533" s="171" t="s">
        <v>487</v>
      </c>
      <c r="H533" s="224" t="s">
        <v>456</v>
      </c>
      <c r="I533" s="225" t="s">
        <v>410</v>
      </c>
      <c r="J533" s="224">
        <v>1</v>
      </c>
      <c r="K533" s="225" t="s">
        <v>269</v>
      </c>
      <c r="L533" s="239">
        <v>32893</v>
      </c>
      <c r="M533" s="227">
        <f t="shared" si="42"/>
        <v>32893</v>
      </c>
      <c r="N533" s="228">
        <v>0</v>
      </c>
      <c r="O533" s="227">
        <f t="shared" si="46"/>
        <v>0</v>
      </c>
      <c r="P533" s="228">
        <v>0.16</v>
      </c>
      <c r="Q533" s="227">
        <f t="shared" si="43"/>
        <v>5262.88</v>
      </c>
      <c r="R533" s="227">
        <f t="shared" si="44"/>
        <v>38155.879999999997</v>
      </c>
      <c r="S533" s="229">
        <f>INDEX('Glosario Partidas'!$M$8:$M$10,MATCH(BD!K533,'Glosario Partidas'!$L$8:$L$10,0))</f>
        <v>1</v>
      </c>
      <c r="T533" s="227">
        <f t="shared" si="45"/>
        <v>38155.879999999997</v>
      </c>
      <c r="U533" s="230" t="s">
        <v>315</v>
      </c>
      <c r="V533" s="231" t="s">
        <v>13</v>
      </c>
    </row>
    <row r="534" spans="2:22" ht="12" customHeight="1" x14ac:dyDescent="0.2">
      <c r="B534" s="63" t="s">
        <v>188</v>
      </c>
      <c r="C534" s="63" t="s">
        <v>469</v>
      </c>
      <c r="D534" s="78" t="s">
        <v>476</v>
      </c>
      <c r="E534" s="171" t="s">
        <v>220</v>
      </c>
      <c r="F534" s="78" t="s">
        <v>355</v>
      </c>
      <c r="G534" s="171" t="s">
        <v>487</v>
      </c>
      <c r="H534" s="224" t="s">
        <v>456</v>
      </c>
      <c r="I534" s="225" t="s">
        <v>410</v>
      </c>
      <c r="J534" s="224">
        <v>1</v>
      </c>
      <c r="K534" s="225" t="s">
        <v>269</v>
      </c>
      <c r="L534" s="239">
        <v>32893</v>
      </c>
      <c r="M534" s="227">
        <f t="shared" si="42"/>
        <v>32893</v>
      </c>
      <c r="N534" s="228">
        <v>0</v>
      </c>
      <c r="O534" s="227">
        <f t="shared" si="46"/>
        <v>0</v>
      </c>
      <c r="P534" s="228">
        <v>0.16</v>
      </c>
      <c r="Q534" s="227">
        <f t="shared" si="43"/>
        <v>5262.88</v>
      </c>
      <c r="R534" s="227">
        <f t="shared" si="44"/>
        <v>38155.879999999997</v>
      </c>
      <c r="S534" s="229">
        <f>INDEX('Glosario Partidas'!$M$8:$M$10,MATCH(BD!K534,'Glosario Partidas'!$L$8:$L$10,0))</f>
        <v>1</v>
      </c>
      <c r="T534" s="227">
        <f t="shared" si="45"/>
        <v>38155.879999999997</v>
      </c>
      <c r="U534" s="230" t="s">
        <v>315</v>
      </c>
      <c r="V534" s="231" t="s">
        <v>13</v>
      </c>
    </row>
    <row r="535" spans="2:22" ht="12" customHeight="1" x14ac:dyDescent="0.2">
      <c r="B535" s="63" t="s">
        <v>188</v>
      </c>
      <c r="C535" s="63" t="s">
        <v>469</v>
      </c>
      <c r="D535" s="78" t="s">
        <v>465</v>
      </c>
      <c r="E535" s="171" t="s">
        <v>220</v>
      </c>
      <c r="F535" s="78" t="s">
        <v>354</v>
      </c>
      <c r="G535" s="171" t="s">
        <v>487</v>
      </c>
      <c r="H535" s="224" t="s">
        <v>456</v>
      </c>
      <c r="I535" s="225" t="s">
        <v>410</v>
      </c>
      <c r="J535" s="224">
        <v>1</v>
      </c>
      <c r="K535" s="225" t="s">
        <v>269</v>
      </c>
      <c r="L535" s="239">
        <v>43834</v>
      </c>
      <c r="M535" s="227">
        <f t="shared" si="42"/>
        <v>43834</v>
      </c>
      <c r="N535" s="228">
        <v>0</v>
      </c>
      <c r="O535" s="227">
        <f t="shared" si="46"/>
        <v>0</v>
      </c>
      <c r="P535" s="228">
        <v>0.16</v>
      </c>
      <c r="Q535" s="227">
        <f t="shared" si="43"/>
        <v>7013.4400000000005</v>
      </c>
      <c r="R535" s="227">
        <f t="shared" si="44"/>
        <v>50847.44</v>
      </c>
      <c r="S535" s="229">
        <f>INDEX('Glosario Partidas'!$M$8:$M$10,MATCH(BD!K535,'Glosario Partidas'!$L$8:$L$10,0))</f>
        <v>1</v>
      </c>
      <c r="T535" s="227">
        <f t="shared" si="45"/>
        <v>50847.44</v>
      </c>
      <c r="U535" s="230" t="s">
        <v>315</v>
      </c>
      <c r="V535" s="231" t="s">
        <v>13</v>
      </c>
    </row>
    <row r="536" spans="2:22" ht="12" customHeight="1" x14ac:dyDescent="0.2">
      <c r="B536" s="63" t="s">
        <v>188</v>
      </c>
      <c r="C536" s="63" t="s">
        <v>467</v>
      </c>
      <c r="D536" s="78" t="s">
        <v>401</v>
      </c>
      <c r="E536" s="171" t="s">
        <v>220</v>
      </c>
      <c r="F536" s="78" t="s">
        <v>354</v>
      </c>
      <c r="G536" s="171" t="s">
        <v>487</v>
      </c>
      <c r="H536" s="224" t="s">
        <v>456</v>
      </c>
      <c r="I536" s="225" t="s">
        <v>410</v>
      </c>
      <c r="J536" s="224">
        <v>1</v>
      </c>
      <c r="K536" s="225" t="s">
        <v>269</v>
      </c>
      <c r="L536" s="239">
        <v>98898</v>
      </c>
      <c r="M536" s="227">
        <f t="shared" si="42"/>
        <v>98898</v>
      </c>
      <c r="N536" s="228">
        <v>0</v>
      </c>
      <c r="O536" s="227">
        <f t="shared" si="46"/>
        <v>0</v>
      </c>
      <c r="P536" s="228">
        <v>0.16</v>
      </c>
      <c r="Q536" s="227">
        <f t="shared" si="43"/>
        <v>15823.68</v>
      </c>
      <c r="R536" s="227">
        <f t="shared" si="44"/>
        <v>114721.68</v>
      </c>
      <c r="S536" s="229">
        <f>INDEX('Glosario Partidas'!$M$8:$M$10,MATCH(BD!K536,'Glosario Partidas'!$L$8:$L$10,0))</f>
        <v>1</v>
      </c>
      <c r="T536" s="227">
        <f t="shared" si="45"/>
        <v>114721.68</v>
      </c>
      <c r="U536" s="230" t="s">
        <v>315</v>
      </c>
      <c r="V536" s="231" t="s">
        <v>13</v>
      </c>
    </row>
    <row r="537" spans="2:22" ht="12" customHeight="1" x14ac:dyDescent="0.2">
      <c r="B537" s="63" t="s">
        <v>188</v>
      </c>
      <c r="C537" s="63" t="s">
        <v>469</v>
      </c>
      <c r="D537" s="78" t="s">
        <v>468</v>
      </c>
      <c r="E537" s="171" t="s">
        <v>220</v>
      </c>
      <c r="F537" s="78" t="s">
        <v>354</v>
      </c>
      <c r="G537" s="171" t="s">
        <v>487</v>
      </c>
      <c r="H537" s="224" t="s">
        <v>456</v>
      </c>
      <c r="I537" s="225" t="s">
        <v>410</v>
      </c>
      <c r="J537" s="224">
        <v>1</v>
      </c>
      <c r="K537" s="225" t="s">
        <v>269</v>
      </c>
      <c r="L537" s="239">
        <v>43867</v>
      </c>
      <c r="M537" s="227">
        <f t="shared" si="42"/>
        <v>43867</v>
      </c>
      <c r="N537" s="228">
        <v>0</v>
      </c>
      <c r="O537" s="227">
        <f t="shared" si="46"/>
        <v>0</v>
      </c>
      <c r="P537" s="228">
        <v>0.16</v>
      </c>
      <c r="Q537" s="227">
        <f t="shared" si="43"/>
        <v>7018.72</v>
      </c>
      <c r="R537" s="227">
        <f t="shared" si="44"/>
        <v>50885.72</v>
      </c>
      <c r="S537" s="229">
        <f>INDEX('Glosario Partidas'!$M$8:$M$10,MATCH(BD!K537,'Glosario Partidas'!$L$8:$L$10,0))</f>
        <v>1</v>
      </c>
      <c r="T537" s="227">
        <f t="shared" si="45"/>
        <v>50885.72</v>
      </c>
      <c r="U537" s="230" t="s">
        <v>315</v>
      </c>
      <c r="V537" s="231" t="s">
        <v>13</v>
      </c>
    </row>
    <row r="538" spans="2:22" ht="12" customHeight="1" x14ac:dyDescent="0.2">
      <c r="B538" s="63" t="s">
        <v>188</v>
      </c>
      <c r="C538" s="63" t="s">
        <v>467</v>
      </c>
      <c r="D538" s="78" t="s">
        <v>402</v>
      </c>
      <c r="E538" s="171" t="s">
        <v>220</v>
      </c>
      <c r="F538" s="78" t="s">
        <v>354</v>
      </c>
      <c r="G538" s="171" t="s">
        <v>487</v>
      </c>
      <c r="H538" s="224" t="s">
        <v>456</v>
      </c>
      <c r="I538" s="225" t="s">
        <v>410</v>
      </c>
      <c r="J538" s="224">
        <v>1</v>
      </c>
      <c r="K538" s="225" t="s">
        <v>269</v>
      </c>
      <c r="L538" s="239">
        <v>99722</v>
      </c>
      <c r="M538" s="227">
        <f t="shared" si="42"/>
        <v>99722</v>
      </c>
      <c r="N538" s="228">
        <v>0</v>
      </c>
      <c r="O538" s="227">
        <f t="shared" si="46"/>
        <v>0</v>
      </c>
      <c r="P538" s="228">
        <v>0.16</v>
      </c>
      <c r="Q538" s="227">
        <f t="shared" si="43"/>
        <v>15955.52</v>
      </c>
      <c r="R538" s="227">
        <f t="shared" si="44"/>
        <v>115677.52</v>
      </c>
      <c r="S538" s="229">
        <f>INDEX('Glosario Partidas'!$M$8:$M$10,MATCH(BD!K538,'Glosario Partidas'!$L$8:$L$10,0))</f>
        <v>1</v>
      </c>
      <c r="T538" s="227">
        <f t="shared" si="45"/>
        <v>115677.52</v>
      </c>
      <c r="U538" s="230" t="s">
        <v>315</v>
      </c>
      <c r="V538" s="231" t="s">
        <v>13</v>
      </c>
    </row>
    <row r="539" spans="2:22" ht="12" customHeight="1" x14ac:dyDescent="0.2">
      <c r="B539" s="63" t="s">
        <v>188</v>
      </c>
      <c r="C539" s="63" t="s">
        <v>467</v>
      </c>
      <c r="D539" s="78" t="s">
        <v>466</v>
      </c>
      <c r="E539" s="171" t="s">
        <v>220</v>
      </c>
      <c r="F539" s="78" t="s">
        <v>354</v>
      </c>
      <c r="G539" s="171" t="s">
        <v>487</v>
      </c>
      <c r="H539" s="224" t="s">
        <v>456</v>
      </c>
      <c r="I539" s="225" t="s">
        <v>410</v>
      </c>
      <c r="J539" s="224">
        <v>1</v>
      </c>
      <c r="K539" s="225" t="s">
        <v>269</v>
      </c>
      <c r="L539" s="239">
        <v>98788</v>
      </c>
      <c r="M539" s="227">
        <f t="shared" si="42"/>
        <v>98788</v>
      </c>
      <c r="N539" s="228">
        <v>0</v>
      </c>
      <c r="O539" s="227">
        <f t="shared" si="46"/>
        <v>0</v>
      </c>
      <c r="P539" s="228">
        <v>0.16</v>
      </c>
      <c r="Q539" s="227">
        <f t="shared" si="43"/>
        <v>15806.08</v>
      </c>
      <c r="R539" s="227">
        <f t="shared" si="44"/>
        <v>114594.08</v>
      </c>
      <c r="S539" s="229">
        <f>INDEX('Glosario Partidas'!$M$8:$M$10,MATCH(BD!K539,'Glosario Partidas'!$L$8:$L$10,0))</f>
        <v>1</v>
      </c>
      <c r="T539" s="227">
        <f t="shared" si="45"/>
        <v>114594.08</v>
      </c>
      <c r="U539" s="230" t="s">
        <v>315</v>
      </c>
      <c r="V539" s="231" t="s">
        <v>13</v>
      </c>
    </row>
    <row r="540" spans="2:22" ht="12" customHeight="1" x14ac:dyDescent="0.2">
      <c r="B540" s="63" t="s">
        <v>188</v>
      </c>
      <c r="C540" s="63" t="s">
        <v>469</v>
      </c>
      <c r="D540" s="78" t="s">
        <v>470</v>
      </c>
      <c r="E540" s="171" t="s">
        <v>220</v>
      </c>
      <c r="F540" s="78" t="s">
        <v>354</v>
      </c>
      <c r="G540" s="171" t="s">
        <v>487</v>
      </c>
      <c r="H540" s="224" t="s">
        <v>456</v>
      </c>
      <c r="I540" s="225" t="s">
        <v>410</v>
      </c>
      <c r="J540" s="224">
        <v>1</v>
      </c>
      <c r="K540" s="225" t="s">
        <v>269</v>
      </c>
      <c r="L540" s="239">
        <v>32856</v>
      </c>
      <c r="M540" s="227">
        <f t="shared" si="42"/>
        <v>32856</v>
      </c>
      <c r="N540" s="228">
        <v>0</v>
      </c>
      <c r="O540" s="227">
        <f t="shared" si="46"/>
        <v>0</v>
      </c>
      <c r="P540" s="228">
        <v>0.16</v>
      </c>
      <c r="Q540" s="227">
        <f t="shared" si="43"/>
        <v>5256.96</v>
      </c>
      <c r="R540" s="227">
        <f t="shared" si="44"/>
        <v>38112.959999999999</v>
      </c>
      <c r="S540" s="229">
        <f>INDEX('Glosario Partidas'!$M$8:$M$10,MATCH(BD!K540,'Glosario Partidas'!$L$8:$L$10,0))</f>
        <v>1</v>
      </c>
      <c r="T540" s="227">
        <f t="shared" si="45"/>
        <v>38112.959999999999</v>
      </c>
      <c r="U540" s="230" t="s">
        <v>315</v>
      </c>
      <c r="V540" s="231" t="s">
        <v>13</v>
      </c>
    </row>
    <row r="541" spans="2:22" ht="12" customHeight="1" x14ac:dyDescent="0.2">
      <c r="B541" s="63" t="s">
        <v>188</v>
      </c>
      <c r="C541" s="63" t="s">
        <v>469</v>
      </c>
      <c r="D541" s="78" t="s">
        <v>470</v>
      </c>
      <c r="E541" s="171" t="s">
        <v>220</v>
      </c>
      <c r="F541" s="78" t="s">
        <v>354</v>
      </c>
      <c r="G541" s="171" t="s">
        <v>487</v>
      </c>
      <c r="H541" s="224" t="s">
        <v>456</v>
      </c>
      <c r="I541" s="225" t="s">
        <v>410</v>
      </c>
      <c r="J541" s="224">
        <v>1</v>
      </c>
      <c r="K541" s="225" t="s">
        <v>269</v>
      </c>
      <c r="L541" s="239">
        <v>32856</v>
      </c>
      <c r="M541" s="227">
        <f t="shared" si="42"/>
        <v>32856</v>
      </c>
      <c r="N541" s="228">
        <v>0</v>
      </c>
      <c r="O541" s="227">
        <f t="shared" si="46"/>
        <v>0</v>
      </c>
      <c r="P541" s="228">
        <v>0.16</v>
      </c>
      <c r="Q541" s="227">
        <f t="shared" si="43"/>
        <v>5256.96</v>
      </c>
      <c r="R541" s="227">
        <f t="shared" si="44"/>
        <v>38112.959999999999</v>
      </c>
      <c r="S541" s="229">
        <f>INDEX('Glosario Partidas'!$M$8:$M$10,MATCH(BD!K541,'Glosario Partidas'!$L$8:$L$10,0))</f>
        <v>1</v>
      </c>
      <c r="T541" s="227">
        <f t="shared" si="45"/>
        <v>38112.959999999999</v>
      </c>
      <c r="U541" s="230" t="s">
        <v>315</v>
      </c>
      <c r="V541" s="231" t="s">
        <v>13</v>
      </c>
    </row>
    <row r="542" spans="2:22" ht="12" customHeight="1" x14ac:dyDescent="0.2">
      <c r="B542" s="63" t="s">
        <v>188</v>
      </c>
      <c r="C542" s="63" t="s">
        <v>467</v>
      </c>
      <c r="D542" s="78" t="s">
        <v>472</v>
      </c>
      <c r="E542" s="171" t="s">
        <v>220</v>
      </c>
      <c r="F542" s="78" t="s">
        <v>354</v>
      </c>
      <c r="G542" s="171" t="s">
        <v>487</v>
      </c>
      <c r="H542" s="224" t="s">
        <v>456</v>
      </c>
      <c r="I542" s="225" t="s">
        <v>410</v>
      </c>
      <c r="J542" s="224">
        <v>1</v>
      </c>
      <c r="K542" s="225" t="s">
        <v>269</v>
      </c>
      <c r="L542" s="239">
        <v>98898</v>
      </c>
      <c r="M542" s="227">
        <f t="shared" si="42"/>
        <v>98898</v>
      </c>
      <c r="N542" s="228">
        <v>0</v>
      </c>
      <c r="O542" s="227">
        <f t="shared" si="46"/>
        <v>0</v>
      </c>
      <c r="P542" s="228">
        <v>0.16</v>
      </c>
      <c r="Q542" s="227">
        <f t="shared" si="43"/>
        <v>15823.68</v>
      </c>
      <c r="R542" s="227">
        <f t="shared" si="44"/>
        <v>114721.68</v>
      </c>
      <c r="S542" s="229">
        <f>INDEX('Glosario Partidas'!$M$8:$M$10,MATCH(BD!K542,'Glosario Partidas'!$L$8:$L$10,0))</f>
        <v>1</v>
      </c>
      <c r="T542" s="227">
        <f t="shared" si="45"/>
        <v>114721.68</v>
      </c>
      <c r="U542" s="230" t="s">
        <v>315</v>
      </c>
      <c r="V542" s="231" t="s">
        <v>13</v>
      </c>
    </row>
    <row r="543" spans="2:22" ht="12" customHeight="1" x14ac:dyDescent="0.2">
      <c r="B543" s="63" t="s">
        <v>188</v>
      </c>
      <c r="C543" s="63" t="s">
        <v>112</v>
      </c>
      <c r="D543" s="78" t="s">
        <v>399</v>
      </c>
      <c r="E543" s="171" t="s">
        <v>220</v>
      </c>
      <c r="F543" s="78" t="s">
        <v>221</v>
      </c>
      <c r="G543" s="171" t="s">
        <v>487</v>
      </c>
      <c r="H543" s="224" t="s">
        <v>456</v>
      </c>
      <c r="I543" s="225" t="s">
        <v>410</v>
      </c>
      <c r="J543" s="224">
        <v>1</v>
      </c>
      <c r="K543" s="225" t="s">
        <v>269</v>
      </c>
      <c r="L543" s="239">
        <v>183614</v>
      </c>
      <c r="M543" s="227">
        <f t="shared" si="42"/>
        <v>183614</v>
      </c>
      <c r="N543" s="228">
        <v>0</v>
      </c>
      <c r="O543" s="227">
        <f t="shared" si="46"/>
        <v>0</v>
      </c>
      <c r="P543" s="228">
        <v>0.16</v>
      </c>
      <c r="Q543" s="227">
        <f t="shared" si="43"/>
        <v>29378.240000000002</v>
      </c>
      <c r="R543" s="227">
        <f t="shared" si="44"/>
        <v>212992.24</v>
      </c>
      <c r="S543" s="229">
        <f>INDEX('Glosario Partidas'!$M$8:$M$10,MATCH(BD!K543,'Glosario Partidas'!$L$8:$L$10,0))</f>
        <v>1</v>
      </c>
      <c r="T543" s="227">
        <f t="shared" si="45"/>
        <v>212992.24</v>
      </c>
      <c r="U543" s="230" t="s">
        <v>432</v>
      </c>
      <c r="V543" s="231" t="s">
        <v>12</v>
      </c>
    </row>
    <row r="544" spans="2:22" ht="12" customHeight="1" x14ac:dyDescent="0.2">
      <c r="B544" s="63" t="s">
        <v>188</v>
      </c>
      <c r="C544" s="63" t="s">
        <v>112</v>
      </c>
      <c r="D544" s="78" t="s">
        <v>400</v>
      </c>
      <c r="E544" s="171" t="s">
        <v>220</v>
      </c>
      <c r="F544" s="78" t="s">
        <v>221</v>
      </c>
      <c r="G544" s="171" t="s">
        <v>487</v>
      </c>
      <c r="H544" s="224" t="s">
        <v>456</v>
      </c>
      <c r="I544" s="225" t="s">
        <v>410</v>
      </c>
      <c r="J544" s="224">
        <v>1</v>
      </c>
      <c r="K544" s="225" t="s">
        <v>269</v>
      </c>
      <c r="L544" s="239">
        <v>183614</v>
      </c>
      <c r="M544" s="227">
        <f t="shared" si="42"/>
        <v>183614</v>
      </c>
      <c r="N544" s="228">
        <v>0</v>
      </c>
      <c r="O544" s="227">
        <f t="shared" si="46"/>
        <v>0</v>
      </c>
      <c r="P544" s="228">
        <v>0.16</v>
      </c>
      <c r="Q544" s="227">
        <f t="shared" si="43"/>
        <v>29378.240000000002</v>
      </c>
      <c r="R544" s="227">
        <f t="shared" si="44"/>
        <v>212992.24</v>
      </c>
      <c r="S544" s="229">
        <f>INDEX('Glosario Partidas'!$M$8:$M$10,MATCH(BD!K544,'Glosario Partidas'!$L$8:$L$10,0))</f>
        <v>1</v>
      </c>
      <c r="T544" s="227">
        <f t="shared" si="45"/>
        <v>212992.24</v>
      </c>
      <c r="U544" s="230" t="s">
        <v>432</v>
      </c>
      <c r="V544" s="231" t="s">
        <v>12</v>
      </c>
    </row>
    <row r="545" spans="2:22" ht="12" customHeight="1" x14ac:dyDescent="0.2">
      <c r="B545" s="63" t="s">
        <v>188</v>
      </c>
      <c r="C545" s="63" t="s">
        <v>112</v>
      </c>
      <c r="D545" s="78" t="s">
        <v>401</v>
      </c>
      <c r="E545" s="171" t="s">
        <v>220</v>
      </c>
      <c r="F545" s="78" t="s">
        <v>221</v>
      </c>
      <c r="G545" s="171" t="s">
        <v>487</v>
      </c>
      <c r="H545" s="224" t="s">
        <v>456</v>
      </c>
      <c r="I545" s="225" t="s">
        <v>410</v>
      </c>
      <c r="J545" s="224">
        <v>1</v>
      </c>
      <c r="K545" s="225" t="s">
        <v>269</v>
      </c>
      <c r="L545" s="239">
        <v>118967</v>
      </c>
      <c r="M545" s="227">
        <f t="shared" si="42"/>
        <v>118967</v>
      </c>
      <c r="N545" s="228">
        <v>0</v>
      </c>
      <c r="O545" s="227">
        <f t="shared" si="46"/>
        <v>0</v>
      </c>
      <c r="P545" s="228">
        <v>0.16</v>
      </c>
      <c r="Q545" s="227">
        <f t="shared" si="43"/>
        <v>19034.72</v>
      </c>
      <c r="R545" s="227">
        <f t="shared" si="44"/>
        <v>138001.72</v>
      </c>
      <c r="S545" s="229">
        <f>INDEX('Glosario Partidas'!$M$8:$M$10,MATCH(BD!K545,'Glosario Partidas'!$L$8:$L$10,0))</f>
        <v>1</v>
      </c>
      <c r="T545" s="227">
        <f t="shared" si="45"/>
        <v>138001.72</v>
      </c>
      <c r="U545" s="230" t="s">
        <v>432</v>
      </c>
      <c r="V545" s="231" t="s">
        <v>12</v>
      </c>
    </row>
    <row r="546" spans="2:22" ht="12" customHeight="1" x14ac:dyDescent="0.2">
      <c r="B546" s="63" t="s">
        <v>188</v>
      </c>
      <c r="C546" s="63" t="s">
        <v>112</v>
      </c>
      <c r="D546" s="78" t="s">
        <v>402</v>
      </c>
      <c r="E546" s="171" t="s">
        <v>220</v>
      </c>
      <c r="F546" s="78" t="s">
        <v>221</v>
      </c>
      <c r="G546" s="171" t="s">
        <v>487</v>
      </c>
      <c r="H546" s="224" t="s">
        <v>456</v>
      </c>
      <c r="I546" s="225" t="s">
        <v>410</v>
      </c>
      <c r="J546" s="224">
        <v>1</v>
      </c>
      <c r="K546" s="225" t="s">
        <v>269</v>
      </c>
      <c r="L546" s="239">
        <v>118967</v>
      </c>
      <c r="M546" s="227">
        <f t="shared" si="42"/>
        <v>118967</v>
      </c>
      <c r="N546" s="228">
        <v>0</v>
      </c>
      <c r="O546" s="227">
        <f t="shared" si="46"/>
        <v>0</v>
      </c>
      <c r="P546" s="228">
        <v>0.16</v>
      </c>
      <c r="Q546" s="227">
        <f t="shared" si="43"/>
        <v>19034.72</v>
      </c>
      <c r="R546" s="227">
        <f t="shared" si="44"/>
        <v>138001.72</v>
      </c>
      <c r="S546" s="229">
        <f>INDEX('Glosario Partidas'!$M$8:$M$10,MATCH(BD!K546,'Glosario Partidas'!$L$8:$L$10,0))</f>
        <v>1</v>
      </c>
      <c r="T546" s="227">
        <f t="shared" si="45"/>
        <v>138001.72</v>
      </c>
      <c r="U546" s="230" t="s">
        <v>405</v>
      </c>
      <c r="V546" s="231" t="s">
        <v>12</v>
      </c>
    </row>
    <row r="547" spans="2:22" ht="12" customHeight="1" x14ac:dyDescent="0.2">
      <c r="B547" s="63" t="s">
        <v>188</v>
      </c>
      <c r="C547" s="63" t="s">
        <v>112</v>
      </c>
      <c r="D547" s="78" t="s">
        <v>477</v>
      </c>
      <c r="E547" s="171" t="s">
        <v>220</v>
      </c>
      <c r="F547" s="78" t="s">
        <v>221</v>
      </c>
      <c r="G547" s="171" t="s">
        <v>487</v>
      </c>
      <c r="H547" s="224" t="s">
        <v>456</v>
      </c>
      <c r="I547" s="225" t="s">
        <v>410</v>
      </c>
      <c r="J547" s="224">
        <v>1</v>
      </c>
      <c r="K547" s="225" t="s">
        <v>269</v>
      </c>
      <c r="L547" s="239">
        <v>109567</v>
      </c>
      <c r="M547" s="227">
        <f t="shared" si="42"/>
        <v>109567</v>
      </c>
      <c r="N547" s="228">
        <v>0</v>
      </c>
      <c r="O547" s="227">
        <f t="shared" si="46"/>
        <v>0</v>
      </c>
      <c r="P547" s="228">
        <v>0.16</v>
      </c>
      <c r="Q547" s="227">
        <f t="shared" si="43"/>
        <v>17530.72</v>
      </c>
      <c r="R547" s="227">
        <f t="shared" si="44"/>
        <v>127097.72</v>
      </c>
      <c r="S547" s="229">
        <f>INDEX('Glosario Partidas'!$M$8:$M$10,MATCH(BD!K547,'Glosario Partidas'!$L$8:$L$10,0))</f>
        <v>1</v>
      </c>
      <c r="T547" s="227">
        <f t="shared" si="45"/>
        <v>127097.72</v>
      </c>
      <c r="U547" s="230" t="s">
        <v>405</v>
      </c>
      <c r="V547" s="231" t="s">
        <v>12</v>
      </c>
    </row>
    <row r="548" spans="2:22" ht="12" customHeight="1" x14ac:dyDescent="0.2">
      <c r="B548" s="63" t="s">
        <v>188</v>
      </c>
      <c r="C548" s="63" t="s">
        <v>112</v>
      </c>
      <c r="D548" s="78" t="s">
        <v>399</v>
      </c>
      <c r="E548" s="171" t="s">
        <v>220</v>
      </c>
      <c r="F548" s="78" t="s">
        <v>354</v>
      </c>
      <c r="G548" s="171" t="s">
        <v>487</v>
      </c>
      <c r="H548" s="224" t="s">
        <v>456</v>
      </c>
      <c r="I548" s="225" t="s">
        <v>410</v>
      </c>
      <c r="J548" s="224">
        <v>1</v>
      </c>
      <c r="K548" s="225" t="s">
        <v>269</v>
      </c>
      <c r="L548" s="239">
        <v>183614</v>
      </c>
      <c r="M548" s="227">
        <f t="shared" si="42"/>
        <v>183614</v>
      </c>
      <c r="N548" s="228">
        <v>0</v>
      </c>
      <c r="O548" s="227">
        <f t="shared" si="46"/>
        <v>0</v>
      </c>
      <c r="P548" s="228">
        <v>0.16</v>
      </c>
      <c r="Q548" s="227">
        <f t="shared" si="43"/>
        <v>29378.240000000002</v>
      </c>
      <c r="R548" s="227">
        <f t="shared" si="44"/>
        <v>212992.24</v>
      </c>
      <c r="S548" s="229">
        <f>INDEX('Glosario Partidas'!$M$8:$M$10,MATCH(BD!K548,'Glosario Partidas'!$L$8:$L$10,0))</f>
        <v>1</v>
      </c>
      <c r="T548" s="227">
        <f t="shared" si="45"/>
        <v>212992.24</v>
      </c>
      <c r="U548" s="230" t="s">
        <v>405</v>
      </c>
      <c r="V548" s="231" t="s">
        <v>12</v>
      </c>
    </row>
    <row r="549" spans="2:22" ht="12" customHeight="1" x14ac:dyDescent="0.2">
      <c r="B549" s="63" t="s">
        <v>188</v>
      </c>
      <c r="C549" s="63" t="s">
        <v>112</v>
      </c>
      <c r="D549" s="78" t="s">
        <v>400</v>
      </c>
      <c r="E549" s="171" t="s">
        <v>220</v>
      </c>
      <c r="F549" s="78" t="s">
        <v>354</v>
      </c>
      <c r="G549" s="171" t="s">
        <v>487</v>
      </c>
      <c r="H549" s="224" t="s">
        <v>456</v>
      </c>
      <c r="I549" s="225" t="s">
        <v>410</v>
      </c>
      <c r="J549" s="224">
        <v>1</v>
      </c>
      <c r="K549" s="225" t="s">
        <v>269</v>
      </c>
      <c r="L549" s="239">
        <v>183614</v>
      </c>
      <c r="M549" s="227">
        <f t="shared" si="42"/>
        <v>183614</v>
      </c>
      <c r="N549" s="228">
        <v>0</v>
      </c>
      <c r="O549" s="227">
        <f t="shared" si="46"/>
        <v>0</v>
      </c>
      <c r="P549" s="228">
        <v>0.16</v>
      </c>
      <c r="Q549" s="227">
        <f t="shared" si="43"/>
        <v>29378.240000000002</v>
      </c>
      <c r="R549" s="227">
        <f t="shared" si="44"/>
        <v>212992.24</v>
      </c>
      <c r="S549" s="229">
        <f>INDEX('Glosario Partidas'!$M$8:$M$10,MATCH(BD!K549,'Glosario Partidas'!$L$8:$L$10,0))</f>
        <v>1</v>
      </c>
      <c r="T549" s="227">
        <f t="shared" si="45"/>
        <v>212992.24</v>
      </c>
      <c r="U549" s="230" t="s">
        <v>405</v>
      </c>
      <c r="V549" s="231" t="s">
        <v>12</v>
      </c>
    </row>
    <row r="550" spans="2:22" ht="12" customHeight="1" x14ac:dyDescent="0.2">
      <c r="B550" s="63" t="s">
        <v>188</v>
      </c>
      <c r="C550" s="63" t="s">
        <v>112</v>
      </c>
      <c r="D550" s="78" t="s">
        <v>401</v>
      </c>
      <c r="E550" s="171" t="s">
        <v>220</v>
      </c>
      <c r="F550" s="78" t="s">
        <v>354</v>
      </c>
      <c r="G550" s="171" t="s">
        <v>487</v>
      </c>
      <c r="H550" s="224" t="s">
        <v>456</v>
      </c>
      <c r="I550" s="225" t="s">
        <v>410</v>
      </c>
      <c r="J550" s="224">
        <v>1</v>
      </c>
      <c r="K550" s="225" t="s">
        <v>269</v>
      </c>
      <c r="L550" s="239">
        <v>118967</v>
      </c>
      <c r="M550" s="227">
        <f t="shared" si="42"/>
        <v>118967</v>
      </c>
      <c r="N550" s="228">
        <v>0</v>
      </c>
      <c r="O550" s="227">
        <f t="shared" ref="O550:O577" si="47">M550*N550</f>
        <v>0</v>
      </c>
      <c r="P550" s="228">
        <v>0.16</v>
      </c>
      <c r="Q550" s="227">
        <f t="shared" si="43"/>
        <v>19034.72</v>
      </c>
      <c r="R550" s="227">
        <f t="shared" si="44"/>
        <v>138001.72</v>
      </c>
      <c r="S550" s="229">
        <f>INDEX('Glosario Partidas'!$M$8:$M$10,MATCH(BD!K550,'Glosario Partidas'!$L$8:$L$10,0))</f>
        <v>1</v>
      </c>
      <c r="T550" s="227">
        <f t="shared" si="45"/>
        <v>138001.72</v>
      </c>
      <c r="U550" s="230" t="s">
        <v>405</v>
      </c>
      <c r="V550" s="231" t="s">
        <v>12</v>
      </c>
    </row>
    <row r="551" spans="2:22" ht="12" customHeight="1" x14ac:dyDescent="0.2">
      <c r="B551" s="63" t="s">
        <v>188</v>
      </c>
      <c r="C551" s="63" t="s">
        <v>112</v>
      </c>
      <c r="D551" s="78" t="s">
        <v>402</v>
      </c>
      <c r="E551" s="171" t="s">
        <v>220</v>
      </c>
      <c r="F551" s="78" t="s">
        <v>354</v>
      </c>
      <c r="G551" s="171" t="s">
        <v>487</v>
      </c>
      <c r="H551" s="224" t="s">
        <v>456</v>
      </c>
      <c r="I551" s="225" t="s">
        <v>410</v>
      </c>
      <c r="J551" s="224">
        <v>1</v>
      </c>
      <c r="K551" s="225" t="s">
        <v>269</v>
      </c>
      <c r="L551" s="239">
        <v>118967</v>
      </c>
      <c r="M551" s="227">
        <f t="shared" si="42"/>
        <v>118967</v>
      </c>
      <c r="N551" s="228">
        <v>0</v>
      </c>
      <c r="O551" s="227">
        <f t="shared" si="47"/>
        <v>0</v>
      </c>
      <c r="P551" s="228">
        <v>0.16</v>
      </c>
      <c r="Q551" s="227">
        <f t="shared" si="43"/>
        <v>19034.72</v>
      </c>
      <c r="R551" s="227">
        <f t="shared" si="44"/>
        <v>138001.72</v>
      </c>
      <c r="S551" s="229">
        <f>INDEX('Glosario Partidas'!$M$8:$M$10,MATCH(BD!K551,'Glosario Partidas'!$L$8:$L$10,0))</f>
        <v>1</v>
      </c>
      <c r="T551" s="227">
        <f t="shared" si="45"/>
        <v>138001.72</v>
      </c>
      <c r="U551" s="230" t="s">
        <v>405</v>
      </c>
      <c r="V551" s="231" t="s">
        <v>12</v>
      </c>
    </row>
    <row r="552" spans="2:22" ht="12" customHeight="1" x14ac:dyDescent="0.2">
      <c r="B552" s="240" t="s">
        <v>188</v>
      </c>
      <c r="C552" s="240" t="s">
        <v>112</v>
      </c>
      <c r="D552" s="241" t="s">
        <v>477</v>
      </c>
      <c r="E552" s="171" t="s">
        <v>220</v>
      </c>
      <c r="F552" s="241" t="s">
        <v>354</v>
      </c>
      <c r="G552" s="171" t="s">
        <v>487</v>
      </c>
      <c r="H552" s="224" t="s">
        <v>456</v>
      </c>
      <c r="I552" s="225" t="s">
        <v>410</v>
      </c>
      <c r="J552" s="224">
        <v>1</v>
      </c>
      <c r="K552" s="225" t="s">
        <v>269</v>
      </c>
      <c r="L552" s="239">
        <v>109567</v>
      </c>
      <c r="M552" s="227">
        <f t="shared" si="42"/>
        <v>109567</v>
      </c>
      <c r="N552" s="228">
        <v>0</v>
      </c>
      <c r="O552" s="227">
        <f t="shared" si="47"/>
        <v>0</v>
      </c>
      <c r="P552" s="228">
        <v>0.16</v>
      </c>
      <c r="Q552" s="227">
        <f t="shared" si="43"/>
        <v>17530.72</v>
      </c>
      <c r="R552" s="227">
        <f t="shared" si="44"/>
        <v>127097.72</v>
      </c>
      <c r="S552" s="229">
        <f>INDEX('Glosario Partidas'!$M$8:$M$10,MATCH(BD!K552,'Glosario Partidas'!$L$8:$L$10,0))</f>
        <v>1</v>
      </c>
      <c r="T552" s="227">
        <f t="shared" si="45"/>
        <v>127097.72</v>
      </c>
      <c r="U552" s="230" t="s">
        <v>432</v>
      </c>
      <c r="V552" s="231" t="s">
        <v>12</v>
      </c>
    </row>
    <row r="553" spans="2:22" ht="12" customHeight="1" x14ac:dyDescent="0.2">
      <c r="B553" s="240" t="s">
        <v>188</v>
      </c>
      <c r="C553" s="240" t="s">
        <v>112</v>
      </c>
      <c r="D553" s="78" t="s">
        <v>403</v>
      </c>
      <c r="E553" s="171" t="s">
        <v>220</v>
      </c>
      <c r="F553" s="241" t="s">
        <v>355</v>
      </c>
      <c r="G553" s="171" t="s">
        <v>487</v>
      </c>
      <c r="H553" s="224" t="s">
        <v>456</v>
      </c>
      <c r="I553" s="225" t="s">
        <v>410</v>
      </c>
      <c r="J553" s="224">
        <v>1</v>
      </c>
      <c r="K553" s="225" t="s">
        <v>269</v>
      </c>
      <c r="L553" s="239">
        <v>113790</v>
      </c>
      <c r="M553" s="227">
        <f t="shared" si="42"/>
        <v>113790</v>
      </c>
      <c r="N553" s="228">
        <v>0</v>
      </c>
      <c r="O553" s="227">
        <f t="shared" si="47"/>
        <v>0</v>
      </c>
      <c r="P553" s="228">
        <v>0.16</v>
      </c>
      <c r="Q553" s="227">
        <f t="shared" si="43"/>
        <v>18206.400000000001</v>
      </c>
      <c r="R553" s="227">
        <f t="shared" si="44"/>
        <v>131996.4</v>
      </c>
      <c r="S553" s="229">
        <f>INDEX('Glosario Partidas'!$M$8:$M$10,MATCH(BD!K553,'Glosario Partidas'!$L$8:$L$10,0))</f>
        <v>1</v>
      </c>
      <c r="T553" s="227">
        <f t="shared" si="45"/>
        <v>131996.4</v>
      </c>
      <c r="U553" s="230" t="s">
        <v>432</v>
      </c>
      <c r="V553" s="231" t="s">
        <v>12</v>
      </c>
    </row>
    <row r="554" spans="2:22" ht="12" customHeight="1" x14ac:dyDescent="0.2">
      <c r="B554" s="240" t="s">
        <v>188</v>
      </c>
      <c r="C554" s="240" t="s">
        <v>112</v>
      </c>
      <c r="D554" s="241" t="s">
        <v>478</v>
      </c>
      <c r="E554" s="171" t="s">
        <v>220</v>
      </c>
      <c r="F554" s="241" t="s">
        <v>355</v>
      </c>
      <c r="G554" s="171" t="s">
        <v>487</v>
      </c>
      <c r="H554" s="224" t="s">
        <v>456</v>
      </c>
      <c r="I554" s="225" t="s">
        <v>410</v>
      </c>
      <c r="J554" s="224">
        <v>1</v>
      </c>
      <c r="K554" s="225" t="s">
        <v>269</v>
      </c>
      <c r="L554" s="239">
        <v>63045</v>
      </c>
      <c r="M554" s="227">
        <f t="shared" si="42"/>
        <v>63045</v>
      </c>
      <c r="N554" s="228">
        <v>0</v>
      </c>
      <c r="O554" s="227">
        <f t="shared" si="47"/>
        <v>0</v>
      </c>
      <c r="P554" s="228">
        <v>0.16</v>
      </c>
      <c r="Q554" s="227">
        <f t="shared" si="43"/>
        <v>10087.200000000001</v>
      </c>
      <c r="R554" s="227">
        <f t="shared" si="44"/>
        <v>73132.2</v>
      </c>
      <c r="S554" s="229">
        <f>INDEX('Glosario Partidas'!$M$8:$M$10,MATCH(BD!K554,'Glosario Partidas'!$L$8:$L$10,0))</f>
        <v>1</v>
      </c>
      <c r="T554" s="227">
        <f t="shared" si="45"/>
        <v>73132.2</v>
      </c>
      <c r="U554" s="230" t="s">
        <v>432</v>
      </c>
      <c r="V554" s="231" t="s">
        <v>12</v>
      </c>
    </row>
    <row r="555" spans="2:22" ht="12" customHeight="1" x14ac:dyDescent="0.2">
      <c r="B555" s="63" t="s">
        <v>188</v>
      </c>
      <c r="C555" s="63" t="s">
        <v>114</v>
      </c>
      <c r="D555" s="78" t="s">
        <v>462</v>
      </c>
      <c r="E555" s="171" t="s">
        <v>220</v>
      </c>
      <c r="F555" s="78" t="s">
        <v>221</v>
      </c>
      <c r="G555" s="171" t="s">
        <v>487</v>
      </c>
      <c r="H555" s="224" t="s">
        <v>456</v>
      </c>
      <c r="I555" s="225" t="s">
        <v>410</v>
      </c>
      <c r="J555" s="224">
        <v>1</v>
      </c>
      <c r="K555" s="225" t="s">
        <v>269</v>
      </c>
      <c r="L555" s="239">
        <v>513211</v>
      </c>
      <c r="M555" s="227">
        <f t="shared" si="42"/>
        <v>513211</v>
      </c>
      <c r="N555" s="228">
        <v>0</v>
      </c>
      <c r="O555" s="227">
        <f t="shared" si="47"/>
        <v>0</v>
      </c>
      <c r="P555" s="228">
        <v>0.16</v>
      </c>
      <c r="Q555" s="227">
        <f t="shared" si="43"/>
        <v>82113.759999999995</v>
      </c>
      <c r="R555" s="227">
        <f t="shared" si="44"/>
        <v>595324.76</v>
      </c>
      <c r="S555" s="229">
        <f>INDEX('Glosario Partidas'!$M$8:$M$10,MATCH(BD!K555,'Glosario Partidas'!$L$8:$L$10,0))</f>
        <v>1</v>
      </c>
      <c r="T555" s="227">
        <f t="shared" si="45"/>
        <v>595324.76</v>
      </c>
      <c r="U555" s="230" t="s">
        <v>479</v>
      </c>
      <c r="V555" s="231" t="s">
        <v>12</v>
      </c>
    </row>
    <row r="556" spans="2:22" ht="12" customHeight="1" x14ac:dyDescent="0.2">
      <c r="B556" s="63" t="s">
        <v>188</v>
      </c>
      <c r="C556" s="63" t="s">
        <v>114</v>
      </c>
      <c r="D556" s="78" t="s">
        <v>465</v>
      </c>
      <c r="E556" s="171" t="s">
        <v>220</v>
      </c>
      <c r="F556" s="78" t="s">
        <v>221</v>
      </c>
      <c r="G556" s="171" t="s">
        <v>487</v>
      </c>
      <c r="H556" s="224" t="s">
        <v>456</v>
      </c>
      <c r="I556" s="225" t="s">
        <v>410</v>
      </c>
      <c r="J556" s="224">
        <v>1</v>
      </c>
      <c r="K556" s="225" t="s">
        <v>269</v>
      </c>
      <c r="L556" s="239">
        <v>298550</v>
      </c>
      <c r="M556" s="227">
        <f t="shared" si="42"/>
        <v>298550</v>
      </c>
      <c r="N556" s="228">
        <v>0</v>
      </c>
      <c r="O556" s="227">
        <f t="shared" si="47"/>
        <v>0</v>
      </c>
      <c r="P556" s="228">
        <v>0.16</v>
      </c>
      <c r="Q556" s="227">
        <f t="shared" si="43"/>
        <v>47768</v>
      </c>
      <c r="R556" s="227">
        <f t="shared" si="44"/>
        <v>346318</v>
      </c>
      <c r="S556" s="229">
        <f>INDEX('Glosario Partidas'!$M$8:$M$10,MATCH(BD!K556,'Glosario Partidas'!$L$8:$L$10,0))</f>
        <v>1</v>
      </c>
      <c r="T556" s="227">
        <f t="shared" si="45"/>
        <v>346318</v>
      </c>
      <c r="U556" s="230" t="s">
        <v>405</v>
      </c>
      <c r="V556" s="231" t="s">
        <v>12</v>
      </c>
    </row>
    <row r="557" spans="2:22" ht="12" customHeight="1" x14ac:dyDescent="0.2">
      <c r="B557" s="63" t="s">
        <v>188</v>
      </c>
      <c r="C557" s="63" t="s">
        <v>114</v>
      </c>
      <c r="D557" s="78" t="s">
        <v>468</v>
      </c>
      <c r="E557" s="171" t="s">
        <v>220</v>
      </c>
      <c r="F557" s="78" t="s">
        <v>221</v>
      </c>
      <c r="G557" s="171" t="s">
        <v>487</v>
      </c>
      <c r="H557" s="224" t="s">
        <v>456</v>
      </c>
      <c r="I557" s="225" t="s">
        <v>410</v>
      </c>
      <c r="J557" s="224">
        <v>1</v>
      </c>
      <c r="K557" s="225" t="s">
        <v>269</v>
      </c>
      <c r="L557" s="239">
        <v>327923</v>
      </c>
      <c r="M557" s="227">
        <f t="shared" si="42"/>
        <v>327923</v>
      </c>
      <c r="N557" s="228">
        <v>0</v>
      </c>
      <c r="O557" s="227">
        <f t="shared" si="47"/>
        <v>0</v>
      </c>
      <c r="P557" s="228">
        <v>0.16</v>
      </c>
      <c r="Q557" s="227">
        <f t="shared" si="43"/>
        <v>52467.68</v>
      </c>
      <c r="R557" s="227">
        <f t="shared" si="44"/>
        <v>380390.68</v>
      </c>
      <c r="S557" s="229">
        <f>INDEX('Glosario Partidas'!$M$8:$M$10,MATCH(BD!K557,'Glosario Partidas'!$L$8:$L$10,0))</f>
        <v>1</v>
      </c>
      <c r="T557" s="227">
        <f t="shared" si="45"/>
        <v>380390.68</v>
      </c>
      <c r="U557" s="230" t="s">
        <v>405</v>
      </c>
      <c r="V557" s="231" t="s">
        <v>12</v>
      </c>
    </row>
    <row r="558" spans="2:22" ht="12" customHeight="1" x14ac:dyDescent="0.2">
      <c r="B558" s="63" t="s">
        <v>188</v>
      </c>
      <c r="C558" s="63" t="s">
        <v>114</v>
      </c>
      <c r="D558" s="78" t="s">
        <v>460</v>
      </c>
      <c r="E558" s="171" t="s">
        <v>220</v>
      </c>
      <c r="F558" s="78" t="s">
        <v>221</v>
      </c>
      <c r="G558" s="171" t="s">
        <v>487</v>
      </c>
      <c r="H558" s="224" t="s">
        <v>456</v>
      </c>
      <c r="I558" s="225" t="s">
        <v>410</v>
      </c>
      <c r="J558" s="224">
        <v>1</v>
      </c>
      <c r="K558" s="225" t="s">
        <v>269</v>
      </c>
      <c r="L558" s="239">
        <v>513211</v>
      </c>
      <c r="M558" s="227">
        <f t="shared" si="42"/>
        <v>513211</v>
      </c>
      <c r="N558" s="228">
        <v>0</v>
      </c>
      <c r="O558" s="227">
        <f t="shared" si="47"/>
        <v>0</v>
      </c>
      <c r="P558" s="228">
        <v>0.16</v>
      </c>
      <c r="Q558" s="227">
        <f t="shared" si="43"/>
        <v>82113.759999999995</v>
      </c>
      <c r="R558" s="227">
        <f t="shared" si="44"/>
        <v>595324.76</v>
      </c>
      <c r="S558" s="229">
        <f>INDEX('Glosario Partidas'!$M$8:$M$10,MATCH(BD!K558,'Glosario Partidas'!$L$8:$L$10,0))</f>
        <v>1</v>
      </c>
      <c r="T558" s="227">
        <f t="shared" si="45"/>
        <v>595324.76</v>
      </c>
      <c r="U558" s="230" t="s">
        <v>405</v>
      </c>
      <c r="V558" s="231" t="s">
        <v>12</v>
      </c>
    </row>
    <row r="559" spans="2:22" ht="12" customHeight="1" x14ac:dyDescent="0.2">
      <c r="B559" s="63" t="s">
        <v>188</v>
      </c>
      <c r="C559" s="63" t="s">
        <v>114</v>
      </c>
      <c r="D559" s="78" t="s">
        <v>462</v>
      </c>
      <c r="E559" s="171" t="s">
        <v>220</v>
      </c>
      <c r="F559" s="78" t="s">
        <v>354</v>
      </c>
      <c r="G559" s="171" t="s">
        <v>487</v>
      </c>
      <c r="H559" s="224" t="s">
        <v>456</v>
      </c>
      <c r="I559" s="225" t="s">
        <v>410</v>
      </c>
      <c r="J559" s="224">
        <v>1</v>
      </c>
      <c r="K559" s="225" t="s">
        <v>269</v>
      </c>
      <c r="L559" s="239">
        <v>513211</v>
      </c>
      <c r="M559" s="227">
        <f t="shared" si="42"/>
        <v>513211</v>
      </c>
      <c r="N559" s="228">
        <v>0</v>
      </c>
      <c r="O559" s="227">
        <f t="shared" si="47"/>
        <v>0</v>
      </c>
      <c r="P559" s="228">
        <v>0.16</v>
      </c>
      <c r="Q559" s="227">
        <f t="shared" si="43"/>
        <v>82113.759999999995</v>
      </c>
      <c r="R559" s="227">
        <f t="shared" si="44"/>
        <v>595324.76</v>
      </c>
      <c r="S559" s="229">
        <f>INDEX('Glosario Partidas'!$M$8:$M$10,MATCH(BD!K559,'Glosario Partidas'!$L$8:$L$10,0))</f>
        <v>1</v>
      </c>
      <c r="T559" s="227">
        <f t="shared" si="45"/>
        <v>595324.76</v>
      </c>
      <c r="U559" s="230" t="s">
        <v>479</v>
      </c>
      <c r="V559" s="231" t="s">
        <v>12</v>
      </c>
    </row>
    <row r="560" spans="2:22" ht="12" customHeight="1" x14ac:dyDescent="0.2">
      <c r="B560" s="63" t="s">
        <v>188</v>
      </c>
      <c r="C560" s="63" t="s">
        <v>114</v>
      </c>
      <c r="D560" s="78" t="s">
        <v>465</v>
      </c>
      <c r="E560" s="171" t="s">
        <v>220</v>
      </c>
      <c r="F560" s="78" t="s">
        <v>354</v>
      </c>
      <c r="G560" s="171" t="s">
        <v>487</v>
      </c>
      <c r="H560" s="224" t="s">
        <v>456</v>
      </c>
      <c r="I560" s="225" t="s">
        <v>410</v>
      </c>
      <c r="J560" s="224">
        <v>1</v>
      </c>
      <c r="K560" s="225" t="s">
        <v>269</v>
      </c>
      <c r="L560" s="239">
        <v>298550</v>
      </c>
      <c r="M560" s="227">
        <f t="shared" si="42"/>
        <v>298550</v>
      </c>
      <c r="N560" s="228">
        <v>0</v>
      </c>
      <c r="O560" s="227">
        <f t="shared" si="47"/>
        <v>0</v>
      </c>
      <c r="P560" s="228">
        <v>0.16</v>
      </c>
      <c r="Q560" s="227">
        <f t="shared" si="43"/>
        <v>47768</v>
      </c>
      <c r="R560" s="227">
        <f t="shared" si="44"/>
        <v>346318</v>
      </c>
      <c r="S560" s="229">
        <f>INDEX('Glosario Partidas'!$M$8:$M$10,MATCH(BD!K560,'Glosario Partidas'!$L$8:$L$10,0))</f>
        <v>1</v>
      </c>
      <c r="T560" s="227">
        <f t="shared" si="45"/>
        <v>346318</v>
      </c>
      <c r="U560" s="230" t="s">
        <v>405</v>
      </c>
      <c r="V560" s="231" t="s">
        <v>12</v>
      </c>
    </row>
    <row r="561" spans="2:22" ht="12" customHeight="1" x14ac:dyDescent="0.2">
      <c r="B561" s="63" t="s">
        <v>188</v>
      </c>
      <c r="C561" s="63" t="s">
        <v>114</v>
      </c>
      <c r="D561" s="78" t="s">
        <v>468</v>
      </c>
      <c r="E561" s="171" t="s">
        <v>220</v>
      </c>
      <c r="F561" s="78" t="s">
        <v>354</v>
      </c>
      <c r="G561" s="171" t="s">
        <v>487</v>
      </c>
      <c r="H561" s="224" t="s">
        <v>456</v>
      </c>
      <c r="I561" s="225" t="s">
        <v>410</v>
      </c>
      <c r="J561" s="224">
        <v>1</v>
      </c>
      <c r="K561" s="225" t="s">
        <v>269</v>
      </c>
      <c r="L561" s="239">
        <v>327923</v>
      </c>
      <c r="M561" s="227">
        <f t="shared" si="42"/>
        <v>327923</v>
      </c>
      <c r="N561" s="228">
        <v>0</v>
      </c>
      <c r="O561" s="227">
        <f t="shared" si="47"/>
        <v>0</v>
      </c>
      <c r="P561" s="228">
        <v>0.16</v>
      </c>
      <c r="Q561" s="227">
        <f t="shared" si="43"/>
        <v>52467.68</v>
      </c>
      <c r="R561" s="227">
        <f t="shared" si="44"/>
        <v>380390.68</v>
      </c>
      <c r="S561" s="229">
        <f>INDEX('Glosario Partidas'!$M$8:$M$10,MATCH(BD!K561,'Glosario Partidas'!$L$8:$L$10,0))</f>
        <v>1</v>
      </c>
      <c r="T561" s="227">
        <f t="shared" si="45"/>
        <v>380390.68</v>
      </c>
      <c r="U561" s="230" t="s">
        <v>405</v>
      </c>
      <c r="V561" s="231" t="s">
        <v>12</v>
      </c>
    </row>
    <row r="562" spans="2:22" ht="12" customHeight="1" x14ac:dyDescent="0.2">
      <c r="B562" s="63" t="s">
        <v>188</v>
      </c>
      <c r="C562" s="63" t="s">
        <v>114</v>
      </c>
      <c r="D562" s="78" t="s">
        <v>460</v>
      </c>
      <c r="E562" s="171" t="s">
        <v>220</v>
      </c>
      <c r="F562" s="78" t="s">
        <v>354</v>
      </c>
      <c r="G562" s="171" t="s">
        <v>487</v>
      </c>
      <c r="H562" s="224" t="s">
        <v>456</v>
      </c>
      <c r="I562" s="225" t="s">
        <v>410</v>
      </c>
      <c r="J562" s="224">
        <v>1</v>
      </c>
      <c r="K562" s="225" t="s">
        <v>269</v>
      </c>
      <c r="L562" s="239">
        <v>513211</v>
      </c>
      <c r="M562" s="227">
        <f t="shared" si="42"/>
        <v>513211</v>
      </c>
      <c r="N562" s="228">
        <v>0</v>
      </c>
      <c r="O562" s="227">
        <f t="shared" si="47"/>
        <v>0</v>
      </c>
      <c r="P562" s="228">
        <v>0.16</v>
      </c>
      <c r="Q562" s="227">
        <f t="shared" si="43"/>
        <v>82113.759999999995</v>
      </c>
      <c r="R562" s="227">
        <f t="shared" si="44"/>
        <v>595324.76</v>
      </c>
      <c r="S562" s="229">
        <f>INDEX('Glosario Partidas'!$M$8:$M$10,MATCH(BD!K562,'Glosario Partidas'!$L$8:$L$10,0))</f>
        <v>1</v>
      </c>
      <c r="T562" s="227">
        <f t="shared" si="45"/>
        <v>595324.76</v>
      </c>
      <c r="U562" s="230" t="s">
        <v>405</v>
      </c>
      <c r="V562" s="231" t="s">
        <v>12</v>
      </c>
    </row>
    <row r="563" spans="2:22" ht="12" customHeight="1" x14ac:dyDescent="0.2">
      <c r="B563" s="63" t="s">
        <v>188</v>
      </c>
      <c r="C563" s="63" t="s">
        <v>114</v>
      </c>
      <c r="D563" s="78" t="s">
        <v>475</v>
      </c>
      <c r="E563" s="171" t="s">
        <v>220</v>
      </c>
      <c r="F563" s="78" t="s">
        <v>355</v>
      </c>
      <c r="G563" s="171" t="s">
        <v>487</v>
      </c>
      <c r="H563" s="224" t="s">
        <v>456</v>
      </c>
      <c r="I563" s="225" t="s">
        <v>410</v>
      </c>
      <c r="J563" s="224">
        <v>1</v>
      </c>
      <c r="K563" s="225" t="s">
        <v>269</v>
      </c>
      <c r="L563" s="236">
        <v>232855</v>
      </c>
      <c r="M563" s="227">
        <f t="shared" si="42"/>
        <v>232855</v>
      </c>
      <c r="N563" s="228">
        <v>0</v>
      </c>
      <c r="O563" s="227">
        <f t="shared" si="47"/>
        <v>0</v>
      </c>
      <c r="P563" s="228">
        <v>0.16</v>
      </c>
      <c r="Q563" s="227">
        <f t="shared" si="43"/>
        <v>37256.800000000003</v>
      </c>
      <c r="R563" s="227">
        <f t="shared" si="44"/>
        <v>270111.8</v>
      </c>
      <c r="S563" s="229">
        <f>INDEX('Glosario Partidas'!$M$8:$M$10,MATCH(BD!K563,'Glosario Partidas'!$L$8:$L$10,0))</f>
        <v>1</v>
      </c>
      <c r="T563" s="227">
        <f t="shared" si="45"/>
        <v>270111.8</v>
      </c>
      <c r="U563" s="230" t="s">
        <v>405</v>
      </c>
      <c r="V563" s="231" t="s">
        <v>12</v>
      </c>
    </row>
    <row r="564" spans="2:22" ht="12" customHeight="1" x14ac:dyDescent="0.2">
      <c r="B564" s="63" t="s">
        <v>188</v>
      </c>
      <c r="C564" s="63" t="s">
        <v>114</v>
      </c>
      <c r="D564" s="78" t="s">
        <v>480</v>
      </c>
      <c r="E564" s="171" t="s">
        <v>220</v>
      </c>
      <c r="F564" s="78" t="s">
        <v>355</v>
      </c>
      <c r="G564" s="171" t="s">
        <v>487</v>
      </c>
      <c r="H564" s="224" t="s">
        <v>293</v>
      </c>
      <c r="I564" s="225" t="s">
        <v>410</v>
      </c>
      <c r="J564" s="224">
        <v>1</v>
      </c>
      <c r="K564" s="225" t="s">
        <v>269</v>
      </c>
      <c r="L564" s="226">
        <v>150000</v>
      </c>
      <c r="M564" s="227">
        <f t="shared" si="42"/>
        <v>150000</v>
      </c>
      <c r="N564" s="228">
        <v>0</v>
      </c>
      <c r="O564" s="227">
        <f t="shared" si="47"/>
        <v>0</v>
      </c>
      <c r="P564" s="228">
        <v>0.16</v>
      </c>
      <c r="Q564" s="227">
        <f t="shared" si="43"/>
        <v>24000</v>
      </c>
      <c r="R564" s="227">
        <f t="shared" si="44"/>
        <v>174000</v>
      </c>
      <c r="S564" s="229">
        <f>INDEX('Glosario Partidas'!$M$8:$M$10,MATCH(BD!K564,'Glosario Partidas'!$L$8:$L$10,0))</f>
        <v>1</v>
      </c>
      <c r="T564" s="227">
        <f t="shared" si="45"/>
        <v>174000</v>
      </c>
      <c r="U564" s="230" t="s">
        <v>405</v>
      </c>
      <c r="V564" s="231" t="s">
        <v>12</v>
      </c>
    </row>
    <row r="565" spans="2:22" ht="12" customHeight="1" x14ac:dyDescent="0.2">
      <c r="B565" s="63" t="s">
        <v>188</v>
      </c>
      <c r="C565" s="63" t="s">
        <v>117</v>
      </c>
      <c r="D565" s="78" t="s">
        <v>481</v>
      </c>
      <c r="E565" s="171" t="s">
        <v>220</v>
      </c>
      <c r="F565" s="78" t="s">
        <v>221</v>
      </c>
      <c r="G565" s="171" t="s">
        <v>487</v>
      </c>
      <c r="H565" s="224" t="s">
        <v>293</v>
      </c>
      <c r="I565" s="225" t="s">
        <v>410</v>
      </c>
      <c r="J565" s="224">
        <v>2</v>
      </c>
      <c r="K565" s="225" t="s">
        <v>269</v>
      </c>
      <c r="L565" s="226">
        <v>80000</v>
      </c>
      <c r="M565" s="227">
        <f t="shared" si="42"/>
        <v>160000</v>
      </c>
      <c r="N565" s="228">
        <v>0</v>
      </c>
      <c r="O565" s="227">
        <f t="shared" si="47"/>
        <v>0</v>
      </c>
      <c r="P565" s="228">
        <v>0.16</v>
      </c>
      <c r="Q565" s="227">
        <f t="shared" si="43"/>
        <v>25600</v>
      </c>
      <c r="R565" s="227">
        <f t="shared" si="44"/>
        <v>185600</v>
      </c>
      <c r="S565" s="229">
        <f>INDEX('Glosario Partidas'!$M$8:$M$10,MATCH(BD!K565,'Glosario Partidas'!$L$8:$L$10,0))</f>
        <v>1</v>
      </c>
      <c r="T565" s="227">
        <f t="shared" si="45"/>
        <v>185600</v>
      </c>
      <c r="U565" s="230" t="s">
        <v>405</v>
      </c>
      <c r="V565" s="231" t="s">
        <v>12</v>
      </c>
    </row>
    <row r="566" spans="2:22" ht="12" customHeight="1" x14ac:dyDescent="0.2">
      <c r="B566" s="63" t="s">
        <v>188</v>
      </c>
      <c r="C566" s="63" t="s">
        <v>116</v>
      </c>
      <c r="D566" s="78" t="s">
        <v>313</v>
      </c>
      <c r="E566" s="171" t="s">
        <v>220</v>
      </c>
      <c r="F566" s="78" t="s">
        <v>221</v>
      </c>
      <c r="G566" s="171" t="s">
        <v>487</v>
      </c>
      <c r="H566" s="224" t="s">
        <v>456</v>
      </c>
      <c r="I566" s="225" t="s">
        <v>314</v>
      </c>
      <c r="J566" s="224">
        <v>1</v>
      </c>
      <c r="K566" s="225" t="s">
        <v>269</v>
      </c>
      <c r="L566" s="239">
        <v>1225485</v>
      </c>
      <c r="M566" s="227">
        <f t="shared" si="42"/>
        <v>1225485</v>
      </c>
      <c r="N566" s="228">
        <v>0</v>
      </c>
      <c r="O566" s="227">
        <f t="shared" si="47"/>
        <v>0</v>
      </c>
      <c r="P566" s="228">
        <v>0.16</v>
      </c>
      <c r="Q566" s="227">
        <f t="shared" si="43"/>
        <v>196077.6</v>
      </c>
      <c r="R566" s="227">
        <f t="shared" si="44"/>
        <v>1421562.6</v>
      </c>
      <c r="S566" s="229">
        <f>INDEX('Glosario Partidas'!$M$8:$M$10,MATCH(BD!K566,'Glosario Partidas'!$L$8:$L$10,0))</f>
        <v>1</v>
      </c>
      <c r="T566" s="227">
        <f t="shared" si="45"/>
        <v>1421562.6</v>
      </c>
      <c r="U566" s="230" t="s">
        <v>405</v>
      </c>
      <c r="V566" s="231" t="s">
        <v>12</v>
      </c>
    </row>
    <row r="567" spans="2:22" ht="12" customHeight="1" x14ac:dyDescent="0.2">
      <c r="B567" s="63" t="s">
        <v>188</v>
      </c>
      <c r="C567" s="63" t="s">
        <v>482</v>
      </c>
      <c r="D567" s="78" t="s">
        <v>313</v>
      </c>
      <c r="E567" s="171" t="s">
        <v>220</v>
      </c>
      <c r="F567" s="78" t="s">
        <v>221</v>
      </c>
      <c r="G567" s="171" t="s">
        <v>487</v>
      </c>
      <c r="H567" s="224" t="s">
        <v>293</v>
      </c>
      <c r="I567" s="225" t="s">
        <v>410</v>
      </c>
      <c r="J567" s="224">
        <v>15</v>
      </c>
      <c r="K567" s="225" t="s">
        <v>269</v>
      </c>
      <c r="L567" s="226">
        <v>4000</v>
      </c>
      <c r="M567" s="227">
        <f t="shared" si="42"/>
        <v>60000</v>
      </c>
      <c r="N567" s="228">
        <v>0</v>
      </c>
      <c r="O567" s="227">
        <f t="shared" si="47"/>
        <v>0</v>
      </c>
      <c r="P567" s="228">
        <v>0.16</v>
      </c>
      <c r="Q567" s="227">
        <f t="shared" si="43"/>
        <v>9600</v>
      </c>
      <c r="R567" s="227">
        <f t="shared" si="44"/>
        <v>69600</v>
      </c>
      <c r="S567" s="229">
        <f>INDEX('Glosario Partidas'!$M$8:$M$10,MATCH(BD!K567,'Glosario Partidas'!$L$8:$L$10,0))</f>
        <v>1</v>
      </c>
      <c r="T567" s="227">
        <f t="shared" si="45"/>
        <v>69600</v>
      </c>
      <c r="U567" s="230" t="s">
        <v>315</v>
      </c>
      <c r="V567" s="231" t="s">
        <v>12</v>
      </c>
    </row>
    <row r="568" spans="2:22" ht="12" customHeight="1" x14ac:dyDescent="0.2">
      <c r="B568" s="63" t="s">
        <v>188</v>
      </c>
      <c r="C568" s="63" t="s">
        <v>482</v>
      </c>
      <c r="D568" s="78" t="s">
        <v>313</v>
      </c>
      <c r="E568" s="171" t="s">
        <v>220</v>
      </c>
      <c r="F568" s="78" t="s">
        <v>354</v>
      </c>
      <c r="G568" s="171" t="s">
        <v>487</v>
      </c>
      <c r="H568" s="224" t="s">
        <v>293</v>
      </c>
      <c r="I568" s="225" t="s">
        <v>410</v>
      </c>
      <c r="J568" s="224">
        <v>14</v>
      </c>
      <c r="K568" s="225" t="s">
        <v>269</v>
      </c>
      <c r="L568" s="226">
        <v>4000</v>
      </c>
      <c r="M568" s="227">
        <f t="shared" si="42"/>
        <v>56000</v>
      </c>
      <c r="N568" s="228">
        <v>0</v>
      </c>
      <c r="O568" s="227">
        <f t="shared" si="47"/>
        <v>0</v>
      </c>
      <c r="P568" s="228">
        <v>0.16</v>
      </c>
      <c r="Q568" s="227">
        <f t="shared" si="43"/>
        <v>8960</v>
      </c>
      <c r="R568" s="227">
        <f t="shared" si="44"/>
        <v>64960</v>
      </c>
      <c r="S568" s="229">
        <f>INDEX('Glosario Partidas'!$M$8:$M$10,MATCH(BD!K568,'Glosario Partidas'!$L$8:$L$10,0))</f>
        <v>1</v>
      </c>
      <c r="T568" s="227">
        <f t="shared" si="45"/>
        <v>64960</v>
      </c>
      <c r="U568" s="230" t="s">
        <v>315</v>
      </c>
      <c r="V568" s="231" t="s">
        <v>12</v>
      </c>
    </row>
    <row r="569" spans="2:22" ht="12" customHeight="1" x14ac:dyDescent="0.2">
      <c r="B569" s="63" t="s">
        <v>188</v>
      </c>
      <c r="C569" s="63" t="s">
        <v>482</v>
      </c>
      <c r="D569" s="78" t="s">
        <v>313</v>
      </c>
      <c r="E569" s="171" t="s">
        <v>220</v>
      </c>
      <c r="F569" s="78" t="s">
        <v>355</v>
      </c>
      <c r="G569" s="171" t="s">
        <v>487</v>
      </c>
      <c r="H569" s="224" t="s">
        <v>293</v>
      </c>
      <c r="I569" s="225" t="s">
        <v>410</v>
      </c>
      <c r="J569" s="224">
        <v>7</v>
      </c>
      <c r="K569" s="225" t="s">
        <v>269</v>
      </c>
      <c r="L569" s="226">
        <v>4000</v>
      </c>
      <c r="M569" s="227">
        <f t="shared" si="42"/>
        <v>28000</v>
      </c>
      <c r="N569" s="228">
        <v>0</v>
      </c>
      <c r="O569" s="227">
        <f t="shared" si="47"/>
        <v>0</v>
      </c>
      <c r="P569" s="228">
        <v>0.16</v>
      </c>
      <c r="Q569" s="227">
        <f t="shared" si="43"/>
        <v>4480</v>
      </c>
      <c r="R569" s="227">
        <f t="shared" si="44"/>
        <v>32480</v>
      </c>
      <c r="S569" s="229">
        <f>INDEX('Glosario Partidas'!$M$8:$M$10,MATCH(BD!K569,'Glosario Partidas'!$L$8:$L$10,0))</f>
        <v>1</v>
      </c>
      <c r="T569" s="227">
        <f t="shared" si="45"/>
        <v>32480</v>
      </c>
      <c r="U569" s="230" t="s">
        <v>315</v>
      </c>
      <c r="V569" s="231" t="s">
        <v>12</v>
      </c>
    </row>
    <row r="570" spans="2:22" ht="12" customHeight="1" x14ac:dyDescent="0.2">
      <c r="B570" s="63" t="s">
        <v>188</v>
      </c>
      <c r="C570" s="63" t="s">
        <v>483</v>
      </c>
      <c r="D570" s="78" t="s">
        <v>313</v>
      </c>
      <c r="E570" s="171" t="s">
        <v>220</v>
      </c>
      <c r="F570" s="78" t="s">
        <v>221</v>
      </c>
      <c r="G570" s="171" t="s">
        <v>487</v>
      </c>
      <c r="H570" s="224" t="s">
        <v>293</v>
      </c>
      <c r="I570" s="225" t="s">
        <v>410</v>
      </c>
      <c r="J570" s="224">
        <v>15</v>
      </c>
      <c r="K570" s="225" t="s">
        <v>269</v>
      </c>
      <c r="L570" s="226">
        <v>125</v>
      </c>
      <c r="M570" s="227">
        <f t="shared" si="42"/>
        <v>1875</v>
      </c>
      <c r="N570" s="228">
        <v>0</v>
      </c>
      <c r="O570" s="227">
        <f t="shared" si="47"/>
        <v>0</v>
      </c>
      <c r="P570" s="228">
        <v>0.16</v>
      </c>
      <c r="Q570" s="227">
        <f t="shared" si="43"/>
        <v>300</v>
      </c>
      <c r="R570" s="227">
        <f t="shared" si="44"/>
        <v>2175</v>
      </c>
      <c r="S570" s="229">
        <f>INDEX('Glosario Partidas'!$M$8:$M$10,MATCH(BD!K570,'Glosario Partidas'!$L$8:$L$10,0))</f>
        <v>1</v>
      </c>
      <c r="T570" s="227">
        <f t="shared" si="45"/>
        <v>2175</v>
      </c>
      <c r="U570" s="230" t="s">
        <v>315</v>
      </c>
      <c r="V570" s="231" t="s">
        <v>12</v>
      </c>
    </row>
    <row r="571" spans="2:22" ht="12" customHeight="1" x14ac:dyDescent="0.2">
      <c r="B571" s="63" t="s">
        <v>188</v>
      </c>
      <c r="C571" s="63" t="s">
        <v>483</v>
      </c>
      <c r="D571" s="78" t="s">
        <v>313</v>
      </c>
      <c r="E571" s="171" t="s">
        <v>220</v>
      </c>
      <c r="F571" s="78" t="s">
        <v>354</v>
      </c>
      <c r="G571" s="171" t="s">
        <v>487</v>
      </c>
      <c r="H571" s="224" t="s">
        <v>293</v>
      </c>
      <c r="I571" s="225" t="s">
        <v>410</v>
      </c>
      <c r="J571" s="224">
        <v>14</v>
      </c>
      <c r="K571" s="225" t="s">
        <v>269</v>
      </c>
      <c r="L571" s="226">
        <v>125</v>
      </c>
      <c r="M571" s="227">
        <f t="shared" si="42"/>
        <v>1750</v>
      </c>
      <c r="N571" s="228">
        <v>0</v>
      </c>
      <c r="O571" s="227">
        <f t="shared" si="47"/>
        <v>0</v>
      </c>
      <c r="P571" s="228">
        <v>0.16</v>
      </c>
      <c r="Q571" s="227">
        <f t="shared" si="43"/>
        <v>280</v>
      </c>
      <c r="R571" s="227">
        <f t="shared" si="44"/>
        <v>2030</v>
      </c>
      <c r="S571" s="229">
        <f>INDEX('Glosario Partidas'!$M$8:$M$10,MATCH(BD!K571,'Glosario Partidas'!$L$8:$L$10,0))</f>
        <v>1</v>
      </c>
      <c r="T571" s="227">
        <f t="shared" si="45"/>
        <v>2030</v>
      </c>
      <c r="U571" s="230" t="s">
        <v>315</v>
      </c>
      <c r="V571" s="231" t="s">
        <v>12</v>
      </c>
    </row>
    <row r="572" spans="2:22" ht="12" customHeight="1" x14ac:dyDescent="0.2">
      <c r="B572" s="63" t="s">
        <v>188</v>
      </c>
      <c r="C572" s="63" t="s">
        <v>483</v>
      </c>
      <c r="D572" s="78" t="s">
        <v>313</v>
      </c>
      <c r="E572" s="171" t="s">
        <v>220</v>
      </c>
      <c r="F572" s="78" t="s">
        <v>355</v>
      </c>
      <c r="G572" s="171" t="s">
        <v>487</v>
      </c>
      <c r="H572" s="224" t="s">
        <v>293</v>
      </c>
      <c r="I572" s="225" t="s">
        <v>410</v>
      </c>
      <c r="J572" s="224">
        <v>7</v>
      </c>
      <c r="K572" s="225" t="s">
        <v>269</v>
      </c>
      <c r="L572" s="226">
        <v>125</v>
      </c>
      <c r="M572" s="227">
        <f t="shared" si="42"/>
        <v>875</v>
      </c>
      <c r="N572" s="228">
        <v>0</v>
      </c>
      <c r="O572" s="227">
        <f t="shared" si="47"/>
        <v>0</v>
      </c>
      <c r="P572" s="228">
        <v>0.16</v>
      </c>
      <c r="Q572" s="227">
        <f t="shared" si="43"/>
        <v>140</v>
      </c>
      <c r="R572" s="227">
        <f t="shared" si="44"/>
        <v>1015</v>
      </c>
      <c r="S572" s="229">
        <f>INDEX('Glosario Partidas'!$M$8:$M$10,MATCH(BD!K572,'Glosario Partidas'!$L$8:$L$10,0))</f>
        <v>1</v>
      </c>
      <c r="T572" s="227">
        <f t="shared" si="45"/>
        <v>1015</v>
      </c>
      <c r="U572" s="230" t="s">
        <v>315</v>
      </c>
      <c r="V572" s="231" t="s">
        <v>12</v>
      </c>
    </row>
    <row r="573" spans="2:22" ht="12" customHeight="1" x14ac:dyDescent="0.2">
      <c r="B573" s="63" t="s">
        <v>188</v>
      </c>
      <c r="C573" s="63" t="s">
        <v>471</v>
      </c>
      <c r="D573" s="78" t="s">
        <v>484</v>
      </c>
      <c r="E573" s="171" t="s">
        <v>220</v>
      </c>
      <c r="F573" s="78" t="s">
        <v>221</v>
      </c>
      <c r="G573" s="171" t="s">
        <v>487</v>
      </c>
      <c r="H573" s="224" t="s">
        <v>456</v>
      </c>
      <c r="I573" s="225" t="s">
        <v>410</v>
      </c>
      <c r="J573" s="224">
        <v>1</v>
      </c>
      <c r="K573" s="225" t="s">
        <v>269</v>
      </c>
      <c r="L573" s="239">
        <v>27036</v>
      </c>
      <c r="M573" s="227">
        <f t="shared" si="42"/>
        <v>27036</v>
      </c>
      <c r="N573" s="228">
        <v>0</v>
      </c>
      <c r="O573" s="227">
        <f t="shared" si="47"/>
        <v>0</v>
      </c>
      <c r="P573" s="228">
        <v>0.16</v>
      </c>
      <c r="Q573" s="227">
        <f t="shared" si="43"/>
        <v>4325.76</v>
      </c>
      <c r="R573" s="227">
        <f t="shared" si="44"/>
        <v>31361.760000000002</v>
      </c>
      <c r="S573" s="229">
        <f>INDEX('Glosario Partidas'!$M$8:$M$10,MATCH(BD!K573,'Glosario Partidas'!$L$8:$L$10,0))</f>
        <v>1</v>
      </c>
      <c r="T573" s="227">
        <f t="shared" si="45"/>
        <v>31361.760000000002</v>
      </c>
      <c r="U573" s="230" t="s">
        <v>432</v>
      </c>
      <c r="V573" s="231" t="s">
        <v>12</v>
      </c>
    </row>
    <row r="574" spans="2:22" ht="12" customHeight="1" x14ac:dyDescent="0.2">
      <c r="B574" s="63" t="s">
        <v>188</v>
      </c>
      <c r="C574" s="63" t="s">
        <v>471</v>
      </c>
      <c r="D574" s="78" t="s">
        <v>484</v>
      </c>
      <c r="E574" s="171" t="s">
        <v>220</v>
      </c>
      <c r="F574" s="78" t="s">
        <v>355</v>
      </c>
      <c r="G574" s="171" t="s">
        <v>487</v>
      </c>
      <c r="H574" s="224" t="s">
        <v>456</v>
      </c>
      <c r="I574" s="225" t="s">
        <v>410</v>
      </c>
      <c r="J574" s="224">
        <v>1</v>
      </c>
      <c r="K574" s="225" t="s">
        <v>269</v>
      </c>
      <c r="L574" s="239">
        <v>88057</v>
      </c>
      <c r="M574" s="227">
        <f t="shared" si="42"/>
        <v>88057</v>
      </c>
      <c r="N574" s="228">
        <v>0</v>
      </c>
      <c r="O574" s="227">
        <f t="shared" si="47"/>
        <v>0</v>
      </c>
      <c r="P574" s="228">
        <v>0.16</v>
      </c>
      <c r="Q574" s="227">
        <f t="shared" si="43"/>
        <v>14089.12</v>
      </c>
      <c r="R574" s="227">
        <f t="shared" si="44"/>
        <v>102146.12</v>
      </c>
      <c r="S574" s="229">
        <f>INDEX('Glosario Partidas'!$M$8:$M$10,MATCH(BD!K574,'Glosario Partidas'!$L$8:$L$10,0))</f>
        <v>1</v>
      </c>
      <c r="T574" s="227">
        <f t="shared" si="45"/>
        <v>102146.12</v>
      </c>
      <c r="U574" s="230" t="s">
        <v>432</v>
      </c>
      <c r="V574" s="231" t="s">
        <v>12</v>
      </c>
    </row>
    <row r="575" spans="2:22" ht="12" customHeight="1" x14ac:dyDescent="0.2">
      <c r="B575" s="63" t="s">
        <v>188</v>
      </c>
      <c r="C575" s="63" t="s">
        <v>485</v>
      </c>
      <c r="D575" s="78" t="s">
        <v>313</v>
      </c>
      <c r="E575" s="171" t="s">
        <v>220</v>
      </c>
      <c r="F575" s="78" t="s">
        <v>221</v>
      </c>
      <c r="G575" s="171" t="s">
        <v>487</v>
      </c>
      <c r="H575" s="224" t="s">
        <v>293</v>
      </c>
      <c r="I575" s="225" t="s">
        <v>410</v>
      </c>
      <c r="J575" s="224">
        <v>1</v>
      </c>
      <c r="K575" s="225" t="s">
        <v>269</v>
      </c>
      <c r="L575" s="226">
        <f>3900000/4</f>
        <v>975000</v>
      </c>
      <c r="M575" s="227">
        <f t="shared" si="42"/>
        <v>975000</v>
      </c>
      <c r="N575" s="228">
        <v>0</v>
      </c>
      <c r="O575" s="227">
        <f t="shared" si="47"/>
        <v>0</v>
      </c>
      <c r="P575" s="228">
        <v>0.16</v>
      </c>
      <c r="Q575" s="227">
        <f t="shared" si="43"/>
        <v>156000</v>
      </c>
      <c r="R575" s="227">
        <f t="shared" si="44"/>
        <v>1131000</v>
      </c>
      <c r="S575" s="229">
        <f>INDEX('Glosario Partidas'!$M$8:$M$10,MATCH(BD!K575,'Glosario Partidas'!$L$8:$L$10,0))</f>
        <v>1</v>
      </c>
      <c r="T575" s="227">
        <f t="shared" si="45"/>
        <v>1131000</v>
      </c>
      <c r="U575" s="230" t="s">
        <v>432</v>
      </c>
      <c r="V575" s="231" t="s">
        <v>12</v>
      </c>
    </row>
    <row r="576" spans="2:22" ht="12" customHeight="1" x14ac:dyDescent="0.2">
      <c r="B576" s="63" t="s">
        <v>188</v>
      </c>
      <c r="C576" s="63" t="s">
        <v>485</v>
      </c>
      <c r="D576" s="78" t="s">
        <v>313</v>
      </c>
      <c r="E576" s="171" t="s">
        <v>220</v>
      </c>
      <c r="F576" s="78" t="s">
        <v>354</v>
      </c>
      <c r="G576" s="171" t="s">
        <v>487</v>
      </c>
      <c r="H576" s="224" t="s">
        <v>293</v>
      </c>
      <c r="I576" s="225" t="s">
        <v>410</v>
      </c>
      <c r="J576" s="224">
        <v>1</v>
      </c>
      <c r="K576" s="225" t="s">
        <v>269</v>
      </c>
      <c r="L576" s="226">
        <f>975000/2</f>
        <v>487500</v>
      </c>
      <c r="M576" s="227">
        <f t="shared" si="42"/>
        <v>487500</v>
      </c>
      <c r="N576" s="228">
        <v>0</v>
      </c>
      <c r="O576" s="227">
        <f t="shared" si="47"/>
        <v>0</v>
      </c>
      <c r="P576" s="228">
        <v>0.16</v>
      </c>
      <c r="Q576" s="227">
        <f t="shared" si="43"/>
        <v>78000</v>
      </c>
      <c r="R576" s="227">
        <f t="shared" si="44"/>
        <v>565500</v>
      </c>
      <c r="S576" s="229">
        <f>INDEX('Glosario Partidas'!$M$8:$M$10,MATCH(BD!K576,'Glosario Partidas'!$L$8:$L$10,0))</f>
        <v>1</v>
      </c>
      <c r="T576" s="227">
        <f t="shared" si="45"/>
        <v>565500</v>
      </c>
      <c r="U576" s="230" t="s">
        <v>432</v>
      </c>
      <c r="V576" s="231" t="s">
        <v>12</v>
      </c>
    </row>
    <row r="577" spans="2:22" ht="12" customHeight="1" x14ac:dyDescent="0.2">
      <c r="B577" s="63" t="s">
        <v>188</v>
      </c>
      <c r="C577" s="63" t="s">
        <v>485</v>
      </c>
      <c r="D577" s="78" t="s">
        <v>313</v>
      </c>
      <c r="E577" s="171" t="s">
        <v>220</v>
      </c>
      <c r="F577" s="78" t="s">
        <v>355</v>
      </c>
      <c r="G577" s="171" t="s">
        <v>487</v>
      </c>
      <c r="H577" s="224" t="s">
        <v>293</v>
      </c>
      <c r="I577" s="225" t="s">
        <v>410</v>
      </c>
      <c r="J577" s="224">
        <v>1</v>
      </c>
      <c r="K577" s="225" t="s">
        <v>269</v>
      </c>
      <c r="L577" s="226">
        <f>975000/2</f>
        <v>487500</v>
      </c>
      <c r="M577" s="227">
        <f t="shared" si="42"/>
        <v>487500</v>
      </c>
      <c r="N577" s="228">
        <v>0</v>
      </c>
      <c r="O577" s="227">
        <f t="shared" si="47"/>
        <v>0</v>
      </c>
      <c r="P577" s="228">
        <v>0.16</v>
      </c>
      <c r="Q577" s="227">
        <f t="shared" si="43"/>
        <v>78000</v>
      </c>
      <c r="R577" s="227">
        <f t="shared" si="44"/>
        <v>565500</v>
      </c>
      <c r="S577" s="229">
        <f>INDEX('Glosario Partidas'!$M$8:$M$10,MATCH(BD!K577,'Glosario Partidas'!$L$8:$L$10,0))</f>
        <v>1</v>
      </c>
      <c r="T577" s="227">
        <f t="shared" si="45"/>
        <v>565500</v>
      </c>
      <c r="U577" s="230" t="s">
        <v>432</v>
      </c>
      <c r="V577" s="231" t="s">
        <v>12</v>
      </c>
    </row>
    <row r="578" spans="2:22" ht="12" customHeight="1" x14ac:dyDescent="0.2">
      <c r="B578" s="189" t="s">
        <v>195</v>
      </c>
      <c r="C578" s="189" t="s">
        <v>150</v>
      </c>
      <c r="D578" s="242" t="s">
        <v>313</v>
      </c>
      <c r="E578" s="243" t="s">
        <v>220</v>
      </c>
      <c r="F578" s="242" t="s">
        <v>313</v>
      </c>
      <c r="G578" s="243" t="s">
        <v>313</v>
      </c>
      <c r="H578" s="244"/>
      <c r="I578" s="245" t="s">
        <v>314</v>
      </c>
      <c r="J578" s="244">
        <v>1</v>
      </c>
      <c r="K578" s="245" t="s">
        <v>269</v>
      </c>
      <c r="L578" s="189"/>
      <c r="M578" s="189"/>
      <c r="N578" s="189"/>
      <c r="O578" s="189"/>
      <c r="P578" s="189"/>
      <c r="Q578" s="189"/>
      <c r="R578" s="189"/>
      <c r="S578" s="189"/>
      <c r="T578" s="246">
        <f>SUM(T5:T574)*0.1</f>
        <v>19149026.741370093</v>
      </c>
      <c r="U578" s="189"/>
      <c r="V578" s="189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00"/>
  </sheetPr>
  <dimension ref="A1:L19"/>
  <sheetViews>
    <sheetView zoomScaleNormal="100" workbookViewId="0"/>
  </sheetViews>
  <sheetFormatPr baseColWidth="10" defaultColWidth="8.6640625" defaultRowHeight="15" customHeight="1" x14ac:dyDescent="0.2"/>
  <cols>
    <col min="1" max="1" width="1.5" customWidth="1"/>
    <col min="3" max="3" width="7.5" customWidth="1"/>
    <col min="5" max="6" width="7.5" customWidth="1"/>
    <col min="10" max="11" width="7.5" customWidth="1"/>
  </cols>
  <sheetData>
    <row r="1" spans="1:12" ht="15" customHeight="1" x14ac:dyDescent="0.2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</row>
    <row r="2" spans="1:12" ht="15" customHeight="1" x14ac:dyDescent="0.2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</row>
    <row r="3" spans="1:12" ht="15" customHeight="1" x14ac:dyDescent="0.2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</row>
    <row r="4" spans="1:12" ht="15" customHeight="1" x14ac:dyDescent="0.2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2" ht="15" customHeight="1" x14ac:dyDescent="0.2">
      <c r="A5" s="216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</row>
    <row r="6" spans="1:12" ht="15" customHeight="1" x14ac:dyDescent="0.2">
      <c r="A6" s="216"/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</row>
    <row r="7" spans="1:12" ht="15" customHeight="1" x14ac:dyDescent="0.2">
      <c r="A7" s="216"/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</row>
    <row r="8" spans="1:12" ht="15" customHeight="1" x14ac:dyDescent="0.2">
      <c r="A8" s="216"/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</row>
    <row r="9" spans="1:12" ht="15" customHeight="1" x14ac:dyDescent="0.2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</row>
    <row r="10" spans="1:12" ht="15" customHeight="1" x14ac:dyDescent="0.2">
      <c r="A10" s="216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</row>
    <row r="11" spans="1:12" ht="21" customHeight="1" x14ac:dyDescent="0.25">
      <c r="A11" s="216"/>
      <c r="B11" s="216"/>
      <c r="C11" s="216"/>
      <c r="D11" s="217"/>
      <c r="E11" s="216"/>
      <c r="F11" s="216"/>
      <c r="G11" s="216"/>
      <c r="H11" s="216"/>
      <c r="I11" s="216"/>
      <c r="J11" s="216"/>
      <c r="K11" s="216"/>
      <c r="L11" s="216"/>
    </row>
    <row r="12" spans="1:12" ht="18" customHeight="1" x14ac:dyDescent="0.2">
      <c r="A12" s="216"/>
      <c r="B12" s="216"/>
      <c r="C12" s="216"/>
      <c r="D12" s="218"/>
      <c r="E12" s="216"/>
      <c r="F12" s="216"/>
      <c r="G12" s="216"/>
      <c r="H12" s="216"/>
      <c r="I12" s="216"/>
      <c r="J12" s="216"/>
      <c r="K12" s="216"/>
      <c r="L12" s="216"/>
    </row>
    <row r="13" spans="1:12" ht="15" customHeight="1" x14ac:dyDescent="0.2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</row>
    <row r="14" spans="1:12" ht="15" customHeight="1" x14ac:dyDescent="0.2">
      <c r="A14" s="216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</row>
    <row r="15" spans="1:12" ht="15" customHeight="1" x14ac:dyDescent="0.2">
      <c r="A15" s="216"/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</row>
    <row r="16" spans="1:12" ht="15" customHeight="1" x14ac:dyDescent="0.2">
      <c r="A16" s="216"/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</row>
    <row r="17" spans="1:12" ht="15" customHeight="1" x14ac:dyDescent="0.2">
      <c r="A17" s="216"/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</row>
    <row r="18" spans="1:12" ht="15" customHeight="1" x14ac:dyDescent="0.2">
      <c r="A18" s="216"/>
      <c r="B18" s="216"/>
      <c r="C18" s="216"/>
      <c r="D18" s="216"/>
      <c r="E18" s="216"/>
      <c r="F18" s="216"/>
      <c r="G18" s="216"/>
      <c r="H18" s="216"/>
      <c r="I18" s="219"/>
      <c r="J18" s="216"/>
      <c r="K18" s="220"/>
      <c r="L18" s="216"/>
    </row>
    <row r="19" spans="1:12" ht="15" customHeight="1" x14ac:dyDescent="0.2">
      <c r="A19" s="216"/>
      <c r="B19" s="216"/>
      <c r="C19" s="216"/>
      <c r="D19" s="216"/>
      <c r="E19" s="216"/>
      <c r="F19" s="216"/>
      <c r="G19" s="216"/>
      <c r="H19" s="216"/>
      <c r="I19" s="219"/>
      <c r="J19" s="216"/>
      <c r="K19" s="216"/>
      <c r="L19" s="2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C7"/>
  <sheetViews>
    <sheetView topLeftCell="I1" zoomScale="160" zoomScaleNormal="160" workbookViewId="0">
      <selection activeCell="W6" sqref="W6"/>
    </sheetView>
  </sheetViews>
  <sheetFormatPr baseColWidth="10" defaultColWidth="8.6640625" defaultRowHeight="15" customHeight="1" x14ac:dyDescent="0.2"/>
  <cols>
    <col min="2" max="2" width="10.1640625" customWidth="1"/>
    <col min="3" max="3" width="23.6640625" customWidth="1"/>
    <col min="23" max="23" width="22" customWidth="1"/>
    <col min="24" max="24" width="12" customWidth="1"/>
  </cols>
  <sheetData>
    <row r="1" spans="1:29" ht="10.5" customHeight="1" x14ac:dyDescent="0.2">
      <c r="A1" s="247" t="s">
        <v>488</v>
      </c>
      <c r="B1" s="223" t="s">
        <v>295</v>
      </c>
      <c r="C1" s="223" t="s">
        <v>2</v>
      </c>
      <c r="D1" s="223" t="s">
        <v>296</v>
      </c>
      <c r="E1" s="223" t="s">
        <v>215</v>
      </c>
      <c r="F1" s="223" t="s">
        <v>297</v>
      </c>
      <c r="G1" s="223" t="s">
        <v>168</v>
      </c>
      <c r="H1" s="223" t="s">
        <v>298</v>
      </c>
      <c r="I1" s="223" t="s">
        <v>299</v>
      </c>
      <c r="J1" s="223" t="s">
        <v>300</v>
      </c>
      <c r="K1" s="223" t="s">
        <v>301</v>
      </c>
      <c r="L1" s="223" t="s">
        <v>302</v>
      </c>
      <c r="M1" s="223" t="s">
        <v>303</v>
      </c>
      <c r="N1" s="223" t="s">
        <v>304</v>
      </c>
      <c r="O1" s="223" t="s">
        <v>305</v>
      </c>
      <c r="P1" s="223" t="s">
        <v>306</v>
      </c>
      <c r="Q1" s="223" t="s">
        <v>307</v>
      </c>
      <c r="R1" s="223" t="s">
        <v>308</v>
      </c>
      <c r="S1" s="223" t="s">
        <v>309</v>
      </c>
      <c r="T1" s="223" t="s">
        <v>310</v>
      </c>
      <c r="U1" s="223" t="s">
        <v>311</v>
      </c>
      <c r="V1" s="223" t="s">
        <v>312</v>
      </c>
      <c r="W1" s="223" t="s">
        <v>489</v>
      </c>
      <c r="X1" s="223" t="s">
        <v>490</v>
      </c>
      <c r="AB1" s="248" t="s">
        <v>14</v>
      </c>
      <c r="AC1" s="248" t="s">
        <v>15</v>
      </c>
    </row>
    <row r="2" spans="1:29" ht="12" customHeight="1" x14ac:dyDescent="0.2">
      <c r="B2" s="63" t="s">
        <v>201</v>
      </c>
      <c r="C2" s="63" t="s">
        <v>21</v>
      </c>
      <c r="D2" s="78" t="s">
        <v>313</v>
      </c>
      <c r="E2" s="171"/>
      <c r="F2" s="78" t="s">
        <v>313</v>
      </c>
      <c r="G2" s="171" t="s">
        <v>313</v>
      </c>
      <c r="H2" s="224" t="s">
        <v>293</v>
      </c>
      <c r="I2" s="225" t="s">
        <v>314</v>
      </c>
      <c r="J2" s="224">
        <v>0</v>
      </c>
      <c r="K2" s="225" t="s">
        <v>269</v>
      </c>
      <c r="L2" s="226">
        <v>0</v>
      </c>
      <c r="M2" s="227">
        <f>J2*L2</f>
        <v>0</v>
      </c>
      <c r="N2" s="228">
        <v>0</v>
      </c>
      <c r="O2" s="227">
        <f>M2*N2</f>
        <v>0</v>
      </c>
      <c r="P2" s="228">
        <v>0</v>
      </c>
      <c r="Q2" s="227">
        <f>(M2+O2)*P2</f>
        <v>0</v>
      </c>
      <c r="R2" s="227">
        <f>M2+O2+Q2</f>
        <v>0</v>
      </c>
      <c r="S2" s="229">
        <f>INDEX('Glosario Partidas'!$M$8:$M$10,MATCH(K2,'Glosario Partidas'!$L$8:$L$10,0))</f>
        <v>1</v>
      </c>
      <c r="T2" s="227">
        <f>R2*S2</f>
        <v>0</v>
      </c>
      <c r="U2" s="230" t="s">
        <v>315</v>
      </c>
      <c r="V2" s="249" t="s">
        <v>13</v>
      </c>
      <c r="W2" s="249" t="s">
        <v>491</v>
      </c>
      <c r="X2" s="249"/>
    </row>
    <row r="3" spans="1:29" ht="12" customHeight="1" x14ac:dyDescent="0.2">
      <c r="B3" s="63" t="s">
        <v>201</v>
      </c>
      <c r="C3" s="63" t="s">
        <v>22</v>
      </c>
      <c r="D3" s="78" t="s">
        <v>313</v>
      </c>
      <c r="E3" s="171"/>
      <c r="F3" s="78" t="s">
        <v>313</v>
      </c>
      <c r="G3" s="171" t="s">
        <v>313</v>
      </c>
      <c r="H3" s="250" t="s">
        <v>492</v>
      </c>
      <c r="I3" s="225" t="s">
        <v>314</v>
      </c>
      <c r="J3" s="250">
        <v>1</v>
      </c>
      <c r="K3" s="225" t="s">
        <v>269</v>
      </c>
      <c r="L3" s="230">
        <v>2700000</v>
      </c>
      <c r="M3" s="227">
        <f>J3*L3</f>
        <v>2700000</v>
      </c>
      <c r="N3" s="251">
        <v>0</v>
      </c>
      <c r="O3" s="227">
        <f>M3*N3</f>
        <v>0</v>
      </c>
      <c r="P3" s="251">
        <v>0</v>
      </c>
      <c r="Q3" s="227">
        <f>(M3+O3)*P3</f>
        <v>0</v>
      </c>
      <c r="R3" s="227">
        <f>M3+O3+Q3</f>
        <v>2700000</v>
      </c>
      <c r="S3" s="229">
        <f>INDEX('Glosario Partidas'!$M$8:$M$10,MATCH(K3,'Glosario Partidas'!$L$8:$L$10,0))</f>
        <v>1</v>
      </c>
      <c r="T3" s="227">
        <f>R3*S3</f>
        <v>2700000</v>
      </c>
      <c r="U3" s="230" t="s">
        <v>315</v>
      </c>
      <c r="V3" s="249" t="s">
        <v>12</v>
      </c>
      <c r="W3" s="249" t="s">
        <v>493</v>
      </c>
      <c r="X3" s="249"/>
    </row>
    <row r="4" spans="1:29" ht="12" customHeight="1" x14ac:dyDescent="0.2">
      <c r="B4" s="63" t="s">
        <v>201</v>
      </c>
      <c r="C4" s="63" t="s">
        <v>23</v>
      </c>
      <c r="D4" s="78" t="s">
        <v>313</v>
      </c>
      <c r="E4" s="171"/>
      <c r="F4" s="78" t="s">
        <v>313</v>
      </c>
      <c r="G4" s="171" t="s">
        <v>313</v>
      </c>
      <c r="H4" s="250" t="s">
        <v>293</v>
      </c>
      <c r="I4" s="225" t="s">
        <v>314</v>
      </c>
      <c r="J4" s="250">
        <v>1</v>
      </c>
      <c r="K4" s="225" t="s">
        <v>269</v>
      </c>
      <c r="L4" s="230">
        <v>140000</v>
      </c>
      <c r="M4" s="227">
        <f>J4*L4</f>
        <v>140000</v>
      </c>
      <c r="N4" s="251">
        <v>0</v>
      </c>
      <c r="O4" s="227">
        <f>M4*N4</f>
        <v>0</v>
      </c>
      <c r="P4" s="251">
        <v>0.16</v>
      </c>
      <c r="Q4" s="227">
        <f>(M4+O4)*P4</f>
        <v>22400</v>
      </c>
      <c r="R4" s="227">
        <f>M4+O4+Q4</f>
        <v>162400</v>
      </c>
      <c r="S4" s="229">
        <f>INDEX('Glosario Partidas'!$M$8:$M$10,MATCH(K4,'Glosario Partidas'!$L$8:$L$10,0))</f>
        <v>1</v>
      </c>
      <c r="T4" s="227">
        <f>R4*S4</f>
        <v>162400</v>
      </c>
      <c r="U4" s="230" t="s">
        <v>315</v>
      </c>
      <c r="V4" s="249" t="s">
        <v>12</v>
      </c>
      <c r="W4" s="249" t="s">
        <v>491</v>
      </c>
      <c r="X4" s="249"/>
    </row>
    <row r="5" spans="1:29" ht="12" customHeight="1" x14ac:dyDescent="0.2">
      <c r="B5" s="63" t="s">
        <v>201</v>
      </c>
      <c r="C5" s="63" t="s">
        <v>494</v>
      </c>
      <c r="D5" s="78" t="s">
        <v>313</v>
      </c>
      <c r="E5" s="171"/>
      <c r="F5" s="78" t="s">
        <v>313</v>
      </c>
      <c r="G5" s="171" t="s">
        <v>313</v>
      </c>
      <c r="H5" s="250" t="s">
        <v>207</v>
      </c>
      <c r="I5" s="225" t="s">
        <v>314</v>
      </c>
      <c r="J5" s="250">
        <v>1</v>
      </c>
      <c r="K5" s="225" t="s">
        <v>269</v>
      </c>
      <c r="L5" s="230">
        <v>67000</v>
      </c>
      <c r="M5" s="227">
        <f>J5*L5</f>
        <v>67000</v>
      </c>
      <c r="N5" s="251">
        <v>0</v>
      </c>
      <c r="O5" s="227">
        <f>M5*N5</f>
        <v>0</v>
      </c>
      <c r="P5" s="251">
        <v>0</v>
      </c>
      <c r="Q5" s="227">
        <f>(M5+O5)*P5</f>
        <v>0</v>
      </c>
      <c r="R5" s="227">
        <f>M5+O5+Q5</f>
        <v>67000</v>
      </c>
      <c r="S5" s="229">
        <f>INDEX('Glosario Partidas'!$M$8:$M$10,MATCH(K5,'Glosario Partidas'!$L$8:$L$10,0))</f>
        <v>1</v>
      </c>
      <c r="T5" s="227">
        <f>R5*S5</f>
        <v>67000</v>
      </c>
      <c r="U5" s="230" t="s">
        <v>315</v>
      </c>
      <c r="V5" s="249" t="s">
        <v>12</v>
      </c>
      <c r="W5" s="249" t="s">
        <v>491</v>
      </c>
      <c r="X5" s="249"/>
    </row>
    <row r="6" spans="1:29" ht="12" customHeight="1" x14ac:dyDescent="0.2">
      <c r="B6" s="63" t="s">
        <v>201</v>
      </c>
      <c r="C6" s="63" t="s">
        <v>25</v>
      </c>
      <c r="D6" s="78" t="s">
        <v>313</v>
      </c>
      <c r="E6" s="171"/>
      <c r="F6" s="78" t="s">
        <v>313</v>
      </c>
      <c r="G6" s="171" t="s">
        <v>313</v>
      </c>
      <c r="H6" s="224" t="s">
        <v>293</v>
      </c>
      <c r="I6" s="225" t="s">
        <v>314</v>
      </c>
      <c r="J6" s="224">
        <v>0</v>
      </c>
      <c r="K6" s="225" t="s">
        <v>269</v>
      </c>
      <c r="L6" s="226">
        <v>0</v>
      </c>
      <c r="M6" s="227">
        <f>J6*L6</f>
        <v>0</v>
      </c>
      <c r="N6" s="228">
        <v>0</v>
      </c>
      <c r="O6" s="227">
        <f>M6*N6</f>
        <v>0</v>
      </c>
      <c r="P6" s="228">
        <v>0</v>
      </c>
      <c r="Q6" s="227">
        <f>(M6+O6)*P6</f>
        <v>0</v>
      </c>
      <c r="R6" s="227">
        <f>M6+O6+Q6</f>
        <v>0</v>
      </c>
      <c r="S6" s="229">
        <f>INDEX('Glosario Partidas'!$M$8:$M$10,MATCH(K6,'Glosario Partidas'!$L$8:$L$10,0))</f>
        <v>1</v>
      </c>
      <c r="T6" s="227">
        <f>R6*S6</f>
        <v>0</v>
      </c>
      <c r="U6" s="230" t="s">
        <v>315</v>
      </c>
      <c r="V6" s="249" t="s">
        <v>13</v>
      </c>
      <c r="W6" s="249" t="s">
        <v>491</v>
      </c>
      <c r="X6" s="249"/>
    </row>
    <row r="7" spans="1:29" ht="15" customHeight="1" x14ac:dyDescent="0.2">
      <c r="B7" s="189" t="s">
        <v>185</v>
      </c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46">
        <f>SUM(T2:T6)</f>
        <v>2929400</v>
      </c>
      <c r="U7" s="252"/>
      <c r="V7" s="253"/>
      <c r="AB7" s="254">
        <f>SUMIFS($T:$T,$W:$W,"Contratado")</f>
        <v>2700000</v>
      </c>
      <c r="AC7" s="254">
        <f>SUMIFS($T:$T,$W:$W,"No Contratado")</f>
        <v>229400</v>
      </c>
    </row>
  </sheetData>
  <dataValidations count="2">
    <dataValidation type="list" allowBlank="1" errorTitle="Valor inválido" error="Selecciona Contratado o No Contratado" promptTitle="Contratado/No Contratado" prompt="Selecciona estado" sqref="W2:W6" xr:uid="{00000000-0002-0000-0A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6" xr:uid="{00000000-0002-0000-0A00-000001000000}">
      <formula1>"Sí,No"</formula1>
      <formula2>0</formula2>
    </dataValidation>
  </dataValidations>
  <hyperlinks>
    <hyperlink ref="A1" location="'BUY OUT'!A1" display="⬅ Resumen PU" xr:uid="{00000000-0004-0000-0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C20"/>
  <sheetViews>
    <sheetView showGridLines="0" topLeftCell="B1" zoomScale="140" zoomScaleNormal="140" workbookViewId="0">
      <selection activeCell="J13" sqref="J13"/>
    </sheetView>
  </sheetViews>
  <sheetFormatPr baseColWidth="10" defaultColWidth="8.6640625" defaultRowHeight="15" customHeight="1" x14ac:dyDescent="0.2"/>
  <cols>
    <col min="2" max="2" width="18.83203125" customWidth="1"/>
    <col min="3" max="3" width="39.33203125" customWidth="1"/>
    <col min="13" max="13" width="12" customWidth="1"/>
    <col min="23" max="23" width="22" customWidth="1"/>
    <col min="24" max="24" width="12" customWidth="1"/>
  </cols>
  <sheetData>
    <row r="1" spans="1:29" ht="10.5" customHeight="1" x14ac:dyDescent="0.2">
      <c r="A1" s="247" t="s">
        <v>488</v>
      </c>
      <c r="B1" s="223" t="s">
        <v>295</v>
      </c>
      <c r="C1" s="223" t="s">
        <v>2</v>
      </c>
      <c r="D1" s="223" t="s">
        <v>296</v>
      </c>
      <c r="E1" s="223" t="s">
        <v>215</v>
      </c>
      <c r="F1" s="223" t="s">
        <v>297</v>
      </c>
      <c r="G1" s="223" t="s">
        <v>168</v>
      </c>
      <c r="H1" s="223" t="s">
        <v>298</v>
      </c>
      <c r="I1" s="223" t="s">
        <v>299</v>
      </c>
      <c r="J1" s="223" t="s">
        <v>300</v>
      </c>
      <c r="K1" s="223" t="s">
        <v>301</v>
      </c>
      <c r="L1" s="223" t="s">
        <v>302</v>
      </c>
      <c r="M1" s="223" t="s">
        <v>303</v>
      </c>
      <c r="N1" s="223" t="s">
        <v>304</v>
      </c>
      <c r="O1" s="223" t="s">
        <v>305</v>
      </c>
      <c r="P1" s="223" t="s">
        <v>306</v>
      </c>
      <c r="Q1" s="223" t="s">
        <v>307</v>
      </c>
      <c r="R1" s="223" t="s">
        <v>308</v>
      </c>
      <c r="S1" s="223" t="s">
        <v>309</v>
      </c>
      <c r="T1" s="223" t="s">
        <v>310</v>
      </c>
      <c r="U1" s="223" t="s">
        <v>311</v>
      </c>
      <c r="V1" s="223" t="s">
        <v>312</v>
      </c>
      <c r="W1" s="223" t="s">
        <v>489</v>
      </c>
      <c r="X1" s="223" t="s">
        <v>490</v>
      </c>
      <c r="AB1" s="248" t="s">
        <v>14</v>
      </c>
      <c r="AC1" s="248" t="s">
        <v>15</v>
      </c>
    </row>
    <row r="2" spans="1:29" ht="13.5" customHeight="1" x14ac:dyDescent="0.2">
      <c r="B2" s="63" t="s">
        <v>199</v>
      </c>
      <c r="C2" s="63" t="s">
        <v>28</v>
      </c>
      <c r="D2" s="78" t="s">
        <v>313</v>
      </c>
      <c r="E2" s="171" t="s">
        <v>220</v>
      </c>
      <c r="F2" s="78" t="s">
        <v>313</v>
      </c>
      <c r="G2" s="171" t="s">
        <v>313</v>
      </c>
      <c r="H2" s="224" t="s">
        <v>293</v>
      </c>
      <c r="I2" s="225" t="s">
        <v>314</v>
      </c>
      <c r="J2" s="224">
        <v>0</v>
      </c>
      <c r="K2" s="225" t="s">
        <v>269</v>
      </c>
      <c r="L2" s="226">
        <v>0</v>
      </c>
      <c r="M2" s="227">
        <f t="shared" ref="M2:M19" si="0">J2*L2</f>
        <v>0</v>
      </c>
      <c r="N2" s="228">
        <v>0</v>
      </c>
      <c r="O2" s="227">
        <f t="shared" ref="O2:O19" si="1">M2*N2</f>
        <v>0</v>
      </c>
      <c r="P2" s="228">
        <v>0</v>
      </c>
      <c r="Q2" s="227">
        <f t="shared" ref="Q2:Q19" si="2">(M2+O2)*P2</f>
        <v>0</v>
      </c>
      <c r="R2" s="227">
        <f t="shared" ref="R2:R19" si="3">M2+O2+Q2</f>
        <v>0</v>
      </c>
      <c r="S2" s="229">
        <f>INDEX('Glosario Partidas'!$M$8:$M$10,MATCH(K2,'Glosario Partidas'!$L$8:$L$10,0))</f>
        <v>1</v>
      </c>
      <c r="T2" s="227">
        <f t="shared" ref="T2:T19" si="4">R2*S2</f>
        <v>0</v>
      </c>
      <c r="U2" s="230" t="s">
        <v>315</v>
      </c>
      <c r="V2" s="249" t="s">
        <v>13</v>
      </c>
      <c r="W2" s="249" t="s">
        <v>491</v>
      </c>
      <c r="X2" s="249"/>
    </row>
    <row r="3" spans="1:29" ht="12" customHeight="1" x14ac:dyDescent="0.2">
      <c r="B3" s="63" t="s">
        <v>199</v>
      </c>
      <c r="C3" s="63" t="s">
        <v>29</v>
      </c>
      <c r="D3" s="78" t="s">
        <v>313</v>
      </c>
      <c r="E3" s="171" t="s">
        <v>220</v>
      </c>
      <c r="F3" s="78" t="s">
        <v>313</v>
      </c>
      <c r="G3" s="171" t="s">
        <v>313</v>
      </c>
      <c r="H3" s="224" t="s">
        <v>293</v>
      </c>
      <c r="I3" s="225" t="s">
        <v>316</v>
      </c>
      <c r="J3" s="224">
        <v>0</v>
      </c>
      <c r="K3" s="225" t="s">
        <v>269</v>
      </c>
      <c r="L3" s="226">
        <v>0</v>
      </c>
      <c r="M3" s="227">
        <f t="shared" si="0"/>
        <v>0</v>
      </c>
      <c r="N3" s="228">
        <v>0</v>
      </c>
      <c r="O3" s="227">
        <f t="shared" si="1"/>
        <v>0</v>
      </c>
      <c r="P3" s="228">
        <v>0</v>
      </c>
      <c r="Q3" s="227">
        <f t="shared" si="2"/>
        <v>0</v>
      </c>
      <c r="R3" s="227">
        <f t="shared" si="3"/>
        <v>0</v>
      </c>
      <c r="S3" s="229">
        <f>INDEX('Glosario Partidas'!$M$8:$M$10,MATCH(K3,'Glosario Partidas'!$L$8:$L$10,0))</f>
        <v>1</v>
      </c>
      <c r="T3" s="227">
        <f t="shared" si="4"/>
        <v>0</v>
      </c>
      <c r="U3" s="230" t="s">
        <v>315</v>
      </c>
      <c r="V3" s="249" t="s">
        <v>13</v>
      </c>
      <c r="W3" s="249" t="s">
        <v>491</v>
      </c>
      <c r="X3" s="249"/>
    </row>
    <row r="4" spans="1:29" ht="12" customHeight="1" x14ac:dyDescent="0.2">
      <c r="B4" s="63" t="s">
        <v>199</v>
      </c>
      <c r="C4" s="63" t="s">
        <v>30</v>
      </c>
      <c r="D4" s="78" t="s">
        <v>313</v>
      </c>
      <c r="E4" s="171" t="s">
        <v>220</v>
      </c>
      <c r="F4" s="78" t="s">
        <v>313</v>
      </c>
      <c r="G4" s="171" t="s">
        <v>313</v>
      </c>
      <c r="H4" s="255" t="str">
        <f>'Mecanica de Suelos PU'!H4</f>
        <v>Samstordam</v>
      </c>
      <c r="I4" s="225" t="s">
        <v>314</v>
      </c>
      <c r="J4" s="250">
        <v>1</v>
      </c>
      <c r="K4" s="225" t="s">
        <v>269</v>
      </c>
      <c r="L4" s="142">
        <f>SUMIFS('Mecanica de Suelos PU'!$M:$M,'Mecanica de Suelos PU'!$E:$E,Ingenierias_Y_Topografia!E4)</f>
        <v>84217.5</v>
      </c>
      <c r="M4" s="227">
        <f t="shared" si="0"/>
        <v>84217.5</v>
      </c>
      <c r="N4" s="251">
        <v>0</v>
      </c>
      <c r="O4" s="227">
        <f t="shared" si="1"/>
        <v>0</v>
      </c>
      <c r="P4" s="251">
        <v>0.16</v>
      </c>
      <c r="Q4" s="227">
        <f t="shared" si="2"/>
        <v>13474.800000000001</v>
      </c>
      <c r="R4" s="227">
        <f t="shared" si="3"/>
        <v>97692.3</v>
      </c>
      <c r="S4" s="229">
        <f>INDEX('Glosario Partidas'!$M$8:$M$10,MATCH(K4,'Glosario Partidas'!$L$8:$L$10,0))</f>
        <v>1</v>
      </c>
      <c r="T4" s="227">
        <f t="shared" si="4"/>
        <v>97692.3</v>
      </c>
      <c r="U4" s="230" t="s">
        <v>315</v>
      </c>
      <c r="V4" s="249" t="s">
        <v>12</v>
      </c>
      <c r="W4" s="249" t="s">
        <v>493</v>
      </c>
      <c r="X4" s="249"/>
    </row>
    <row r="5" spans="1:29" ht="12" customHeight="1" x14ac:dyDescent="0.2">
      <c r="B5" s="63" t="s">
        <v>199</v>
      </c>
      <c r="C5" s="63" t="s">
        <v>31</v>
      </c>
      <c r="D5" s="78" t="s">
        <v>313</v>
      </c>
      <c r="E5" s="171" t="s">
        <v>220</v>
      </c>
      <c r="F5" s="78" t="s">
        <v>313</v>
      </c>
      <c r="G5" s="171" t="s">
        <v>313</v>
      </c>
      <c r="H5" s="255" t="str">
        <f>'Calculo Estructural PU'!H4</f>
        <v>MyT</v>
      </c>
      <c r="I5" s="225" t="s">
        <v>314</v>
      </c>
      <c r="J5" s="250">
        <v>1</v>
      </c>
      <c r="K5" s="225" t="s">
        <v>269</v>
      </c>
      <c r="L5" s="142">
        <f>SUMIFS('Calculo Estructural PU'!$M:$M,'Calculo Estructural PU'!$E:$E,Ingenierias_Y_Topografia!E5)</f>
        <v>185000</v>
      </c>
      <c r="M5" s="227">
        <f t="shared" si="0"/>
        <v>185000</v>
      </c>
      <c r="N5" s="251">
        <v>0</v>
      </c>
      <c r="O5" s="227">
        <f t="shared" si="1"/>
        <v>0</v>
      </c>
      <c r="P5" s="251">
        <v>0.16</v>
      </c>
      <c r="Q5" s="227">
        <f t="shared" si="2"/>
        <v>29600</v>
      </c>
      <c r="R5" s="227">
        <f t="shared" si="3"/>
        <v>214600</v>
      </c>
      <c r="S5" s="229">
        <f>INDEX('Glosario Partidas'!$M$8:$M$10,MATCH(K5,'Glosario Partidas'!$L$8:$L$10,0))</f>
        <v>1</v>
      </c>
      <c r="T5" s="227">
        <f t="shared" si="4"/>
        <v>214600</v>
      </c>
      <c r="U5" s="230" t="s">
        <v>315</v>
      </c>
      <c r="V5" s="249" t="s">
        <v>12</v>
      </c>
      <c r="W5" s="249" t="s">
        <v>493</v>
      </c>
      <c r="X5" s="249"/>
    </row>
    <row r="6" spans="1:29" ht="15" customHeight="1" x14ac:dyDescent="0.2">
      <c r="B6" s="63" t="s">
        <v>199</v>
      </c>
      <c r="C6" s="63" t="s">
        <v>32</v>
      </c>
      <c r="D6" s="78" t="s">
        <v>313</v>
      </c>
      <c r="E6" s="171" t="s">
        <v>220</v>
      </c>
      <c r="F6" s="78" t="s">
        <v>313</v>
      </c>
      <c r="G6" s="171" t="s">
        <v>313</v>
      </c>
      <c r="H6" s="255" t="str">
        <f>'Diseño HVAC PU'!H4</f>
        <v>CYVS</v>
      </c>
      <c r="I6" s="225" t="s">
        <v>314</v>
      </c>
      <c r="J6" s="250">
        <v>1</v>
      </c>
      <c r="K6" s="225" t="s">
        <v>269</v>
      </c>
      <c r="L6" s="142">
        <f>SUMIFS('Diseño HVAC PU'!$M:$M,'Diseño HVAC PU'!$E:$E,Ingenierias_Y_Topografia!E6)</f>
        <v>65000</v>
      </c>
      <c r="M6" s="227">
        <f t="shared" si="0"/>
        <v>65000</v>
      </c>
      <c r="N6" s="251">
        <v>0</v>
      </c>
      <c r="O6" s="227">
        <f t="shared" si="1"/>
        <v>0</v>
      </c>
      <c r="P6" s="251">
        <v>0.16</v>
      </c>
      <c r="Q6" s="227">
        <f t="shared" si="2"/>
        <v>10400</v>
      </c>
      <c r="R6" s="227">
        <f t="shared" si="3"/>
        <v>75400</v>
      </c>
      <c r="S6" s="229">
        <f>INDEX('Glosario Partidas'!$M$8:$M$10,MATCH(K6,'Glosario Partidas'!$L$8:$L$10,0))</f>
        <v>1</v>
      </c>
      <c r="T6" s="227">
        <f t="shared" si="4"/>
        <v>75400</v>
      </c>
      <c r="U6" s="230" t="s">
        <v>315</v>
      </c>
      <c r="V6" s="249" t="s">
        <v>12</v>
      </c>
      <c r="W6" s="249" t="s">
        <v>493</v>
      </c>
      <c r="X6" s="249"/>
    </row>
    <row r="7" spans="1:29" ht="15" customHeight="1" x14ac:dyDescent="0.2">
      <c r="B7" s="63" t="s">
        <v>199</v>
      </c>
      <c r="C7" s="63" t="s">
        <v>33</v>
      </c>
      <c r="D7" s="78" t="s">
        <v>313</v>
      </c>
      <c r="E7" s="171" t="s">
        <v>220</v>
      </c>
      <c r="F7" s="78" t="s">
        <v>313</v>
      </c>
      <c r="G7" s="171" t="s">
        <v>313</v>
      </c>
      <c r="H7" s="255" t="str">
        <f>'Diseño Albercas PU'!H4</f>
        <v>AQUACONCEPTS</v>
      </c>
      <c r="I7" s="225" t="s">
        <v>314</v>
      </c>
      <c r="J7" s="250">
        <v>1</v>
      </c>
      <c r="K7" s="225" t="s">
        <v>269</v>
      </c>
      <c r="L7" s="142">
        <f>SUMIFS('Diseño Albercas PU'!$M:$M,'Diseño Albercas PU'!$E:$E,Ingenierias_Y_Topografia!E7)</f>
        <v>60000</v>
      </c>
      <c r="M7" s="227">
        <f t="shared" si="0"/>
        <v>60000</v>
      </c>
      <c r="N7" s="251">
        <v>0</v>
      </c>
      <c r="O7" s="227">
        <f t="shared" si="1"/>
        <v>0</v>
      </c>
      <c r="P7" s="251">
        <v>0.16</v>
      </c>
      <c r="Q7" s="227">
        <f t="shared" si="2"/>
        <v>9600</v>
      </c>
      <c r="R7" s="227">
        <f t="shared" si="3"/>
        <v>69600</v>
      </c>
      <c r="S7" s="229">
        <f>INDEX('Glosario Partidas'!$M$8:$M$10,MATCH(K7,'Glosario Partidas'!$L$8:$L$10,0))</f>
        <v>1</v>
      </c>
      <c r="T7" s="227">
        <f t="shared" si="4"/>
        <v>69600</v>
      </c>
      <c r="U7" s="230" t="s">
        <v>315</v>
      </c>
      <c r="V7" s="249" t="s">
        <v>12</v>
      </c>
      <c r="W7" s="249" t="s">
        <v>493</v>
      </c>
      <c r="X7" s="249"/>
    </row>
    <row r="8" spans="1:29" ht="15" customHeight="1" x14ac:dyDescent="0.2">
      <c r="B8" s="63" t="s">
        <v>199</v>
      </c>
      <c r="C8" s="63" t="s">
        <v>34</v>
      </c>
      <c r="D8" s="78" t="s">
        <v>313</v>
      </c>
      <c r="E8" s="171" t="s">
        <v>220</v>
      </c>
      <c r="F8" s="78" t="s">
        <v>313</v>
      </c>
      <c r="G8" s="171" t="s">
        <v>313</v>
      </c>
      <c r="H8" s="255" t="str">
        <f>'Diseño Instalaciones PU'!H4</f>
        <v>UNINAPS</v>
      </c>
      <c r="I8" s="225" t="s">
        <v>314</v>
      </c>
      <c r="J8" s="250">
        <v>1</v>
      </c>
      <c r="K8" s="225" t="s">
        <v>269</v>
      </c>
      <c r="L8" s="142">
        <f>SUMIFS('Diseño Instalaciones PU'!$M:$M,'Diseño Instalaciones PU'!$E:$E,Ingenierias_Y_Topografia!E8)</f>
        <v>190400</v>
      </c>
      <c r="M8" s="227">
        <f t="shared" si="0"/>
        <v>190400</v>
      </c>
      <c r="N8" s="251">
        <v>0</v>
      </c>
      <c r="O8" s="227">
        <f t="shared" si="1"/>
        <v>0</v>
      </c>
      <c r="P8" s="251">
        <v>0.16</v>
      </c>
      <c r="Q8" s="227">
        <f t="shared" si="2"/>
        <v>30464</v>
      </c>
      <c r="R8" s="227">
        <f t="shared" si="3"/>
        <v>220864</v>
      </c>
      <c r="S8" s="229">
        <f>INDEX('Glosario Partidas'!$M$8:$M$10,MATCH(K8,'Glosario Partidas'!$L$8:$L$10,0))</f>
        <v>1</v>
      </c>
      <c r="T8" s="227">
        <f t="shared" si="4"/>
        <v>220864</v>
      </c>
      <c r="U8" s="230" t="s">
        <v>315</v>
      </c>
      <c r="V8" s="249" t="s">
        <v>12</v>
      </c>
      <c r="W8" s="249" t="s">
        <v>493</v>
      </c>
      <c r="X8" s="249"/>
    </row>
    <row r="9" spans="1:29" ht="15" customHeight="1" x14ac:dyDescent="0.2">
      <c r="B9" s="63" t="s">
        <v>199</v>
      </c>
      <c r="C9" s="63" t="s">
        <v>35</v>
      </c>
      <c r="D9" s="78" t="s">
        <v>313</v>
      </c>
      <c r="E9" s="171" t="s">
        <v>220</v>
      </c>
      <c r="F9" s="78" t="s">
        <v>313</v>
      </c>
      <c r="G9" s="171" t="s">
        <v>313</v>
      </c>
      <c r="H9" s="255" t="str">
        <f>'Diseño Iluminacion PU'!H4</f>
        <v>ARTEC</v>
      </c>
      <c r="I9" s="225" t="s">
        <v>314</v>
      </c>
      <c r="J9" s="250">
        <v>1</v>
      </c>
      <c r="K9" s="225" t="s">
        <v>153</v>
      </c>
      <c r="L9" s="142">
        <f>SUMIFS('Diseño Iluminacion PU'!$M:$M,'Diseño Iluminacion PU'!$E:$E,Ingenierias_Y_Topografia!E9)</f>
        <v>16572.5</v>
      </c>
      <c r="M9" s="227">
        <f t="shared" si="0"/>
        <v>16572.5</v>
      </c>
      <c r="N9" s="251">
        <v>0</v>
      </c>
      <c r="O9" s="227">
        <f t="shared" si="1"/>
        <v>0</v>
      </c>
      <c r="P9" s="251">
        <v>0.16</v>
      </c>
      <c r="Q9" s="227">
        <f t="shared" si="2"/>
        <v>2651.6</v>
      </c>
      <c r="R9" s="227">
        <f t="shared" si="3"/>
        <v>19224.099999999999</v>
      </c>
      <c r="S9" s="229">
        <f>INDEX('Glosario Partidas'!$M$8:$M$10,MATCH(K9,'Glosario Partidas'!$L$8:$L$10,0))</f>
        <v>17.5</v>
      </c>
      <c r="T9" s="227">
        <f t="shared" si="4"/>
        <v>336421.75</v>
      </c>
      <c r="U9" s="230" t="s">
        <v>315</v>
      </c>
      <c r="V9" s="249" t="s">
        <v>12</v>
      </c>
      <c r="W9" s="249" t="s">
        <v>493</v>
      </c>
      <c r="X9" s="249"/>
    </row>
    <row r="10" spans="1:29" ht="15" customHeight="1" x14ac:dyDescent="0.2">
      <c r="B10" s="63" t="s">
        <v>199</v>
      </c>
      <c r="C10" s="63" t="s">
        <v>36</v>
      </c>
      <c r="D10" s="78" t="s">
        <v>313</v>
      </c>
      <c r="E10" s="171" t="s">
        <v>220</v>
      </c>
      <c r="F10" s="78" t="s">
        <v>313</v>
      </c>
      <c r="G10" s="171" t="s">
        <v>313</v>
      </c>
      <c r="H10" s="255" t="str">
        <f>'Diseño Acustica'!H4</f>
        <v>SAAD</v>
      </c>
      <c r="I10" s="225" t="s">
        <v>314</v>
      </c>
      <c r="J10" s="250">
        <v>1</v>
      </c>
      <c r="K10" s="225" t="s">
        <v>269</v>
      </c>
      <c r="L10" s="142">
        <f>SUMIFS('Diseño Acustica'!$M:$M,'Diseño Acustica'!$E:$E,Ingenierias_Y_Topografia!E10)</f>
        <v>86206.896551723999</v>
      </c>
      <c r="M10" s="227">
        <f t="shared" si="0"/>
        <v>86206.896551723999</v>
      </c>
      <c r="N10" s="251">
        <v>0</v>
      </c>
      <c r="O10" s="227">
        <f t="shared" si="1"/>
        <v>0</v>
      </c>
      <c r="P10" s="251">
        <v>0.16</v>
      </c>
      <c r="Q10" s="227">
        <f t="shared" si="2"/>
        <v>13793.10344827584</v>
      </c>
      <c r="R10" s="227">
        <f t="shared" si="3"/>
        <v>99999.99999999984</v>
      </c>
      <c r="S10" s="229">
        <f>INDEX('Glosario Partidas'!$M$8:$M$10,MATCH(K10,'Glosario Partidas'!$L$8:$L$10,0))</f>
        <v>1</v>
      </c>
      <c r="T10" s="227">
        <f t="shared" si="4"/>
        <v>99999.99999999984</v>
      </c>
      <c r="U10" s="230" t="s">
        <v>315</v>
      </c>
      <c r="V10" s="249" t="s">
        <v>12</v>
      </c>
      <c r="W10" s="249" t="s">
        <v>493</v>
      </c>
      <c r="X10" s="249"/>
    </row>
    <row r="11" spans="1:29" ht="15" customHeight="1" x14ac:dyDescent="0.2">
      <c r="B11" s="63" t="s">
        <v>199</v>
      </c>
      <c r="C11" s="63" t="s">
        <v>28</v>
      </c>
      <c r="D11" s="78" t="s">
        <v>313</v>
      </c>
      <c r="E11" s="171" t="s">
        <v>220</v>
      </c>
      <c r="F11" s="78" t="s">
        <v>313</v>
      </c>
      <c r="G11" s="171" t="s">
        <v>313</v>
      </c>
      <c r="H11" s="224" t="s">
        <v>293</v>
      </c>
      <c r="I11" s="225" t="s">
        <v>314</v>
      </c>
      <c r="J11" s="224">
        <v>0</v>
      </c>
      <c r="K11" s="225" t="s">
        <v>269</v>
      </c>
      <c r="L11" s="226">
        <v>0</v>
      </c>
      <c r="M11" s="227">
        <f t="shared" si="0"/>
        <v>0</v>
      </c>
      <c r="N11" s="228">
        <v>0</v>
      </c>
      <c r="O11" s="227">
        <f t="shared" si="1"/>
        <v>0</v>
      </c>
      <c r="P11" s="228">
        <v>0</v>
      </c>
      <c r="Q11" s="227">
        <f t="shared" si="2"/>
        <v>0</v>
      </c>
      <c r="R11" s="227">
        <f t="shared" si="3"/>
        <v>0</v>
      </c>
      <c r="S11" s="229">
        <f>INDEX('Glosario Partidas'!$M$8:$M$10,MATCH(K11,'Glosario Partidas'!$L$8:$L$10,0))</f>
        <v>1</v>
      </c>
      <c r="T11" s="227">
        <f t="shared" si="4"/>
        <v>0</v>
      </c>
      <c r="U11" s="230" t="s">
        <v>315</v>
      </c>
      <c r="V11" s="249" t="s">
        <v>13</v>
      </c>
      <c r="W11" s="249" t="s">
        <v>493</v>
      </c>
      <c r="X11" s="249"/>
    </row>
    <row r="12" spans="1:29" ht="15" customHeight="1" x14ac:dyDescent="0.2">
      <c r="B12" s="63" t="s">
        <v>199</v>
      </c>
      <c r="C12" s="63" t="s">
        <v>29</v>
      </c>
      <c r="D12" s="78" t="s">
        <v>313</v>
      </c>
      <c r="E12" s="171" t="s">
        <v>220</v>
      </c>
      <c r="F12" s="78" t="s">
        <v>313</v>
      </c>
      <c r="G12" s="171" t="s">
        <v>313</v>
      </c>
      <c r="H12" s="224" t="s">
        <v>293</v>
      </c>
      <c r="I12" s="225" t="s">
        <v>316</v>
      </c>
      <c r="J12" s="224">
        <v>0</v>
      </c>
      <c r="K12" s="225" t="s">
        <v>269</v>
      </c>
      <c r="L12" s="226">
        <v>0</v>
      </c>
      <c r="M12" s="227">
        <f t="shared" si="0"/>
        <v>0</v>
      </c>
      <c r="N12" s="228">
        <v>0</v>
      </c>
      <c r="O12" s="227">
        <f t="shared" si="1"/>
        <v>0</v>
      </c>
      <c r="P12" s="228">
        <v>0</v>
      </c>
      <c r="Q12" s="227">
        <f t="shared" si="2"/>
        <v>0</v>
      </c>
      <c r="R12" s="227">
        <f t="shared" si="3"/>
        <v>0</v>
      </c>
      <c r="S12" s="229">
        <f>INDEX('Glosario Partidas'!$M$8:$M$10,MATCH(K12,'Glosario Partidas'!$L$8:$L$10,0))</f>
        <v>1</v>
      </c>
      <c r="T12" s="227">
        <f t="shared" si="4"/>
        <v>0</v>
      </c>
      <c r="U12" s="230" t="s">
        <v>315</v>
      </c>
      <c r="V12" s="249" t="s">
        <v>13</v>
      </c>
      <c r="W12" s="249" t="s">
        <v>493</v>
      </c>
      <c r="X12" s="249"/>
    </row>
    <row r="13" spans="1:29" ht="15" customHeight="1" x14ac:dyDescent="0.2">
      <c r="B13" s="63" t="s">
        <v>199</v>
      </c>
      <c r="C13" s="63" t="s">
        <v>30</v>
      </c>
      <c r="D13" s="78" t="s">
        <v>313</v>
      </c>
      <c r="E13" s="171" t="s">
        <v>229</v>
      </c>
      <c r="F13" s="78" t="s">
        <v>313</v>
      </c>
      <c r="G13" s="171" t="s">
        <v>313</v>
      </c>
      <c r="H13" s="255" t="str">
        <f>'Mecanica de Suelos PU'!H12</f>
        <v>Samstordam</v>
      </c>
      <c r="I13" s="225" t="s">
        <v>314</v>
      </c>
      <c r="J13" s="250">
        <v>1</v>
      </c>
      <c r="K13" s="225" t="s">
        <v>269</v>
      </c>
      <c r="L13" s="142">
        <f>SUMIFS('Mecanica de Suelos PU'!$M:$M,'Mecanica de Suelos PU'!$E:$E,Ingenierias_Y_Topografia!E13)</f>
        <v>84217.5</v>
      </c>
      <c r="M13" s="227">
        <f t="shared" si="0"/>
        <v>84217.5</v>
      </c>
      <c r="N13" s="251">
        <v>0</v>
      </c>
      <c r="O13" s="227">
        <f t="shared" si="1"/>
        <v>0</v>
      </c>
      <c r="P13" s="251">
        <v>0.16</v>
      </c>
      <c r="Q13" s="227">
        <f t="shared" si="2"/>
        <v>13474.800000000001</v>
      </c>
      <c r="R13" s="227">
        <f t="shared" si="3"/>
        <v>97692.3</v>
      </c>
      <c r="S13" s="229">
        <f>INDEX('Glosario Partidas'!$M$8:$M$10,MATCH(K13,'Glosario Partidas'!$L$8:$L$10,0))</f>
        <v>1</v>
      </c>
      <c r="T13" s="227">
        <f t="shared" si="4"/>
        <v>97692.3</v>
      </c>
      <c r="U13" s="230" t="s">
        <v>315</v>
      </c>
      <c r="V13" s="249" t="s">
        <v>12</v>
      </c>
      <c r="W13" s="249" t="s">
        <v>493</v>
      </c>
      <c r="X13" s="249"/>
    </row>
    <row r="14" spans="1:29" ht="15" customHeight="1" x14ac:dyDescent="0.2">
      <c r="B14" s="63" t="s">
        <v>199</v>
      </c>
      <c r="C14" s="63" t="s">
        <v>31</v>
      </c>
      <c r="D14" s="78" t="s">
        <v>313</v>
      </c>
      <c r="E14" s="171" t="s">
        <v>229</v>
      </c>
      <c r="F14" s="78" t="s">
        <v>313</v>
      </c>
      <c r="G14" s="171" t="s">
        <v>313</v>
      </c>
      <c r="H14" s="255" t="str">
        <f>'Calculo Estructural PU'!H9</f>
        <v>MyT</v>
      </c>
      <c r="I14" s="225" t="s">
        <v>314</v>
      </c>
      <c r="J14" s="250">
        <v>1</v>
      </c>
      <c r="K14" s="225" t="s">
        <v>269</v>
      </c>
      <c r="L14" s="142">
        <f>SUMIFS('Calculo Estructural PU'!$M:$M,'Calculo Estructural PU'!$E:$E,Ingenierias_Y_Topografia!E14)</f>
        <v>185000</v>
      </c>
      <c r="M14" s="227">
        <f t="shared" si="0"/>
        <v>185000</v>
      </c>
      <c r="N14" s="251">
        <v>0</v>
      </c>
      <c r="O14" s="227">
        <f t="shared" si="1"/>
        <v>0</v>
      </c>
      <c r="P14" s="251">
        <v>0.16</v>
      </c>
      <c r="Q14" s="227">
        <f t="shared" si="2"/>
        <v>29600</v>
      </c>
      <c r="R14" s="227">
        <f t="shared" si="3"/>
        <v>214600</v>
      </c>
      <c r="S14" s="229">
        <f>INDEX('Glosario Partidas'!$M$8:$M$10,MATCH(K14,'Glosario Partidas'!$L$8:$L$10,0))</f>
        <v>1</v>
      </c>
      <c r="T14" s="227">
        <f t="shared" si="4"/>
        <v>214600</v>
      </c>
      <c r="U14" s="230" t="s">
        <v>315</v>
      </c>
      <c r="V14" s="249" t="s">
        <v>12</v>
      </c>
      <c r="W14" s="249" t="s">
        <v>493</v>
      </c>
      <c r="X14" s="249"/>
    </row>
    <row r="15" spans="1:29" ht="15" customHeight="1" x14ac:dyDescent="0.2">
      <c r="B15" s="63" t="s">
        <v>199</v>
      </c>
      <c r="C15" s="63" t="s">
        <v>32</v>
      </c>
      <c r="D15" s="78" t="s">
        <v>313</v>
      </c>
      <c r="E15" s="171" t="s">
        <v>229</v>
      </c>
      <c r="F15" s="78" t="s">
        <v>313</v>
      </c>
      <c r="G15" s="171" t="s">
        <v>313</v>
      </c>
      <c r="H15" s="255" t="str">
        <f>'Diseño HVAC PU'!H5</f>
        <v>CYVS</v>
      </c>
      <c r="I15" s="225" t="s">
        <v>314</v>
      </c>
      <c r="J15" s="250">
        <v>1</v>
      </c>
      <c r="K15" s="225" t="s">
        <v>269</v>
      </c>
      <c r="L15" s="142">
        <f>SUMIFS('Diseño HVAC PU'!$M:$M,'Diseño HVAC PU'!$E:$E,Ingenierias_Y_Topografia!E15)</f>
        <v>65000</v>
      </c>
      <c r="M15" s="227">
        <f t="shared" si="0"/>
        <v>65000</v>
      </c>
      <c r="N15" s="251">
        <v>0</v>
      </c>
      <c r="O15" s="227">
        <f t="shared" si="1"/>
        <v>0</v>
      </c>
      <c r="P15" s="251">
        <v>0.16</v>
      </c>
      <c r="Q15" s="227">
        <f t="shared" si="2"/>
        <v>10400</v>
      </c>
      <c r="R15" s="227">
        <f t="shared" si="3"/>
        <v>75400</v>
      </c>
      <c r="S15" s="229">
        <f>INDEX('Glosario Partidas'!$M$8:$M$10,MATCH(K15,'Glosario Partidas'!$L$8:$L$10,0))</f>
        <v>1</v>
      </c>
      <c r="T15" s="227">
        <f t="shared" si="4"/>
        <v>75400</v>
      </c>
      <c r="U15" s="230" t="s">
        <v>315</v>
      </c>
      <c r="V15" s="249" t="s">
        <v>12</v>
      </c>
      <c r="W15" s="249" t="s">
        <v>493</v>
      </c>
      <c r="X15" s="249"/>
    </row>
    <row r="16" spans="1:29" ht="15" customHeight="1" x14ac:dyDescent="0.2">
      <c r="B16" s="63" t="s">
        <v>199</v>
      </c>
      <c r="C16" s="63" t="s">
        <v>33</v>
      </c>
      <c r="D16" s="78" t="s">
        <v>313</v>
      </c>
      <c r="E16" s="171" t="s">
        <v>229</v>
      </c>
      <c r="F16" s="78" t="s">
        <v>313</v>
      </c>
      <c r="G16" s="171" t="s">
        <v>313</v>
      </c>
      <c r="H16" s="255" t="str">
        <f>'Diseño Albercas PU'!H5</f>
        <v>AQUACONCEPTS</v>
      </c>
      <c r="I16" s="225" t="s">
        <v>314</v>
      </c>
      <c r="J16" s="250">
        <v>1</v>
      </c>
      <c r="K16" s="225" t="s">
        <v>269</v>
      </c>
      <c r="L16" s="142">
        <f>SUMIFS('Diseño Albercas PU'!$M:$M,'Diseño Albercas PU'!$E:$E,Ingenierias_Y_Topografia!E16)</f>
        <v>60000</v>
      </c>
      <c r="M16" s="227">
        <f t="shared" si="0"/>
        <v>60000</v>
      </c>
      <c r="N16" s="251">
        <v>0</v>
      </c>
      <c r="O16" s="227">
        <f t="shared" si="1"/>
        <v>0</v>
      </c>
      <c r="P16" s="251">
        <v>0.16</v>
      </c>
      <c r="Q16" s="227">
        <f t="shared" si="2"/>
        <v>9600</v>
      </c>
      <c r="R16" s="227">
        <f t="shared" si="3"/>
        <v>69600</v>
      </c>
      <c r="S16" s="229">
        <f>INDEX('Glosario Partidas'!$M$8:$M$10,MATCH(K16,'Glosario Partidas'!$L$8:$L$10,0))</f>
        <v>1</v>
      </c>
      <c r="T16" s="227">
        <f t="shared" si="4"/>
        <v>69600</v>
      </c>
      <c r="U16" s="230" t="s">
        <v>315</v>
      </c>
      <c r="V16" s="249" t="s">
        <v>12</v>
      </c>
      <c r="W16" s="249" t="s">
        <v>493</v>
      </c>
      <c r="X16" s="249"/>
    </row>
    <row r="17" spans="2:29" ht="15" customHeight="1" x14ac:dyDescent="0.2">
      <c r="B17" s="63" t="s">
        <v>199</v>
      </c>
      <c r="C17" s="63" t="s">
        <v>34</v>
      </c>
      <c r="D17" s="78" t="s">
        <v>313</v>
      </c>
      <c r="E17" s="171" t="s">
        <v>229</v>
      </c>
      <c r="F17" s="78" t="s">
        <v>313</v>
      </c>
      <c r="G17" s="171" t="s">
        <v>313</v>
      </c>
      <c r="H17" s="255" t="str">
        <f>'Diseño Instalaciones PU'!H5</f>
        <v>UNINAPS</v>
      </c>
      <c r="I17" s="225" t="s">
        <v>314</v>
      </c>
      <c r="J17" s="250">
        <v>1</v>
      </c>
      <c r="K17" s="225" t="s">
        <v>269</v>
      </c>
      <c r="L17" s="142">
        <f>SUMIFS('Diseño Instalaciones PU'!$M:$M,'Diseño Instalaciones PU'!$E:$E,Ingenierias_Y_Topografia!E17)</f>
        <v>190400</v>
      </c>
      <c r="M17" s="227">
        <f t="shared" si="0"/>
        <v>190400</v>
      </c>
      <c r="N17" s="251">
        <v>0</v>
      </c>
      <c r="O17" s="227">
        <f t="shared" si="1"/>
        <v>0</v>
      </c>
      <c r="P17" s="251">
        <v>0.16</v>
      </c>
      <c r="Q17" s="227">
        <f t="shared" si="2"/>
        <v>30464</v>
      </c>
      <c r="R17" s="227">
        <f t="shared" si="3"/>
        <v>220864</v>
      </c>
      <c r="S17" s="229">
        <f>INDEX('Glosario Partidas'!$M$8:$M$10,MATCH(K17,'Glosario Partidas'!$L$8:$L$10,0))</f>
        <v>1</v>
      </c>
      <c r="T17" s="227">
        <f t="shared" si="4"/>
        <v>220864</v>
      </c>
      <c r="U17" s="230" t="s">
        <v>315</v>
      </c>
      <c r="V17" s="249" t="s">
        <v>12</v>
      </c>
      <c r="W17" s="249" t="s">
        <v>493</v>
      </c>
      <c r="X17" s="249"/>
    </row>
    <row r="18" spans="2:29" ht="15" customHeight="1" x14ac:dyDescent="0.2">
      <c r="B18" s="63" t="s">
        <v>199</v>
      </c>
      <c r="C18" s="63" t="s">
        <v>35</v>
      </c>
      <c r="D18" s="78" t="s">
        <v>313</v>
      </c>
      <c r="E18" s="171" t="s">
        <v>229</v>
      </c>
      <c r="F18" s="78" t="s">
        <v>313</v>
      </c>
      <c r="G18" s="171" t="s">
        <v>313</v>
      </c>
      <c r="H18" s="255" t="str">
        <f>'Diseño Iluminacion PU'!H5</f>
        <v>ARTEC</v>
      </c>
      <c r="I18" s="225" t="s">
        <v>314</v>
      </c>
      <c r="J18" s="250">
        <v>1</v>
      </c>
      <c r="K18" s="225" t="s">
        <v>153</v>
      </c>
      <c r="L18" s="142">
        <f>SUMIFS('Diseño Iluminacion PU'!$M:$M,'Diseño Iluminacion PU'!$E:$E,Ingenierias_Y_Topografia!E18)</f>
        <v>16572.5</v>
      </c>
      <c r="M18" s="227">
        <f t="shared" si="0"/>
        <v>16572.5</v>
      </c>
      <c r="N18" s="251">
        <v>0</v>
      </c>
      <c r="O18" s="227">
        <f t="shared" si="1"/>
        <v>0</v>
      </c>
      <c r="P18" s="251">
        <v>0.16</v>
      </c>
      <c r="Q18" s="227">
        <f t="shared" si="2"/>
        <v>2651.6</v>
      </c>
      <c r="R18" s="227">
        <f t="shared" si="3"/>
        <v>19224.099999999999</v>
      </c>
      <c r="S18" s="229">
        <f>INDEX('Glosario Partidas'!$M$8:$M$10,MATCH(K18,'Glosario Partidas'!$L$8:$L$10,0))</f>
        <v>17.5</v>
      </c>
      <c r="T18" s="227">
        <f t="shared" si="4"/>
        <v>336421.75</v>
      </c>
      <c r="U18" s="230" t="s">
        <v>315</v>
      </c>
      <c r="V18" s="249" t="s">
        <v>12</v>
      </c>
      <c r="W18" s="249" t="s">
        <v>493</v>
      </c>
      <c r="X18" s="249"/>
    </row>
    <row r="19" spans="2:29" ht="15" customHeight="1" x14ac:dyDescent="0.2">
      <c r="B19" s="63" t="s">
        <v>199</v>
      </c>
      <c r="C19" s="63" t="s">
        <v>36</v>
      </c>
      <c r="D19" s="78" t="s">
        <v>313</v>
      </c>
      <c r="E19" s="171" t="s">
        <v>229</v>
      </c>
      <c r="F19" s="78" t="s">
        <v>313</v>
      </c>
      <c r="G19" s="171" t="s">
        <v>313</v>
      </c>
      <c r="H19" s="255" t="str">
        <f>'Diseño Acustica'!H5</f>
        <v>SAAD</v>
      </c>
      <c r="I19" s="225" t="s">
        <v>314</v>
      </c>
      <c r="J19" s="250">
        <v>1</v>
      </c>
      <c r="K19" s="225" t="s">
        <v>269</v>
      </c>
      <c r="L19" s="142">
        <f>SUMIFS('Diseño Acustica'!$M:$M,'Diseño Acustica'!$E:$E,Ingenierias_Y_Topografia!E19)</f>
        <v>86206.896551723999</v>
      </c>
      <c r="M19" s="227">
        <f t="shared" si="0"/>
        <v>86206.896551723999</v>
      </c>
      <c r="N19" s="251">
        <v>0</v>
      </c>
      <c r="O19" s="227">
        <f t="shared" si="1"/>
        <v>0</v>
      </c>
      <c r="P19" s="251">
        <v>0.16</v>
      </c>
      <c r="Q19" s="227">
        <f t="shared" si="2"/>
        <v>13793.10344827584</v>
      </c>
      <c r="R19" s="227">
        <f t="shared" si="3"/>
        <v>99999.99999999984</v>
      </c>
      <c r="S19" s="229">
        <f>INDEX('Glosario Partidas'!$M$8:$M$10,MATCH(K19,'Glosario Partidas'!$L$8:$L$10,0))</f>
        <v>1</v>
      </c>
      <c r="T19" s="227">
        <f t="shared" si="4"/>
        <v>99999.99999999984</v>
      </c>
      <c r="U19" s="230" t="s">
        <v>315</v>
      </c>
      <c r="V19" s="249" t="s">
        <v>12</v>
      </c>
      <c r="W19" s="249" t="s">
        <v>493</v>
      </c>
      <c r="X19" s="249"/>
    </row>
    <row r="20" spans="2:29" ht="15" customHeight="1" x14ac:dyDescent="0.2">
      <c r="B20" s="189" t="s">
        <v>185</v>
      </c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46">
        <f>SUM(T2:T19)</f>
        <v>2229156.0999999996</v>
      </c>
      <c r="U20" s="252"/>
      <c r="V20" s="253"/>
      <c r="AB20" s="254">
        <f>SUMIFS($T:$T,$W:$W,"Contratado")</f>
        <v>2229156.0999999996</v>
      </c>
      <c r="AC20" s="254">
        <f>SUMIFS($T:$T,$W:$W,"No Contratado")</f>
        <v>0</v>
      </c>
    </row>
  </sheetData>
  <dataValidations count="2">
    <dataValidation type="list" allowBlank="1" errorTitle="Valor inválido" error="Selecciona Contratado o No Contratado" promptTitle="Contratado/No Contratado" prompt="Selecciona estado" sqref="W2:W19" xr:uid="{00000000-0002-0000-0B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19" xr:uid="{00000000-0002-0000-0B00-000001000000}">
      <formula1>"Sí,No"</formula1>
      <formula2>0</formula2>
    </dataValidation>
  </dataValidations>
  <hyperlinks>
    <hyperlink ref="A1" location="'BUY OUT'!A1" display="⬅ Resumen PU" xr:uid="{00000000-0004-0000-0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65"/>
  <sheetViews>
    <sheetView topLeftCell="A40" zoomScaleNormal="100" workbookViewId="0">
      <selection activeCell="L5" sqref="L5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</row>
    <row r="2" spans="1:22" ht="15" customHeight="1" x14ac:dyDescent="0.2">
      <c r="A2" s="258">
        <v>46054</v>
      </c>
      <c r="B2" s="259" t="s">
        <v>495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0"/>
      <c r="B4" s="268" t="s">
        <v>199</v>
      </c>
      <c r="C4" s="268" t="s">
        <v>496</v>
      </c>
      <c r="D4" s="269" t="s">
        <v>497</v>
      </c>
      <c r="E4" s="171" t="s">
        <v>220</v>
      </c>
      <c r="F4" s="270"/>
      <c r="G4" s="271"/>
      <c r="H4" s="272" t="s">
        <v>498</v>
      </c>
      <c r="I4" s="273" t="s">
        <v>314</v>
      </c>
      <c r="J4" s="272">
        <f>1/2</f>
        <v>0.5</v>
      </c>
      <c r="K4" s="273" t="s">
        <v>269</v>
      </c>
      <c r="L4" s="274">
        <v>8750</v>
      </c>
      <c r="M4" s="275">
        <f t="shared" ref="M4:M35" si="0">J4*L4</f>
        <v>4375</v>
      </c>
      <c r="N4" s="276">
        <v>0</v>
      </c>
      <c r="O4" s="275">
        <f t="shared" ref="O4:O35" si="1">M4*N4</f>
        <v>0</v>
      </c>
      <c r="P4" s="276">
        <v>0.16</v>
      </c>
      <c r="Q4" s="275">
        <f t="shared" ref="Q4:Q35" si="2">(M4+O4)*P4</f>
        <v>700</v>
      </c>
      <c r="R4" s="275">
        <f t="shared" ref="R4:R35" si="3">M4+O4+Q4</f>
        <v>5075</v>
      </c>
      <c r="S4" s="277">
        <f>INDEX('Glosario Partidas'!$M$8:$M$10,MATCH(K4,'Glosario Partidas'!$L$8:$L$10,0))</f>
        <v>1</v>
      </c>
      <c r="T4" s="275">
        <f t="shared" ref="T4:T35" si="4">R4*S4</f>
        <v>5075</v>
      </c>
      <c r="U4" s="278"/>
      <c r="V4" s="260" t="s">
        <v>12</v>
      </c>
    </row>
    <row r="5" spans="1:22" ht="15" customHeight="1" x14ac:dyDescent="0.2">
      <c r="A5" s="260"/>
      <c r="B5" s="268" t="s">
        <v>199</v>
      </c>
      <c r="C5" s="268" t="s">
        <v>496</v>
      </c>
      <c r="D5" s="269" t="s">
        <v>499</v>
      </c>
      <c r="E5" s="171" t="s">
        <v>220</v>
      </c>
      <c r="F5" s="270"/>
      <c r="G5" s="271"/>
      <c r="H5" s="272" t="s">
        <v>498</v>
      </c>
      <c r="I5" s="273" t="s">
        <v>314</v>
      </c>
      <c r="J5" s="272">
        <f>2/2</f>
        <v>1</v>
      </c>
      <c r="K5" s="273" t="s">
        <v>269</v>
      </c>
      <c r="L5" s="274">
        <v>3000</v>
      </c>
      <c r="M5" s="275">
        <f t="shared" si="0"/>
        <v>3000</v>
      </c>
      <c r="N5" s="276">
        <v>0</v>
      </c>
      <c r="O5" s="275">
        <f t="shared" si="1"/>
        <v>0</v>
      </c>
      <c r="P5" s="276">
        <v>0.16</v>
      </c>
      <c r="Q5" s="275">
        <f t="shared" si="2"/>
        <v>480</v>
      </c>
      <c r="R5" s="275">
        <f t="shared" si="3"/>
        <v>3480</v>
      </c>
      <c r="S5" s="277">
        <f>INDEX('Glosario Partidas'!$M$8:$M$10,MATCH(K5,'Glosario Partidas'!$L$8:$L$10,0))</f>
        <v>1</v>
      </c>
      <c r="T5" s="275">
        <f t="shared" si="4"/>
        <v>3480</v>
      </c>
      <c r="U5" s="278"/>
      <c r="V5" s="260" t="s">
        <v>12</v>
      </c>
    </row>
    <row r="6" spans="1:22" ht="15" customHeight="1" x14ac:dyDescent="0.2">
      <c r="A6" s="260"/>
      <c r="B6" s="268" t="s">
        <v>199</v>
      </c>
      <c r="C6" s="268" t="s">
        <v>496</v>
      </c>
      <c r="D6" s="269" t="s">
        <v>500</v>
      </c>
      <c r="E6" s="171" t="s">
        <v>220</v>
      </c>
      <c r="F6" s="270"/>
      <c r="G6" s="271"/>
      <c r="H6" s="272" t="s">
        <v>498</v>
      </c>
      <c r="I6" s="273" t="s">
        <v>501</v>
      </c>
      <c r="J6" s="272">
        <f>44/2</f>
        <v>22</v>
      </c>
      <c r="K6" s="273" t="s">
        <v>269</v>
      </c>
      <c r="L6" s="274">
        <v>1000</v>
      </c>
      <c r="M6" s="275">
        <f t="shared" si="0"/>
        <v>22000</v>
      </c>
      <c r="N6" s="276">
        <v>0</v>
      </c>
      <c r="O6" s="275">
        <f t="shared" si="1"/>
        <v>0</v>
      </c>
      <c r="P6" s="276">
        <v>0.16</v>
      </c>
      <c r="Q6" s="275">
        <f t="shared" si="2"/>
        <v>3520</v>
      </c>
      <c r="R6" s="275">
        <f t="shared" si="3"/>
        <v>25520</v>
      </c>
      <c r="S6" s="277">
        <f>INDEX('Glosario Partidas'!$M$8:$M$10,MATCH(K6,'Glosario Partidas'!$L$8:$L$10,0))</f>
        <v>1</v>
      </c>
      <c r="T6" s="275">
        <f t="shared" si="4"/>
        <v>25520</v>
      </c>
      <c r="U6" s="278"/>
      <c r="V6" s="260" t="s">
        <v>12</v>
      </c>
    </row>
    <row r="7" spans="1:22" ht="15" customHeight="1" x14ac:dyDescent="0.2">
      <c r="A7" s="260"/>
      <c r="B7" s="268" t="s">
        <v>199</v>
      </c>
      <c r="C7" s="268" t="s">
        <v>496</v>
      </c>
      <c r="D7" s="269" t="s">
        <v>502</v>
      </c>
      <c r="E7" s="171" t="s">
        <v>220</v>
      </c>
      <c r="F7" s="270"/>
      <c r="G7" s="271"/>
      <c r="H7" s="272" t="s">
        <v>498</v>
      </c>
      <c r="I7" s="273" t="s">
        <v>501</v>
      </c>
      <c r="J7" s="272">
        <f>1/2</f>
        <v>0.5</v>
      </c>
      <c r="K7" s="273" t="s">
        <v>269</v>
      </c>
      <c r="L7" s="274">
        <v>2500</v>
      </c>
      <c r="M7" s="275">
        <f t="shared" si="0"/>
        <v>1250</v>
      </c>
      <c r="N7" s="276">
        <v>0</v>
      </c>
      <c r="O7" s="275">
        <f t="shared" si="1"/>
        <v>0</v>
      </c>
      <c r="P7" s="276">
        <v>0.16</v>
      </c>
      <c r="Q7" s="275">
        <f t="shared" si="2"/>
        <v>200</v>
      </c>
      <c r="R7" s="275">
        <f t="shared" si="3"/>
        <v>1450</v>
      </c>
      <c r="S7" s="277">
        <f>INDEX('Glosario Partidas'!$M$8:$M$10,MATCH(K7,'Glosario Partidas'!$L$8:$L$10,0))</f>
        <v>1</v>
      </c>
      <c r="T7" s="275">
        <f t="shared" si="4"/>
        <v>1450</v>
      </c>
      <c r="U7" s="278"/>
      <c r="V7" s="260" t="s">
        <v>12</v>
      </c>
    </row>
    <row r="8" spans="1:22" ht="15" customHeight="1" x14ac:dyDescent="0.2">
      <c r="A8" s="260"/>
      <c r="B8" s="268" t="s">
        <v>199</v>
      </c>
      <c r="C8" s="268" t="s">
        <v>496</v>
      </c>
      <c r="D8" s="269" t="s">
        <v>503</v>
      </c>
      <c r="E8" s="171" t="s">
        <v>220</v>
      </c>
      <c r="F8" s="270"/>
      <c r="G8" s="271"/>
      <c r="H8" s="272" t="s">
        <v>498</v>
      </c>
      <c r="I8" s="273" t="s">
        <v>501</v>
      </c>
      <c r="J8" s="272">
        <f>1/2</f>
        <v>0.5</v>
      </c>
      <c r="K8" s="273" t="s">
        <v>269</v>
      </c>
      <c r="L8" s="274">
        <v>500</v>
      </c>
      <c r="M8" s="275">
        <f t="shared" si="0"/>
        <v>250</v>
      </c>
      <c r="N8" s="276">
        <v>0</v>
      </c>
      <c r="O8" s="275">
        <f t="shared" si="1"/>
        <v>0</v>
      </c>
      <c r="P8" s="276">
        <v>0.16</v>
      </c>
      <c r="Q8" s="275">
        <f t="shared" si="2"/>
        <v>40</v>
      </c>
      <c r="R8" s="275">
        <f t="shared" si="3"/>
        <v>290</v>
      </c>
      <c r="S8" s="277">
        <f>INDEX('Glosario Partidas'!$M$8:$M$10,MATCH(K8,'Glosario Partidas'!$L$8:$L$10,0))</f>
        <v>1</v>
      </c>
      <c r="T8" s="275">
        <f t="shared" si="4"/>
        <v>290</v>
      </c>
      <c r="U8" s="278"/>
      <c r="V8" s="260" t="s">
        <v>12</v>
      </c>
    </row>
    <row r="9" spans="1:22" ht="15" customHeight="1" x14ac:dyDescent="0.2">
      <c r="A9" s="260"/>
      <c r="B9" s="268" t="s">
        <v>199</v>
      </c>
      <c r="C9" s="268" t="s">
        <v>496</v>
      </c>
      <c r="D9" s="269" t="s">
        <v>504</v>
      </c>
      <c r="E9" s="171" t="s">
        <v>220</v>
      </c>
      <c r="F9" s="270"/>
      <c r="G9" s="271"/>
      <c r="H9" s="272" t="s">
        <v>498</v>
      </c>
      <c r="I9" s="273" t="s">
        <v>505</v>
      </c>
      <c r="J9" s="272">
        <f>5/2</f>
        <v>2.5</v>
      </c>
      <c r="K9" s="273" t="s">
        <v>269</v>
      </c>
      <c r="L9" s="274">
        <v>1500</v>
      </c>
      <c r="M9" s="275">
        <f t="shared" si="0"/>
        <v>3750</v>
      </c>
      <c r="N9" s="276">
        <v>0</v>
      </c>
      <c r="O9" s="275">
        <f t="shared" si="1"/>
        <v>0</v>
      </c>
      <c r="P9" s="276">
        <v>0.16</v>
      </c>
      <c r="Q9" s="275">
        <f t="shared" si="2"/>
        <v>600</v>
      </c>
      <c r="R9" s="275">
        <f t="shared" si="3"/>
        <v>4350</v>
      </c>
      <c r="S9" s="277">
        <f>INDEX('Glosario Partidas'!$M$8:$M$10,MATCH(K9,'Glosario Partidas'!$L$8:$L$10,0))</f>
        <v>1</v>
      </c>
      <c r="T9" s="275">
        <f t="shared" si="4"/>
        <v>4350</v>
      </c>
      <c r="U9" s="278"/>
      <c r="V9" s="260" t="s">
        <v>12</v>
      </c>
    </row>
    <row r="10" spans="1:22" ht="15" customHeight="1" x14ac:dyDescent="0.2">
      <c r="A10" s="260"/>
      <c r="B10" s="268" t="s">
        <v>199</v>
      </c>
      <c r="C10" s="268" t="s">
        <v>496</v>
      </c>
      <c r="D10" s="269" t="s">
        <v>506</v>
      </c>
      <c r="E10" s="171" t="s">
        <v>220</v>
      </c>
      <c r="F10" s="270"/>
      <c r="G10" s="271"/>
      <c r="H10" s="272" t="s">
        <v>498</v>
      </c>
      <c r="I10" s="273" t="s">
        <v>505</v>
      </c>
      <c r="J10" s="272">
        <f>5/2</f>
        <v>2.5</v>
      </c>
      <c r="K10" s="273" t="s">
        <v>269</v>
      </c>
      <c r="L10" s="274">
        <v>2000</v>
      </c>
      <c r="M10" s="275">
        <f t="shared" si="0"/>
        <v>5000</v>
      </c>
      <c r="N10" s="276">
        <v>0</v>
      </c>
      <c r="O10" s="275">
        <f t="shared" si="1"/>
        <v>0</v>
      </c>
      <c r="P10" s="276">
        <v>0.16</v>
      </c>
      <c r="Q10" s="275">
        <f t="shared" si="2"/>
        <v>800</v>
      </c>
      <c r="R10" s="275">
        <f t="shared" si="3"/>
        <v>5800</v>
      </c>
      <c r="S10" s="277">
        <f>INDEX('Glosario Partidas'!$M$8:$M$10,MATCH(K10,'Glosario Partidas'!$L$8:$L$10,0))</f>
        <v>1</v>
      </c>
      <c r="T10" s="275">
        <f t="shared" si="4"/>
        <v>5800</v>
      </c>
      <c r="U10" s="278"/>
      <c r="V10" s="260" t="s">
        <v>12</v>
      </c>
    </row>
    <row r="11" spans="1:22" ht="15" customHeight="1" x14ac:dyDescent="0.2">
      <c r="A11" s="260"/>
      <c r="B11" s="268" t="s">
        <v>199</v>
      </c>
      <c r="C11" s="268" t="s">
        <v>496</v>
      </c>
      <c r="D11" s="269" t="s">
        <v>507</v>
      </c>
      <c r="E11" s="171" t="s">
        <v>220</v>
      </c>
      <c r="F11" s="270"/>
      <c r="G11" s="271"/>
      <c r="H11" s="272" t="s">
        <v>498</v>
      </c>
      <c r="I11" s="273" t="s">
        <v>505</v>
      </c>
      <c r="J11" s="272">
        <f>5/2</f>
        <v>2.5</v>
      </c>
      <c r="K11" s="273" t="s">
        <v>269</v>
      </c>
      <c r="L11" s="274">
        <v>850</v>
      </c>
      <c r="M11" s="275">
        <f t="shared" si="0"/>
        <v>2125</v>
      </c>
      <c r="N11" s="276">
        <v>0</v>
      </c>
      <c r="O11" s="275">
        <f t="shared" si="1"/>
        <v>0</v>
      </c>
      <c r="P11" s="276">
        <v>0.16</v>
      </c>
      <c r="Q11" s="275">
        <f t="shared" si="2"/>
        <v>340</v>
      </c>
      <c r="R11" s="275">
        <f t="shared" si="3"/>
        <v>2465</v>
      </c>
      <c r="S11" s="277">
        <f>INDEX('Glosario Partidas'!$M$8:$M$10,MATCH(K11,'Glosario Partidas'!$L$8:$L$10,0))</f>
        <v>1</v>
      </c>
      <c r="T11" s="275">
        <f t="shared" si="4"/>
        <v>2465</v>
      </c>
      <c r="U11" s="278"/>
      <c r="V11" s="260" t="s">
        <v>12</v>
      </c>
    </row>
    <row r="12" spans="1:22" ht="15" customHeight="1" x14ac:dyDescent="0.2">
      <c r="A12" s="260"/>
      <c r="B12" s="268" t="s">
        <v>199</v>
      </c>
      <c r="C12" s="268" t="s">
        <v>496</v>
      </c>
      <c r="D12" s="269" t="s">
        <v>508</v>
      </c>
      <c r="E12" s="171" t="s">
        <v>220</v>
      </c>
      <c r="F12" s="279"/>
      <c r="G12" s="271"/>
      <c r="H12" s="272" t="s">
        <v>498</v>
      </c>
      <c r="I12" s="273" t="s">
        <v>509</v>
      </c>
      <c r="J12" s="272">
        <f>25/2</f>
        <v>12.5</v>
      </c>
      <c r="K12" s="273" t="s">
        <v>269</v>
      </c>
      <c r="L12" s="274">
        <v>35</v>
      </c>
      <c r="M12" s="275">
        <f t="shared" si="0"/>
        <v>437.5</v>
      </c>
      <c r="N12" s="276">
        <v>0</v>
      </c>
      <c r="O12" s="275">
        <f t="shared" si="1"/>
        <v>0</v>
      </c>
      <c r="P12" s="276">
        <v>0.16</v>
      </c>
      <c r="Q12" s="275">
        <f t="shared" si="2"/>
        <v>70</v>
      </c>
      <c r="R12" s="275">
        <f t="shared" si="3"/>
        <v>507.5</v>
      </c>
      <c r="S12" s="277">
        <f>INDEX('Glosario Partidas'!$M$8:$M$10,MATCH(K12,'Glosario Partidas'!$L$8:$L$10,0))</f>
        <v>1</v>
      </c>
      <c r="T12" s="275">
        <f t="shared" si="4"/>
        <v>507.5</v>
      </c>
      <c r="U12" s="278"/>
      <c r="V12" s="260" t="s">
        <v>12</v>
      </c>
    </row>
    <row r="13" spans="1:22" ht="15" customHeight="1" x14ac:dyDescent="0.2">
      <c r="A13" s="260"/>
      <c r="B13" s="268" t="s">
        <v>199</v>
      </c>
      <c r="C13" s="268" t="s">
        <v>496</v>
      </c>
      <c r="D13" s="269" t="s">
        <v>510</v>
      </c>
      <c r="E13" s="171" t="s">
        <v>220</v>
      </c>
      <c r="F13" s="279"/>
      <c r="G13" s="271"/>
      <c r="H13" s="272" t="s">
        <v>498</v>
      </c>
      <c r="I13" s="273" t="s">
        <v>509</v>
      </c>
      <c r="J13" s="272">
        <f>74/2</f>
        <v>37</v>
      </c>
      <c r="K13" s="273" t="s">
        <v>269</v>
      </c>
      <c r="L13" s="274">
        <v>40</v>
      </c>
      <c r="M13" s="275">
        <f t="shared" si="0"/>
        <v>1480</v>
      </c>
      <c r="N13" s="276">
        <v>0</v>
      </c>
      <c r="O13" s="275">
        <f t="shared" si="1"/>
        <v>0</v>
      </c>
      <c r="P13" s="276">
        <v>0.16</v>
      </c>
      <c r="Q13" s="275">
        <f t="shared" si="2"/>
        <v>236.8</v>
      </c>
      <c r="R13" s="275">
        <f t="shared" si="3"/>
        <v>1716.8</v>
      </c>
      <c r="S13" s="277">
        <f>INDEX('Glosario Partidas'!$M$8:$M$10,MATCH(K13,'Glosario Partidas'!$L$8:$L$10,0))</f>
        <v>1</v>
      </c>
      <c r="T13" s="275">
        <f t="shared" si="4"/>
        <v>1716.8</v>
      </c>
      <c r="U13" s="278"/>
      <c r="V13" s="260" t="s">
        <v>12</v>
      </c>
    </row>
    <row r="14" spans="1:22" ht="15" customHeight="1" x14ac:dyDescent="0.2">
      <c r="A14" s="260"/>
      <c r="B14" s="268" t="s">
        <v>199</v>
      </c>
      <c r="C14" s="268" t="s">
        <v>496</v>
      </c>
      <c r="D14" s="269" t="s">
        <v>511</v>
      </c>
      <c r="E14" s="171" t="s">
        <v>220</v>
      </c>
      <c r="F14" s="270"/>
      <c r="G14" s="271"/>
      <c r="H14" s="272" t="s">
        <v>498</v>
      </c>
      <c r="I14" s="273" t="s">
        <v>509</v>
      </c>
      <c r="J14" s="272">
        <f>19/2</f>
        <v>9.5</v>
      </c>
      <c r="K14" s="273" t="s">
        <v>269</v>
      </c>
      <c r="L14" s="274">
        <v>350</v>
      </c>
      <c r="M14" s="275">
        <f t="shared" si="0"/>
        <v>3325</v>
      </c>
      <c r="N14" s="276">
        <v>0</v>
      </c>
      <c r="O14" s="275">
        <f t="shared" si="1"/>
        <v>0</v>
      </c>
      <c r="P14" s="276">
        <v>0.16</v>
      </c>
      <c r="Q14" s="275">
        <f t="shared" si="2"/>
        <v>532</v>
      </c>
      <c r="R14" s="275">
        <f t="shared" si="3"/>
        <v>3857</v>
      </c>
      <c r="S14" s="277">
        <f>INDEX('Glosario Partidas'!$M$8:$M$10,MATCH(K14,'Glosario Partidas'!$L$8:$L$10,0))</f>
        <v>1</v>
      </c>
      <c r="T14" s="275">
        <f t="shared" si="4"/>
        <v>3857</v>
      </c>
      <c r="U14" s="278"/>
      <c r="V14" s="260" t="s">
        <v>12</v>
      </c>
    </row>
    <row r="15" spans="1:22" ht="15" customHeight="1" x14ac:dyDescent="0.2">
      <c r="A15" s="260"/>
      <c r="B15" s="268" t="s">
        <v>199</v>
      </c>
      <c r="C15" s="268" t="s">
        <v>496</v>
      </c>
      <c r="D15" s="269" t="s">
        <v>512</v>
      </c>
      <c r="E15" s="171" t="s">
        <v>220</v>
      </c>
      <c r="F15" s="270"/>
      <c r="G15" s="271"/>
      <c r="H15" s="272" t="s">
        <v>498</v>
      </c>
      <c r="I15" s="273" t="s">
        <v>509</v>
      </c>
      <c r="J15" s="272">
        <f>25/2</f>
        <v>12.5</v>
      </c>
      <c r="K15" s="273" t="s">
        <v>269</v>
      </c>
      <c r="L15" s="274">
        <v>300</v>
      </c>
      <c r="M15" s="275">
        <f t="shared" si="0"/>
        <v>3750</v>
      </c>
      <c r="N15" s="276">
        <v>0</v>
      </c>
      <c r="O15" s="275">
        <f t="shared" si="1"/>
        <v>0</v>
      </c>
      <c r="P15" s="276">
        <v>0.16</v>
      </c>
      <c r="Q15" s="275">
        <f t="shared" si="2"/>
        <v>600</v>
      </c>
      <c r="R15" s="275">
        <f t="shared" si="3"/>
        <v>4350</v>
      </c>
      <c r="S15" s="277">
        <f>INDEX('Glosario Partidas'!$M$8:$M$10,MATCH(K15,'Glosario Partidas'!$L$8:$L$10,0))</f>
        <v>1</v>
      </c>
      <c r="T15" s="275">
        <f t="shared" si="4"/>
        <v>4350</v>
      </c>
      <c r="U15" s="278"/>
      <c r="V15" s="260" t="s">
        <v>12</v>
      </c>
    </row>
    <row r="16" spans="1:22" ht="15" customHeight="1" x14ac:dyDescent="0.2">
      <c r="A16" s="260"/>
      <c r="B16" s="268" t="s">
        <v>199</v>
      </c>
      <c r="C16" s="268" t="s">
        <v>496</v>
      </c>
      <c r="D16" s="269" t="s">
        <v>513</v>
      </c>
      <c r="E16" s="171" t="s">
        <v>220</v>
      </c>
      <c r="F16" s="270"/>
      <c r="G16" s="271"/>
      <c r="H16" s="272" t="s">
        <v>498</v>
      </c>
      <c r="I16" s="273" t="s">
        <v>509</v>
      </c>
      <c r="J16" s="272">
        <f>25/2</f>
        <v>12.5</v>
      </c>
      <c r="K16" s="273" t="s">
        <v>269</v>
      </c>
      <c r="L16" s="274">
        <v>150</v>
      </c>
      <c r="M16" s="275">
        <f t="shared" si="0"/>
        <v>1875</v>
      </c>
      <c r="N16" s="276">
        <v>0</v>
      </c>
      <c r="O16" s="275">
        <f t="shared" si="1"/>
        <v>0</v>
      </c>
      <c r="P16" s="276">
        <v>0.16</v>
      </c>
      <c r="Q16" s="275">
        <f t="shared" si="2"/>
        <v>300</v>
      </c>
      <c r="R16" s="275">
        <f t="shared" si="3"/>
        <v>2175</v>
      </c>
      <c r="S16" s="277">
        <f>INDEX('Glosario Partidas'!$M$8:$M$10,MATCH(K16,'Glosario Partidas'!$L$8:$L$10,0))</f>
        <v>1</v>
      </c>
      <c r="T16" s="275">
        <f t="shared" si="4"/>
        <v>2175</v>
      </c>
      <c r="U16" s="278"/>
      <c r="V16" s="260" t="s">
        <v>12</v>
      </c>
    </row>
    <row r="17" spans="1:22" ht="15" customHeight="1" x14ac:dyDescent="0.2">
      <c r="A17" s="260"/>
      <c r="B17" s="268" t="s">
        <v>199</v>
      </c>
      <c r="C17" s="268" t="s">
        <v>496</v>
      </c>
      <c r="D17" s="269" t="s">
        <v>514</v>
      </c>
      <c r="E17" s="171" t="s">
        <v>220</v>
      </c>
      <c r="F17" s="270"/>
      <c r="G17" s="271"/>
      <c r="H17" s="272" t="s">
        <v>498</v>
      </c>
      <c r="I17" s="273" t="s">
        <v>509</v>
      </c>
      <c r="J17" s="272">
        <f>1/2</f>
        <v>0.5</v>
      </c>
      <c r="K17" s="273" t="s">
        <v>269</v>
      </c>
      <c r="L17" s="274">
        <v>800</v>
      </c>
      <c r="M17" s="275">
        <f t="shared" si="0"/>
        <v>400</v>
      </c>
      <c r="N17" s="276">
        <v>0</v>
      </c>
      <c r="O17" s="275">
        <f t="shared" si="1"/>
        <v>0</v>
      </c>
      <c r="P17" s="276">
        <v>0.16</v>
      </c>
      <c r="Q17" s="275">
        <f t="shared" si="2"/>
        <v>64</v>
      </c>
      <c r="R17" s="275">
        <f t="shared" si="3"/>
        <v>464</v>
      </c>
      <c r="S17" s="277">
        <f>INDEX('Glosario Partidas'!$M$8:$M$10,MATCH(K17,'Glosario Partidas'!$L$8:$L$10,0))</f>
        <v>1</v>
      </c>
      <c r="T17" s="275">
        <f t="shared" si="4"/>
        <v>464</v>
      </c>
      <c r="U17" s="278"/>
      <c r="V17" s="260" t="s">
        <v>12</v>
      </c>
    </row>
    <row r="18" spans="1:22" ht="15" customHeight="1" x14ac:dyDescent="0.2">
      <c r="A18" s="260"/>
      <c r="B18" s="268" t="s">
        <v>199</v>
      </c>
      <c r="C18" s="268" t="s">
        <v>496</v>
      </c>
      <c r="D18" s="269" t="s">
        <v>515</v>
      </c>
      <c r="E18" s="171" t="s">
        <v>220</v>
      </c>
      <c r="F18" s="270"/>
      <c r="G18" s="271"/>
      <c r="H18" s="272" t="s">
        <v>498</v>
      </c>
      <c r="I18" s="273" t="s">
        <v>516</v>
      </c>
      <c r="J18" s="272">
        <f>1/2</f>
        <v>0.5</v>
      </c>
      <c r="K18" s="273" t="s">
        <v>269</v>
      </c>
      <c r="L18" s="274">
        <v>20000</v>
      </c>
      <c r="M18" s="275">
        <f t="shared" si="0"/>
        <v>10000</v>
      </c>
      <c r="N18" s="276">
        <v>0</v>
      </c>
      <c r="O18" s="275">
        <f t="shared" si="1"/>
        <v>0</v>
      </c>
      <c r="P18" s="276">
        <v>0.16</v>
      </c>
      <c r="Q18" s="275">
        <f t="shared" si="2"/>
        <v>1600</v>
      </c>
      <c r="R18" s="275">
        <f t="shared" si="3"/>
        <v>11600</v>
      </c>
      <c r="S18" s="277">
        <f>INDEX('Glosario Partidas'!$M$8:$M$10,MATCH(K18,'Glosario Partidas'!$L$8:$L$10,0))</f>
        <v>1</v>
      </c>
      <c r="T18" s="275">
        <f t="shared" si="4"/>
        <v>11600</v>
      </c>
      <c r="U18" s="278"/>
      <c r="V18" s="260" t="s">
        <v>12</v>
      </c>
    </row>
    <row r="19" spans="1:22" ht="15" customHeight="1" x14ac:dyDescent="0.2">
      <c r="A19" s="260"/>
      <c r="B19" s="268" t="s">
        <v>199</v>
      </c>
      <c r="C19" s="268" t="s">
        <v>517</v>
      </c>
      <c r="D19" s="269" t="s">
        <v>518</v>
      </c>
      <c r="E19" s="171" t="s">
        <v>220</v>
      </c>
      <c r="F19" s="279"/>
      <c r="G19" s="271"/>
      <c r="H19" s="272" t="s">
        <v>498</v>
      </c>
      <c r="I19" s="273" t="s">
        <v>519</v>
      </c>
      <c r="J19" s="272">
        <f>2/2</f>
        <v>1</v>
      </c>
      <c r="K19" s="273" t="s">
        <v>269</v>
      </c>
      <c r="L19" s="274">
        <v>7500</v>
      </c>
      <c r="M19" s="275">
        <f t="shared" si="0"/>
        <v>7500</v>
      </c>
      <c r="N19" s="276">
        <v>0</v>
      </c>
      <c r="O19" s="275">
        <f t="shared" si="1"/>
        <v>0</v>
      </c>
      <c r="P19" s="276">
        <v>0.16</v>
      </c>
      <c r="Q19" s="275">
        <f t="shared" si="2"/>
        <v>1200</v>
      </c>
      <c r="R19" s="275">
        <f t="shared" si="3"/>
        <v>8700</v>
      </c>
      <c r="S19" s="277">
        <f>INDEX('Glosario Partidas'!$M$8:$M$10,MATCH(K19,'Glosario Partidas'!$L$8:$L$10,0))</f>
        <v>1</v>
      </c>
      <c r="T19" s="275">
        <f t="shared" si="4"/>
        <v>8700</v>
      </c>
      <c r="U19" s="278"/>
      <c r="V19" s="260" t="s">
        <v>12</v>
      </c>
    </row>
    <row r="20" spans="1:22" ht="15" customHeight="1" x14ac:dyDescent="0.2">
      <c r="A20" s="260"/>
      <c r="B20" s="268" t="s">
        <v>199</v>
      </c>
      <c r="C20" s="268" t="s">
        <v>517</v>
      </c>
      <c r="D20" s="269" t="s">
        <v>520</v>
      </c>
      <c r="E20" s="171" t="s">
        <v>220</v>
      </c>
      <c r="F20" s="270"/>
      <c r="G20" s="271"/>
      <c r="H20" s="272" t="s">
        <v>498</v>
      </c>
      <c r="I20" s="273" t="s">
        <v>314</v>
      </c>
      <c r="J20" s="272">
        <f>1/2</f>
        <v>0.5</v>
      </c>
      <c r="K20" s="273" t="s">
        <v>269</v>
      </c>
      <c r="L20" s="274">
        <v>5000</v>
      </c>
      <c r="M20" s="275">
        <f t="shared" si="0"/>
        <v>2500</v>
      </c>
      <c r="N20" s="276">
        <v>0</v>
      </c>
      <c r="O20" s="275">
        <f t="shared" si="1"/>
        <v>0</v>
      </c>
      <c r="P20" s="276">
        <v>0.16</v>
      </c>
      <c r="Q20" s="275">
        <f t="shared" si="2"/>
        <v>400</v>
      </c>
      <c r="R20" s="275">
        <f t="shared" si="3"/>
        <v>2900</v>
      </c>
      <c r="S20" s="277">
        <f>INDEX('Glosario Partidas'!$M$8:$M$10,MATCH(K20,'Glosario Partidas'!$L$8:$L$10,0))</f>
        <v>1</v>
      </c>
      <c r="T20" s="275">
        <f t="shared" si="4"/>
        <v>2900</v>
      </c>
      <c r="U20" s="278"/>
      <c r="V20" s="260" t="s">
        <v>12</v>
      </c>
    </row>
    <row r="21" spans="1:22" ht="15" customHeight="1" x14ac:dyDescent="0.2">
      <c r="A21" s="260"/>
      <c r="B21" s="268" t="s">
        <v>199</v>
      </c>
      <c r="C21" s="268" t="s">
        <v>517</v>
      </c>
      <c r="D21" s="269" t="s">
        <v>504</v>
      </c>
      <c r="E21" s="171" t="s">
        <v>220</v>
      </c>
      <c r="F21" s="279"/>
      <c r="G21" s="271"/>
      <c r="H21" s="272" t="s">
        <v>498</v>
      </c>
      <c r="I21" s="273" t="s">
        <v>505</v>
      </c>
      <c r="J21" s="272">
        <f>1/2</f>
        <v>0.5</v>
      </c>
      <c r="K21" s="273" t="s">
        <v>269</v>
      </c>
      <c r="L21" s="274">
        <v>1500</v>
      </c>
      <c r="M21" s="275">
        <f t="shared" si="0"/>
        <v>750</v>
      </c>
      <c r="N21" s="276">
        <v>0</v>
      </c>
      <c r="O21" s="275">
        <f t="shared" si="1"/>
        <v>0</v>
      </c>
      <c r="P21" s="276">
        <v>0.16</v>
      </c>
      <c r="Q21" s="275">
        <f t="shared" si="2"/>
        <v>120</v>
      </c>
      <c r="R21" s="275">
        <f t="shared" si="3"/>
        <v>870</v>
      </c>
      <c r="S21" s="277">
        <f>INDEX('Glosario Partidas'!$M$8:$M$10,MATCH(K21,'Glosario Partidas'!$L$8:$L$10,0))</f>
        <v>1</v>
      </c>
      <c r="T21" s="275">
        <f t="shared" si="4"/>
        <v>870</v>
      </c>
      <c r="U21" s="278"/>
      <c r="V21" s="260" t="s">
        <v>12</v>
      </c>
    </row>
    <row r="22" spans="1:22" ht="15" customHeight="1" x14ac:dyDescent="0.2">
      <c r="A22" s="260"/>
      <c r="B22" s="268" t="s">
        <v>199</v>
      </c>
      <c r="C22" s="268" t="s">
        <v>517</v>
      </c>
      <c r="D22" s="269" t="s">
        <v>506</v>
      </c>
      <c r="E22" s="171" t="s">
        <v>220</v>
      </c>
      <c r="F22" s="270"/>
      <c r="G22" s="271"/>
      <c r="H22" s="272" t="s">
        <v>498</v>
      </c>
      <c r="I22" s="273" t="s">
        <v>505</v>
      </c>
      <c r="J22" s="272">
        <f>1/2</f>
        <v>0.5</v>
      </c>
      <c r="K22" s="273" t="s">
        <v>269</v>
      </c>
      <c r="L22" s="274">
        <v>2000</v>
      </c>
      <c r="M22" s="275">
        <f t="shared" si="0"/>
        <v>1000</v>
      </c>
      <c r="N22" s="276">
        <v>0</v>
      </c>
      <c r="O22" s="275">
        <f t="shared" si="1"/>
        <v>0</v>
      </c>
      <c r="P22" s="276">
        <v>0.16</v>
      </c>
      <c r="Q22" s="275">
        <f t="shared" si="2"/>
        <v>160</v>
      </c>
      <c r="R22" s="275">
        <f t="shared" si="3"/>
        <v>1160</v>
      </c>
      <c r="S22" s="277">
        <f>INDEX('Glosario Partidas'!$M$8:$M$10,MATCH(K22,'Glosario Partidas'!$L$8:$L$10,0))</f>
        <v>1</v>
      </c>
      <c r="T22" s="275">
        <f t="shared" si="4"/>
        <v>1160</v>
      </c>
      <c r="U22" s="278"/>
      <c r="V22" s="260" t="s">
        <v>12</v>
      </c>
    </row>
    <row r="23" spans="1:22" ht="15" customHeight="1" x14ac:dyDescent="0.2">
      <c r="A23" s="260"/>
      <c r="B23" s="268" t="s">
        <v>199</v>
      </c>
      <c r="C23" s="268" t="s">
        <v>517</v>
      </c>
      <c r="D23" s="269" t="s">
        <v>507</v>
      </c>
      <c r="E23" s="171" t="s">
        <v>220</v>
      </c>
      <c r="F23" s="279"/>
      <c r="G23" s="271"/>
      <c r="H23" s="272" t="s">
        <v>498</v>
      </c>
      <c r="I23" s="273" t="s">
        <v>505</v>
      </c>
      <c r="J23" s="272">
        <f>1/2</f>
        <v>0.5</v>
      </c>
      <c r="K23" s="273" t="s">
        <v>269</v>
      </c>
      <c r="L23" s="274">
        <v>850</v>
      </c>
      <c r="M23" s="275">
        <f t="shared" si="0"/>
        <v>425</v>
      </c>
      <c r="N23" s="276">
        <v>0</v>
      </c>
      <c r="O23" s="275">
        <f t="shared" si="1"/>
        <v>0</v>
      </c>
      <c r="P23" s="276">
        <v>0.16</v>
      </c>
      <c r="Q23" s="275">
        <f t="shared" si="2"/>
        <v>68</v>
      </c>
      <c r="R23" s="275">
        <f t="shared" si="3"/>
        <v>493</v>
      </c>
      <c r="S23" s="277">
        <f>INDEX('Glosario Partidas'!$M$8:$M$10,MATCH(K23,'Glosario Partidas'!$L$8:$L$10,0))</f>
        <v>1</v>
      </c>
      <c r="T23" s="275">
        <f t="shared" si="4"/>
        <v>493</v>
      </c>
      <c r="U23" s="278"/>
      <c r="V23" s="260" t="s">
        <v>12</v>
      </c>
    </row>
    <row r="24" spans="1:22" ht="15" customHeight="1" x14ac:dyDescent="0.2">
      <c r="A24" s="260"/>
      <c r="B24" s="268" t="s">
        <v>199</v>
      </c>
      <c r="C24" s="268" t="s">
        <v>521</v>
      </c>
      <c r="D24" s="269" t="s">
        <v>522</v>
      </c>
      <c r="E24" s="171" t="s">
        <v>220</v>
      </c>
      <c r="F24" s="270"/>
      <c r="G24" s="271"/>
      <c r="H24" s="272" t="s">
        <v>498</v>
      </c>
      <c r="I24" s="273" t="s">
        <v>314</v>
      </c>
      <c r="J24" s="272">
        <f>2/2</f>
        <v>1</v>
      </c>
      <c r="K24" s="273" t="s">
        <v>269</v>
      </c>
      <c r="L24" s="274">
        <v>2500</v>
      </c>
      <c r="M24" s="275">
        <f t="shared" si="0"/>
        <v>2500</v>
      </c>
      <c r="N24" s="276">
        <v>0</v>
      </c>
      <c r="O24" s="275">
        <f t="shared" si="1"/>
        <v>0</v>
      </c>
      <c r="P24" s="276">
        <v>0.16</v>
      </c>
      <c r="Q24" s="275">
        <f t="shared" si="2"/>
        <v>400</v>
      </c>
      <c r="R24" s="275">
        <f t="shared" si="3"/>
        <v>2900</v>
      </c>
      <c r="S24" s="277">
        <f>INDEX('Glosario Partidas'!$M$8:$M$10,MATCH(K24,'Glosario Partidas'!$L$8:$L$10,0))</f>
        <v>1</v>
      </c>
      <c r="T24" s="275">
        <f t="shared" si="4"/>
        <v>2900</v>
      </c>
      <c r="U24" s="278"/>
      <c r="V24" s="260" t="s">
        <v>12</v>
      </c>
    </row>
    <row r="25" spans="1:22" ht="15" customHeight="1" x14ac:dyDescent="0.2">
      <c r="A25" s="260"/>
      <c r="B25" s="268" t="s">
        <v>199</v>
      </c>
      <c r="C25" s="268" t="s">
        <v>521</v>
      </c>
      <c r="D25" s="269" t="s">
        <v>523</v>
      </c>
      <c r="E25" s="171" t="s">
        <v>220</v>
      </c>
      <c r="F25" s="279"/>
      <c r="G25" s="271"/>
      <c r="H25" s="272" t="s">
        <v>498</v>
      </c>
      <c r="I25" s="273" t="s">
        <v>524</v>
      </c>
      <c r="J25" s="272">
        <f>1/2</f>
        <v>0.5</v>
      </c>
      <c r="K25" s="273" t="s">
        <v>269</v>
      </c>
      <c r="L25" s="274">
        <v>2500</v>
      </c>
      <c r="M25" s="275">
        <f t="shared" si="0"/>
        <v>1250</v>
      </c>
      <c r="N25" s="276">
        <v>0</v>
      </c>
      <c r="O25" s="275">
        <f t="shared" si="1"/>
        <v>0</v>
      </c>
      <c r="P25" s="276">
        <v>0.16</v>
      </c>
      <c r="Q25" s="275">
        <f t="shared" si="2"/>
        <v>200</v>
      </c>
      <c r="R25" s="275">
        <f t="shared" si="3"/>
        <v>1450</v>
      </c>
      <c r="S25" s="277">
        <f>INDEX('Glosario Partidas'!$M$8:$M$10,MATCH(K25,'Glosario Partidas'!$L$8:$L$10,0))</f>
        <v>1</v>
      </c>
      <c r="T25" s="275">
        <f t="shared" si="4"/>
        <v>1450</v>
      </c>
      <c r="U25" s="278"/>
      <c r="V25" s="260" t="s">
        <v>12</v>
      </c>
    </row>
    <row r="26" spans="1:22" ht="15" customHeight="1" x14ac:dyDescent="0.2">
      <c r="A26" s="260"/>
      <c r="B26" s="268" t="s">
        <v>199</v>
      </c>
      <c r="C26" s="268" t="s">
        <v>521</v>
      </c>
      <c r="D26" s="269" t="s">
        <v>504</v>
      </c>
      <c r="E26" s="171" t="s">
        <v>220</v>
      </c>
      <c r="F26" s="270"/>
      <c r="G26" s="271"/>
      <c r="H26" s="272" t="s">
        <v>498</v>
      </c>
      <c r="I26" s="273" t="s">
        <v>505</v>
      </c>
      <c r="J26" s="272">
        <f>1/2</f>
        <v>0.5</v>
      </c>
      <c r="K26" s="273" t="s">
        <v>269</v>
      </c>
      <c r="L26" s="274">
        <v>1500</v>
      </c>
      <c r="M26" s="275">
        <f t="shared" si="0"/>
        <v>750</v>
      </c>
      <c r="N26" s="276">
        <v>0</v>
      </c>
      <c r="O26" s="275">
        <f t="shared" si="1"/>
        <v>0</v>
      </c>
      <c r="P26" s="276">
        <v>0.16</v>
      </c>
      <c r="Q26" s="275">
        <f t="shared" si="2"/>
        <v>120</v>
      </c>
      <c r="R26" s="275">
        <f t="shared" si="3"/>
        <v>870</v>
      </c>
      <c r="S26" s="277">
        <f>INDEX('Glosario Partidas'!$M$8:$M$10,MATCH(K26,'Glosario Partidas'!$L$8:$L$10,0))</f>
        <v>1</v>
      </c>
      <c r="T26" s="275">
        <f t="shared" si="4"/>
        <v>870</v>
      </c>
      <c r="U26" s="278"/>
      <c r="V26" s="260" t="s">
        <v>12</v>
      </c>
    </row>
    <row r="27" spans="1:22" ht="15" customHeight="1" x14ac:dyDescent="0.2">
      <c r="A27" s="260"/>
      <c r="B27" s="268" t="s">
        <v>199</v>
      </c>
      <c r="C27" s="268" t="s">
        <v>521</v>
      </c>
      <c r="D27" s="269" t="s">
        <v>506</v>
      </c>
      <c r="E27" s="171" t="s">
        <v>220</v>
      </c>
      <c r="F27" s="270"/>
      <c r="G27" s="271"/>
      <c r="H27" s="272" t="s">
        <v>498</v>
      </c>
      <c r="I27" s="273" t="s">
        <v>505</v>
      </c>
      <c r="J27" s="272">
        <f>1/2</f>
        <v>0.5</v>
      </c>
      <c r="K27" s="273" t="s">
        <v>269</v>
      </c>
      <c r="L27" s="274">
        <v>2000</v>
      </c>
      <c r="M27" s="275">
        <f t="shared" si="0"/>
        <v>1000</v>
      </c>
      <c r="N27" s="276">
        <v>0</v>
      </c>
      <c r="O27" s="275">
        <f t="shared" si="1"/>
        <v>0</v>
      </c>
      <c r="P27" s="276">
        <v>0.16</v>
      </c>
      <c r="Q27" s="275">
        <f t="shared" si="2"/>
        <v>160</v>
      </c>
      <c r="R27" s="275">
        <f t="shared" si="3"/>
        <v>1160</v>
      </c>
      <c r="S27" s="277">
        <f>INDEX('Glosario Partidas'!$M$8:$M$10,MATCH(K27,'Glosario Partidas'!$L$8:$L$10,0))</f>
        <v>1</v>
      </c>
      <c r="T27" s="275">
        <f t="shared" si="4"/>
        <v>1160</v>
      </c>
      <c r="U27" s="278"/>
      <c r="V27" s="260" t="s">
        <v>12</v>
      </c>
    </row>
    <row r="28" spans="1:22" ht="15" customHeight="1" x14ac:dyDescent="0.2">
      <c r="A28" s="260"/>
      <c r="B28" s="268" t="s">
        <v>199</v>
      </c>
      <c r="C28" s="268" t="s">
        <v>521</v>
      </c>
      <c r="D28" s="269" t="s">
        <v>508</v>
      </c>
      <c r="E28" s="171" t="s">
        <v>220</v>
      </c>
      <c r="F28" s="270"/>
      <c r="G28" s="271"/>
      <c r="H28" s="272" t="s">
        <v>498</v>
      </c>
      <c r="I28" s="273" t="s">
        <v>509</v>
      </c>
      <c r="J28" s="272">
        <f>2/2</f>
        <v>1</v>
      </c>
      <c r="K28" s="273" t="s">
        <v>269</v>
      </c>
      <c r="L28" s="274">
        <v>35</v>
      </c>
      <c r="M28" s="275">
        <f t="shared" si="0"/>
        <v>35</v>
      </c>
      <c r="N28" s="276">
        <v>0</v>
      </c>
      <c r="O28" s="275">
        <f t="shared" si="1"/>
        <v>0</v>
      </c>
      <c r="P28" s="276">
        <v>0.16</v>
      </c>
      <c r="Q28" s="275">
        <f t="shared" si="2"/>
        <v>5.6000000000000005</v>
      </c>
      <c r="R28" s="275">
        <f t="shared" si="3"/>
        <v>40.6</v>
      </c>
      <c r="S28" s="277">
        <f>INDEX('Glosario Partidas'!$M$8:$M$10,MATCH(K28,'Glosario Partidas'!$L$8:$L$10,0))</f>
        <v>1</v>
      </c>
      <c r="T28" s="275">
        <f t="shared" si="4"/>
        <v>40.6</v>
      </c>
      <c r="U28" s="278"/>
      <c r="V28" s="260" t="s">
        <v>12</v>
      </c>
    </row>
    <row r="29" spans="1:22" ht="15" customHeight="1" x14ac:dyDescent="0.2">
      <c r="A29" s="260"/>
      <c r="B29" s="268" t="s">
        <v>199</v>
      </c>
      <c r="C29" s="268" t="s">
        <v>521</v>
      </c>
      <c r="D29" s="269" t="s">
        <v>510</v>
      </c>
      <c r="E29" s="171" t="s">
        <v>220</v>
      </c>
      <c r="F29" s="270"/>
      <c r="G29" s="271"/>
      <c r="H29" s="272" t="s">
        <v>498</v>
      </c>
      <c r="I29" s="273" t="s">
        <v>509</v>
      </c>
      <c r="J29" s="272">
        <f>2/2</f>
        <v>1</v>
      </c>
      <c r="K29" s="273" t="s">
        <v>269</v>
      </c>
      <c r="L29" s="274">
        <v>40</v>
      </c>
      <c r="M29" s="275">
        <f t="shared" si="0"/>
        <v>40</v>
      </c>
      <c r="N29" s="276">
        <v>0</v>
      </c>
      <c r="O29" s="275">
        <f t="shared" si="1"/>
        <v>0</v>
      </c>
      <c r="P29" s="276">
        <v>0.16</v>
      </c>
      <c r="Q29" s="275">
        <f t="shared" si="2"/>
        <v>6.4</v>
      </c>
      <c r="R29" s="275">
        <f t="shared" si="3"/>
        <v>46.4</v>
      </c>
      <c r="S29" s="277">
        <f>INDEX('Glosario Partidas'!$M$8:$M$10,MATCH(K29,'Glosario Partidas'!$L$8:$L$10,0))</f>
        <v>1</v>
      </c>
      <c r="T29" s="275">
        <f t="shared" si="4"/>
        <v>46.4</v>
      </c>
      <c r="U29" s="278"/>
      <c r="V29" s="260" t="s">
        <v>12</v>
      </c>
    </row>
    <row r="30" spans="1:22" ht="15" customHeight="1" x14ac:dyDescent="0.2">
      <c r="A30" s="260"/>
      <c r="B30" s="268" t="s">
        <v>199</v>
      </c>
      <c r="C30" s="268" t="s">
        <v>521</v>
      </c>
      <c r="D30" s="269" t="s">
        <v>511</v>
      </c>
      <c r="E30" s="171" t="s">
        <v>220</v>
      </c>
      <c r="F30" s="270"/>
      <c r="G30" s="271"/>
      <c r="H30" s="272" t="s">
        <v>498</v>
      </c>
      <c r="I30" s="273" t="s">
        <v>509</v>
      </c>
      <c r="J30" s="272">
        <f>2/2</f>
        <v>1</v>
      </c>
      <c r="K30" s="273" t="s">
        <v>269</v>
      </c>
      <c r="L30" s="274">
        <v>350</v>
      </c>
      <c r="M30" s="275">
        <f t="shared" si="0"/>
        <v>350</v>
      </c>
      <c r="N30" s="276">
        <v>0</v>
      </c>
      <c r="O30" s="275">
        <f t="shared" si="1"/>
        <v>0</v>
      </c>
      <c r="P30" s="276">
        <v>0.16</v>
      </c>
      <c r="Q30" s="275">
        <f t="shared" si="2"/>
        <v>56</v>
      </c>
      <c r="R30" s="275">
        <f t="shared" si="3"/>
        <v>406</v>
      </c>
      <c r="S30" s="277">
        <f>INDEX('Glosario Partidas'!$M$8:$M$10,MATCH(K30,'Glosario Partidas'!$L$8:$L$10,0))</f>
        <v>1</v>
      </c>
      <c r="T30" s="275">
        <f t="shared" si="4"/>
        <v>406</v>
      </c>
      <c r="U30" s="278"/>
      <c r="V30" s="260" t="s">
        <v>12</v>
      </c>
    </row>
    <row r="31" spans="1:22" ht="15" customHeight="1" x14ac:dyDescent="0.2">
      <c r="A31" s="260"/>
      <c r="B31" s="268" t="s">
        <v>199</v>
      </c>
      <c r="C31" s="268" t="s">
        <v>521</v>
      </c>
      <c r="D31" s="269" t="s">
        <v>512</v>
      </c>
      <c r="E31" s="171" t="s">
        <v>220</v>
      </c>
      <c r="F31" s="270"/>
      <c r="G31" s="271"/>
      <c r="H31" s="272" t="s">
        <v>498</v>
      </c>
      <c r="I31" s="273" t="s">
        <v>509</v>
      </c>
      <c r="J31" s="272">
        <f>2/2</f>
        <v>1</v>
      </c>
      <c r="K31" s="273" t="s">
        <v>269</v>
      </c>
      <c r="L31" s="274">
        <v>300</v>
      </c>
      <c r="M31" s="275">
        <f t="shared" si="0"/>
        <v>300</v>
      </c>
      <c r="N31" s="276">
        <v>0</v>
      </c>
      <c r="O31" s="275">
        <f t="shared" si="1"/>
        <v>0</v>
      </c>
      <c r="P31" s="276">
        <v>0.16</v>
      </c>
      <c r="Q31" s="275">
        <f t="shared" si="2"/>
        <v>48</v>
      </c>
      <c r="R31" s="275">
        <f t="shared" si="3"/>
        <v>348</v>
      </c>
      <c r="S31" s="277">
        <f>INDEX('Glosario Partidas'!$M$8:$M$10,MATCH(K31,'Glosario Partidas'!$L$8:$L$10,0))</f>
        <v>1</v>
      </c>
      <c r="T31" s="275">
        <f t="shared" si="4"/>
        <v>348</v>
      </c>
      <c r="U31" s="278"/>
      <c r="V31" s="260" t="s">
        <v>12</v>
      </c>
    </row>
    <row r="32" spans="1:22" ht="15" customHeight="1" x14ac:dyDescent="0.2">
      <c r="A32" s="260"/>
      <c r="B32" s="268" t="s">
        <v>199</v>
      </c>
      <c r="C32" s="268" t="s">
        <v>521</v>
      </c>
      <c r="D32" s="269" t="s">
        <v>525</v>
      </c>
      <c r="E32" s="171" t="s">
        <v>220</v>
      </c>
      <c r="F32" s="270"/>
      <c r="G32" s="271"/>
      <c r="H32" s="272" t="s">
        <v>498</v>
      </c>
      <c r="I32" s="273" t="s">
        <v>509</v>
      </c>
      <c r="J32" s="272">
        <f>1/2</f>
        <v>0.5</v>
      </c>
      <c r="K32" s="273" t="s">
        <v>269</v>
      </c>
      <c r="L32" s="274">
        <v>600</v>
      </c>
      <c r="M32" s="275">
        <f t="shared" si="0"/>
        <v>300</v>
      </c>
      <c r="N32" s="276">
        <v>0</v>
      </c>
      <c r="O32" s="275">
        <f t="shared" si="1"/>
        <v>0</v>
      </c>
      <c r="P32" s="276">
        <v>0.16</v>
      </c>
      <c r="Q32" s="275">
        <f t="shared" si="2"/>
        <v>48</v>
      </c>
      <c r="R32" s="275">
        <f t="shared" si="3"/>
        <v>348</v>
      </c>
      <c r="S32" s="277">
        <f>INDEX('Glosario Partidas'!$M$8:$M$10,MATCH(K32,'Glosario Partidas'!$L$8:$L$10,0))</f>
        <v>1</v>
      </c>
      <c r="T32" s="275">
        <f t="shared" si="4"/>
        <v>348</v>
      </c>
      <c r="U32" s="278"/>
      <c r="V32" s="260" t="s">
        <v>12</v>
      </c>
    </row>
    <row r="33" spans="1:22" ht="15" customHeight="1" x14ac:dyDescent="0.2">
      <c r="A33" s="260"/>
      <c r="B33" s="268" t="s">
        <v>199</v>
      </c>
      <c r="C33" s="268" t="s">
        <v>521</v>
      </c>
      <c r="D33" s="269" t="s">
        <v>526</v>
      </c>
      <c r="E33" s="171" t="s">
        <v>220</v>
      </c>
      <c r="F33" s="270"/>
      <c r="G33" s="271"/>
      <c r="H33" s="272" t="s">
        <v>498</v>
      </c>
      <c r="I33" s="273" t="s">
        <v>516</v>
      </c>
      <c r="J33" s="272">
        <f>1/2</f>
        <v>0.5</v>
      </c>
      <c r="K33" s="273" t="s">
        <v>269</v>
      </c>
      <c r="L33" s="274">
        <v>5000</v>
      </c>
      <c r="M33" s="275">
        <f t="shared" si="0"/>
        <v>2500</v>
      </c>
      <c r="N33" s="276">
        <v>0</v>
      </c>
      <c r="O33" s="275">
        <f t="shared" si="1"/>
        <v>0</v>
      </c>
      <c r="P33" s="276">
        <v>0.16</v>
      </c>
      <c r="Q33" s="275">
        <f t="shared" si="2"/>
        <v>400</v>
      </c>
      <c r="R33" s="275">
        <f t="shared" si="3"/>
        <v>2900</v>
      </c>
      <c r="S33" s="277">
        <f>INDEX('Glosario Partidas'!$M$8:$M$10,MATCH(K33,'Glosario Partidas'!$L$8:$L$10,0))</f>
        <v>1</v>
      </c>
      <c r="T33" s="275">
        <f t="shared" si="4"/>
        <v>2900</v>
      </c>
      <c r="U33" s="278"/>
      <c r="V33" s="260" t="s">
        <v>12</v>
      </c>
    </row>
    <row r="34" spans="1:22" ht="15" customHeight="1" x14ac:dyDescent="0.2">
      <c r="A34" s="260"/>
      <c r="B34" s="268" t="s">
        <v>199</v>
      </c>
      <c r="C34" s="268" t="s">
        <v>496</v>
      </c>
      <c r="D34" s="269" t="s">
        <v>497</v>
      </c>
      <c r="E34" s="171" t="s">
        <v>229</v>
      </c>
      <c r="F34" s="270"/>
      <c r="G34" s="271"/>
      <c r="H34" s="272" t="s">
        <v>498</v>
      </c>
      <c r="I34" s="273" t="s">
        <v>314</v>
      </c>
      <c r="J34" s="272">
        <f>1/2</f>
        <v>0.5</v>
      </c>
      <c r="K34" s="273" t="s">
        <v>269</v>
      </c>
      <c r="L34" s="274">
        <v>8750</v>
      </c>
      <c r="M34" s="275">
        <f t="shared" si="0"/>
        <v>4375</v>
      </c>
      <c r="N34" s="276">
        <v>0</v>
      </c>
      <c r="O34" s="275">
        <f t="shared" si="1"/>
        <v>0</v>
      </c>
      <c r="P34" s="276">
        <v>0.16</v>
      </c>
      <c r="Q34" s="275">
        <f t="shared" si="2"/>
        <v>700</v>
      </c>
      <c r="R34" s="275">
        <f t="shared" si="3"/>
        <v>5075</v>
      </c>
      <c r="S34" s="277">
        <f>INDEX('Glosario Partidas'!$M$8:$M$10,MATCH(K34,'Glosario Partidas'!$L$8:$L$10,0))</f>
        <v>1</v>
      </c>
      <c r="T34" s="275">
        <f t="shared" si="4"/>
        <v>5075</v>
      </c>
      <c r="U34" s="278"/>
      <c r="V34" s="260" t="s">
        <v>12</v>
      </c>
    </row>
    <row r="35" spans="1:22" ht="15" customHeight="1" x14ac:dyDescent="0.2">
      <c r="A35" s="260"/>
      <c r="B35" s="268" t="s">
        <v>199</v>
      </c>
      <c r="C35" s="268" t="s">
        <v>496</v>
      </c>
      <c r="D35" s="269" t="s">
        <v>499</v>
      </c>
      <c r="E35" s="171" t="s">
        <v>229</v>
      </c>
      <c r="F35" s="270"/>
      <c r="G35" s="271"/>
      <c r="H35" s="272" t="s">
        <v>498</v>
      </c>
      <c r="I35" s="273" t="s">
        <v>314</v>
      </c>
      <c r="J35" s="272">
        <f>2/2</f>
        <v>1</v>
      </c>
      <c r="K35" s="273" t="s">
        <v>269</v>
      </c>
      <c r="L35" s="274">
        <v>3000</v>
      </c>
      <c r="M35" s="275">
        <f t="shared" si="0"/>
        <v>3000</v>
      </c>
      <c r="N35" s="276">
        <v>0</v>
      </c>
      <c r="O35" s="275">
        <f t="shared" si="1"/>
        <v>0</v>
      </c>
      <c r="P35" s="276">
        <v>0.16</v>
      </c>
      <c r="Q35" s="275">
        <f t="shared" si="2"/>
        <v>480</v>
      </c>
      <c r="R35" s="275">
        <f t="shared" si="3"/>
        <v>3480</v>
      </c>
      <c r="S35" s="277">
        <f>INDEX('Glosario Partidas'!$M$8:$M$10,MATCH(K35,'Glosario Partidas'!$L$8:$L$10,0))</f>
        <v>1</v>
      </c>
      <c r="T35" s="275">
        <f t="shared" si="4"/>
        <v>3480</v>
      </c>
      <c r="U35" s="278"/>
      <c r="V35" s="260" t="s">
        <v>12</v>
      </c>
    </row>
    <row r="36" spans="1:22" ht="15" customHeight="1" x14ac:dyDescent="0.2">
      <c r="A36" s="260"/>
      <c r="B36" s="268" t="s">
        <v>199</v>
      </c>
      <c r="C36" s="268" t="s">
        <v>496</v>
      </c>
      <c r="D36" s="269" t="s">
        <v>500</v>
      </c>
      <c r="E36" s="171" t="s">
        <v>229</v>
      </c>
      <c r="F36" s="270"/>
      <c r="G36" s="271"/>
      <c r="H36" s="272" t="s">
        <v>498</v>
      </c>
      <c r="I36" s="273" t="s">
        <v>501</v>
      </c>
      <c r="J36" s="272">
        <f>44/2</f>
        <v>22</v>
      </c>
      <c r="K36" s="273" t="s">
        <v>269</v>
      </c>
      <c r="L36" s="274">
        <v>1000</v>
      </c>
      <c r="M36" s="275">
        <f t="shared" ref="M36:M63" si="5">J36*L36</f>
        <v>22000</v>
      </c>
      <c r="N36" s="276">
        <v>0</v>
      </c>
      <c r="O36" s="275">
        <f t="shared" ref="O36:O63" si="6">M36*N36</f>
        <v>0</v>
      </c>
      <c r="P36" s="276">
        <v>0.16</v>
      </c>
      <c r="Q36" s="275">
        <f t="shared" ref="Q36:Q63" si="7">(M36+O36)*P36</f>
        <v>3520</v>
      </c>
      <c r="R36" s="275">
        <f t="shared" ref="R36:R63" si="8">M36+O36+Q36</f>
        <v>25520</v>
      </c>
      <c r="S36" s="277">
        <f>INDEX('Glosario Partidas'!$M$8:$M$10,MATCH(K36,'Glosario Partidas'!$L$8:$L$10,0))</f>
        <v>1</v>
      </c>
      <c r="T36" s="275">
        <f t="shared" ref="T36:T63" si="9">R36*S36</f>
        <v>25520</v>
      </c>
      <c r="U36" s="278"/>
      <c r="V36" s="260" t="s">
        <v>12</v>
      </c>
    </row>
    <row r="37" spans="1:22" ht="15" customHeight="1" x14ac:dyDescent="0.2">
      <c r="A37" s="260"/>
      <c r="B37" s="268" t="s">
        <v>199</v>
      </c>
      <c r="C37" s="268" t="s">
        <v>496</v>
      </c>
      <c r="D37" s="269" t="s">
        <v>502</v>
      </c>
      <c r="E37" s="171" t="s">
        <v>229</v>
      </c>
      <c r="F37" s="270"/>
      <c r="G37" s="271"/>
      <c r="H37" s="272" t="s">
        <v>498</v>
      </c>
      <c r="I37" s="273" t="s">
        <v>501</v>
      </c>
      <c r="J37" s="272">
        <f>1/2</f>
        <v>0.5</v>
      </c>
      <c r="K37" s="273" t="s">
        <v>269</v>
      </c>
      <c r="L37" s="274">
        <v>2500</v>
      </c>
      <c r="M37" s="275">
        <f t="shared" si="5"/>
        <v>1250</v>
      </c>
      <c r="N37" s="276">
        <v>0</v>
      </c>
      <c r="O37" s="275">
        <f t="shared" si="6"/>
        <v>0</v>
      </c>
      <c r="P37" s="276">
        <v>0.16</v>
      </c>
      <c r="Q37" s="275">
        <f t="shared" si="7"/>
        <v>200</v>
      </c>
      <c r="R37" s="275">
        <f t="shared" si="8"/>
        <v>1450</v>
      </c>
      <c r="S37" s="277">
        <f>INDEX('Glosario Partidas'!$M$8:$M$10,MATCH(K37,'Glosario Partidas'!$L$8:$L$10,0))</f>
        <v>1</v>
      </c>
      <c r="T37" s="275">
        <f t="shared" si="9"/>
        <v>1450</v>
      </c>
      <c r="U37" s="278"/>
      <c r="V37" s="260" t="s">
        <v>12</v>
      </c>
    </row>
    <row r="38" spans="1:22" ht="15" customHeight="1" x14ac:dyDescent="0.2">
      <c r="A38" s="260"/>
      <c r="B38" s="268" t="s">
        <v>199</v>
      </c>
      <c r="C38" s="268" t="s">
        <v>496</v>
      </c>
      <c r="D38" s="269" t="s">
        <v>503</v>
      </c>
      <c r="E38" s="171" t="s">
        <v>229</v>
      </c>
      <c r="F38" s="270"/>
      <c r="G38" s="271"/>
      <c r="H38" s="272" t="s">
        <v>498</v>
      </c>
      <c r="I38" s="273" t="s">
        <v>501</v>
      </c>
      <c r="J38" s="272">
        <f>1/2</f>
        <v>0.5</v>
      </c>
      <c r="K38" s="273" t="s">
        <v>269</v>
      </c>
      <c r="L38" s="274">
        <v>500</v>
      </c>
      <c r="M38" s="275">
        <f t="shared" si="5"/>
        <v>250</v>
      </c>
      <c r="N38" s="276">
        <v>0</v>
      </c>
      <c r="O38" s="275">
        <f t="shared" si="6"/>
        <v>0</v>
      </c>
      <c r="P38" s="276">
        <v>0.16</v>
      </c>
      <c r="Q38" s="275">
        <f t="shared" si="7"/>
        <v>40</v>
      </c>
      <c r="R38" s="275">
        <f t="shared" si="8"/>
        <v>290</v>
      </c>
      <c r="S38" s="277">
        <f>INDEX('Glosario Partidas'!$M$8:$M$10,MATCH(K38,'Glosario Partidas'!$L$8:$L$10,0))</f>
        <v>1</v>
      </c>
      <c r="T38" s="275">
        <f t="shared" si="9"/>
        <v>290</v>
      </c>
      <c r="U38" s="278"/>
      <c r="V38" s="260" t="s">
        <v>12</v>
      </c>
    </row>
    <row r="39" spans="1:22" ht="15" customHeight="1" x14ac:dyDescent="0.2">
      <c r="A39" s="260"/>
      <c r="B39" s="268" t="s">
        <v>199</v>
      </c>
      <c r="C39" s="268" t="s">
        <v>496</v>
      </c>
      <c r="D39" s="269" t="s">
        <v>504</v>
      </c>
      <c r="E39" s="171" t="s">
        <v>229</v>
      </c>
      <c r="F39" s="270"/>
      <c r="G39" s="271"/>
      <c r="H39" s="272" t="s">
        <v>498</v>
      </c>
      <c r="I39" s="273" t="s">
        <v>505</v>
      </c>
      <c r="J39" s="272">
        <f>5/2</f>
        <v>2.5</v>
      </c>
      <c r="K39" s="273" t="s">
        <v>269</v>
      </c>
      <c r="L39" s="274">
        <v>1500</v>
      </c>
      <c r="M39" s="275">
        <f t="shared" si="5"/>
        <v>3750</v>
      </c>
      <c r="N39" s="276">
        <v>0</v>
      </c>
      <c r="O39" s="275">
        <f t="shared" si="6"/>
        <v>0</v>
      </c>
      <c r="P39" s="276">
        <v>0.16</v>
      </c>
      <c r="Q39" s="275">
        <f t="shared" si="7"/>
        <v>600</v>
      </c>
      <c r="R39" s="275">
        <f t="shared" si="8"/>
        <v>4350</v>
      </c>
      <c r="S39" s="277">
        <f>INDEX('Glosario Partidas'!$M$8:$M$10,MATCH(K39,'Glosario Partidas'!$L$8:$L$10,0))</f>
        <v>1</v>
      </c>
      <c r="T39" s="275">
        <f t="shared" si="9"/>
        <v>4350</v>
      </c>
      <c r="U39" s="278"/>
      <c r="V39" s="260" t="s">
        <v>12</v>
      </c>
    </row>
    <row r="40" spans="1:22" ht="15" customHeight="1" x14ac:dyDescent="0.2">
      <c r="A40" s="260"/>
      <c r="B40" s="268" t="s">
        <v>199</v>
      </c>
      <c r="C40" s="268" t="s">
        <v>496</v>
      </c>
      <c r="D40" s="269" t="s">
        <v>506</v>
      </c>
      <c r="E40" s="171" t="s">
        <v>229</v>
      </c>
      <c r="F40" s="270"/>
      <c r="G40" s="271"/>
      <c r="H40" s="272" t="s">
        <v>498</v>
      </c>
      <c r="I40" s="273" t="s">
        <v>505</v>
      </c>
      <c r="J40" s="272">
        <f>5/2</f>
        <v>2.5</v>
      </c>
      <c r="K40" s="273" t="s">
        <v>269</v>
      </c>
      <c r="L40" s="274">
        <v>2000</v>
      </c>
      <c r="M40" s="275">
        <f t="shared" si="5"/>
        <v>5000</v>
      </c>
      <c r="N40" s="276">
        <v>0</v>
      </c>
      <c r="O40" s="275">
        <f t="shared" si="6"/>
        <v>0</v>
      </c>
      <c r="P40" s="276">
        <v>0.16</v>
      </c>
      <c r="Q40" s="275">
        <f t="shared" si="7"/>
        <v>800</v>
      </c>
      <c r="R40" s="275">
        <f t="shared" si="8"/>
        <v>5800</v>
      </c>
      <c r="S40" s="277">
        <f>INDEX('Glosario Partidas'!$M$8:$M$10,MATCH(K40,'Glosario Partidas'!$L$8:$L$10,0))</f>
        <v>1</v>
      </c>
      <c r="T40" s="275">
        <f t="shared" si="9"/>
        <v>5800</v>
      </c>
      <c r="U40" s="278"/>
      <c r="V40" s="260" t="s">
        <v>12</v>
      </c>
    </row>
    <row r="41" spans="1:22" ht="15" customHeight="1" x14ac:dyDescent="0.2">
      <c r="A41" s="260"/>
      <c r="B41" s="268" t="s">
        <v>199</v>
      </c>
      <c r="C41" s="268" t="s">
        <v>496</v>
      </c>
      <c r="D41" s="269" t="s">
        <v>507</v>
      </c>
      <c r="E41" s="171" t="s">
        <v>229</v>
      </c>
      <c r="F41" s="270"/>
      <c r="G41" s="271"/>
      <c r="H41" s="272" t="s">
        <v>498</v>
      </c>
      <c r="I41" s="273" t="s">
        <v>505</v>
      </c>
      <c r="J41" s="272">
        <f>5/2</f>
        <v>2.5</v>
      </c>
      <c r="K41" s="273" t="s">
        <v>269</v>
      </c>
      <c r="L41" s="274">
        <v>850</v>
      </c>
      <c r="M41" s="275">
        <f t="shared" si="5"/>
        <v>2125</v>
      </c>
      <c r="N41" s="276">
        <v>0</v>
      </c>
      <c r="O41" s="275">
        <f t="shared" si="6"/>
        <v>0</v>
      </c>
      <c r="P41" s="276">
        <v>0.16</v>
      </c>
      <c r="Q41" s="275">
        <f t="shared" si="7"/>
        <v>340</v>
      </c>
      <c r="R41" s="275">
        <f t="shared" si="8"/>
        <v>2465</v>
      </c>
      <c r="S41" s="277">
        <f>INDEX('Glosario Partidas'!$M$8:$M$10,MATCH(K41,'Glosario Partidas'!$L$8:$L$10,0))</f>
        <v>1</v>
      </c>
      <c r="T41" s="275">
        <f t="shared" si="9"/>
        <v>2465</v>
      </c>
      <c r="U41" s="278"/>
      <c r="V41" s="260" t="s">
        <v>12</v>
      </c>
    </row>
    <row r="42" spans="1:22" ht="15" customHeight="1" x14ac:dyDescent="0.2">
      <c r="A42" s="260"/>
      <c r="B42" s="268" t="s">
        <v>199</v>
      </c>
      <c r="C42" s="268" t="s">
        <v>496</v>
      </c>
      <c r="D42" s="269" t="s">
        <v>508</v>
      </c>
      <c r="E42" s="171" t="s">
        <v>229</v>
      </c>
      <c r="F42" s="279"/>
      <c r="G42" s="271"/>
      <c r="H42" s="272" t="s">
        <v>498</v>
      </c>
      <c r="I42" s="273" t="s">
        <v>509</v>
      </c>
      <c r="J42" s="272">
        <f>25/2</f>
        <v>12.5</v>
      </c>
      <c r="K42" s="273" t="s">
        <v>269</v>
      </c>
      <c r="L42" s="274">
        <v>35</v>
      </c>
      <c r="M42" s="275">
        <f t="shared" si="5"/>
        <v>437.5</v>
      </c>
      <c r="N42" s="276">
        <v>0</v>
      </c>
      <c r="O42" s="275">
        <f t="shared" si="6"/>
        <v>0</v>
      </c>
      <c r="P42" s="276">
        <v>0.16</v>
      </c>
      <c r="Q42" s="275">
        <f t="shared" si="7"/>
        <v>70</v>
      </c>
      <c r="R42" s="275">
        <f t="shared" si="8"/>
        <v>507.5</v>
      </c>
      <c r="S42" s="277">
        <f>INDEX('Glosario Partidas'!$M$8:$M$10,MATCH(K42,'Glosario Partidas'!$L$8:$L$10,0))</f>
        <v>1</v>
      </c>
      <c r="T42" s="275">
        <f t="shared" si="9"/>
        <v>507.5</v>
      </c>
      <c r="U42" s="278"/>
      <c r="V42" s="260" t="s">
        <v>12</v>
      </c>
    </row>
    <row r="43" spans="1:22" ht="15" customHeight="1" x14ac:dyDescent="0.2">
      <c r="A43" s="260"/>
      <c r="B43" s="268" t="s">
        <v>199</v>
      </c>
      <c r="C43" s="268" t="s">
        <v>496</v>
      </c>
      <c r="D43" s="269" t="s">
        <v>510</v>
      </c>
      <c r="E43" s="171" t="s">
        <v>229</v>
      </c>
      <c r="F43" s="279"/>
      <c r="G43" s="271"/>
      <c r="H43" s="272" t="s">
        <v>498</v>
      </c>
      <c r="I43" s="273" t="s">
        <v>509</v>
      </c>
      <c r="J43" s="272">
        <f>74/2</f>
        <v>37</v>
      </c>
      <c r="K43" s="273" t="s">
        <v>269</v>
      </c>
      <c r="L43" s="274">
        <v>40</v>
      </c>
      <c r="M43" s="275">
        <f t="shared" si="5"/>
        <v>1480</v>
      </c>
      <c r="N43" s="276">
        <v>0</v>
      </c>
      <c r="O43" s="275">
        <f t="shared" si="6"/>
        <v>0</v>
      </c>
      <c r="P43" s="276">
        <v>0.16</v>
      </c>
      <c r="Q43" s="275">
        <f t="shared" si="7"/>
        <v>236.8</v>
      </c>
      <c r="R43" s="275">
        <f t="shared" si="8"/>
        <v>1716.8</v>
      </c>
      <c r="S43" s="277">
        <f>INDEX('Glosario Partidas'!$M$8:$M$10,MATCH(K43,'Glosario Partidas'!$L$8:$L$10,0))</f>
        <v>1</v>
      </c>
      <c r="T43" s="275">
        <f t="shared" si="9"/>
        <v>1716.8</v>
      </c>
      <c r="U43" s="278"/>
      <c r="V43" s="260" t="s">
        <v>12</v>
      </c>
    </row>
    <row r="44" spans="1:22" ht="15" customHeight="1" x14ac:dyDescent="0.2">
      <c r="A44" s="260"/>
      <c r="B44" s="268" t="s">
        <v>199</v>
      </c>
      <c r="C44" s="268" t="s">
        <v>496</v>
      </c>
      <c r="D44" s="269" t="s">
        <v>511</v>
      </c>
      <c r="E44" s="171" t="s">
        <v>229</v>
      </c>
      <c r="F44" s="270"/>
      <c r="G44" s="271"/>
      <c r="H44" s="272" t="s">
        <v>498</v>
      </c>
      <c r="I44" s="273" t="s">
        <v>509</v>
      </c>
      <c r="J44" s="272">
        <f>19/2</f>
        <v>9.5</v>
      </c>
      <c r="K44" s="273" t="s">
        <v>269</v>
      </c>
      <c r="L44" s="274">
        <v>350</v>
      </c>
      <c r="M44" s="275">
        <f t="shared" si="5"/>
        <v>3325</v>
      </c>
      <c r="N44" s="276">
        <v>0</v>
      </c>
      <c r="O44" s="275">
        <f t="shared" si="6"/>
        <v>0</v>
      </c>
      <c r="P44" s="276">
        <v>0.16</v>
      </c>
      <c r="Q44" s="275">
        <f t="shared" si="7"/>
        <v>532</v>
      </c>
      <c r="R44" s="275">
        <f t="shared" si="8"/>
        <v>3857</v>
      </c>
      <c r="S44" s="277">
        <f>INDEX('Glosario Partidas'!$M$8:$M$10,MATCH(K44,'Glosario Partidas'!$L$8:$L$10,0))</f>
        <v>1</v>
      </c>
      <c r="T44" s="275">
        <f t="shared" si="9"/>
        <v>3857</v>
      </c>
      <c r="U44" s="278"/>
      <c r="V44" s="260" t="s">
        <v>12</v>
      </c>
    </row>
    <row r="45" spans="1:22" ht="15" customHeight="1" x14ac:dyDescent="0.2">
      <c r="A45" s="260"/>
      <c r="B45" s="268" t="s">
        <v>199</v>
      </c>
      <c r="C45" s="268" t="s">
        <v>496</v>
      </c>
      <c r="D45" s="269" t="s">
        <v>512</v>
      </c>
      <c r="E45" s="171" t="s">
        <v>229</v>
      </c>
      <c r="F45" s="270"/>
      <c r="G45" s="271"/>
      <c r="H45" s="272" t="s">
        <v>498</v>
      </c>
      <c r="I45" s="273" t="s">
        <v>509</v>
      </c>
      <c r="J45" s="272">
        <f>25/2</f>
        <v>12.5</v>
      </c>
      <c r="K45" s="273" t="s">
        <v>269</v>
      </c>
      <c r="L45" s="274">
        <v>300</v>
      </c>
      <c r="M45" s="275">
        <f t="shared" si="5"/>
        <v>3750</v>
      </c>
      <c r="N45" s="276">
        <v>0</v>
      </c>
      <c r="O45" s="275">
        <f t="shared" si="6"/>
        <v>0</v>
      </c>
      <c r="P45" s="276">
        <v>0.16</v>
      </c>
      <c r="Q45" s="275">
        <f t="shared" si="7"/>
        <v>600</v>
      </c>
      <c r="R45" s="275">
        <f t="shared" si="8"/>
        <v>4350</v>
      </c>
      <c r="S45" s="277">
        <f>INDEX('Glosario Partidas'!$M$8:$M$10,MATCH(K45,'Glosario Partidas'!$L$8:$L$10,0))</f>
        <v>1</v>
      </c>
      <c r="T45" s="275">
        <f t="shared" si="9"/>
        <v>4350</v>
      </c>
      <c r="U45" s="278"/>
      <c r="V45" s="260" t="s">
        <v>12</v>
      </c>
    </row>
    <row r="46" spans="1:22" ht="15" customHeight="1" x14ac:dyDescent="0.2">
      <c r="A46" s="260"/>
      <c r="B46" s="268" t="s">
        <v>199</v>
      </c>
      <c r="C46" s="268" t="s">
        <v>496</v>
      </c>
      <c r="D46" s="269" t="s">
        <v>513</v>
      </c>
      <c r="E46" s="171" t="s">
        <v>229</v>
      </c>
      <c r="F46" s="270"/>
      <c r="G46" s="271"/>
      <c r="H46" s="272" t="s">
        <v>498</v>
      </c>
      <c r="I46" s="273" t="s">
        <v>509</v>
      </c>
      <c r="J46" s="272">
        <f>25/2</f>
        <v>12.5</v>
      </c>
      <c r="K46" s="273" t="s">
        <v>269</v>
      </c>
      <c r="L46" s="274">
        <v>150</v>
      </c>
      <c r="M46" s="275">
        <f t="shared" si="5"/>
        <v>1875</v>
      </c>
      <c r="N46" s="276">
        <v>0</v>
      </c>
      <c r="O46" s="275">
        <f t="shared" si="6"/>
        <v>0</v>
      </c>
      <c r="P46" s="276">
        <v>0.16</v>
      </c>
      <c r="Q46" s="275">
        <f t="shared" si="7"/>
        <v>300</v>
      </c>
      <c r="R46" s="275">
        <f t="shared" si="8"/>
        <v>2175</v>
      </c>
      <c r="S46" s="277">
        <f>INDEX('Glosario Partidas'!$M$8:$M$10,MATCH(K46,'Glosario Partidas'!$L$8:$L$10,0))</f>
        <v>1</v>
      </c>
      <c r="T46" s="275">
        <f t="shared" si="9"/>
        <v>2175</v>
      </c>
      <c r="U46" s="278"/>
      <c r="V46" s="260" t="s">
        <v>12</v>
      </c>
    </row>
    <row r="47" spans="1:22" ht="15" customHeight="1" x14ac:dyDescent="0.2">
      <c r="A47" s="260"/>
      <c r="B47" s="268" t="s">
        <v>199</v>
      </c>
      <c r="C47" s="268" t="s">
        <v>496</v>
      </c>
      <c r="D47" s="269" t="s">
        <v>514</v>
      </c>
      <c r="E47" s="171" t="s">
        <v>229</v>
      </c>
      <c r="F47" s="270"/>
      <c r="G47" s="271"/>
      <c r="H47" s="272" t="s">
        <v>498</v>
      </c>
      <c r="I47" s="273" t="s">
        <v>509</v>
      </c>
      <c r="J47" s="272">
        <f>1/2</f>
        <v>0.5</v>
      </c>
      <c r="K47" s="273" t="s">
        <v>269</v>
      </c>
      <c r="L47" s="274">
        <v>800</v>
      </c>
      <c r="M47" s="275">
        <f t="shared" si="5"/>
        <v>400</v>
      </c>
      <c r="N47" s="276">
        <v>0</v>
      </c>
      <c r="O47" s="275">
        <f t="shared" si="6"/>
        <v>0</v>
      </c>
      <c r="P47" s="276">
        <v>0.16</v>
      </c>
      <c r="Q47" s="275">
        <f t="shared" si="7"/>
        <v>64</v>
      </c>
      <c r="R47" s="275">
        <f t="shared" si="8"/>
        <v>464</v>
      </c>
      <c r="S47" s="277">
        <f>INDEX('Glosario Partidas'!$M$8:$M$10,MATCH(K47,'Glosario Partidas'!$L$8:$L$10,0))</f>
        <v>1</v>
      </c>
      <c r="T47" s="275">
        <f t="shared" si="9"/>
        <v>464</v>
      </c>
      <c r="U47" s="278"/>
      <c r="V47" s="260" t="s">
        <v>12</v>
      </c>
    </row>
    <row r="48" spans="1:22" ht="15" customHeight="1" x14ac:dyDescent="0.2">
      <c r="A48" s="260"/>
      <c r="B48" s="268" t="s">
        <v>199</v>
      </c>
      <c r="C48" s="268" t="s">
        <v>496</v>
      </c>
      <c r="D48" s="269" t="s">
        <v>515</v>
      </c>
      <c r="E48" s="171" t="s">
        <v>229</v>
      </c>
      <c r="F48" s="270"/>
      <c r="G48" s="271"/>
      <c r="H48" s="272" t="s">
        <v>498</v>
      </c>
      <c r="I48" s="273" t="s">
        <v>516</v>
      </c>
      <c r="J48" s="272">
        <f>1/2</f>
        <v>0.5</v>
      </c>
      <c r="K48" s="273" t="s">
        <v>269</v>
      </c>
      <c r="L48" s="274">
        <v>20000</v>
      </c>
      <c r="M48" s="275">
        <f t="shared" si="5"/>
        <v>10000</v>
      </c>
      <c r="N48" s="276">
        <v>0</v>
      </c>
      <c r="O48" s="275">
        <f t="shared" si="6"/>
        <v>0</v>
      </c>
      <c r="P48" s="276">
        <v>0.16</v>
      </c>
      <c r="Q48" s="275">
        <f t="shared" si="7"/>
        <v>1600</v>
      </c>
      <c r="R48" s="275">
        <f t="shared" si="8"/>
        <v>11600</v>
      </c>
      <c r="S48" s="277">
        <f>INDEX('Glosario Partidas'!$M$8:$M$10,MATCH(K48,'Glosario Partidas'!$L$8:$L$10,0))</f>
        <v>1</v>
      </c>
      <c r="T48" s="275">
        <f t="shared" si="9"/>
        <v>11600</v>
      </c>
      <c r="U48" s="278"/>
      <c r="V48" s="260" t="s">
        <v>12</v>
      </c>
    </row>
    <row r="49" spans="1:22" ht="15" customHeight="1" x14ac:dyDescent="0.2">
      <c r="A49" s="260"/>
      <c r="B49" s="268" t="s">
        <v>199</v>
      </c>
      <c r="C49" s="268" t="s">
        <v>517</v>
      </c>
      <c r="D49" s="269" t="s">
        <v>518</v>
      </c>
      <c r="E49" s="171" t="s">
        <v>229</v>
      </c>
      <c r="F49" s="279"/>
      <c r="G49" s="271"/>
      <c r="H49" s="272" t="s">
        <v>498</v>
      </c>
      <c r="I49" s="273" t="s">
        <v>519</v>
      </c>
      <c r="J49" s="272">
        <f>2/2</f>
        <v>1</v>
      </c>
      <c r="K49" s="273" t="s">
        <v>269</v>
      </c>
      <c r="L49" s="274">
        <v>7500</v>
      </c>
      <c r="M49" s="275">
        <f t="shared" si="5"/>
        <v>7500</v>
      </c>
      <c r="N49" s="276">
        <v>0</v>
      </c>
      <c r="O49" s="275">
        <f t="shared" si="6"/>
        <v>0</v>
      </c>
      <c r="P49" s="276">
        <v>0.16</v>
      </c>
      <c r="Q49" s="275">
        <f t="shared" si="7"/>
        <v>1200</v>
      </c>
      <c r="R49" s="275">
        <f t="shared" si="8"/>
        <v>8700</v>
      </c>
      <c r="S49" s="277">
        <f>INDEX('Glosario Partidas'!$M$8:$M$10,MATCH(K49,'Glosario Partidas'!$L$8:$L$10,0))</f>
        <v>1</v>
      </c>
      <c r="T49" s="275">
        <f t="shared" si="9"/>
        <v>8700</v>
      </c>
      <c r="U49" s="278"/>
      <c r="V49" s="260" t="s">
        <v>12</v>
      </c>
    </row>
    <row r="50" spans="1:22" ht="15" customHeight="1" x14ac:dyDescent="0.2">
      <c r="A50" s="260"/>
      <c r="B50" s="268" t="s">
        <v>199</v>
      </c>
      <c r="C50" s="268" t="s">
        <v>517</v>
      </c>
      <c r="D50" s="269" t="s">
        <v>520</v>
      </c>
      <c r="E50" s="171" t="s">
        <v>229</v>
      </c>
      <c r="F50" s="270"/>
      <c r="G50" s="271"/>
      <c r="H50" s="272" t="s">
        <v>498</v>
      </c>
      <c r="I50" s="273" t="s">
        <v>314</v>
      </c>
      <c r="J50" s="272">
        <f>1/2</f>
        <v>0.5</v>
      </c>
      <c r="K50" s="273" t="s">
        <v>269</v>
      </c>
      <c r="L50" s="274">
        <v>5000</v>
      </c>
      <c r="M50" s="275">
        <f t="shared" si="5"/>
        <v>2500</v>
      </c>
      <c r="N50" s="276">
        <v>0</v>
      </c>
      <c r="O50" s="275">
        <f t="shared" si="6"/>
        <v>0</v>
      </c>
      <c r="P50" s="276">
        <v>0.16</v>
      </c>
      <c r="Q50" s="275">
        <f t="shared" si="7"/>
        <v>400</v>
      </c>
      <c r="R50" s="275">
        <f t="shared" si="8"/>
        <v>2900</v>
      </c>
      <c r="S50" s="277">
        <f>INDEX('Glosario Partidas'!$M$8:$M$10,MATCH(K50,'Glosario Partidas'!$L$8:$L$10,0))</f>
        <v>1</v>
      </c>
      <c r="T50" s="275">
        <f t="shared" si="9"/>
        <v>2900</v>
      </c>
      <c r="U50" s="278"/>
      <c r="V50" s="260" t="s">
        <v>12</v>
      </c>
    </row>
    <row r="51" spans="1:22" ht="15" customHeight="1" x14ac:dyDescent="0.2">
      <c r="A51" s="260"/>
      <c r="B51" s="268" t="s">
        <v>199</v>
      </c>
      <c r="C51" s="268" t="s">
        <v>517</v>
      </c>
      <c r="D51" s="269" t="s">
        <v>504</v>
      </c>
      <c r="E51" s="171" t="s">
        <v>229</v>
      </c>
      <c r="F51" s="279"/>
      <c r="G51" s="271"/>
      <c r="H51" s="272" t="s">
        <v>498</v>
      </c>
      <c r="I51" s="273" t="s">
        <v>505</v>
      </c>
      <c r="J51" s="272">
        <f>1/2</f>
        <v>0.5</v>
      </c>
      <c r="K51" s="273" t="s">
        <v>269</v>
      </c>
      <c r="L51" s="274">
        <v>1500</v>
      </c>
      <c r="M51" s="275">
        <f t="shared" si="5"/>
        <v>750</v>
      </c>
      <c r="N51" s="276">
        <v>0</v>
      </c>
      <c r="O51" s="275">
        <f t="shared" si="6"/>
        <v>0</v>
      </c>
      <c r="P51" s="276">
        <v>0.16</v>
      </c>
      <c r="Q51" s="275">
        <f t="shared" si="7"/>
        <v>120</v>
      </c>
      <c r="R51" s="275">
        <f t="shared" si="8"/>
        <v>870</v>
      </c>
      <c r="S51" s="277">
        <f>INDEX('Glosario Partidas'!$M$8:$M$10,MATCH(K51,'Glosario Partidas'!$L$8:$L$10,0))</f>
        <v>1</v>
      </c>
      <c r="T51" s="275">
        <f t="shared" si="9"/>
        <v>870</v>
      </c>
      <c r="U51" s="278"/>
      <c r="V51" s="260" t="s">
        <v>12</v>
      </c>
    </row>
    <row r="52" spans="1:22" ht="15" customHeight="1" x14ac:dyDescent="0.2">
      <c r="A52" s="260"/>
      <c r="B52" s="268" t="s">
        <v>199</v>
      </c>
      <c r="C52" s="268" t="s">
        <v>517</v>
      </c>
      <c r="D52" s="269" t="s">
        <v>506</v>
      </c>
      <c r="E52" s="171" t="s">
        <v>229</v>
      </c>
      <c r="F52" s="270"/>
      <c r="G52" s="271"/>
      <c r="H52" s="272" t="s">
        <v>498</v>
      </c>
      <c r="I52" s="273" t="s">
        <v>505</v>
      </c>
      <c r="J52" s="272">
        <f>1/2</f>
        <v>0.5</v>
      </c>
      <c r="K52" s="273" t="s">
        <v>269</v>
      </c>
      <c r="L52" s="274">
        <v>2000</v>
      </c>
      <c r="M52" s="275">
        <f t="shared" si="5"/>
        <v>1000</v>
      </c>
      <c r="N52" s="276">
        <v>0</v>
      </c>
      <c r="O52" s="275">
        <f t="shared" si="6"/>
        <v>0</v>
      </c>
      <c r="P52" s="276">
        <v>0.16</v>
      </c>
      <c r="Q52" s="275">
        <f t="shared" si="7"/>
        <v>160</v>
      </c>
      <c r="R52" s="275">
        <f t="shared" si="8"/>
        <v>1160</v>
      </c>
      <c r="S52" s="277">
        <f>INDEX('Glosario Partidas'!$M$8:$M$10,MATCH(K52,'Glosario Partidas'!$L$8:$L$10,0))</f>
        <v>1</v>
      </c>
      <c r="T52" s="275">
        <f t="shared" si="9"/>
        <v>1160</v>
      </c>
      <c r="U52" s="278"/>
      <c r="V52" s="260" t="s">
        <v>12</v>
      </c>
    </row>
    <row r="53" spans="1:22" ht="15" customHeight="1" x14ac:dyDescent="0.2">
      <c r="A53" s="260"/>
      <c r="B53" s="268" t="s">
        <v>199</v>
      </c>
      <c r="C53" s="268" t="s">
        <v>517</v>
      </c>
      <c r="D53" s="269" t="s">
        <v>507</v>
      </c>
      <c r="E53" s="171" t="s">
        <v>229</v>
      </c>
      <c r="F53" s="279"/>
      <c r="G53" s="271"/>
      <c r="H53" s="272" t="s">
        <v>498</v>
      </c>
      <c r="I53" s="273" t="s">
        <v>505</v>
      </c>
      <c r="J53" s="272">
        <f>1/2</f>
        <v>0.5</v>
      </c>
      <c r="K53" s="273" t="s">
        <v>269</v>
      </c>
      <c r="L53" s="274">
        <v>850</v>
      </c>
      <c r="M53" s="275">
        <f t="shared" si="5"/>
        <v>425</v>
      </c>
      <c r="N53" s="276">
        <v>0</v>
      </c>
      <c r="O53" s="275">
        <f t="shared" si="6"/>
        <v>0</v>
      </c>
      <c r="P53" s="276">
        <v>0.16</v>
      </c>
      <c r="Q53" s="275">
        <f t="shared" si="7"/>
        <v>68</v>
      </c>
      <c r="R53" s="275">
        <f t="shared" si="8"/>
        <v>493</v>
      </c>
      <c r="S53" s="277">
        <f>INDEX('Glosario Partidas'!$M$8:$M$10,MATCH(K53,'Glosario Partidas'!$L$8:$L$10,0))</f>
        <v>1</v>
      </c>
      <c r="T53" s="275">
        <f t="shared" si="9"/>
        <v>493</v>
      </c>
      <c r="U53" s="278"/>
      <c r="V53" s="260" t="s">
        <v>12</v>
      </c>
    </row>
    <row r="54" spans="1:22" ht="15" customHeight="1" x14ac:dyDescent="0.2">
      <c r="A54" s="260"/>
      <c r="B54" s="268" t="s">
        <v>199</v>
      </c>
      <c r="C54" s="268" t="s">
        <v>521</v>
      </c>
      <c r="D54" s="269" t="s">
        <v>522</v>
      </c>
      <c r="E54" s="171" t="s">
        <v>229</v>
      </c>
      <c r="F54" s="270"/>
      <c r="G54" s="271"/>
      <c r="H54" s="272" t="s">
        <v>498</v>
      </c>
      <c r="I54" s="273" t="s">
        <v>314</v>
      </c>
      <c r="J54" s="272">
        <f>2/2</f>
        <v>1</v>
      </c>
      <c r="K54" s="273" t="s">
        <v>269</v>
      </c>
      <c r="L54" s="274">
        <v>2500</v>
      </c>
      <c r="M54" s="275">
        <f t="shared" si="5"/>
        <v>2500</v>
      </c>
      <c r="N54" s="276">
        <v>0</v>
      </c>
      <c r="O54" s="275">
        <f t="shared" si="6"/>
        <v>0</v>
      </c>
      <c r="P54" s="276">
        <v>0.16</v>
      </c>
      <c r="Q54" s="275">
        <f t="shared" si="7"/>
        <v>400</v>
      </c>
      <c r="R54" s="275">
        <f t="shared" si="8"/>
        <v>2900</v>
      </c>
      <c r="S54" s="277">
        <f>INDEX('Glosario Partidas'!$M$8:$M$10,MATCH(K54,'Glosario Partidas'!$L$8:$L$10,0))</f>
        <v>1</v>
      </c>
      <c r="T54" s="275">
        <f t="shared" si="9"/>
        <v>2900</v>
      </c>
      <c r="U54" s="278"/>
      <c r="V54" s="260" t="s">
        <v>12</v>
      </c>
    </row>
    <row r="55" spans="1:22" ht="15" customHeight="1" x14ac:dyDescent="0.2">
      <c r="A55" s="260"/>
      <c r="B55" s="268" t="s">
        <v>199</v>
      </c>
      <c r="C55" s="268" t="s">
        <v>521</v>
      </c>
      <c r="D55" s="269" t="s">
        <v>523</v>
      </c>
      <c r="E55" s="171" t="s">
        <v>229</v>
      </c>
      <c r="F55" s="279"/>
      <c r="G55" s="271"/>
      <c r="H55" s="272" t="s">
        <v>498</v>
      </c>
      <c r="I55" s="273" t="s">
        <v>524</v>
      </c>
      <c r="J55" s="272">
        <f>1/2</f>
        <v>0.5</v>
      </c>
      <c r="K55" s="273" t="s">
        <v>269</v>
      </c>
      <c r="L55" s="274">
        <v>2500</v>
      </c>
      <c r="M55" s="275">
        <f t="shared" si="5"/>
        <v>1250</v>
      </c>
      <c r="N55" s="276">
        <v>0</v>
      </c>
      <c r="O55" s="275">
        <f t="shared" si="6"/>
        <v>0</v>
      </c>
      <c r="P55" s="276">
        <v>0.16</v>
      </c>
      <c r="Q55" s="275">
        <f t="shared" si="7"/>
        <v>200</v>
      </c>
      <c r="R55" s="275">
        <f t="shared" si="8"/>
        <v>1450</v>
      </c>
      <c r="S55" s="277">
        <f>INDEX('Glosario Partidas'!$M$8:$M$10,MATCH(K55,'Glosario Partidas'!$L$8:$L$10,0))</f>
        <v>1</v>
      </c>
      <c r="T55" s="275">
        <f t="shared" si="9"/>
        <v>1450</v>
      </c>
      <c r="U55" s="278"/>
      <c r="V55" s="260" t="s">
        <v>12</v>
      </c>
    </row>
    <row r="56" spans="1:22" ht="15" customHeight="1" x14ac:dyDescent="0.2">
      <c r="A56" s="260"/>
      <c r="B56" s="268" t="s">
        <v>199</v>
      </c>
      <c r="C56" s="268" t="s">
        <v>521</v>
      </c>
      <c r="D56" s="269" t="s">
        <v>504</v>
      </c>
      <c r="E56" s="171" t="s">
        <v>229</v>
      </c>
      <c r="F56" s="270"/>
      <c r="G56" s="271"/>
      <c r="H56" s="272" t="s">
        <v>498</v>
      </c>
      <c r="I56" s="273" t="s">
        <v>505</v>
      </c>
      <c r="J56" s="272">
        <f>1/2</f>
        <v>0.5</v>
      </c>
      <c r="K56" s="273" t="s">
        <v>269</v>
      </c>
      <c r="L56" s="274">
        <v>1500</v>
      </c>
      <c r="M56" s="275">
        <f t="shared" si="5"/>
        <v>750</v>
      </c>
      <c r="N56" s="276">
        <v>0</v>
      </c>
      <c r="O56" s="275">
        <f t="shared" si="6"/>
        <v>0</v>
      </c>
      <c r="P56" s="276">
        <v>0.16</v>
      </c>
      <c r="Q56" s="275">
        <f t="shared" si="7"/>
        <v>120</v>
      </c>
      <c r="R56" s="275">
        <f t="shared" si="8"/>
        <v>870</v>
      </c>
      <c r="S56" s="277">
        <f>INDEX('Glosario Partidas'!$M$8:$M$10,MATCH(K56,'Glosario Partidas'!$L$8:$L$10,0))</f>
        <v>1</v>
      </c>
      <c r="T56" s="275">
        <f t="shared" si="9"/>
        <v>870</v>
      </c>
      <c r="U56" s="278"/>
      <c r="V56" s="260" t="s">
        <v>12</v>
      </c>
    </row>
    <row r="57" spans="1:22" ht="15" customHeight="1" x14ac:dyDescent="0.2">
      <c r="A57" s="260"/>
      <c r="B57" s="268" t="s">
        <v>199</v>
      </c>
      <c r="C57" s="268" t="s">
        <v>521</v>
      </c>
      <c r="D57" s="269" t="s">
        <v>506</v>
      </c>
      <c r="E57" s="171" t="s">
        <v>229</v>
      </c>
      <c r="F57" s="270"/>
      <c r="G57" s="271"/>
      <c r="H57" s="272" t="s">
        <v>498</v>
      </c>
      <c r="I57" s="273" t="s">
        <v>505</v>
      </c>
      <c r="J57" s="272">
        <f>1/2</f>
        <v>0.5</v>
      </c>
      <c r="K57" s="273" t="s">
        <v>269</v>
      </c>
      <c r="L57" s="274">
        <v>2000</v>
      </c>
      <c r="M57" s="275">
        <f t="shared" si="5"/>
        <v>1000</v>
      </c>
      <c r="N57" s="276">
        <v>0</v>
      </c>
      <c r="O57" s="275">
        <f t="shared" si="6"/>
        <v>0</v>
      </c>
      <c r="P57" s="276">
        <v>0.16</v>
      </c>
      <c r="Q57" s="275">
        <f t="shared" si="7"/>
        <v>160</v>
      </c>
      <c r="R57" s="275">
        <f t="shared" si="8"/>
        <v>1160</v>
      </c>
      <c r="S57" s="277">
        <f>INDEX('Glosario Partidas'!$M$8:$M$10,MATCH(K57,'Glosario Partidas'!$L$8:$L$10,0))</f>
        <v>1</v>
      </c>
      <c r="T57" s="275">
        <f t="shared" si="9"/>
        <v>1160</v>
      </c>
      <c r="U57" s="278"/>
      <c r="V57" s="260" t="s">
        <v>12</v>
      </c>
    </row>
    <row r="58" spans="1:22" ht="15" customHeight="1" x14ac:dyDescent="0.2">
      <c r="A58" s="260"/>
      <c r="B58" s="268" t="s">
        <v>199</v>
      </c>
      <c r="C58" s="268" t="s">
        <v>521</v>
      </c>
      <c r="D58" s="269" t="s">
        <v>508</v>
      </c>
      <c r="E58" s="171" t="s">
        <v>229</v>
      </c>
      <c r="F58" s="270"/>
      <c r="G58" s="271"/>
      <c r="H58" s="272" t="s">
        <v>498</v>
      </c>
      <c r="I58" s="273" t="s">
        <v>509</v>
      </c>
      <c r="J58" s="272">
        <f>2/2</f>
        <v>1</v>
      </c>
      <c r="K58" s="273" t="s">
        <v>269</v>
      </c>
      <c r="L58" s="274">
        <v>35</v>
      </c>
      <c r="M58" s="275">
        <f t="shared" si="5"/>
        <v>35</v>
      </c>
      <c r="N58" s="276">
        <v>0</v>
      </c>
      <c r="O58" s="275">
        <f t="shared" si="6"/>
        <v>0</v>
      </c>
      <c r="P58" s="276">
        <v>0.16</v>
      </c>
      <c r="Q58" s="275">
        <f t="shared" si="7"/>
        <v>5.6000000000000005</v>
      </c>
      <c r="R58" s="275">
        <f t="shared" si="8"/>
        <v>40.6</v>
      </c>
      <c r="S58" s="277">
        <f>INDEX('Glosario Partidas'!$M$8:$M$10,MATCH(K58,'Glosario Partidas'!$L$8:$L$10,0))</f>
        <v>1</v>
      </c>
      <c r="T58" s="275">
        <f t="shared" si="9"/>
        <v>40.6</v>
      </c>
      <c r="U58" s="278"/>
      <c r="V58" s="260" t="s">
        <v>12</v>
      </c>
    </row>
    <row r="59" spans="1:22" ht="15" customHeight="1" x14ac:dyDescent="0.2">
      <c r="A59" s="260"/>
      <c r="B59" s="268" t="s">
        <v>199</v>
      </c>
      <c r="C59" s="268" t="s">
        <v>521</v>
      </c>
      <c r="D59" s="269" t="s">
        <v>510</v>
      </c>
      <c r="E59" s="171" t="s">
        <v>229</v>
      </c>
      <c r="F59" s="270"/>
      <c r="G59" s="271"/>
      <c r="H59" s="272" t="s">
        <v>498</v>
      </c>
      <c r="I59" s="273" t="s">
        <v>509</v>
      </c>
      <c r="J59" s="272">
        <f>2/2</f>
        <v>1</v>
      </c>
      <c r="K59" s="273" t="s">
        <v>269</v>
      </c>
      <c r="L59" s="274">
        <v>40</v>
      </c>
      <c r="M59" s="275">
        <f t="shared" si="5"/>
        <v>40</v>
      </c>
      <c r="N59" s="276">
        <v>0</v>
      </c>
      <c r="O59" s="275">
        <f t="shared" si="6"/>
        <v>0</v>
      </c>
      <c r="P59" s="276">
        <v>0.16</v>
      </c>
      <c r="Q59" s="275">
        <f t="shared" si="7"/>
        <v>6.4</v>
      </c>
      <c r="R59" s="275">
        <f t="shared" si="8"/>
        <v>46.4</v>
      </c>
      <c r="S59" s="277">
        <f>INDEX('Glosario Partidas'!$M$8:$M$10,MATCH(K59,'Glosario Partidas'!$L$8:$L$10,0))</f>
        <v>1</v>
      </c>
      <c r="T59" s="275">
        <f t="shared" si="9"/>
        <v>46.4</v>
      </c>
      <c r="U59" s="278"/>
      <c r="V59" s="260" t="s">
        <v>12</v>
      </c>
    </row>
    <row r="60" spans="1:22" ht="15" customHeight="1" x14ac:dyDescent="0.2">
      <c r="A60" s="260"/>
      <c r="B60" s="268" t="s">
        <v>199</v>
      </c>
      <c r="C60" s="268" t="s">
        <v>521</v>
      </c>
      <c r="D60" s="269" t="s">
        <v>511</v>
      </c>
      <c r="E60" s="171" t="s">
        <v>229</v>
      </c>
      <c r="F60" s="270"/>
      <c r="G60" s="271"/>
      <c r="H60" s="272" t="s">
        <v>498</v>
      </c>
      <c r="I60" s="273" t="s">
        <v>509</v>
      </c>
      <c r="J60" s="272">
        <f>2/2</f>
        <v>1</v>
      </c>
      <c r="K60" s="273" t="s">
        <v>269</v>
      </c>
      <c r="L60" s="274">
        <v>350</v>
      </c>
      <c r="M60" s="275">
        <f t="shared" si="5"/>
        <v>350</v>
      </c>
      <c r="N60" s="276">
        <v>0</v>
      </c>
      <c r="O60" s="275">
        <f t="shared" si="6"/>
        <v>0</v>
      </c>
      <c r="P60" s="276">
        <v>0.16</v>
      </c>
      <c r="Q60" s="275">
        <f t="shared" si="7"/>
        <v>56</v>
      </c>
      <c r="R60" s="275">
        <f t="shared" si="8"/>
        <v>406</v>
      </c>
      <c r="S60" s="277">
        <f>INDEX('Glosario Partidas'!$M$8:$M$10,MATCH(K60,'Glosario Partidas'!$L$8:$L$10,0))</f>
        <v>1</v>
      </c>
      <c r="T60" s="275">
        <f t="shared" si="9"/>
        <v>406</v>
      </c>
      <c r="U60" s="278"/>
      <c r="V60" s="260" t="s">
        <v>12</v>
      </c>
    </row>
    <row r="61" spans="1:22" ht="15" customHeight="1" x14ac:dyDescent="0.2">
      <c r="A61" s="260"/>
      <c r="B61" s="268" t="s">
        <v>199</v>
      </c>
      <c r="C61" s="268" t="s">
        <v>521</v>
      </c>
      <c r="D61" s="269" t="s">
        <v>512</v>
      </c>
      <c r="E61" s="171" t="s">
        <v>229</v>
      </c>
      <c r="F61" s="270"/>
      <c r="G61" s="271"/>
      <c r="H61" s="272" t="s">
        <v>498</v>
      </c>
      <c r="I61" s="273" t="s">
        <v>509</v>
      </c>
      <c r="J61" s="272">
        <f>2/2</f>
        <v>1</v>
      </c>
      <c r="K61" s="273" t="s">
        <v>269</v>
      </c>
      <c r="L61" s="274">
        <v>300</v>
      </c>
      <c r="M61" s="275">
        <f t="shared" si="5"/>
        <v>300</v>
      </c>
      <c r="N61" s="276">
        <v>0</v>
      </c>
      <c r="O61" s="275">
        <f t="shared" si="6"/>
        <v>0</v>
      </c>
      <c r="P61" s="276">
        <v>0.16</v>
      </c>
      <c r="Q61" s="275">
        <f t="shared" si="7"/>
        <v>48</v>
      </c>
      <c r="R61" s="275">
        <f t="shared" si="8"/>
        <v>348</v>
      </c>
      <c r="S61" s="277">
        <f>INDEX('Glosario Partidas'!$M$8:$M$10,MATCH(K61,'Glosario Partidas'!$L$8:$L$10,0))</f>
        <v>1</v>
      </c>
      <c r="T61" s="275">
        <f t="shared" si="9"/>
        <v>348</v>
      </c>
      <c r="U61" s="278"/>
      <c r="V61" s="260" t="s">
        <v>12</v>
      </c>
    </row>
    <row r="62" spans="1:22" ht="15" customHeight="1" x14ac:dyDescent="0.2">
      <c r="A62" s="260"/>
      <c r="B62" s="268" t="s">
        <v>199</v>
      </c>
      <c r="C62" s="268" t="s">
        <v>521</v>
      </c>
      <c r="D62" s="269" t="s">
        <v>525</v>
      </c>
      <c r="E62" s="171" t="s">
        <v>229</v>
      </c>
      <c r="F62" s="270"/>
      <c r="G62" s="271"/>
      <c r="H62" s="272" t="s">
        <v>498</v>
      </c>
      <c r="I62" s="273" t="s">
        <v>509</v>
      </c>
      <c r="J62" s="272">
        <f>1/2</f>
        <v>0.5</v>
      </c>
      <c r="K62" s="273" t="s">
        <v>269</v>
      </c>
      <c r="L62" s="274">
        <v>600</v>
      </c>
      <c r="M62" s="275">
        <f t="shared" si="5"/>
        <v>300</v>
      </c>
      <c r="N62" s="276">
        <v>0</v>
      </c>
      <c r="O62" s="275">
        <f t="shared" si="6"/>
        <v>0</v>
      </c>
      <c r="P62" s="276">
        <v>0.16</v>
      </c>
      <c r="Q62" s="275">
        <f t="shared" si="7"/>
        <v>48</v>
      </c>
      <c r="R62" s="275">
        <f t="shared" si="8"/>
        <v>348</v>
      </c>
      <c r="S62" s="277">
        <f>INDEX('Glosario Partidas'!$M$8:$M$10,MATCH(K62,'Glosario Partidas'!$L$8:$L$10,0))</f>
        <v>1</v>
      </c>
      <c r="T62" s="275">
        <f t="shared" si="9"/>
        <v>348</v>
      </c>
      <c r="U62" s="278"/>
      <c r="V62" s="260" t="s">
        <v>12</v>
      </c>
    </row>
    <row r="63" spans="1:22" ht="15" customHeight="1" x14ac:dyDescent="0.2">
      <c r="A63" s="260"/>
      <c r="B63" s="268" t="s">
        <v>199</v>
      </c>
      <c r="C63" s="268" t="s">
        <v>521</v>
      </c>
      <c r="D63" s="269" t="s">
        <v>526</v>
      </c>
      <c r="E63" s="171" t="s">
        <v>229</v>
      </c>
      <c r="F63" s="270"/>
      <c r="G63" s="271"/>
      <c r="H63" s="272" t="s">
        <v>498</v>
      </c>
      <c r="I63" s="273" t="s">
        <v>516</v>
      </c>
      <c r="J63" s="272">
        <f>1/2</f>
        <v>0.5</v>
      </c>
      <c r="K63" s="273" t="s">
        <v>269</v>
      </c>
      <c r="L63" s="274">
        <v>5000</v>
      </c>
      <c r="M63" s="275">
        <f t="shared" si="5"/>
        <v>2500</v>
      </c>
      <c r="N63" s="276">
        <v>0</v>
      </c>
      <c r="O63" s="275">
        <f t="shared" si="6"/>
        <v>0</v>
      </c>
      <c r="P63" s="276">
        <v>0.16</v>
      </c>
      <c r="Q63" s="275">
        <f t="shared" si="7"/>
        <v>400</v>
      </c>
      <c r="R63" s="275">
        <f t="shared" si="8"/>
        <v>2900</v>
      </c>
      <c r="S63" s="277">
        <f>INDEX('Glosario Partidas'!$M$8:$M$10,MATCH(K63,'Glosario Partidas'!$L$8:$L$10,0))</f>
        <v>1</v>
      </c>
      <c r="T63" s="275">
        <f t="shared" si="9"/>
        <v>2900</v>
      </c>
      <c r="U63" s="278"/>
      <c r="V63" s="260" t="s">
        <v>12</v>
      </c>
    </row>
    <row r="64" spans="1:22" ht="15" customHeight="1" x14ac:dyDescent="0.2">
      <c r="A64" s="260"/>
      <c r="B64" s="253" t="s">
        <v>185</v>
      </c>
      <c r="C64" s="280"/>
      <c r="D64" s="281"/>
      <c r="E64" s="282"/>
      <c r="F64" s="281"/>
      <c r="G64" s="282"/>
      <c r="H64" s="283"/>
      <c r="I64" s="284"/>
      <c r="J64" s="283"/>
      <c r="K64" s="284"/>
      <c r="L64" s="285"/>
      <c r="M64" s="286">
        <f>SUM(M4:M63)</f>
        <v>168435</v>
      </c>
      <c r="N64" s="287"/>
      <c r="O64" s="285"/>
      <c r="P64" s="287"/>
      <c r="Q64" s="285"/>
      <c r="R64" s="286">
        <f>SUM(R4:R63)</f>
        <v>195384.59999999998</v>
      </c>
      <c r="S64" s="288"/>
      <c r="T64" s="286">
        <f>SUM(T4:T63)</f>
        <v>195384.59999999998</v>
      </c>
      <c r="U64" s="285"/>
      <c r="V64" s="280"/>
    </row>
    <row r="65" ht="19.5" customHeight="1" x14ac:dyDescent="0.2"/>
  </sheetData>
  <hyperlinks>
    <hyperlink ref="A3" location="'BUY OUT'!A1" display="⬅ Resumen PU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6"/>
  <sheetViews>
    <sheetView zoomScaleNormal="100" workbookViewId="0">
      <selection activeCell="J35" sqref="J35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89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2" ht="15" customHeight="1" x14ac:dyDescent="0.2">
      <c r="A2" s="291">
        <v>45901</v>
      </c>
      <c r="B2" s="259" t="s">
        <v>495</v>
      </c>
      <c r="C2" s="273"/>
      <c r="D2" s="273"/>
      <c r="E2" s="292"/>
      <c r="F2" s="273"/>
      <c r="G2" s="292"/>
      <c r="H2" s="272"/>
      <c r="I2" s="273"/>
      <c r="J2" s="272"/>
      <c r="K2" s="273"/>
      <c r="L2" s="275"/>
      <c r="M2" s="275"/>
      <c r="N2" s="293"/>
      <c r="O2" s="275"/>
      <c r="P2" s="293"/>
      <c r="Q2" s="275"/>
      <c r="R2" s="275"/>
      <c r="S2" s="277"/>
      <c r="T2" s="275"/>
      <c r="U2" s="275"/>
      <c r="V2" s="273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0"/>
      <c r="B4" s="268" t="s">
        <v>199</v>
      </c>
      <c r="C4" s="268" t="s">
        <v>527</v>
      </c>
      <c r="D4" s="269" t="s">
        <v>528</v>
      </c>
      <c r="E4" s="171" t="s">
        <v>220</v>
      </c>
      <c r="F4" s="270"/>
      <c r="G4" s="271"/>
      <c r="H4" s="272" t="s">
        <v>529</v>
      </c>
      <c r="I4" s="273" t="s">
        <v>314</v>
      </c>
      <c r="J4" s="272">
        <f t="shared" ref="J4:J13" si="0">1/2</f>
        <v>0.5</v>
      </c>
      <c r="K4" s="273" t="s">
        <v>269</v>
      </c>
      <c r="L4" s="274">
        <f>75000</f>
        <v>75000</v>
      </c>
      <c r="M4" s="275">
        <f t="shared" ref="M4:M13" si="1">J4*L4</f>
        <v>37500</v>
      </c>
      <c r="N4" s="276">
        <v>0</v>
      </c>
      <c r="O4" s="275">
        <f t="shared" ref="O4:O13" si="2">M4*N4</f>
        <v>0</v>
      </c>
      <c r="P4" s="276">
        <v>0.16</v>
      </c>
      <c r="Q4" s="275">
        <f t="shared" ref="Q4:Q13" si="3">(M4+O4)*P4</f>
        <v>6000</v>
      </c>
      <c r="R4" s="275">
        <f t="shared" ref="R4:R13" si="4">M4+O4+Q4</f>
        <v>43500</v>
      </c>
      <c r="S4" s="277">
        <f>INDEX('Glosario Partidas'!$M$8:$M$10,MATCH(K4,'Glosario Partidas'!$L$8:$L$10,0))</f>
        <v>1</v>
      </c>
      <c r="T4" s="275">
        <f t="shared" ref="T4:T13" si="5">R4*S4</f>
        <v>43500</v>
      </c>
      <c r="U4" s="278"/>
      <c r="V4" s="260" t="s">
        <v>12</v>
      </c>
    </row>
    <row r="5" spans="1:22" ht="15" customHeight="1" x14ac:dyDescent="0.2">
      <c r="A5" s="260"/>
      <c r="B5" s="268" t="s">
        <v>199</v>
      </c>
      <c r="C5" s="268" t="s">
        <v>527</v>
      </c>
      <c r="D5" s="269" t="s">
        <v>530</v>
      </c>
      <c r="E5" s="171" t="s">
        <v>220</v>
      </c>
      <c r="F5" s="270"/>
      <c r="G5" s="271"/>
      <c r="H5" s="272" t="s">
        <v>529</v>
      </c>
      <c r="I5" s="273" t="s">
        <v>314</v>
      </c>
      <c r="J5" s="272">
        <f t="shared" si="0"/>
        <v>0.5</v>
      </c>
      <c r="K5" s="273" t="s">
        <v>269</v>
      </c>
      <c r="L5" s="274">
        <f>70000</f>
        <v>70000</v>
      </c>
      <c r="M5" s="275">
        <f t="shared" si="1"/>
        <v>35000</v>
      </c>
      <c r="N5" s="276">
        <v>0</v>
      </c>
      <c r="O5" s="275">
        <f t="shared" si="2"/>
        <v>0</v>
      </c>
      <c r="P5" s="276">
        <v>0.16</v>
      </c>
      <c r="Q5" s="275">
        <f t="shared" si="3"/>
        <v>5600</v>
      </c>
      <c r="R5" s="275">
        <f t="shared" si="4"/>
        <v>40600</v>
      </c>
      <c r="S5" s="277">
        <f>INDEX('Glosario Partidas'!$M$8:$M$10,MATCH(K5,'Glosario Partidas'!$L$8:$L$10,0))</f>
        <v>1</v>
      </c>
      <c r="T5" s="275">
        <f t="shared" si="5"/>
        <v>40600</v>
      </c>
      <c r="U5" s="278"/>
      <c r="V5" s="260" t="s">
        <v>12</v>
      </c>
    </row>
    <row r="6" spans="1:22" ht="15" customHeight="1" x14ac:dyDescent="0.2">
      <c r="A6" s="260"/>
      <c r="B6" s="268" t="s">
        <v>199</v>
      </c>
      <c r="C6" s="268" t="s">
        <v>527</v>
      </c>
      <c r="D6" s="269" t="s">
        <v>531</v>
      </c>
      <c r="E6" s="171" t="s">
        <v>220</v>
      </c>
      <c r="F6" s="270"/>
      <c r="G6" s="271"/>
      <c r="H6" s="272" t="s">
        <v>529</v>
      </c>
      <c r="I6" s="273" t="s">
        <v>314</v>
      </c>
      <c r="J6" s="272">
        <f t="shared" si="0"/>
        <v>0.5</v>
      </c>
      <c r="K6" s="273" t="s">
        <v>269</v>
      </c>
      <c r="L6" s="274">
        <f>70000</f>
        <v>70000</v>
      </c>
      <c r="M6" s="275">
        <f t="shared" si="1"/>
        <v>35000</v>
      </c>
      <c r="N6" s="276">
        <v>0</v>
      </c>
      <c r="O6" s="275">
        <f t="shared" si="2"/>
        <v>0</v>
      </c>
      <c r="P6" s="276">
        <v>0.16</v>
      </c>
      <c r="Q6" s="275">
        <f t="shared" si="3"/>
        <v>5600</v>
      </c>
      <c r="R6" s="275">
        <f t="shared" si="4"/>
        <v>40600</v>
      </c>
      <c r="S6" s="277">
        <f>INDEX('Glosario Partidas'!$M$8:$M$10,MATCH(K6,'Glosario Partidas'!$L$8:$L$10,0))</f>
        <v>1</v>
      </c>
      <c r="T6" s="275">
        <f t="shared" si="5"/>
        <v>40600</v>
      </c>
      <c r="U6" s="278"/>
      <c r="V6" s="260" t="s">
        <v>12</v>
      </c>
    </row>
    <row r="7" spans="1:22" ht="15" customHeight="1" x14ac:dyDescent="0.2">
      <c r="A7" s="260"/>
      <c r="B7" s="268" t="s">
        <v>199</v>
      </c>
      <c r="C7" s="268" t="s">
        <v>527</v>
      </c>
      <c r="D7" s="269" t="s">
        <v>532</v>
      </c>
      <c r="E7" s="171" t="s">
        <v>220</v>
      </c>
      <c r="F7" s="270"/>
      <c r="G7" s="271"/>
      <c r="H7" s="272" t="s">
        <v>529</v>
      </c>
      <c r="I7" s="273" t="s">
        <v>314</v>
      </c>
      <c r="J7" s="272">
        <f t="shared" si="0"/>
        <v>0.5</v>
      </c>
      <c r="K7" s="273" t="s">
        <v>269</v>
      </c>
      <c r="L7" s="274">
        <f>70000</f>
        <v>70000</v>
      </c>
      <c r="M7" s="275">
        <f t="shared" si="1"/>
        <v>35000</v>
      </c>
      <c r="N7" s="276">
        <v>0</v>
      </c>
      <c r="O7" s="275">
        <f t="shared" si="2"/>
        <v>0</v>
      </c>
      <c r="P7" s="276">
        <v>0.16</v>
      </c>
      <c r="Q7" s="275">
        <f t="shared" si="3"/>
        <v>5600</v>
      </c>
      <c r="R7" s="275">
        <f t="shared" si="4"/>
        <v>40600</v>
      </c>
      <c r="S7" s="277">
        <f>INDEX('Glosario Partidas'!$M$8:$M$10,MATCH(K7,'Glosario Partidas'!$L$8:$L$10,0))</f>
        <v>1</v>
      </c>
      <c r="T7" s="275">
        <f t="shared" si="5"/>
        <v>40600</v>
      </c>
      <c r="U7" s="278"/>
      <c r="V7" s="260" t="s">
        <v>12</v>
      </c>
    </row>
    <row r="8" spans="1:22" ht="15" customHeight="1" x14ac:dyDescent="0.2">
      <c r="A8" s="260"/>
      <c r="B8" s="268" t="s">
        <v>199</v>
      </c>
      <c r="C8" s="268" t="s">
        <v>527</v>
      </c>
      <c r="D8" s="269" t="s">
        <v>533</v>
      </c>
      <c r="E8" s="171" t="s">
        <v>220</v>
      </c>
      <c r="F8" s="270"/>
      <c r="G8" s="271"/>
      <c r="H8" s="272" t="s">
        <v>529</v>
      </c>
      <c r="I8" s="273" t="s">
        <v>314</v>
      </c>
      <c r="J8" s="272">
        <f t="shared" si="0"/>
        <v>0.5</v>
      </c>
      <c r="K8" s="273" t="s">
        <v>269</v>
      </c>
      <c r="L8" s="274">
        <f>85000</f>
        <v>85000</v>
      </c>
      <c r="M8" s="275">
        <f t="shared" si="1"/>
        <v>42500</v>
      </c>
      <c r="N8" s="276">
        <v>0</v>
      </c>
      <c r="O8" s="275">
        <f t="shared" si="2"/>
        <v>0</v>
      </c>
      <c r="P8" s="276">
        <v>0.16</v>
      </c>
      <c r="Q8" s="275">
        <f t="shared" si="3"/>
        <v>6800</v>
      </c>
      <c r="R8" s="275">
        <f t="shared" si="4"/>
        <v>49300</v>
      </c>
      <c r="S8" s="277">
        <f>INDEX('Glosario Partidas'!$M$8:$M$10,MATCH(K8,'Glosario Partidas'!$L$8:$L$10,0))</f>
        <v>1</v>
      </c>
      <c r="T8" s="275">
        <f t="shared" si="5"/>
        <v>49300</v>
      </c>
      <c r="U8" s="278"/>
      <c r="V8" s="260" t="s">
        <v>12</v>
      </c>
    </row>
    <row r="9" spans="1:22" ht="15" customHeight="1" x14ac:dyDescent="0.2">
      <c r="A9" s="260"/>
      <c r="B9" s="268" t="s">
        <v>199</v>
      </c>
      <c r="C9" s="268" t="s">
        <v>527</v>
      </c>
      <c r="D9" s="269" t="s">
        <v>528</v>
      </c>
      <c r="E9" s="171" t="s">
        <v>229</v>
      </c>
      <c r="F9" s="270"/>
      <c r="G9" s="271"/>
      <c r="H9" s="272" t="s">
        <v>529</v>
      </c>
      <c r="I9" s="273" t="s">
        <v>314</v>
      </c>
      <c r="J9" s="272">
        <f t="shared" si="0"/>
        <v>0.5</v>
      </c>
      <c r="K9" s="273" t="s">
        <v>269</v>
      </c>
      <c r="L9" s="274">
        <f>75000</f>
        <v>75000</v>
      </c>
      <c r="M9" s="275">
        <f t="shared" si="1"/>
        <v>37500</v>
      </c>
      <c r="N9" s="276">
        <v>0</v>
      </c>
      <c r="O9" s="275">
        <f t="shared" si="2"/>
        <v>0</v>
      </c>
      <c r="P9" s="276">
        <v>0.16</v>
      </c>
      <c r="Q9" s="275">
        <f t="shared" si="3"/>
        <v>6000</v>
      </c>
      <c r="R9" s="275">
        <f t="shared" si="4"/>
        <v>43500</v>
      </c>
      <c r="S9" s="277">
        <f>INDEX('Glosario Partidas'!$M$8:$M$10,MATCH(K9,'Glosario Partidas'!$L$8:$L$10,0))</f>
        <v>1</v>
      </c>
      <c r="T9" s="275">
        <f t="shared" si="5"/>
        <v>43500</v>
      </c>
      <c r="U9" s="278"/>
      <c r="V9" s="260" t="s">
        <v>12</v>
      </c>
    </row>
    <row r="10" spans="1:22" ht="15" customHeight="1" x14ac:dyDescent="0.2">
      <c r="A10" s="260"/>
      <c r="B10" s="268" t="s">
        <v>199</v>
      </c>
      <c r="C10" s="268" t="s">
        <v>527</v>
      </c>
      <c r="D10" s="269" t="s">
        <v>530</v>
      </c>
      <c r="E10" s="171" t="s">
        <v>229</v>
      </c>
      <c r="F10" s="270"/>
      <c r="G10" s="271"/>
      <c r="H10" s="272" t="s">
        <v>529</v>
      </c>
      <c r="I10" s="273" t="s">
        <v>314</v>
      </c>
      <c r="J10" s="272">
        <f t="shared" si="0"/>
        <v>0.5</v>
      </c>
      <c r="K10" s="273" t="s">
        <v>269</v>
      </c>
      <c r="L10" s="274">
        <f>70000</f>
        <v>70000</v>
      </c>
      <c r="M10" s="275">
        <f t="shared" si="1"/>
        <v>35000</v>
      </c>
      <c r="N10" s="276">
        <v>0</v>
      </c>
      <c r="O10" s="275">
        <f t="shared" si="2"/>
        <v>0</v>
      </c>
      <c r="P10" s="276">
        <v>0.16</v>
      </c>
      <c r="Q10" s="275">
        <f t="shared" si="3"/>
        <v>5600</v>
      </c>
      <c r="R10" s="275">
        <f t="shared" si="4"/>
        <v>40600</v>
      </c>
      <c r="S10" s="277">
        <f>INDEX('Glosario Partidas'!$M$8:$M$10,MATCH(K10,'Glosario Partidas'!$L$8:$L$10,0))</f>
        <v>1</v>
      </c>
      <c r="T10" s="275">
        <f t="shared" si="5"/>
        <v>40600</v>
      </c>
      <c r="U10" s="278"/>
      <c r="V10" s="260" t="s">
        <v>12</v>
      </c>
    </row>
    <row r="11" spans="1:22" ht="15" customHeight="1" x14ac:dyDescent="0.2">
      <c r="A11" s="260"/>
      <c r="B11" s="268" t="s">
        <v>199</v>
      </c>
      <c r="C11" s="268" t="s">
        <v>527</v>
      </c>
      <c r="D11" s="269" t="s">
        <v>531</v>
      </c>
      <c r="E11" s="171" t="s">
        <v>229</v>
      </c>
      <c r="F11" s="270"/>
      <c r="G11" s="271"/>
      <c r="H11" s="272" t="s">
        <v>529</v>
      </c>
      <c r="I11" s="273" t="s">
        <v>314</v>
      </c>
      <c r="J11" s="272">
        <f t="shared" si="0"/>
        <v>0.5</v>
      </c>
      <c r="K11" s="273" t="s">
        <v>269</v>
      </c>
      <c r="L11" s="274">
        <f>70000</f>
        <v>70000</v>
      </c>
      <c r="M11" s="275">
        <f t="shared" si="1"/>
        <v>35000</v>
      </c>
      <c r="N11" s="276">
        <v>0</v>
      </c>
      <c r="O11" s="275">
        <f t="shared" si="2"/>
        <v>0</v>
      </c>
      <c r="P11" s="276">
        <v>0.16</v>
      </c>
      <c r="Q11" s="275">
        <f t="shared" si="3"/>
        <v>5600</v>
      </c>
      <c r="R11" s="275">
        <f t="shared" si="4"/>
        <v>40600</v>
      </c>
      <c r="S11" s="277">
        <f>INDEX('Glosario Partidas'!$M$8:$M$10,MATCH(K11,'Glosario Partidas'!$L$8:$L$10,0))</f>
        <v>1</v>
      </c>
      <c r="T11" s="275">
        <f t="shared" si="5"/>
        <v>40600</v>
      </c>
      <c r="U11" s="278"/>
      <c r="V11" s="260" t="s">
        <v>12</v>
      </c>
    </row>
    <row r="12" spans="1:22" ht="15" customHeight="1" x14ac:dyDescent="0.2">
      <c r="A12" s="260"/>
      <c r="B12" s="268" t="s">
        <v>199</v>
      </c>
      <c r="C12" s="268" t="s">
        <v>527</v>
      </c>
      <c r="D12" s="269" t="s">
        <v>532</v>
      </c>
      <c r="E12" s="171" t="s">
        <v>229</v>
      </c>
      <c r="F12" s="270"/>
      <c r="G12" s="271"/>
      <c r="H12" s="272" t="s">
        <v>529</v>
      </c>
      <c r="I12" s="273" t="s">
        <v>314</v>
      </c>
      <c r="J12" s="272">
        <f t="shared" si="0"/>
        <v>0.5</v>
      </c>
      <c r="K12" s="273" t="s">
        <v>269</v>
      </c>
      <c r="L12" s="274">
        <f>70000</f>
        <v>70000</v>
      </c>
      <c r="M12" s="275">
        <f t="shared" si="1"/>
        <v>35000</v>
      </c>
      <c r="N12" s="276">
        <v>0</v>
      </c>
      <c r="O12" s="275">
        <f t="shared" si="2"/>
        <v>0</v>
      </c>
      <c r="P12" s="276">
        <v>0.16</v>
      </c>
      <c r="Q12" s="275">
        <f t="shared" si="3"/>
        <v>5600</v>
      </c>
      <c r="R12" s="275">
        <f t="shared" si="4"/>
        <v>40600</v>
      </c>
      <c r="S12" s="277">
        <f>INDEX('Glosario Partidas'!$M$8:$M$10,MATCH(K12,'Glosario Partidas'!$L$8:$L$10,0))</f>
        <v>1</v>
      </c>
      <c r="T12" s="275">
        <f t="shared" si="5"/>
        <v>40600</v>
      </c>
      <c r="U12" s="278"/>
      <c r="V12" s="260" t="s">
        <v>12</v>
      </c>
    </row>
    <row r="13" spans="1:22" ht="15" customHeight="1" x14ac:dyDescent="0.2">
      <c r="A13" s="260"/>
      <c r="B13" s="268" t="s">
        <v>199</v>
      </c>
      <c r="C13" s="268" t="s">
        <v>527</v>
      </c>
      <c r="D13" s="269" t="s">
        <v>533</v>
      </c>
      <c r="E13" s="171" t="s">
        <v>229</v>
      </c>
      <c r="F13" s="270"/>
      <c r="G13" s="271"/>
      <c r="H13" s="272" t="s">
        <v>529</v>
      </c>
      <c r="I13" s="273" t="s">
        <v>314</v>
      </c>
      <c r="J13" s="272">
        <f t="shared" si="0"/>
        <v>0.5</v>
      </c>
      <c r="K13" s="273" t="s">
        <v>269</v>
      </c>
      <c r="L13" s="274">
        <f>85000</f>
        <v>85000</v>
      </c>
      <c r="M13" s="275">
        <f t="shared" si="1"/>
        <v>42500</v>
      </c>
      <c r="N13" s="276">
        <v>0</v>
      </c>
      <c r="O13" s="275">
        <f t="shared" si="2"/>
        <v>0</v>
      </c>
      <c r="P13" s="276">
        <v>0.16</v>
      </c>
      <c r="Q13" s="275">
        <f t="shared" si="3"/>
        <v>6800</v>
      </c>
      <c r="R13" s="275">
        <f t="shared" si="4"/>
        <v>49300</v>
      </c>
      <c r="S13" s="277">
        <f>INDEX('Glosario Partidas'!$M$8:$M$10,MATCH(K13,'Glosario Partidas'!$L$8:$L$10,0))</f>
        <v>1</v>
      </c>
      <c r="T13" s="275">
        <f t="shared" si="5"/>
        <v>49300</v>
      </c>
      <c r="U13" s="278"/>
      <c r="V13" s="260" t="s">
        <v>12</v>
      </c>
    </row>
    <row r="14" spans="1:22" ht="15" customHeight="1" x14ac:dyDescent="0.2">
      <c r="A14" s="268"/>
      <c r="B14" s="253" t="s">
        <v>185</v>
      </c>
      <c r="C14" s="253"/>
      <c r="D14" s="294"/>
      <c r="E14" s="295"/>
      <c r="F14" s="296"/>
      <c r="G14" s="295"/>
      <c r="H14" s="297"/>
      <c r="I14" s="132"/>
      <c r="J14" s="297"/>
      <c r="K14" s="132"/>
      <c r="L14" s="286"/>
      <c r="M14" s="286">
        <f>SUM(M4:M13)</f>
        <v>370000</v>
      </c>
      <c r="N14" s="298"/>
      <c r="O14" s="286"/>
      <c r="P14" s="298"/>
      <c r="Q14" s="286"/>
      <c r="R14" s="286">
        <f>SUM(R4:R13)</f>
        <v>429200</v>
      </c>
      <c r="S14" s="299"/>
      <c r="T14" s="286">
        <f>SUM(T4:T13)</f>
        <v>429200</v>
      </c>
      <c r="U14" s="286"/>
      <c r="V14" s="253"/>
    </row>
    <row r="16" spans="1:22" ht="19.5" customHeight="1" x14ac:dyDescent="0.2"/>
  </sheetData>
  <hyperlinks>
    <hyperlink ref="A3" location="'BUY OUT'!A1" display="⬅ Resumen PU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8"/>
  <sheetViews>
    <sheetView zoomScaleNormal="100" workbookViewId="0"/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89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2" ht="15" customHeight="1" x14ac:dyDescent="0.2">
      <c r="A2" s="291">
        <v>45931</v>
      </c>
      <c r="B2" s="259" t="s">
        <v>495</v>
      </c>
      <c r="C2" s="273"/>
      <c r="D2" s="273"/>
      <c r="E2" s="292"/>
      <c r="F2" s="273"/>
      <c r="G2" s="292"/>
      <c r="H2" s="272"/>
      <c r="I2" s="273"/>
      <c r="J2" s="272"/>
      <c r="K2" s="273"/>
      <c r="L2" s="275"/>
      <c r="M2" s="275"/>
      <c r="N2" s="293"/>
      <c r="O2" s="275"/>
      <c r="P2" s="293"/>
      <c r="Q2" s="275"/>
      <c r="R2" s="275"/>
      <c r="S2" s="277"/>
      <c r="T2" s="275"/>
      <c r="U2" s="275"/>
      <c r="V2" s="273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8"/>
      <c r="B4" s="268" t="s">
        <v>199</v>
      </c>
      <c r="C4" s="268" t="s">
        <v>32</v>
      </c>
      <c r="D4" s="269" t="s">
        <v>534</v>
      </c>
      <c r="E4" s="171" t="s">
        <v>220</v>
      </c>
      <c r="F4" s="269"/>
      <c r="G4" s="292"/>
      <c r="H4" s="272" t="s">
        <v>535</v>
      </c>
      <c r="I4" s="273" t="s">
        <v>314</v>
      </c>
      <c r="J4" s="272">
        <f>1/2</f>
        <v>0.5</v>
      </c>
      <c r="K4" s="273" t="s">
        <v>269</v>
      </c>
      <c r="L4" s="275">
        <f>130000</f>
        <v>130000</v>
      </c>
      <c r="M4" s="275">
        <f>J4*L4</f>
        <v>65000</v>
      </c>
      <c r="N4" s="276">
        <v>0</v>
      </c>
      <c r="O4" s="275">
        <f>M4*N4</f>
        <v>0</v>
      </c>
      <c r="P4" s="276">
        <v>0.16</v>
      </c>
      <c r="Q4" s="275">
        <f>(M4+O4)*P4</f>
        <v>10400</v>
      </c>
      <c r="R4" s="275">
        <f>M4+O4+Q4</f>
        <v>75400</v>
      </c>
      <c r="S4" s="300">
        <f>INDEX('Glosario Partidas'!$M$8:$M$10,MATCH(K4,'Glosario Partidas'!$L$8:$L$10,0))</f>
        <v>1</v>
      </c>
      <c r="T4" s="275">
        <f>R4*S4</f>
        <v>75400</v>
      </c>
      <c r="U4" s="275"/>
      <c r="V4" s="249" t="s">
        <v>12</v>
      </c>
    </row>
    <row r="5" spans="1:22" ht="15" customHeight="1" x14ac:dyDescent="0.2">
      <c r="A5" s="268"/>
      <c r="B5" s="268" t="s">
        <v>199</v>
      </c>
      <c r="C5" s="268" t="s">
        <v>32</v>
      </c>
      <c r="D5" s="269" t="s">
        <v>534</v>
      </c>
      <c r="E5" s="171" t="s">
        <v>229</v>
      </c>
      <c r="F5" s="269"/>
      <c r="G5" s="292"/>
      <c r="H5" s="272" t="s">
        <v>535</v>
      </c>
      <c r="I5" s="273" t="s">
        <v>314</v>
      </c>
      <c r="J5" s="272">
        <f>1/2</f>
        <v>0.5</v>
      </c>
      <c r="K5" s="273" t="s">
        <v>269</v>
      </c>
      <c r="L5" s="275">
        <f>130000</f>
        <v>130000</v>
      </c>
      <c r="M5" s="275">
        <f>J5*L5</f>
        <v>65000</v>
      </c>
      <c r="N5" s="276">
        <v>0</v>
      </c>
      <c r="O5" s="275">
        <f>M5*N5</f>
        <v>0</v>
      </c>
      <c r="P5" s="276">
        <v>0.16</v>
      </c>
      <c r="Q5" s="275">
        <f>(M5+O5)*P5</f>
        <v>10400</v>
      </c>
      <c r="R5" s="275">
        <f>M5+O5+Q5</f>
        <v>75400</v>
      </c>
      <c r="S5" s="300">
        <f>INDEX('Glosario Partidas'!$M$8:$M$10,MATCH(K5,'Glosario Partidas'!$L$8:$L$10,0))</f>
        <v>1</v>
      </c>
      <c r="T5" s="275">
        <f>R5*S5</f>
        <v>75400</v>
      </c>
      <c r="U5" s="275"/>
      <c r="V5" s="249" t="s">
        <v>12</v>
      </c>
    </row>
    <row r="6" spans="1:22" ht="15" customHeight="1" x14ac:dyDescent="0.2">
      <c r="A6" s="268"/>
      <c r="B6" s="253" t="s">
        <v>185</v>
      </c>
      <c r="C6" s="253"/>
      <c r="D6" s="294"/>
      <c r="E6" s="295"/>
      <c r="F6" s="294"/>
      <c r="G6" s="295"/>
      <c r="H6" s="297"/>
      <c r="I6" s="132"/>
      <c r="J6" s="297"/>
      <c r="K6" s="132"/>
      <c r="L6" s="286"/>
      <c r="M6" s="286">
        <f>SUM(M4:M5)</f>
        <v>130000</v>
      </c>
      <c r="N6" s="298"/>
      <c r="O6" s="286"/>
      <c r="P6" s="298"/>
      <c r="Q6" s="286"/>
      <c r="R6" s="286">
        <f>SUM(R4:R5)</f>
        <v>150800</v>
      </c>
      <c r="S6" s="299"/>
      <c r="T6" s="286">
        <f>SUM(T4:T5)</f>
        <v>150800</v>
      </c>
      <c r="U6" s="286"/>
      <c r="V6" s="253"/>
    </row>
    <row r="8" spans="1:22" ht="19.5" customHeight="1" x14ac:dyDescent="0.2"/>
  </sheetData>
  <hyperlinks>
    <hyperlink ref="A3" location="'BUY OUT'!A1" display="⬅ Resumen PU" xr:uid="{00000000-0004-0000-0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8"/>
  <sheetViews>
    <sheetView zoomScaleNormal="100" workbookViewId="0"/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89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2" ht="15" customHeight="1" x14ac:dyDescent="0.2">
      <c r="A2" s="291">
        <v>45901</v>
      </c>
      <c r="B2" s="259" t="s">
        <v>495</v>
      </c>
      <c r="C2" s="273"/>
      <c r="D2" s="273"/>
      <c r="E2" s="292"/>
      <c r="F2" s="273"/>
      <c r="G2" s="292"/>
      <c r="H2" s="272"/>
      <c r="I2" s="273"/>
      <c r="J2" s="272"/>
      <c r="K2" s="273"/>
      <c r="L2" s="275"/>
      <c r="M2" s="275"/>
      <c r="N2" s="293"/>
      <c r="O2" s="275"/>
      <c r="P2" s="293"/>
      <c r="Q2" s="275"/>
      <c r="R2" s="275"/>
      <c r="S2" s="277"/>
      <c r="T2" s="275"/>
      <c r="U2" s="275"/>
      <c r="V2" s="273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8"/>
      <c r="B4" s="268" t="s">
        <v>199</v>
      </c>
      <c r="C4" s="268" t="s">
        <v>536</v>
      </c>
      <c r="D4" s="269" t="s">
        <v>537</v>
      </c>
      <c r="E4" s="171" t="s">
        <v>220</v>
      </c>
      <c r="F4" s="269"/>
      <c r="G4" s="292"/>
      <c r="H4" s="272" t="s">
        <v>538</v>
      </c>
      <c r="I4" s="273" t="s">
        <v>314</v>
      </c>
      <c r="J4" s="272">
        <f>1/2</f>
        <v>0.5</v>
      </c>
      <c r="K4" s="273" t="s">
        <v>269</v>
      </c>
      <c r="L4" s="275">
        <f>120000</f>
        <v>120000</v>
      </c>
      <c r="M4" s="275">
        <f>J4*L4</f>
        <v>60000</v>
      </c>
      <c r="N4" s="276">
        <v>0</v>
      </c>
      <c r="O4" s="275">
        <f>M4*N4</f>
        <v>0</v>
      </c>
      <c r="P4" s="276">
        <v>0.16</v>
      </c>
      <c r="Q4" s="275">
        <f>(M4+O4)*P4</f>
        <v>9600</v>
      </c>
      <c r="R4" s="275">
        <f>M4+O4+Q4</f>
        <v>69600</v>
      </c>
      <c r="S4" s="300">
        <f>INDEX('Glosario Partidas'!$M$8:$M$10,MATCH(K4,'Glosario Partidas'!$L$8:$L$10,0))</f>
        <v>1</v>
      </c>
      <c r="T4" s="275">
        <f>R4*S4</f>
        <v>69600</v>
      </c>
      <c r="U4" s="275"/>
      <c r="V4" s="249" t="s">
        <v>12</v>
      </c>
    </row>
    <row r="5" spans="1:22" ht="15" customHeight="1" x14ac:dyDescent="0.2">
      <c r="A5" s="268"/>
      <c r="B5" s="268" t="s">
        <v>199</v>
      </c>
      <c r="C5" s="268" t="s">
        <v>536</v>
      </c>
      <c r="D5" s="269" t="s">
        <v>537</v>
      </c>
      <c r="E5" s="171" t="s">
        <v>229</v>
      </c>
      <c r="F5" s="269"/>
      <c r="G5" s="292"/>
      <c r="H5" s="272" t="s">
        <v>538</v>
      </c>
      <c r="I5" s="273" t="s">
        <v>314</v>
      </c>
      <c r="J5" s="272">
        <f>1/2</f>
        <v>0.5</v>
      </c>
      <c r="K5" s="273" t="s">
        <v>269</v>
      </c>
      <c r="L5" s="275">
        <f>120000</f>
        <v>120000</v>
      </c>
      <c r="M5" s="275">
        <f>J5*L5</f>
        <v>60000</v>
      </c>
      <c r="N5" s="276">
        <v>0</v>
      </c>
      <c r="O5" s="275">
        <f>M5*N5</f>
        <v>0</v>
      </c>
      <c r="P5" s="276">
        <v>0.16</v>
      </c>
      <c r="Q5" s="275">
        <f>(M5+O5)*P5</f>
        <v>9600</v>
      </c>
      <c r="R5" s="275">
        <f>M5+O5+Q5</f>
        <v>69600</v>
      </c>
      <c r="S5" s="300">
        <f>INDEX('Glosario Partidas'!$M$8:$M$10,MATCH(K5,'Glosario Partidas'!$L$8:$L$10,0))</f>
        <v>1</v>
      </c>
      <c r="T5" s="275">
        <f>R5*S5</f>
        <v>69600</v>
      </c>
      <c r="U5" s="275"/>
      <c r="V5" s="249" t="s">
        <v>12</v>
      </c>
    </row>
    <row r="6" spans="1:22" ht="15" customHeight="1" x14ac:dyDescent="0.2">
      <c r="A6" s="268"/>
      <c r="B6" s="253" t="s">
        <v>185</v>
      </c>
      <c r="C6" s="253"/>
      <c r="D6" s="294"/>
      <c r="E6" s="295"/>
      <c r="F6" s="294"/>
      <c r="G6" s="295"/>
      <c r="H6" s="297"/>
      <c r="I6" s="132"/>
      <c r="J6" s="297"/>
      <c r="K6" s="132"/>
      <c r="L6" s="286"/>
      <c r="M6" s="286">
        <f>SUM(M4:M5)</f>
        <v>120000</v>
      </c>
      <c r="N6" s="298"/>
      <c r="O6" s="286"/>
      <c r="P6" s="298"/>
      <c r="Q6" s="286"/>
      <c r="R6" s="286">
        <f>SUM(R4:R5)</f>
        <v>139200</v>
      </c>
      <c r="S6" s="299"/>
      <c r="T6" s="286">
        <f>SUM(T4:T5)</f>
        <v>139200</v>
      </c>
      <c r="U6" s="286"/>
      <c r="V6" s="253"/>
    </row>
    <row r="8" spans="1:22" ht="19.5" customHeight="1" x14ac:dyDescent="0.2"/>
  </sheetData>
  <hyperlinks>
    <hyperlink ref="A3" location="'BUY OUT'!A1" display="⬅ Resumen PU" xr:uid="{00000000-0004-0000-0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24"/>
  <sheetViews>
    <sheetView topLeftCell="C1" zoomScale="130" zoomScaleNormal="130" workbookViewId="0"/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89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2" ht="15" customHeight="1" x14ac:dyDescent="0.2">
      <c r="A2" s="291">
        <v>45931</v>
      </c>
      <c r="B2" s="259" t="s">
        <v>495</v>
      </c>
      <c r="C2" s="273"/>
      <c r="D2" s="273"/>
      <c r="E2" s="292"/>
      <c r="F2" s="273"/>
      <c r="G2" s="292"/>
      <c r="H2" s="272"/>
      <c r="I2" s="273"/>
      <c r="J2" s="272"/>
      <c r="K2" s="273"/>
      <c r="L2" s="275"/>
      <c r="M2" s="275"/>
      <c r="N2" s="293"/>
      <c r="O2" s="275"/>
      <c r="P2" s="293"/>
      <c r="Q2" s="275"/>
      <c r="R2" s="275"/>
      <c r="S2" s="277"/>
      <c r="T2" s="275"/>
      <c r="U2" s="275"/>
      <c r="V2" s="273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8"/>
      <c r="B4" s="268" t="s">
        <v>199</v>
      </c>
      <c r="C4" s="268" t="s">
        <v>539</v>
      </c>
      <c r="D4" s="269" t="s">
        <v>540</v>
      </c>
      <c r="E4" s="171" t="s">
        <v>220</v>
      </c>
      <c r="F4" s="269"/>
      <c r="G4" s="292"/>
      <c r="H4" s="272" t="s">
        <v>541</v>
      </c>
      <c r="I4" s="273" t="s">
        <v>314</v>
      </c>
      <c r="J4" s="272">
        <f t="shared" ref="J4:J21" si="0">1/2</f>
        <v>0.5</v>
      </c>
      <c r="K4" s="273" t="s">
        <v>269</v>
      </c>
      <c r="L4" s="275">
        <f>140000</f>
        <v>140000</v>
      </c>
      <c r="M4" s="275">
        <f t="shared" ref="M4:M21" si="1">J4*L4</f>
        <v>70000</v>
      </c>
      <c r="N4" s="276">
        <v>0</v>
      </c>
      <c r="O4" s="275">
        <f t="shared" ref="O4:O21" si="2">M4*N4</f>
        <v>0</v>
      </c>
      <c r="P4" s="276">
        <v>0.16</v>
      </c>
      <c r="Q4" s="275">
        <f t="shared" ref="Q4:Q21" si="3">(M4+O4)*P4</f>
        <v>11200</v>
      </c>
      <c r="R4" s="275">
        <f t="shared" ref="R4:R21" si="4">M4+O4+Q4</f>
        <v>81200</v>
      </c>
      <c r="S4" s="300">
        <f>INDEX('Glosario Partidas'!$M$8:$M$10,MATCH(K4,'Glosario Partidas'!$L$8:$L$10,0))</f>
        <v>1</v>
      </c>
      <c r="T4" s="275">
        <f t="shared" ref="T4:T21" si="5">R4*S4</f>
        <v>81200</v>
      </c>
      <c r="U4" s="275"/>
      <c r="V4" s="249" t="s">
        <v>12</v>
      </c>
    </row>
    <row r="5" spans="1:22" ht="15" customHeight="1" x14ac:dyDescent="0.2">
      <c r="A5" s="268"/>
      <c r="B5" s="268" t="s">
        <v>199</v>
      </c>
      <c r="C5" s="268" t="s">
        <v>539</v>
      </c>
      <c r="D5" s="269" t="s">
        <v>542</v>
      </c>
      <c r="E5" s="171" t="s">
        <v>220</v>
      </c>
      <c r="F5" s="269"/>
      <c r="G5" s="292"/>
      <c r="H5" s="272" t="s">
        <v>541</v>
      </c>
      <c r="I5" s="273" t="s">
        <v>314</v>
      </c>
      <c r="J5" s="272">
        <f t="shared" si="0"/>
        <v>0.5</v>
      </c>
      <c r="K5" s="273" t="s">
        <v>269</v>
      </c>
      <c r="L5" s="275">
        <f>54600</f>
        <v>54600</v>
      </c>
      <c r="M5" s="275">
        <f t="shared" si="1"/>
        <v>27300</v>
      </c>
      <c r="N5" s="276">
        <v>0</v>
      </c>
      <c r="O5" s="275">
        <f t="shared" si="2"/>
        <v>0</v>
      </c>
      <c r="P5" s="276">
        <v>0.16</v>
      </c>
      <c r="Q5" s="275">
        <f t="shared" si="3"/>
        <v>4368</v>
      </c>
      <c r="R5" s="275">
        <f t="shared" si="4"/>
        <v>31668</v>
      </c>
      <c r="S5" s="300">
        <f>INDEX('Glosario Partidas'!$M$8:$M$10,MATCH(K5,'Glosario Partidas'!$L$8:$L$10,0))</f>
        <v>1</v>
      </c>
      <c r="T5" s="275">
        <f t="shared" si="5"/>
        <v>31668</v>
      </c>
      <c r="U5" s="275"/>
      <c r="V5" s="249" t="s">
        <v>12</v>
      </c>
    </row>
    <row r="6" spans="1:22" ht="15" customHeight="1" x14ac:dyDescent="0.2">
      <c r="A6" s="268"/>
      <c r="B6" s="268" t="s">
        <v>199</v>
      </c>
      <c r="C6" s="268" t="s">
        <v>539</v>
      </c>
      <c r="D6" s="269" t="s">
        <v>543</v>
      </c>
      <c r="E6" s="171" t="s">
        <v>220</v>
      </c>
      <c r="F6" s="269"/>
      <c r="G6" s="292"/>
      <c r="H6" s="272" t="s">
        <v>541</v>
      </c>
      <c r="I6" s="273" t="s">
        <v>314</v>
      </c>
      <c r="J6" s="272">
        <f t="shared" si="0"/>
        <v>0.5</v>
      </c>
      <c r="K6" s="273" t="s">
        <v>269</v>
      </c>
      <c r="L6" s="275">
        <f>54600</f>
        <v>54600</v>
      </c>
      <c r="M6" s="275">
        <f t="shared" si="1"/>
        <v>27300</v>
      </c>
      <c r="N6" s="276">
        <v>0</v>
      </c>
      <c r="O6" s="275">
        <f t="shared" si="2"/>
        <v>0</v>
      </c>
      <c r="P6" s="276">
        <v>0.16</v>
      </c>
      <c r="Q6" s="275">
        <f t="shared" si="3"/>
        <v>4368</v>
      </c>
      <c r="R6" s="275">
        <f t="shared" si="4"/>
        <v>31668</v>
      </c>
      <c r="S6" s="300">
        <f>INDEX('Glosario Partidas'!$M$8:$M$10,MATCH(K6,'Glosario Partidas'!$L$8:$L$10,0))</f>
        <v>1</v>
      </c>
      <c r="T6" s="275">
        <f t="shared" si="5"/>
        <v>31668</v>
      </c>
      <c r="U6" s="275"/>
      <c r="V6" s="249" t="s">
        <v>12</v>
      </c>
    </row>
    <row r="7" spans="1:22" ht="15" customHeight="1" x14ac:dyDescent="0.2">
      <c r="A7" s="268"/>
      <c r="B7" s="268" t="s">
        <v>199</v>
      </c>
      <c r="C7" s="268" t="s">
        <v>539</v>
      </c>
      <c r="D7" s="269" t="s">
        <v>544</v>
      </c>
      <c r="E7" s="171" t="s">
        <v>220</v>
      </c>
      <c r="F7" s="269"/>
      <c r="G7" s="292"/>
      <c r="H7" s="272" t="s">
        <v>541</v>
      </c>
      <c r="I7" s="273" t="s">
        <v>314</v>
      </c>
      <c r="J7" s="272">
        <f t="shared" si="0"/>
        <v>0.5</v>
      </c>
      <c r="K7" s="273" t="s">
        <v>269</v>
      </c>
      <c r="L7" s="275">
        <f>18200</f>
        <v>18200</v>
      </c>
      <c r="M7" s="275">
        <f t="shared" si="1"/>
        <v>9100</v>
      </c>
      <c r="N7" s="276">
        <v>0</v>
      </c>
      <c r="O7" s="275">
        <f t="shared" si="2"/>
        <v>0</v>
      </c>
      <c r="P7" s="276">
        <v>0.16</v>
      </c>
      <c r="Q7" s="275">
        <f t="shared" si="3"/>
        <v>1456</v>
      </c>
      <c r="R7" s="275">
        <f t="shared" si="4"/>
        <v>10556</v>
      </c>
      <c r="S7" s="300">
        <f>INDEX('Glosario Partidas'!$M$8:$M$10,MATCH(K7,'Glosario Partidas'!$L$8:$L$10,0))</f>
        <v>1</v>
      </c>
      <c r="T7" s="275">
        <f t="shared" si="5"/>
        <v>10556</v>
      </c>
      <c r="U7" s="275"/>
      <c r="V7" s="249" t="s">
        <v>12</v>
      </c>
    </row>
    <row r="8" spans="1:22" ht="15" customHeight="1" x14ac:dyDescent="0.2">
      <c r="A8" s="268"/>
      <c r="B8" s="268" t="s">
        <v>199</v>
      </c>
      <c r="C8" s="268" t="s">
        <v>539</v>
      </c>
      <c r="D8" s="269" t="s">
        <v>545</v>
      </c>
      <c r="E8" s="171" t="s">
        <v>220</v>
      </c>
      <c r="F8" s="269"/>
      <c r="G8" s="292"/>
      <c r="H8" s="272" t="s">
        <v>541</v>
      </c>
      <c r="I8" s="273" t="s">
        <v>314</v>
      </c>
      <c r="J8" s="272">
        <f t="shared" si="0"/>
        <v>0.5</v>
      </c>
      <c r="K8" s="273" t="s">
        <v>269</v>
      </c>
      <c r="L8" s="275">
        <f>20800</f>
        <v>20800</v>
      </c>
      <c r="M8" s="275">
        <f t="shared" si="1"/>
        <v>10400</v>
      </c>
      <c r="N8" s="276">
        <v>0</v>
      </c>
      <c r="O8" s="275">
        <f t="shared" si="2"/>
        <v>0</v>
      </c>
      <c r="P8" s="276">
        <v>0.16</v>
      </c>
      <c r="Q8" s="275">
        <f t="shared" si="3"/>
        <v>1664</v>
      </c>
      <c r="R8" s="275">
        <f t="shared" si="4"/>
        <v>12064</v>
      </c>
      <c r="S8" s="300">
        <f>INDEX('Glosario Partidas'!$M$8:$M$10,MATCH(K8,'Glosario Partidas'!$L$8:$L$10,0))</f>
        <v>1</v>
      </c>
      <c r="T8" s="275">
        <f t="shared" si="5"/>
        <v>12064</v>
      </c>
      <c r="U8" s="275"/>
      <c r="V8" s="249" t="s">
        <v>12</v>
      </c>
    </row>
    <row r="9" spans="1:22" ht="15" customHeight="1" x14ac:dyDescent="0.2">
      <c r="A9" s="268"/>
      <c r="B9" s="268" t="s">
        <v>199</v>
      </c>
      <c r="C9" s="268" t="s">
        <v>539</v>
      </c>
      <c r="D9" s="269" t="s">
        <v>546</v>
      </c>
      <c r="E9" s="171" t="s">
        <v>220</v>
      </c>
      <c r="F9" s="269"/>
      <c r="G9" s="292"/>
      <c r="H9" s="272" t="s">
        <v>541</v>
      </c>
      <c r="I9" s="273" t="s">
        <v>314</v>
      </c>
      <c r="J9" s="272">
        <f t="shared" si="0"/>
        <v>0.5</v>
      </c>
      <c r="K9" s="273" t="s">
        <v>269</v>
      </c>
      <c r="L9" s="275">
        <f>29500</f>
        <v>29500</v>
      </c>
      <c r="M9" s="275">
        <f t="shared" si="1"/>
        <v>14750</v>
      </c>
      <c r="N9" s="276">
        <v>0</v>
      </c>
      <c r="O9" s="275">
        <f t="shared" si="2"/>
        <v>0</v>
      </c>
      <c r="P9" s="276">
        <v>0.16</v>
      </c>
      <c r="Q9" s="275">
        <f t="shared" si="3"/>
        <v>2360</v>
      </c>
      <c r="R9" s="275">
        <f t="shared" si="4"/>
        <v>17110</v>
      </c>
      <c r="S9" s="300">
        <f>INDEX('Glosario Partidas'!$M$8:$M$10,MATCH(K9,'Glosario Partidas'!$L$8:$L$10,0))</f>
        <v>1</v>
      </c>
      <c r="T9" s="275">
        <f t="shared" si="5"/>
        <v>17110</v>
      </c>
      <c r="U9" s="275"/>
      <c r="V9" s="249" t="s">
        <v>12</v>
      </c>
    </row>
    <row r="10" spans="1:22" ht="15" customHeight="1" x14ac:dyDescent="0.2">
      <c r="A10" s="268"/>
      <c r="B10" s="268" t="s">
        <v>199</v>
      </c>
      <c r="C10" s="268" t="s">
        <v>539</v>
      </c>
      <c r="D10" s="269" t="s">
        <v>547</v>
      </c>
      <c r="E10" s="171" t="s">
        <v>220</v>
      </c>
      <c r="F10" s="269"/>
      <c r="G10" s="292"/>
      <c r="H10" s="272" t="s">
        <v>541</v>
      </c>
      <c r="I10" s="273" t="s">
        <v>314</v>
      </c>
      <c r="J10" s="272">
        <f t="shared" si="0"/>
        <v>0.5</v>
      </c>
      <c r="K10" s="273" t="s">
        <v>269</v>
      </c>
      <c r="L10" s="275">
        <f>18300</f>
        <v>18300</v>
      </c>
      <c r="M10" s="275">
        <f t="shared" si="1"/>
        <v>9150</v>
      </c>
      <c r="N10" s="276">
        <v>0</v>
      </c>
      <c r="O10" s="275">
        <f t="shared" si="2"/>
        <v>0</v>
      </c>
      <c r="P10" s="276">
        <v>0.16</v>
      </c>
      <c r="Q10" s="275">
        <f t="shared" si="3"/>
        <v>1464</v>
      </c>
      <c r="R10" s="275">
        <f t="shared" si="4"/>
        <v>10614</v>
      </c>
      <c r="S10" s="300">
        <f>INDEX('Glosario Partidas'!$M$8:$M$10,MATCH(K10,'Glosario Partidas'!$L$8:$L$10,0))</f>
        <v>1</v>
      </c>
      <c r="T10" s="275">
        <f t="shared" si="5"/>
        <v>10614</v>
      </c>
      <c r="U10" s="275"/>
      <c r="V10" s="249" t="s">
        <v>12</v>
      </c>
    </row>
    <row r="11" spans="1:22" ht="15" customHeight="1" x14ac:dyDescent="0.2">
      <c r="A11" s="268"/>
      <c r="B11" s="268" t="s">
        <v>199</v>
      </c>
      <c r="C11" s="268" t="s">
        <v>539</v>
      </c>
      <c r="D11" s="269" t="s">
        <v>548</v>
      </c>
      <c r="E11" s="171" t="s">
        <v>220</v>
      </c>
      <c r="F11" s="269"/>
      <c r="G11" s="292"/>
      <c r="H11" s="272" t="s">
        <v>541</v>
      </c>
      <c r="I11" s="273" t="s">
        <v>314</v>
      </c>
      <c r="J11" s="272">
        <f t="shared" si="0"/>
        <v>0.5</v>
      </c>
      <c r="K11" s="273" t="s">
        <v>269</v>
      </c>
      <c r="L11" s="275">
        <f>22300</f>
        <v>22300</v>
      </c>
      <c r="M11" s="275">
        <f t="shared" si="1"/>
        <v>11150</v>
      </c>
      <c r="N11" s="276">
        <v>0</v>
      </c>
      <c r="O11" s="275">
        <f t="shared" si="2"/>
        <v>0</v>
      </c>
      <c r="P11" s="276">
        <v>0.16</v>
      </c>
      <c r="Q11" s="275">
        <f t="shared" si="3"/>
        <v>1784</v>
      </c>
      <c r="R11" s="275">
        <f t="shared" si="4"/>
        <v>12934</v>
      </c>
      <c r="S11" s="300">
        <f>INDEX('Glosario Partidas'!$M$8:$M$10,MATCH(K11,'Glosario Partidas'!$L$8:$L$10,0))</f>
        <v>1</v>
      </c>
      <c r="T11" s="275">
        <f t="shared" si="5"/>
        <v>12934</v>
      </c>
      <c r="U11" s="275"/>
      <c r="V11" s="249" t="s">
        <v>12</v>
      </c>
    </row>
    <row r="12" spans="1:22" ht="15" customHeight="1" x14ac:dyDescent="0.2">
      <c r="A12" s="268"/>
      <c r="B12" s="268" t="s">
        <v>199</v>
      </c>
      <c r="C12" s="268" t="s">
        <v>539</v>
      </c>
      <c r="D12" s="269" t="s">
        <v>549</v>
      </c>
      <c r="E12" s="171" t="s">
        <v>220</v>
      </c>
      <c r="F12" s="301"/>
      <c r="G12" s="292"/>
      <c r="H12" s="272" t="s">
        <v>541</v>
      </c>
      <c r="I12" s="273" t="s">
        <v>314</v>
      </c>
      <c r="J12" s="272">
        <f t="shared" si="0"/>
        <v>0.5</v>
      </c>
      <c r="K12" s="273" t="s">
        <v>269</v>
      </c>
      <c r="L12" s="275">
        <f>22500</f>
        <v>22500</v>
      </c>
      <c r="M12" s="275">
        <f t="shared" si="1"/>
        <v>11250</v>
      </c>
      <c r="N12" s="276">
        <v>0</v>
      </c>
      <c r="O12" s="275">
        <f t="shared" si="2"/>
        <v>0</v>
      </c>
      <c r="P12" s="276">
        <v>0.16</v>
      </c>
      <c r="Q12" s="275">
        <f t="shared" si="3"/>
        <v>1800</v>
      </c>
      <c r="R12" s="275">
        <f t="shared" si="4"/>
        <v>13050</v>
      </c>
      <c r="S12" s="300">
        <f>INDEX('Glosario Partidas'!$M$8:$M$10,MATCH(K12,'Glosario Partidas'!$L$8:$L$10,0))</f>
        <v>1</v>
      </c>
      <c r="T12" s="275">
        <f t="shared" si="5"/>
        <v>13050</v>
      </c>
      <c r="U12" s="275"/>
      <c r="V12" s="249" t="s">
        <v>12</v>
      </c>
    </row>
    <row r="13" spans="1:22" ht="15" customHeight="1" x14ac:dyDescent="0.2">
      <c r="A13" s="268"/>
      <c r="B13" s="268" t="s">
        <v>199</v>
      </c>
      <c r="C13" s="268" t="s">
        <v>539</v>
      </c>
      <c r="D13" s="269" t="s">
        <v>540</v>
      </c>
      <c r="E13" s="171" t="s">
        <v>229</v>
      </c>
      <c r="F13" s="301"/>
      <c r="G13" s="292"/>
      <c r="H13" s="272" t="s">
        <v>541</v>
      </c>
      <c r="I13" s="273" t="s">
        <v>314</v>
      </c>
      <c r="J13" s="272">
        <f t="shared" si="0"/>
        <v>0.5</v>
      </c>
      <c r="K13" s="273" t="s">
        <v>269</v>
      </c>
      <c r="L13" s="275">
        <f>140000</f>
        <v>140000</v>
      </c>
      <c r="M13" s="275">
        <f t="shared" si="1"/>
        <v>70000</v>
      </c>
      <c r="N13" s="276">
        <v>0</v>
      </c>
      <c r="O13" s="275">
        <f t="shared" si="2"/>
        <v>0</v>
      </c>
      <c r="P13" s="276">
        <v>0.16</v>
      </c>
      <c r="Q13" s="275">
        <f t="shared" si="3"/>
        <v>11200</v>
      </c>
      <c r="R13" s="275">
        <f t="shared" si="4"/>
        <v>81200</v>
      </c>
      <c r="S13" s="300">
        <f>INDEX('Glosario Partidas'!$M$8:$M$10,MATCH(K13,'Glosario Partidas'!$L$8:$L$10,0))</f>
        <v>1</v>
      </c>
      <c r="T13" s="275">
        <f t="shared" si="5"/>
        <v>81200</v>
      </c>
      <c r="U13" s="275"/>
      <c r="V13" s="249" t="s">
        <v>12</v>
      </c>
    </row>
    <row r="14" spans="1:22" ht="15" customHeight="1" x14ac:dyDescent="0.2">
      <c r="A14" s="268"/>
      <c r="B14" s="268" t="s">
        <v>199</v>
      </c>
      <c r="C14" s="268" t="s">
        <v>539</v>
      </c>
      <c r="D14" s="269" t="s">
        <v>542</v>
      </c>
      <c r="E14" s="171" t="s">
        <v>229</v>
      </c>
      <c r="F14" s="301"/>
      <c r="G14" s="292"/>
      <c r="H14" s="272" t="s">
        <v>541</v>
      </c>
      <c r="I14" s="273" t="s">
        <v>314</v>
      </c>
      <c r="J14" s="272">
        <f t="shared" si="0"/>
        <v>0.5</v>
      </c>
      <c r="K14" s="273" t="s">
        <v>269</v>
      </c>
      <c r="L14" s="275">
        <f>54600</f>
        <v>54600</v>
      </c>
      <c r="M14" s="275">
        <f t="shared" si="1"/>
        <v>27300</v>
      </c>
      <c r="N14" s="276">
        <v>0</v>
      </c>
      <c r="O14" s="275">
        <f t="shared" si="2"/>
        <v>0</v>
      </c>
      <c r="P14" s="276">
        <v>0.16</v>
      </c>
      <c r="Q14" s="275">
        <f t="shared" si="3"/>
        <v>4368</v>
      </c>
      <c r="R14" s="275">
        <f t="shared" si="4"/>
        <v>31668</v>
      </c>
      <c r="S14" s="300">
        <f>INDEX('Glosario Partidas'!$M$8:$M$10,MATCH(K14,'Glosario Partidas'!$L$8:$L$10,0))</f>
        <v>1</v>
      </c>
      <c r="T14" s="275">
        <f t="shared" si="5"/>
        <v>31668</v>
      </c>
      <c r="U14" s="275"/>
      <c r="V14" s="249" t="s">
        <v>12</v>
      </c>
    </row>
    <row r="15" spans="1:22" ht="15" customHeight="1" x14ac:dyDescent="0.2">
      <c r="A15" s="268"/>
      <c r="B15" s="268" t="s">
        <v>199</v>
      </c>
      <c r="C15" s="268" t="s">
        <v>539</v>
      </c>
      <c r="D15" s="269" t="s">
        <v>543</v>
      </c>
      <c r="E15" s="171" t="s">
        <v>229</v>
      </c>
      <c r="F15" s="301"/>
      <c r="G15" s="292"/>
      <c r="H15" s="272" t="s">
        <v>541</v>
      </c>
      <c r="I15" s="273" t="s">
        <v>314</v>
      </c>
      <c r="J15" s="272">
        <f t="shared" si="0"/>
        <v>0.5</v>
      </c>
      <c r="K15" s="273" t="s">
        <v>269</v>
      </c>
      <c r="L15" s="275">
        <f>54600</f>
        <v>54600</v>
      </c>
      <c r="M15" s="275">
        <f t="shared" si="1"/>
        <v>27300</v>
      </c>
      <c r="N15" s="276">
        <v>0</v>
      </c>
      <c r="O15" s="275">
        <f t="shared" si="2"/>
        <v>0</v>
      </c>
      <c r="P15" s="276">
        <v>0.16</v>
      </c>
      <c r="Q15" s="275">
        <f t="shared" si="3"/>
        <v>4368</v>
      </c>
      <c r="R15" s="275">
        <f t="shared" si="4"/>
        <v>31668</v>
      </c>
      <c r="S15" s="300">
        <f>INDEX('Glosario Partidas'!$M$8:$M$10,MATCH(K15,'Glosario Partidas'!$L$8:$L$10,0))</f>
        <v>1</v>
      </c>
      <c r="T15" s="275">
        <f t="shared" si="5"/>
        <v>31668</v>
      </c>
      <c r="U15" s="275"/>
      <c r="V15" s="249" t="s">
        <v>12</v>
      </c>
    </row>
    <row r="16" spans="1:22" ht="15" customHeight="1" x14ac:dyDescent="0.2">
      <c r="A16" s="268"/>
      <c r="B16" s="268" t="s">
        <v>199</v>
      </c>
      <c r="C16" s="268" t="s">
        <v>539</v>
      </c>
      <c r="D16" s="269" t="s">
        <v>544</v>
      </c>
      <c r="E16" s="171" t="s">
        <v>229</v>
      </c>
      <c r="F16" s="301"/>
      <c r="G16" s="292"/>
      <c r="H16" s="272" t="s">
        <v>541</v>
      </c>
      <c r="I16" s="273" t="s">
        <v>314</v>
      </c>
      <c r="J16" s="272">
        <f t="shared" si="0"/>
        <v>0.5</v>
      </c>
      <c r="K16" s="273" t="s">
        <v>269</v>
      </c>
      <c r="L16" s="275">
        <f>18200</f>
        <v>18200</v>
      </c>
      <c r="M16" s="275">
        <f t="shared" si="1"/>
        <v>9100</v>
      </c>
      <c r="N16" s="276">
        <v>0</v>
      </c>
      <c r="O16" s="275">
        <f t="shared" si="2"/>
        <v>0</v>
      </c>
      <c r="P16" s="276">
        <v>0.16</v>
      </c>
      <c r="Q16" s="275">
        <f t="shared" si="3"/>
        <v>1456</v>
      </c>
      <c r="R16" s="275">
        <f t="shared" si="4"/>
        <v>10556</v>
      </c>
      <c r="S16" s="300">
        <f>INDEX('Glosario Partidas'!$M$8:$M$10,MATCH(K16,'Glosario Partidas'!$L$8:$L$10,0))</f>
        <v>1</v>
      </c>
      <c r="T16" s="275">
        <f t="shared" si="5"/>
        <v>10556</v>
      </c>
      <c r="U16" s="275"/>
      <c r="V16" s="249" t="s">
        <v>12</v>
      </c>
    </row>
    <row r="17" spans="1:22" ht="15" customHeight="1" x14ac:dyDescent="0.2">
      <c r="A17" s="268"/>
      <c r="B17" s="268" t="s">
        <v>199</v>
      </c>
      <c r="C17" s="268" t="s">
        <v>539</v>
      </c>
      <c r="D17" s="269" t="s">
        <v>545</v>
      </c>
      <c r="E17" s="171" t="s">
        <v>229</v>
      </c>
      <c r="F17" s="301"/>
      <c r="G17" s="292"/>
      <c r="H17" s="272" t="s">
        <v>541</v>
      </c>
      <c r="I17" s="273" t="s">
        <v>314</v>
      </c>
      <c r="J17" s="272">
        <f t="shared" si="0"/>
        <v>0.5</v>
      </c>
      <c r="K17" s="273" t="s">
        <v>269</v>
      </c>
      <c r="L17" s="275">
        <f>20800</f>
        <v>20800</v>
      </c>
      <c r="M17" s="275">
        <f t="shared" si="1"/>
        <v>10400</v>
      </c>
      <c r="N17" s="276">
        <v>0</v>
      </c>
      <c r="O17" s="275">
        <f t="shared" si="2"/>
        <v>0</v>
      </c>
      <c r="P17" s="276">
        <v>0.16</v>
      </c>
      <c r="Q17" s="275">
        <f t="shared" si="3"/>
        <v>1664</v>
      </c>
      <c r="R17" s="275">
        <f t="shared" si="4"/>
        <v>12064</v>
      </c>
      <c r="S17" s="300">
        <f>INDEX('Glosario Partidas'!$M$8:$M$10,MATCH(K17,'Glosario Partidas'!$L$8:$L$10,0))</f>
        <v>1</v>
      </c>
      <c r="T17" s="275">
        <f t="shared" si="5"/>
        <v>12064</v>
      </c>
      <c r="U17" s="275"/>
      <c r="V17" s="249" t="s">
        <v>12</v>
      </c>
    </row>
    <row r="18" spans="1:22" ht="15" customHeight="1" x14ac:dyDescent="0.2">
      <c r="A18" s="268"/>
      <c r="B18" s="268" t="s">
        <v>199</v>
      </c>
      <c r="C18" s="268" t="s">
        <v>539</v>
      </c>
      <c r="D18" s="269" t="s">
        <v>546</v>
      </c>
      <c r="E18" s="171" t="s">
        <v>229</v>
      </c>
      <c r="F18" s="301"/>
      <c r="G18" s="292"/>
      <c r="H18" s="272" t="s">
        <v>541</v>
      </c>
      <c r="I18" s="273" t="s">
        <v>314</v>
      </c>
      <c r="J18" s="272">
        <f t="shared" si="0"/>
        <v>0.5</v>
      </c>
      <c r="K18" s="273" t="s">
        <v>269</v>
      </c>
      <c r="L18" s="275">
        <f>29500</f>
        <v>29500</v>
      </c>
      <c r="M18" s="275">
        <f t="shared" si="1"/>
        <v>14750</v>
      </c>
      <c r="N18" s="276">
        <v>0</v>
      </c>
      <c r="O18" s="275">
        <f t="shared" si="2"/>
        <v>0</v>
      </c>
      <c r="P18" s="276">
        <v>0.16</v>
      </c>
      <c r="Q18" s="275">
        <f t="shared" si="3"/>
        <v>2360</v>
      </c>
      <c r="R18" s="275">
        <f t="shared" si="4"/>
        <v>17110</v>
      </c>
      <c r="S18" s="300">
        <f>INDEX('Glosario Partidas'!$M$8:$M$10,MATCH(K18,'Glosario Partidas'!$L$8:$L$10,0))</f>
        <v>1</v>
      </c>
      <c r="T18" s="275">
        <f t="shared" si="5"/>
        <v>17110</v>
      </c>
      <c r="U18" s="275"/>
      <c r="V18" s="249" t="s">
        <v>12</v>
      </c>
    </row>
    <row r="19" spans="1:22" ht="15" customHeight="1" x14ac:dyDescent="0.2">
      <c r="A19" s="268"/>
      <c r="B19" s="268" t="s">
        <v>199</v>
      </c>
      <c r="C19" s="268" t="s">
        <v>539</v>
      </c>
      <c r="D19" s="269" t="s">
        <v>547</v>
      </c>
      <c r="E19" s="171" t="s">
        <v>229</v>
      </c>
      <c r="F19" s="301"/>
      <c r="G19" s="292"/>
      <c r="H19" s="272" t="s">
        <v>541</v>
      </c>
      <c r="I19" s="273" t="s">
        <v>314</v>
      </c>
      <c r="J19" s="272">
        <f t="shared" si="0"/>
        <v>0.5</v>
      </c>
      <c r="K19" s="273" t="s">
        <v>269</v>
      </c>
      <c r="L19" s="275">
        <f>18300</f>
        <v>18300</v>
      </c>
      <c r="M19" s="275">
        <f t="shared" si="1"/>
        <v>9150</v>
      </c>
      <c r="N19" s="276">
        <v>0</v>
      </c>
      <c r="O19" s="275">
        <f t="shared" si="2"/>
        <v>0</v>
      </c>
      <c r="P19" s="276">
        <v>0.16</v>
      </c>
      <c r="Q19" s="275">
        <f t="shared" si="3"/>
        <v>1464</v>
      </c>
      <c r="R19" s="275">
        <f t="shared" si="4"/>
        <v>10614</v>
      </c>
      <c r="S19" s="300">
        <f>INDEX('Glosario Partidas'!$M$8:$M$10,MATCH(K19,'Glosario Partidas'!$L$8:$L$10,0))</f>
        <v>1</v>
      </c>
      <c r="T19" s="275">
        <f t="shared" si="5"/>
        <v>10614</v>
      </c>
      <c r="U19" s="275"/>
      <c r="V19" s="249" t="s">
        <v>12</v>
      </c>
    </row>
    <row r="20" spans="1:22" ht="15" customHeight="1" x14ac:dyDescent="0.2">
      <c r="A20" s="268"/>
      <c r="B20" s="268" t="s">
        <v>199</v>
      </c>
      <c r="C20" s="268" t="s">
        <v>539</v>
      </c>
      <c r="D20" s="269" t="s">
        <v>548</v>
      </c>
      <c r="E20" s="171" t="s">
        <v>229</v>
      </c>
      <c r="F20" s="301"/>
      <c r="G20" s="292"/>
      <c r="H20" s="272" t="s">
        <v>541</v>
      </c>
      <c r="I20" s="273" t="s">
        <v>314</v>
      </c>
      <c r="J20" s="272">
        <f t="shared" si="0"/>
        <v>0.5</v>
      </c>
      <c r="K20" s="273" t="s">
        <v>269</v>
      </c>
      <c r="L20" s="275">
        <f>22300</f>
        <v>22300</v>
      </c>
      <c r="M20" s="275">
        <f t="shared" si="1"/>
        <v>11150</v>
      </c>
      <c r="N20" s="276">
        <v>0</v>
      </c>
      <c r="O20" s="275">
        <f t="shared" si="2"/>
        <v>0</v>
      </c>
      <c r="P20" s="276">
        <v>0.16</v>
      </c>
      <c r="Q20" s="275">
        <f t="shared" si="3"/>
        <v>1784</v>
      </c>
      <c r="R20" s="275">
        <f t="shared" si="4"/>
        <v>12934</v>
      </c>
      <c r="S20" s="300">
        <f>INDEX('Glosario Partidas'!$M$8:$M$10,MATCH(K20,'Glosario Partidas'!$L$8:$L$10,0))</f>
        <v>1</v>
      </c>
      <c r="T20" s="275">
        <f t="shared" si="5"/>
        <v>12934</v>
      </c>
      <c r="U20" s="275"/>
      <c r="V20" s="249" t="s">
        <v>12</v>
      </c>
    </row>
    <row r="21" spans="1:22" ht="15" customHeight="1" x14ac:dyDescent="0.2">
      <c r="A21" s="268"/>
      <c r="B21" s="268" t="s">
        <v>199</v>
      </c>
      <c r="C21" s="268" t="s">
        <v>539</v>
      </c>
      <c r="D21" s="269" t="s">
        <v>549</v>
      </c>
      <c r="E21" s="171" t="s">
        <v>229</v>
      </c>
      <c r="F21" s="301"/>
      <c r="G21" s="292"/>
      <c r="H21" s="272" t="s">
        <v>541</v>
      </c>
      <c r="I21" s="273" t="s">
        <v>314</v>
      </c>
      <c r="J21" s="272">
        <f t="shared" si="0"/>
        <v>0.5</v>
      </c>
      <c r="K21" s="273" t="s">
        <v>269</v>
      </c>
      <c r="L21" s="275">
        <f>22500</f>
        <v>22500</v>
      </c>
      <c r="M21" s="275">
        <f t="shared" si="1"/>
        <v>11250</v>
      </c>
      <c r="N21" s="276">
        <v>0</v>
      </c>
      <c r="O21" s="275">
        <f t="shared" si="2"/>
        <v>0</v>
      </c>
      <c r="P21" s="276">
        <v>0.16</v>
      </c>
      <c r="Q21" s="275">
        <f t="shared" si="3"/>
        <v>1800</v>
      </c>
      <c r="R21" s="275">
        <f t="shared" si="4"/>
        <v>13050</v>
      </c>
      <c r="S21" s="300">
        <f>INDEX('Glosario Partidas'!$M$8:$M$10,MATCH(K21,'Glosario Partidas'!$L$8:$L$10,0))</f>
        <v>1</v>
      </c>
      <c r="T21" s="275">
        <f t="shared" si="5"/>
        <v>13050</v>
      </c>
      <c r="U21" s="275"/>
      <c r="V21" s="249" t="s">
        <v>12</v>
      </c>
    </row>
    <row r="22" spans="1:22" ht="15" customHeight="1" x14ac:dyDescent="0.2">
      <c r="A22" s="268"/>
      <c r="B22" s="253" t="s">
        <v>185</v>
      </c>
      <c r="C22" s="253"/>
      <c r="D22" s="294"/>
      <c r="E22" s="295"/>
      <c r="F22" s="296"/>
      <c r="G22" s="295"/>
      <c r="H22" s="297"/>
      <c r="I22" s="132"/>
      <c r="J22" s="297"/>
      <c r="K22" s="132"/>
      <c r="L22" s="286"/>
      <c r="M22" s="286">
        <f>SUM(M4:M21)</f>
        <v>380800</v>
      </c>
      <c r="N22" s="298"/>
      <c r="O22" s="286"/>
      <c r="P22" s="298"/>
      <c r="Q22" s="286"/>
      <c r="R22" s="286">
        <f>SUM(R4:R21)</f>
        <v>441728</v>
      </c>
      <c r="S22" s="299"/>
      <c r="T22" s="286">
        <f>SUM(T4:T21)</f>
        <v>441728</v>
      </c>
      <c r="U22" s="286"/>
      <c r="V22" s="253"/>
    </row>
    <row r="24" spans="1:22" ht="19.5" customHeight="1" x14ac:dyDescent="0.2"/>
  </sheetData>
  <hyperlinks>
    <hyperlink ref="A3" location="'BUY OUT'!A1" display="⬅ Resumen PU" xr:uid="{00000000-0004-0000-1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8"/>
  <sheetViews>
    <sheetView zoomScale="160" zoomScaleNormal="160" workbookViewId="0"/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89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2" ht="15" customHeight="1" x14ac:dyDescent="0.2">
      <c r="A2" s="291">
        <v>46023</v>
      </c>
      <c r="B2" s="259" t="s">
        <v>495</v>
      </c>
      <c r="C2" s="273"/>
      <c r="D2" s="273"/>
      <c r="E2" s="292"/>
      <c r="F2" s="273"/>
      <c r="G2" s="292"/>
      <c r="H2" s="272"/>
      <c r="I2" s="273"/>
      <c r="J2" s="272"/>
      <c r="K2" s="273"/>
      <c r="L2" s="275"/>
      <c r="M2" s="275"/>
      <c r="N2" s="293"/>
      <c r="O2" s="275"/>
      <c r="P2" s="293"/>
      <c r="Q2" s="275"/>
      <c r="R2" s="275"/>
      <c r="S2" s="277"/>
      <c r="T2" s="275"/>
      <c r="U2" s="275"/>
      <c r="V2" s="273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8"/>
      <c r="B4" s="268" t="s">
        <v>199</v>
      </c>
      <c r="C4" s="268" t="s">
        <v>550</v>
      </c>
      <c r="D4" s="269" t="s">
        <v>550</v>
      </c>
      <c r="E4" s="171" t="s">
        <v>220</v>
      </c>
      <c r="F4" s="269"/>
      <c r="G4" s="292"/>
      <c r="H4" s="272" t="s">
        <v>551</v>
      </c>
      <c r="I4" s="273" t="s">
        <v>314</v>
      </c>
      <c r="J4" s="272">
        <f>1/2</f>
        <v>0.5</v>
      </c>
      <c r="K4" s="273" t="s">
        <v>269</v>
      </c>
      <c r="L4" s="275">
        <f>33145</f>
        <v>33145</v>
      </c>
      <c r="M4" s="275">
        <f>J4*L4</f>
        <v>16572.5</v>
      </c>
      <c r="N4" s="276">
        <v>0</v>
      </c>
      <c r="O4" s="275">
        <f>M4*N4</f>
        <v>0</v>
      </c>
      <c r="P4" s="276">
        <v>0.16</v>
      </c>
      <c r="Q4" s="275">
        <f>(M4+O4)*P4</f>
        <v>2651.6</v>
      </c>
      <c r="R4" s="275">
        <f>M4+O4+Q4</f>
        <v>19224.099999999999</v>
      </c>
      <c r="S4" s="300">
        <f>INDEX('Glosario Partidas'!$M$8:$M$10,MATCH(K4,'Glosario Partidas'!$L$8:$L$10,0))</f>
        <v>1</v>
      </c>
      <c r="T4" s="275">
        <f>R4*S4</f>
        <v>19224.099999999999</v>
      </c>
      <c r="U4" s="275"/>
      <c r="V4" s="249" t="s">
        <v>12</v>
      </c>
    </row>
    <row r="5" spans="1:22" ht="15" customHeight="1" x14ac:dyDescent="0.2">
      <c r="A5" s="268"/>
      <c r="B5" s="268" t="s">
        <v>199</v>
      </c>
      <c r="C5" s="268" t="s">
        <v>550</v>
      </c>
      <c r="D5" s="269" t="s">
        <v>550</v>
      </c>
      <c r="E5" s="171" t="s">
        <v>229</v>
      </c>
      <c r="F5" s="269"/>
      <c r="G5" s="292"/>
      <c r="H5" s="272" t="s">
        <v>551</v>
      </c>
      <c r="I5" s="273" t="s">
        <v>314</v>
      </c>
      <c r="J5" s="272">
        <f>1/2</f>
        <v>0.5</v>
      </c>
      <c r="K5" s="273" t="s">
        <v>269</v>
      </c>
      <c r="L5" s="275">
        <f>33145</f>
        <v>33145</v>
      </c>
      <c r="M5" s="275">
        <f>J5*L5</f>
        <v>16572.5</v>
      </c>
      <c r="N5" s="276">
        <v>0</v>
      </c>
      <c r="O5" s="275">
        <f>M5*N5</f>
        <v>0</v>
      </c>
      <c r="P5" s="276">
        <v>0.16</v>
      </c>
      <c r="Q5" s="275">
        <f>(M5+O5)*P5</f>
        <v>2651.6</v>
      </c>
      <c r="R5" s="275">
        <f>M5+O5+Q5</f>
        <v>19224.099999999999</v>
      </c>
      <c r="S5" s="300">
        <f>INDEX('Glosario Partidas'!$M$8:$M$10,MATCH(K5,'Glosario Partidas'!$L$8:$L$10,0))</f>
        <v>1</v>
      </c>
      <c r="T5" s="275">
        <f>R5*S5</f>
        <v>19224.099999999999</v>
      </c>
      <c r="U5" s="275"/>
      <c r="V5" s="249" t="s">
        <v>12</v>
      </c>
    </row>
    <row r="6" spans="1:22" ht="15" customHeight="1" x14ac:dyDescent="0.2">
      <c r="A6" s="268"/>
      <c r="B6" s="253" t="s">
        <v>185</v>
      </c>
      <c r="C6" s="253"/>
      <c r="D6" s="294"/>
      <c r="E6" s="295"/>
      <c r="F6" s="294"/>
      <c r="G6" s="295"/>
      <c r="H6" s="297"/>
      <c r="I6" s="132"/>
      <c r="J6" s="297"/>
      <c r="K6" s="132"/>
      <c r="L6" s="286"/>
      <c r="M6" s="286">
        <f>SUM(M4:M5)</f>
        <v>33145</v>
      </c>
      <c r="N6" s="298"/>
      <c r="O6" s="286"/>
      <c r="P6" s="298"/>
      <c r="Q6" s="286"/>
      <c r="R6" s="286">
        <f>SUM(R4:R5)</f>
        <v>38448.199999999997</v>
      </c>
      <c r="S6" s="299"/>
      <c r="T6" s="286">
        <f>SUM(T4:T5)</f>
        <v>38448.199999999997</v>
      </c>
      <c r="U6" s="286"/>
      <c r="V6" s="253"/>
    </row>
    <row r="8" spans="1:22" ht="19.5" customHeight="1" x14ac:dyDescent="0.2"/>
  </sheetData>
  <hyperlinks>
    <hyperlink ref="A3" location="'BUY OUT'!A1" display="⬅ Resumen PU" xr:uid="{00000000-0004-0000-1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8"/>
  <sheetViews>
    <sheetView zoomScale="160" zoomScaleNormal="160" workbookViewId="0">
      <selection activeCell="N15" sqref="N15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89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2" ht="15" customHeight="1" x14ac:dyDescent="0.2">
      <c r="A2" s="291">
        <v>46023</v>
      </c>
      <c r="B2" s="259" t="s">
        <v>495</v>
      </c>
      <c r="C2" s="273"/>
      <c r="D2" s="273"/>
      <c r="E2" s="292"/>
      <c r="F2" s="273"/>
      <c r="G2" s="292"/>
      <c r="H2" s="272"/>
      <c r="I2" s="273"/>
      <c r="J2" s="272"/>
      <c r="K2" s="273"/>
      <c r="L2" s="275"/>
      <c r="M2" s="275"/>
      <c r="N2" s="293"/>
      <c r="O2" s="275"/>
      <c r="P2" s="293"/>
      <c r="Q2" s="275"/>
      <c r="R2" s="275"/>
      <c r="S2" s="277"/>
      <c r="T2" s="275"/>
      <c r="U2" s="275"/>
      <c r="V2" s="273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8"/>
      <c r="B4" s="268" t="s">
        <v>199</v>
      </c>
      <c r="C4" s="268" t="s">
        <v>36</v>
      </c>
      <c r="D4" s="268" t="s">
        <v>36</v>
      </c>
      <c r="E4" s="171" t="s">
        <v>220</v>
      </c>
      <c r="F4" s="269"/>
      <c r="G4" s="292"/>
      <c r="H4" s="272" t="s">
        <v>552</v>
      </c>
      <c r="I4" s="273" t="s">
        <v>314</v>
      </c>
      <c r="J4" s="272">
        <f>1/2</f>
        <v>0.5</v>
      </c>
      <c r="K4" s="273" t="s">
        <v>269</v>
      </c>
      <c r="L4" s="275">
        <v>172413.793103448</v>
      </c>
      <c r="M4" s="275">
        <f>J4*L4</f>
        <v>86206.896551723999</v>
      </c>
      <c r="N4" s="276">
        <v>0</v>
      </c>
      <c r="O4" s="275">
        <f>M4*N4</f>
        <v>0</v>
      </c>
      <c r="P4" s="276">
        <v>0.16</v>
      </c>
      <c r="Q4" s="275">
        <f>(M4+O4)*P4</f>
        <v>13793.10344827584</v>
      </c>
      <c r="R4" s="275">
        <f>M4+O4+Q4</f>
        <v>99999.99999999984</v>
      </c>
      <c r="S4" s="300">
        <f>INDEX('Glosario Partidas'!$M$8:$M$10,MATCH(K4,'Glosario Partidas'!$L$8:$L$10,0))</f>
        <v>1</v>
      </c>
      <c r="T4" s="275">
        <f>R4*S4</f>
        <v>99999.99999999984</v>
      </c>
      <c r="U4" s="275"/>
      <c r="V4" s="249" t="s">
        <v>12</v>
      </c>
    </row>
    <row r="5" spans="1:22" ht="15" customHeight="1" x14ac:dyDescent="0.2">
      <c r="A5" s="268"/>
      <c r="B5" s="268" t="s">
        <v>199</v>
      </c>
      <c r="C5" s="268" t="s">
        <v>36</v>
      </c>
      <c r="D5" s="268" t="s">
        <v>36</v>
      </c>
      <c r="E5" s="171" t="s">
        <v>229</v>
      </c>
      <c r="F5" s="269"/>
      <c r="G5" s="292"/>
      <c r="H5" s="272" t="s">
        <v>552</v>
      </c>
      <c r="I5" s="273" t="s">
        <v>314</v>
      </c>
      <c r="J5" s="272">
        <f>1/2</f>
        <v>0.5</v>
      </c>
      <c r="K5" s="273" t="s">
        <v>269</v>
      </c>
      <c r="L5" s="275">
        <v>172413.793103448</v>
      </c>
      <c r="M5" s="275">
        <f>J5*L5</f>
        <v>86206.896551723999</v>
      </c>
      <c r="N5" s="276">
        <v>0</v>
      </c>
      <c r="O5" s="275">
        <f>M5*N5</f>
        <v>0</v>
      </c>
      <c r="P5" s="276">
        <v>0.16</v>
      </c>
      <c r="Q5" s="275">
        <f>(M5+O5)*P5</f>
        <v>13793.10344827584</v>
      </c>
      <c r="R5" s="275">
        <f>M5+O5+Q5</f>
        <v>99999.99999999984</v>
      </c>
      <c r="S5" s="300">
        <f>INDEX('Glosario Partidas'!$M$8:$M$10,MATCH(K5,'Glosario Partidas'!$L$8:$L$10,0))</f>
        <v>1</v>
      </c>
      <c r="T5" s="275">
        <f>R5*S5</f>
        <v>99999.99999999984</v>
      </c>
      <c r="U5" s="275"/>
      <c r="V5" s="249" t="s">
        <v>12</v>
      </c>
    </row>
    <row r="6" spans="1:22" ht="15" customHeight="1" x14ac:dyDescent="0.2">
      <c r="A6" s="268"/>
      <c r="B6" s="253" t="s">
        <v>185</v>
      </c>
      <c r="C6" s="253"/>
      <c r="D6" s="294"/>
      <c r="E6" s="295"/>
      <c r="F6" s="294"/>
      <c r="G6" s="295"/>
      <c r="H6" s="297"/>
      <c r="I6" s="132"/>
      <c r="J6" s="297"/>
      <c r="K6" s="132"/>
      <c r="L6" s="286"/>
      <c r="M6" s="286">
        <f>SUM(M4:M5)</f>
        <v>172413.793103448</v>
      </c>
      <c r="N6" s="298"/>
      <c r="O6" s="286"/>
      <c r="P6" s="298"/>
      <c r="Q6" s="286"/>
      <c r="R6" s="286">
        <f>SUM(R4:R5)</f>
        <v>199999.99999999968</v>
      </c>
      <c r="S6" s="299"/>
      <c r="T6" s="286">
        <f>SUM(T4:T5)</f>
        <v>199999.99999999968</v>
      </c>
      <c r="U6" s="286"/>
      <c r="V6" s="253"/>
    </row>
    <row r="8" spans="1:22" ht="19.5" customHeight="1" x14ac:dyDescent="0.2"/>
  </sheetData>
  <hyperlinks>
    <hyperlink ref="A3" location="'BUY OUT'!A1" display="⬅ Resumen PU" xr:uid="{00000000-0004-0000-1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C42"/>
  <sheetViews>
    <sheetView topLeftCell="H7" zoomScale="189" zoomScaleNormal="189" workbookViewId="0">
      <selection activeCell="W41" sqref="W41"/>
    </sheetView>
  </sheetViews>
  <sheetFormatPr baseColWidth="10" defaultColWidth="8.6640625" defaultRowHeight="15" customHeight="1" x14ac:dyDescent="0.2"/>
  <cols>
    <col min="2" max="2" width="18.83203125" customWidth="1"/>
    <col min="3" max="3" width="39.33203125" customWidth="1"/>
    <col min="4" max="4" width="10.83203125" customWidth="1"/>
    <col min="8" max="8" width="36.6640625" customWidth="1"/>
    <col min="12" max="12" width="9.6640625" customWidth="1"/>
    <col min="23" max="23" width="22" customWidth="1"/>
    <col min="24" max="24" width="12" customWidth="1"/>
  </cols>
  <sheetData>
    <row r="1" spans="1:29" ht="12.75" customHeight="1" x14ac:dyDescent="0.2">
      <c r="A1" s="247" t="s">
        <v>488</v>
      </c>
      <c r="B1" s="223" t="s">
        <v>295</v>
      </c>
      <c r="C1" s="223" t="s">
        <v>2</v>
      </c>
      <c r="D1" s="223" t="s">
        <v>296</v>
      </c>
      <c r="E1" s="223" t="s">
        <v>215</v>
      </c>
      <c r="F1" s="223" t="s">
        <v>297</v>
      </c>
      <c r="G1" s="223" t="s">
        <v>168</v>
      </c>
      <c r="H1" s="223" t="s">
        <v>298</v>
      </c>
      <c r="I1" s="223" t="s">
        <v>299</v>
      </c>
      <c r="J1" s="223" t="s">
        <v>300</v>
      </c>
      <c r="K1" s="223" t="s">
        <v>301</v>
      </c>
      <c r="L1" s="223" t="s">
        <v>302</v>
      </c>
      <c r="M1" s="223" t="s">
        <v>303</v>
      </c>
      <c r="N1" s="223" t="s">
        <v>304</v>
      </c>
      <c r="O1" s="223" t="s">
        <v>305</v>
      </c>
      <c r="P1" s="223" t="s">
        <v>306</v>
      </c>
      <c r="Q1" s="223" t="s">
        <v>307</v>
      </c>
      <c r="R1" s="223" t="s">
        <v>308</v>
      </c>
      <c r="S1" s="223" t="s">
        <v>309</v>
      </c>
      <c r="T1" s="223" t="s">
        <v>310</v>
      </c>
      <c r="U1" s="223" t="s">
        <v>311</v>
      </c>
      <c r="V1" s="223" t="s">
        <v>312</v>
      </c>
      <c r="W1" s="223" t="s">
        <v>489</v>
      </c>
      <c r="X1" s="223" t="s">
        <v>490</v>
      </c>
      <c r="AB1" s="248" t="s">
        <v>14</v>
      </c>
      <c r="AC1" s="248" t="s">
        <v>15</v>
      </c>
    </row>
    <row r="2" spans="1:29" ht="15" customHeight="1" x14ac:dyDescent="0.2">
      <c r="B2" s="63" t="s">
        <v>43</v>
      </c>
      <c r="C2" s="78" t="s">
        <v>321</v>
      </c>
      <c r="D2" s="78" t="s">
        <v>321</v>
      </c>
      <c r="E2" s="171" t="s">
        <v>220</v>
      </c>
      <c r="F2" s="78" t="s">
        <v>313</v>
      </c>
      <c r="G2" s="171" t="s">
        <v>313</v>
      </c>
      <c r="H2" s="255" t="str">
        <f>'Papeleria PU'!H3</f>
        <v>Office Depot de México SA de CV</v>
      </c>
      <c r="I2" s="225" t="s">
        <v>314</v>
      </c>
      <c r="J2" s="250">
        <v>1</v>
      </c>
      <c r="K2" s="225" t="s">
        <v>269</v>
      </c>
      <c r="L2" s="142">
        <f>SUMIFS('Papeleria PU'!M:M,'Papeleria PU'!E:E,E2)</f>
        <v>56815.239980000006</v>
      </c>
      <c r="M2" s="227">
        <f t="shared" ref="M2:M41" si="0">J2*L2</f>
        <v>56815.239980000006</v>
      </c>
      <c r="N2" s="251">
        <v>0</v>
      </c>
      <c r="O2" s="227">
        <f t="shared" ref="O2:O41" si="1">M2*N2</f>
        <v>0</v>
      </c>
      <c r="P2" s="251">
        <v>0.16</v>
      </c>
      <c r="Q2" s="227">
        <f t="shared" ref="Q2:Q41" si="2">(M2+O2)*P2</f>
        <v>9090.438396800002</v>
      </c>
      <c r="R2" s="227">
        <f t="shared" ref="R2:R41" si="3">M2+O2+Q2</f>
        <v>65905.678376800002</v>
      </c>
      <c r="S2" s="229">
        <f>INDEX('Glosario Partidas'!$M$8:$M$10,MATCH(K2,'Glosario Partidas'!$L$8:$L$10,0))</f>
        <v>1</v>
      </c>
      <c r="T2" s="227">
        <f t="shared" ref="T2:T41" si="4">R2*S2</f>
        <v>65905.678376800002</v>
      </c>
      <c r="U2" s="230" t="s">
        <v>315</v>
      </c>
      <c r="V2" s="249" t="s">
        <v>12</v>
      </c>
      <c r="W2" s="249" t="s">
        <v>493</v>
      </c>
      <c r="X2" s="249"/>
    </row>
    <row r="3" spans="1:29" ht="15" customHeight="1" x14ac:dyDescent="0.2">
      <c r="B3" s="63" t="s">
        <v>43</v>
      </c>
      <c r="C3" s="63" t="s">
        <v>322</v>
      </c>
      <c r="D3" s="78" t="s">
        <v>323</v>
      </c>
      <c r="E3" s="171" t="s">
        <v>220</v>
      </c>
      <c r="F3" s="78" t="s">
        <v>313</v>
      </c>
      <c r="G3" s="171" t="s">
        <v>313</v>
      </c>
      <c r="H3" s="255" t="str">
        <f>'Generador Luz PU'!$H$3</f>
        <v>Tracsa</v>
      </c>
      <c r="I3" s="225" t="s">
        <v>314</v>
      </c>
      <c r="J3" s="250">
        <v>11</v>
      </c>
      <c r="K3" s="225" t="s">
        <v>269</v>
      </c>
      <c r="L3" s="142">
        <f t="array" ref="L3">INDEX('Generador Luz PU'!L:L,MATCH(1,('Generador Luz PU'!E:E=E3)*('Generador Luz PU'!D:D="Renta Generador DE55GC"),0))</f>
        <v>14454.5454545455</v>
      </c>
      <c r="M3" s="227">
        <f t="shared" si="0"/>
        <v>159000.00000000049</v>
      </c>
      <c r="N3" s="251">
        <v>0</v>
      </c>
      <c r="O3" s="227">
        <f t="shared" si="1"/>
        <v>0</v>
      </c>
      <c r="P3" s="251">
        <v>0.16</v>
      </c>
      <c r="Q3" s="227">
        <f t="shared" si="2"/>
        <v>25440.00000000008</v>
      </c>
      <c r="R3" s="227">
        <f t="shared" si="3"/>
        <v>184440.00000000058</v>
      </c>
      <c r="S3" s="229">
        <f>INDEX('Glosario Partidas'!$M$8:$M$10,MATCH(K3,'Glosario Partidas'!$L$8:$L$10,0))</f>
        <v>1</v>
      </c>
      <c r="T3" s="227">
        <f t="shared" si="4"/>
        <v>184440.00000000058</v>
      </c>
      <c r="U3" s="230" t="s">
        <v>315</v>
      </c>
      <c r="V3" s="249" t="s">
        <v>12</v>
      </c>
      <c r="W3" s="249" t="s">
        <v>493</v>
      </c>
      <c r="X3" s="249"/>
    </row>
    <row r="4" spans="1:29" ht="15" customHeight="1" x14ac:dyDescent="0.2">
      <c r="B4" s="63" t="s">
        <v>43</v>
      </c>
      <c r="C4" s="63" t="s">
        <v>322</v>
      </c>
      <c r="D4" s="78" t="s">
        <v>324</v>
      </c>
      <c r="E4" s="171" t="s">
        <v>220</v>
      </c>
      <c r="F4" s="78" t="s">
        <v>313</v>
      </c>
      <c r="G4" s="171" t="s">
        <v>313</v>
      </c>
      <c r="H4" s="255" t="str">
        <f>'Generador Luz PU'!$H$3</f>
        <v>Tracsa</v>
      </c>
      <c r="I4" s="225" t="s">
        <v>314</v>
      </c>
      <c r="J4" s="250">
        <v>11</v>
      </c>
      <c r="K4" s="225" t="s">
        <v>269</v>
      </c>
      <c r="L4" s="142">
        <f t="array" ref="L4">INDEX('Generador Luz PU'!L:L,MATCH(1,('Generador Luz PU'!E:E=E4)*('Generador Luz PU'!D:D="Renta Generador DE22GC"),0))</f>
        <v>12454.5454545455</v>
      </c>
      <c r="M4" s="227">
        <f t="shared" si="0"/>
        <v>137000.00000000049</v>
      </c>
      <c r="N4" s="251">
        <v>0</v>
      </c>
      <c r="O4" s="227">
        <f t="shared" si="1"/>
        <v>0</v>
      </c>
      <c r="P4" s="251">
        <v>0.16</v>
      </c>
      <c r="Q4" s="227">
        <f t="shared" si="2"/>
        <v>21920.00000000008</v>
      </c>
      <c r="R4" s="227">
        <f t="shared" si="3"/>
        <v>158920.00000000058</v>
      </c>
      <c r="S4" s="229">
        <f>INDEX('Glosario Partidas'!$M$8:$M$10,MATCH(K4,'Glosario Partidas'!$L$8:$L$10,0))</f>
        <v>1</v>
      </c>
      <c r="T4" s="227">
        <f t="shared" si="4"/>
        <v>158920.00000000058</v>
      </c>
      <c r="U4" s="230" t="s">
        <v>315</v>
      </c>
      <c r="V4" s="249" t="s">
        <v>12</v>
      </c>
      <c r="W4" s="249" t="s">
        <v>493</v>
      </c>
      <c r="X4" s="249"/>
    </row>
    <row r="5" spans="1:29" ht="15" customHeight="1" x14ac:dyDescent="0.2">
      <c r="B5" s="63" t="s">
        <v>43</v>
      </c>
      <c r="C5" s="63" t="s">
        <v>327</v>
      </c>
      <c r="D5" s="78" t="s">
        <v>313</v>
      </c>
      <c r="E5" s="171" t="s">
        <v>220</v>
      </c>
      <c r="F5" s="78" t="s">
        <v>313</v>
      </c>
      <c r="G5" s="171" t="s">
        <v>313</v>
      </c>
      <c r="H5" s="255" t="str">
        <f>'Camper PU'!H3</f>
        <v>Tracsa</v>
      </c>
      <c r="I5" s="225" t="s">
        <v>328</v>
      </c>
      <c r="J5" s="250">
        <v>12</v>
      </c>
      <c r="K5" s="225" t="s">
        <v>269</v>
      </c>
      <c r="L5" s="142">
        <f>SUMIFS('Camper PU'!L:L,'Camper PU'!E:E,E5)</f>
        <v>8000</v>
      </c>
      <c r="M5" s="227">
        <f t="shared" si="0"/>
        <v>96000</v>
      </c>
      <c r="N5" s="251">
        <v>0</v>
      </c>
      <c r="O5" s="227">
        <f t="shared" si="1"/>
        <v>0</v>
      </c>
      <c r="P5" s="251">
        <v>0.16</v>
      </c>
      <c r="Q5" s="227">
        <f t="shared" si="2"/>
        <v>15360</v>
      </c>
      <c r="R5" s="227">
        <f t="shared" si="3"/>
        <v>111360</v>
      </c>
      <c r="S5" s="229">
        <f>INDEX('Glosario Partidas'!$M$8:$M$10,MATCH(K5,'Glosario Partidas'!$L$8:$L$10,0))</f>
        <v>1</v>
      </c>
      <c r="T5" s="227">
        <f t="shared" si="4"/>
        <v>111360</v>
      </c>
      <c r="U5" s="230" t="s">
        <v>315</v>
      </c>
      <c r="V5" s="249" t="s">
        <v>12</v>
      </c>
      <c r="W5" s="249" t="s">
        <v>493</v>
      </c>
      <c r="X5" s="249"/>
    </row>
    <row r="6" spans="1:29" ht="15" customHeight="1" x14ac:dyDescent="0.2">
      <c r="B6" s="63" t="s">
        <v>43</v>
      </c>
      <c r="C6" s="63" t="s">
        <v>553</v>
      </c>
      <c r="D6" s="78" t="s">
        <v>313</v>
      </c>
      <c r="E6" s="171" t="s">
        <v>220</v>
      </c>
      <c r="F6" s="78" t="s">
        <v>313</v>
      </c>
      <c r="G6" s="171" t="s">
        <v>313</v>
      </c>
      <c r="H6" s="250" t="s">
        <v>293</v>
      </c>
      <c r="I6" s="225" t="s">
        <v>554</v>
      </c>
      <c r="J6" s="250">
        <v>2</v>
      </c>
      <c r="K6" s="225" t="s">
        <v>269</v>
      </c>
      <c r="L6" s="230">
        <f>1716881.89655172/2</f>
        <v>858440.94827586005</v>
      </c>
      <c r="M6" s="227">
        <f t="shared" si="0"/>
        <v>1716881.8965517201</v>
      </c>
      <c r="N6" s="251">
        <v>0</v>
      </c>
      <c r="O6" s="227">
        <f t="shared" si="1"/>
        <v>0</v>
      </c>
      <c r="P6" s="251">
        <v>0.16</v>
      </c>
      <c r="Q6" s="227">
        <f t="shared" si="2"/>
        <v>274701.10344827524</v>
      </c>
      <c r="R6" s="227">
        <f t="shared" si="3"/>
        <v>1991582.9999999953</v>
      </c>
      <c r="S6" s="229">
        <f>INDEX('Glosario Partidas'!$M$8:$M$10,MATCH(K6,'Glosario Partidas'!$L$8:$L$10,0))</f>
        <v>1</v>
      </c>
      <c r="T6" s="227">
        <f t="shared" si="4"/>
        <v>1991582.9999999953</v>
      </c>
      <c r="U6" s="230" t="s">
        <v>315</v>
      </c>
      <c r="V6" s="249" t="s">
        <v>12</v>
      </c>
      <c r="W6" s="249" t="s">
        <v>493</v>
      </c>
      <c r="X6" s="249"/>
    </row>
    <row r="7" spans="1:29" ht="15" customHeight="1" x14ac:dyDescent="0.2">
      <c r="B7" s="63" t="s">
        <v>43</v>
      </c>
      <c r="C7" s="63" t="s">
        <v>555</v>
      </c>
      <c r="D7" s="78" t="s">
        <v>556</v>
      </c>
      <c r="E7" s="171" t="s">
        <v>220</v>
      </c>
      <c r="F7" s="78" t="s">
        <v>313</v>
      </c>
      <c r="G7" s="171" t="s">
        <v>313</v>
      </c>
      <c r="H7" s="224" t="s">
        <v>293</v>
      </c>
      <c r="I7" s="225" t="s">
        <v>314</v>
      </c>
      <c r="J7" s="224">
        <v>0</v>
      </c>
      <c r="K7" s="225" t="s">
        <v>269</v>
      </c>
      <c r="L7" s="226">
        <v>20000</v>
      </c>
      <c r="M7" s="227">
        <f t="shared" si="0"/>
        <v>0</v>
      </c>
      <c r="N7" s="228">
        <v>0</v>
      </c>
      <c r="O7" s="227">
        <f t="shared" si="1"/>
        <v>0</v>
      </c>
      <c r="P7" s="228">
        <v>0.16</v>
      </c>
      <c r="Q7" s="227">
        <f t="shared" si="2"/>
        <v>0</v>
      </c>
      <c r="R7" s="227">
        <f t="shared" si="3"/>
        <v>0</v>
      </c>
      <c r="S7" s="229">
        <f>INDEX('Glosario Partidas'!$M$8:$M$10,MATCH(K7,'Glosario Partidas'!$L$8:$L$10,0))</f>
        <v>1</v>
      </c>
      <c r="T7" s="227">
        <f t="shared" si="4"/>
        <v>0</v>
      </c>
      <c r="U7" s="230" t="s">
        <v>315</v>
      </c>
      <c r="V7" s="249" t="s">
        <v>13</v>
      </c>
      <c r="W7" s="249" t="s">
        <v>491</v>
      </c>
      <c r="X7" s="249"/>
    </row>
    <row r="8" spans="1:29" ht="15" customHeight="1" x14ac:dyDescent="0.2">
      <c r="B8" s="63" t="s">
        <v>43</v>
      </c>
      <c r="C8" s="63" t="s">
        <v>557</v>
      </c>
      <c r="D8" s="78" t="s">
        <v>313</v>
      </c>
      <c r="E8" s="171" t="s">
        <v>220</v>
      </c>
      <c r="F8" s="78" t="s">
        <v>313</v>
      </c>
      <c r="G8" s="171" t="s">
        <v>313</v>
      </c>
      <c r="H8" s="224" t="s">
        <v>293</v>
      </c>
      <c r="I8" s="225" t="s">
        <v>314</v>
      </c>
      <c r="J8" s="224">
        <v>12</v>
      </c>
      <c r="K8" s="225" t="s">
        <v>269</v>
      </c>
      <c r="L8" s="226">
        <v>14000</v>
      </c>
      <c r="M8" s="227">
        <f t="shared" si="0"/>
        <v>168000</v>
      </c>
      <c r="N8" s="228">
        <v>0</v>
      </c>
      <c r="O8" s="227">
        <f t="shared" si="1"/>
        <v>0</v>
      </c>
      <c r="P8" s="228">
        <v>0.16</v>
      </c>
      <c r="Q8" s="227">
        <f t="shared" si="2"/>
        <v>26880</v>
      </c>
      <c r="R8" s="227">
        <f t="shared" si="3"/>
        <v>194880</v>
      </c>
      <c r="S8" s="229">
        <f>INDEX('Glosario Partidas'!$M$8:$M$10,MATCH(K8,'Glosario Partidas'!$L$8:$L$10,0))</f>
        <v>1</v>
      </c>
      <c r="T8" s="227">
        <f t="shared" si="4"/>
        <v>194880</v>
      </c>
      <c r="U8" s="230" t="s">
        <v>315</v>
      </c>
      <c r="V8" s="249" t="s">
        <v>13</v>
      </c>
      <c r="W8" s="249" t="s">
        <v>491</v>
      </c>
      <c r="X8" s="249"/>
    </row>
    <row r="9" spans="1:29" ht="15" customHeight="1" x14ac:dyDescent="0.2">
      <c r="B9" s="63" t="s">
        <v>43</v>
      </c>
      <c r="C9" s="63" t="s">
        <v>558</v>
      </c>
      <c r="D9" s="78" t="s">
        <v>313</v>
      </c>
      <c r="E9" s="171" t="s">
        <v>220</v>
      </c>
      <c r="F9" s="78" t="s">
        <v>313</v>
      </c>
      <c r="G9" s="171" t="s">
        <v>313</v>
      </c>
      <c r="H9" s="224" t="s">
        <v>293</v>
      </c>
      <c r="I9" s="225" t="s">
        <v>314</v>
      </c>
      <c r="J9" s="224">
        <v>1</v>
      </c>
      <c r="K9" s="225" t="s">
        <v>269</v>
      </c>
      <c r="L9" s="226">
        <v>35000</v>
      </c>
      <c r="M9" s="227">
        <f t="shared" si="0"/>
        <v>35000</v>
      </c>
      <c r="N9" s="228">
        <v>0</v>
      </c>
      <c r="O9" s="227">
        <f t="shared" si="1"/>
        <v>0</v>
      </c>
      <c r="P9" s="228">
        <v>0.16</v>
      </c>
      <c r="Q9" s="227">
        <f t="shared" si="2"/>
        <v>5600</v>
      </c>
      <c r="R9" s="227">
        <f t="shared" si="3"/>
        <v>40600</v>
      </c>
      <c r="S9" s="229">
        <f>INDEX('Glosario Partidas'!$M$8:$M$10,MATCH(K9,'Glosario Partidas'!$L$8:$L$10,0))</f>
        <v>1</v>
      </c>
      <c r="T9" s="227">
        <f t="shared" si="4"/>
        <v>40600</v>
      </c>
      <c r="U9" s="230" t="s">
        <v>315</v>
      </c>
      <c r="V9" s="249" t="s">
        <v>13</v>
      </c>
      <c r="W9" s="249" t="s">
        <v>491</v>
      </c>
      <c r="X9" s="249"/>
    </row>
    <row r="10" spans="1:29" ht="15" customHeight="1" x14ac:dyDescent="0.2">
      <c r="B10" s="63" t="s">
        <v>43</v>
      </c>
      <c r="C10" s="63" t="s">
        <v>322</v>
      </c>
      <c r="D10" s="78" t="s">
        <v>325</v>
      </c>
      <c r="E10" s="171" t="s">
        <v>220</v>
      </c>
      <c r="F10" s="78" t="s">
        <v>313</v>
      </c>
      <c r="G10" s="171" t="s">
        <v>313</v>
      </c>
      <c r="H10" s="224" t="s">
        <v>293</v>
      </c>
      <c r="I10" s="225" t="s">
        <v>314</v>
      </c>
      <c r="J10" s="224">
        <v>12</v>
      </c>
      <c r="K10" s="225" t="s">
        <v>269</v>
      </c>
      <c r="L10" s="226">
        <v>62400</v>
      </c>
      <c r="M10" s="227">
        <f t="shared" si="0"/>
        <v>748800</v>
      </c>
      <c r="N10" s="228">
        <v>0</v>
      </c>
      <c r="O10" s="227">
        <f t="shared" si="1"/>
        <v>0</v>
      </c>
      <c r="P10" s="228">
        <v>0.16</v>
      </c>
      <c r="Q10" s="227">
        <f t="shared" si="2"/>
        <v>119808</v>
      </c>
      <c r="R10" s="227">
        <f t="shared" si="3"/>
        <v>868608</v>
      </c>
      <c r="S10" s="229">
        <f>INDEX('Glosario Partidas'!$M$8:$M$10,MATCH(BD!K7,'Glosario Partidas'!$L$8:$L$10,0))</f>
        <v>1</v>
      </c>
      <c r="T10" s="227">
        <f t="shared" si="4"/>
        <v>868608</v>
      </c>
      <c r="U10" s="230" t="s">
        <v>315</v>
      </c>
      <c r="V10" s="249" t="s">
        <v>13</v>
      </c>
      <c r="W10" s="249" t="s">
        <v>491</v>
      </c>
      <c r="X10" s="249"/>
    </row>
    <row r="11" spans="1:29" ht="15" customHeight="1" x14ac:dyDescent="0.2">
      <c r="B11" s="63" t="s">
        <v>43</v>
      </c>
      <c r="C11" s="63" t="s">
        <v>322</v>
      </c>
      <c r="D11" s="78" t="s">
        <v>559</v>
      </c>
      <c r="E11" s="171" t="s">
        <v>220</v>
      </c>
      <c r="F11" s="78" t="s">
        <v>313</v>
      </c>
      <c r="G11" s="171" t="s">
        <v>313</v>
      </c>
      <c r="H11" s="224" t="s">
        <v>293</v>
      </c>
      <c r="I11" s="225" t="s">
        <v>314</v>
      </c>
      <c r="J11" s="224">
        <v>12</v>
      </c>
      <c r="K11" s="225" t="s">
        <v>269</v>
      </c>
      <c r="L11" s="226">
        <v>40000</v>
      </c>
      <c r="M11" s="227">
        <f t="shared" si="0"/>
        <v>480000</v>
      </c>
      <c r="N11" s="228">
        <v>0</v>
      </c>
      <c r="O11" s="227">
        <f t="shared" si="1"/>
        <v>0</v>
      </c>
      <c r="P11" s="228">
        <v>0.16</v>
      </c>
      <c r="Q11" s="227">
        <f t="shared" si="2"/>
        <v>76800</v>
      </c>
      <c r="R11" s="227">
        <f t="shared" si="3"/>
        <v>556800</v>
      </c>
      <c r="S11" s="229">
        <f>INDEX('Glosario Partidas'!$M$8:$M$10,MATCH(BD!K8,'Glosario Partidas'!$L$8:$L$10,0))</f>
        <v>1</v>
      </c>
      <c r="T11" s="227">
        <f t="shared" si="4"/>
        <v>556800</v>
      </c>
      <c r="U11" s="230" t="s">
        <v>315</v>
      </c>
      <c r="V11" s="249" t="s">
        <v>13</v>
      </c>
      <c r="W11" s="249" t="s">
        <v>491</v>
      </c>
      <c r="X11" s="249"/>
    </row>
    <row r="12" spans="1:29" ht="15" customHeight="1" x14ac:dyDescent="0.2">
      <c r="B12" s="63" t="s">
        <v>43</v>
      </c>
      <c r="C12" s="63" t="s">
        <v>560</v>
      </c>
      <c r="D12" s="78" t="s">
        <v>561</v>
      </c>
      <c r="E12" s="171" t="s">
        <v>220</v>
      </c>
      <c r="F12" s="78" t="s">
        <v>313</v>
      </c>
      <c r="G12" s="171" t="s">
        <v>313</v>
      </c>
      <c r="H12" s="224" t="s">
        <v>293</v>
      </c>
      <c r="I12" s="225" t="s">
        <v>328</v>
      </c>
      <c r="J12" s="224">
        <v>12</v>
      </c>
      <c r="K12" s="225" t="s">
        <v>269</v>
      </c>
      <c r="L12" s="226">
        <v>30000</v>
      </c>
      <c r="M12" s="227">
        <f t="shared" si="0"/>
        <v>360000</v>
      </c>
      <c r="N12" s="228">
        <v>0</v>
      </c>
      <c r="O12" s="227">
        <f t="shared" si="1"/>
        <v>0</v>
      </c>
      <c r="P12" s="228">
        <v>0.16</v>
      </c>
      <c r="Q12" s="227">
        <f t="shared" si="2"/>
        <v>57600</v>
      </c>
      <c r="R12" s="227">
        <f t="shared" si="3"/>
        <v>417600</v>
      </c>
      <c r="S12" s="229">
        <f>INDEX('Glosario Partidas'!$M$8:$M$10,MATCH(K12,'Glosario Partidas'!$L$8:$L$10,0))</f>
        <v>1</v>
      </c>
      <c r="T12" s="227">
        <f t="shared" si="4"/>
        <v>417600</v>
      </c>
      <c r="U12" s="230" t="s">
        <v>315</v>
      </c>
      <c r="V12" s="249" t="s">
        <v>13</v>
      </c>
      <c r="W12" s="249" t="s">
        <v>491</v>
      </c>
      <c r="X12" s="249"/>
    </row>
    <row r="13" spans="1:29" ht="15" customHeight="1" x14ac:dyDescent="0.2">
      <c r="B13" s="63" t="s">
        <v>43</v>
      </c>
      <c r="C13" s="63" t="s">
        <v>329</v>
      </c>
      <c r="D13" s="78" t="s">
        <v>313</v>
      </c>
      <c r="E13" s="171" t="s">
        <v>220</v>
      </c>
      <c r="F13" s="78" t="s">
        <v>313</v>
      </c>
      <c r="G13" s="171" t="s">
        <v>313</v>
      </c>
      <c r="H13" s="224" t="s">
        <v>293</v>
      </c>
      <c r="I13" s="225" t="s">
        <v>328</v>
      </c>
      <c r="J13" s="224">
        <v>12</v>
      </c>
      <c r="K13" s="225" t="s">
        <v>269</v>
      </c>
      <c r="L13" s="226">
        <v>45000</v>
      </c>
      <c r="M13" s="227">
        <f t="shared" si="0"/>
        <v>540000</v>
      </c>
      <c r="N13" s="228">
        <v>0</v>
      </c>
      <c r="O13" s="227">
        <f t="shared" si="1"/>
        <v>0</v>
      </c>
      <c r="P13" s="228">
        <v>0.16</v>
      </c>
      <c r="Q13" s="227">
        <f t="shared" si="2"/>
        <v>86400</v>
      </c>
      <c r="R13" s="227">
        <f t="shared" si="3"/>
        <v>626400</v>
      </c>
      <c r="S13" s="229">
        <f>INDEX('Glosario Partidas'!$M$8:$M$10,MATCH(K13,'Glosario Partidas'!$L$8:$L$10,0))</f>
        <v>1</v>
      </c>
      <c r="T13" s="227">
        <f t="shared" si="4"/>
        <v>626400</v>
      </c>
      <c r="U13" s="230" t="s">
        <v>315</v>
      </c>
      <c r="V13" s="249" t="s">
        <v>13</v>
      </c>
      <c r="W13" s="249" t="s">
        <v>491</v>
      </c>
      <c r="X13" s="249"/>
    </row>
    <row r="14" spans="1:29" ht="15" customHeight="1" x14ac:dyDescent="0.2">
      <c r="B14" s="63" t="s">
        <v>43</v>
      </c>
      <c r="C14" s="63" t="s">
        <v>330</v>
      </c>
      <c r="D14" s="78" t="s">
        <v>313</v>
      </c>
      <c r="E14" s="171" t="s">
        <v>220</v>
      </c>
      <c r="F14" s="78" t="s">
        <v>313</v>
      </c>
      <c r="G14" s="171" t="s">
        <v>313</v>
      </c>
      <c r="H14" s="224" t="s">
        <v>293</v>
      </c>
      <c r="I14" s="225" t="s">
        <v>328</v>
      </c>
      <c r="J14" s="224">
        <v>12</v>
      </c>
      <c r="K14" s="225" t="s">
        <v>269</v>
      </c>
      <c r="L14" s="226">
        <v>65000</v>
      </c>
      <c r="M14" s="227">
        <f t="shared" si="0"/>
        <v>780000</v>
      </c>
      <c r="N14" s="228">
        <v>0</v>
      </c>
      <c r="O14" s="227">
        <f t="shared" si="1"/>
        <v>0</v>
      </c>
      <c r="P14" s="228">
        <v>0.16</v>
      </c>
      <c r="Q14" s="227">
        <f t="shared" si="2"/>
        <v>124800</v>
      </c>
      <c r="R14" s="227">
        <f t="shared" si="3"/>
        <v>904800</v>
      </c>
      <c r="S14" s="229">
        <f>INDEX('Glosario Partidas'!$M$8:$M$10,MATCH(K14,'Glosario Partidas'!$L$8:$L$10,0))</f>
        <v>1</v>
      </c>
      <c r="T14" s="227">
        <f t="shared" si="4"/>
        <v>904800</v>
      </c>
      <c r="U14" s="230" t="s">
        <v>315</v>
      </c>
      <c r="V14" s="249" t="s">
        <v>13</v>
      </c>
      <c r="W14" s="249" t="s">
        <v>491</v>
      </c>
      <c r="X14" s="249"/>
    </row>
    <row r="15" spans="1:29" ht="15" customHeight="1" x14ac:dyDescent="0.2">
      <c r="B15" s="63" t="s">
        <v>43</v>
      </c>
      <c r="C15" s="63" t="s">
        <v>331</v>
      </c>
      <c r="D15" s="78" t="s">
        <v>313</v>
      </c>
      <c r="E15" s="171" t="s">
        <v>220</v>
      </c>
      <c r="F15" s="78" t="s">
        <v>313</v>
      </c>
      <c r="G15" s="171" t="s">
        <v>313</v>
      </c>
      <c r="H15" s="224" t="s">
        <v>293</v>
      </c>
      <c r="I15" s="225" t="s">
        <v>328</v>
      </c>
      <c r="J15" s="224">
        <v>12</v>
      </c>
      <c r="K15" s="225" t="s">
        <v>269</v>
      </c>
      <c r="L15" s="226">
        <v>65000</v>
      </c>
      <c r="M15" s="227">
        <f t="shared" si="0"/>
        <v>780000</v>
      </c>
      <c r="N15" s="228">
        <v>0</v>
      </c>
      <c r="O15" s="227">
        <f t="shared" si="1"/>
        <v>0</v>
      </c>
      <c r="P15" s="228">
        <v>0.16</v>
      </c>
      <c r="Q15" s="227">
        <f t="shared" si="2"/>
        <v>124800</v>
      </c>
      <c r="R15" s="227">
        <f t="shared" si="3"/>
        <v>904800</v>
      </c>
      <c r="S15" s="229">
        <f>INDEX('Glosario Partidas'!$M$8:$M$10,MATCH(K15,'Glosario Partidas'!$L$8:$L$10,0))</f>
        <v>1</v>
      </c>
      <c r="T15" s="227">
        <f t="shared" si="4"/>
        <v>904800</v>
      </c>
      <c r="U15" s="230" t="s">
        <v>315</v>
      </c>
      <c r="V15" s="249" t="s">
        <v>13</v>
      </c>
      <c r="W15" s="249" t="s">
        <v>491</v>
      </c>
      <c r="X15" s="249"/>
    </row>
    <row r="16" spans="1:29" ht="15" customHeight="1" x14ac:dyDescent="0.2">
      <c r="B16" s="63" t="s">
        <v>43</v>
      </c>
      <c r="C16" s="63" t="s">
        <v>562</v>
      </c>
      <c r="D16" s="78" t="s">
        <v>313</v>
      </c>
      <c r="E16" s="171" t="s">
        <v>220</v>
      </c>
      <c r="F16" s="78" t="s">
        <v>313</v>
      </c>
      <c r="G16" s="171" t="s">
        <v>313</v>
      </c>
      <c r="H16" s="224" t="s">
        <v>293</v>
      </c>
      <c r="I16" s="225" t="s">
        <v>328</v>
      </c>
      <c r="J16" s="224">
        <v>12</v>
      </c>
      <c r="K16" s="225" t="s">
        <v>269</v>
      </c>
      <c r="L16" s="226">
        <v>40000</v>
      </c>
      <c r="M16" s="227">
        <f t="shared" si="0"/>
        <v>480000</v>
      </c>
      <c r="N16" s="228">
        <v>0</v>
      </c>
      <c r="O16" s="227">
        <f t="shared" si="1"/>
        <v>0</v>
      </c>
      <c r="P16" s="228">
        <v>0.16</v>
      </c>
      <c r="Q16" s="227">
        <f t="shared" si="2"/>
        <v>76800</v>
      </c>
      <c r="R16" s="227">
        <f t="shared" si="3"/>
        <v>556800</v>
      </c>
      <c r="S16" s="229">
        <f>INDEX('Glosario Partidas'!$M$8:$M$10,MATCH(K16,'Glosario Partidas'!$L$8:$L$10,0))</f>
        <v>1</v>
      </c>
      <c r="T16" s="227">
        <f t="shared" si="4"/>
        <v>556800</v>
      </c>
      <c r="U16" s="230" t="s">
        <v>315</v>
      </c>
      <c r="V16" s="249" t="s">
        <v>13</v>
      </c>
      <c r="W16" s="249" t="s">
        <v>491</v>
      </c>
      <c r="X16" s="249"/>
    </row>
    <row r="17" spans="2:24" ht="15" customHeight="1" x14ac:dyDescent="0.2">
      <c r="B17" s="63" t="s">
        <v>43</v>
      </c>
      <c r="C17" s="63" t="s">
        <v>563</v>
      </c>
      <c r="D17" s="78" t="s">
        <v>564</v>
      </c>
      <c r="E17" s="171" t="s">
        <v>220</v>
      </c>
      <c r="F17" s="78" t="s">
        <v>313</v>
      </c>
      <c r="G17" s="171" t="s">
        <v>313</v>
      </c>
      <c r="H17" s="224" t="s">
        <v>293</v>
      </c>
      <c r="I17" s="225" t="s">
        <v>328</v>
      </c>
      <c r="J17" s="224">
        <v>1</v>
      </c>
      <c r="K17" s="225" t="s">
        <v>269</v>
      </c>
      <c r="L17" s="226">
        <v>50000</v>
      </c>
      <c r="M17" s="227">
        <f t="shared" si="0"/>
        <v>50000</v>
      </c>
      <c r="N17" s="228">
        <v>0</v>
      </c>
      <c r="O17" s="227">
        <f t="shared" si="1"/>
        <v>0</v>
      </c>
      <c r="P17" s="228">
        <v>0.16</v>
      </c>
      <c r="Q17" s="227">
        <f t="shared" si="2"/>
        <v>8000</v>
      </c>
      <c r="R17" s="227">
        <f t="shared" si="3"/>
        <v>58000</v>
      </c>
      <c r="S17" s="229">
        <f>INDEX('Glosario Partidas'!$M$8:$M$10,MATCH(K17,'Glosario Partidas'!$L$8:$L$10,0))</f>
        <v>1</v>
      </c>
      <c r="T17" s="227">
        <f t="shared" si="4"/>
        <v>58000</v>
      </c>
      <c r="U17" s="230" t="s">
        <v>315</v>
      </c>
      <c r="V17" s="249" t="s">
        <v>13</v>
      </c>
      <c r="W17" s="249" t="s">
        <v>491</v>
      </c>
      <c r="X17" s="249"/>
    </row>
    <row r="18" spans="2:24" ht="15" customHeight="1" x14ac:dyDescent="0.2">
      <c r="B18" s="63" t="s">
        <v>43</v>
      </c>
      <c r="C18" s="63" t="s">
        <v>563</v>
      </c>
      <c r="D18" s="78" t="s">
        <v>565</v>
      </c>
      <c r="E18" s="171" t="s">
        <v>220</v>
      </c>
      <c r="F18" s="78" t="s">
        <v>313</v>
      </c>
      <c r="G18" s="171" t="s">
        <v>313</v>
      </c>
      <c r="H18" s="224" t="s">
        <v>293</v>
      </c>
      <c r="I18" s="225" t="s">
        <v>328</v>
      </c>
      <c r="J18" s="224">
        <v>1</v>
      </c>
      <c r="K18" s="225" t="s">
        <v>269</v>
      </c>
      <c r="L18" s="226">
        <v>300000</v>
      </c>
      <c r="M18" s="227">
        <f t="shared" si="0"/>
        <v>300000</v>
      </c>
      <c r="N18" s="228">
        <v>0</v>
      </c>
      <c r="O18" s="227">
        <f t="shared" si="1"/>
        <v>0</v>
      </c>
      <c r="P18" s="228">
        <v>0.16</v>
      </c>
      <c r="Q18" s="227">
        <f t="shared" si="2"/>
        <v>48000</v>
      </c>
      <c r="R18" s="227">
        <f t="shared" si="3"/>
        <v>348000</v>
      </c>
      <c r="S18" s="229">
        <f>INDEX('Glosario Partidas'!$M$8:$M$10,MATCH(K18,'Glosario Partidas'!$L$8:$L$10,0))</f>
        <v>1</v>
      </c>
      <c r="T18" s="227">
        <f t="shared" si="4"/>
        <v>348000</v>
      </c>
      <c r="U18" s="230" t="s">
        <v>315</v>
      </c>
      <c r="V18" s="249" t="s">
        <v>13</v>
      </c>
      <c r="W18" s="249" t="s">
        <v>491</v>
      </c>
      <c r="X18" s="249"/>
    </row>
    <row r="19" spans="2:24" ht="15" customHeight="1" x14ac:dyDescent="0.2">
      <c r="B19" s="63" t="s">
        <v>43</v>
      </c>
      <c r="C19" s="63" t="s">
        <v>566</v>
      </c>
      <c r="D19" s="78" t="s">
        <v>313</v>
      </c>
      <c r="E19" s="171" t="s">
        <v>220</v>
      </c>
      <c r="F19" s="78" t="s">
        <v>313</v>
      </c>
      <c r="G19" s="171" t="s">
        <v>313</v>
      </c>
      <c r="H19" s="224" t="s">
        <v>293</v>
      </c>
      <c r="I19" s="225" t="s">
        <v>328</v>
      </c>
      <c r="J19" s="224">
        <v>1</v>
      </c>
      <c r="K19" s="225" t="s">
        <v>269</v>
      </c>
      <c r="L19" s="226">
        <v>50000</v>
      </c>
      <c r="M19" s="227">
        <f t="shared" si="0"/>
        <v>50000</v>
      </c>
      <c r="N19" s="228">
        <v>0</v>
      </c>
      <c r="O19" s="227">
        <f t="shared" si="1"/>
        <v>0</v>
      </c>
      <c r="P19" s="228">
        <v>0.16</v>
      </c>
      <c r="Q19" s="227">
        <f t="shared" si="2"/>
        <v>8000</v>
      </c>
      <c r="R19" s="227">
        <f t="shared" si="3"/>
        <v>58000</v>
      </c>
      <c r="S19" s="229">
        <f>INDEX('Glosario Partidas'!$M$8:$M$10,MATCH(K19,'Glosario Partidas'!$L$8:$L$10,0))</f>
        <v>1</v>
      </c>
      <c r="T19" s="227">
        <f t="shared" si="4"/>
        <v>58000</v>
      </c>
      <c r="U19" s="230" t="s">
        <v>315</v>
      </c>
      <c r="V19" s="249" t="s">
        <v>13</v>
      </c>
      <c r="W19" s="249" t="s">
        <v>491</v>
      </c>
      <c r="X19" s="249"/>
    </row>
    <row r="20" spans="2:24" ht="15" customHeight="1" x14ac:dyDescent="0.2">
      <c r="B20" s="63" t="s">
        <v>43</v>
      </c>
      <c r="C20" s="63" t="s">
        <v>333</v>
      </c>
      <c r="D20" s="78" t="s">
        <v>313</v>
      </c>
      <c r="E20" s="171" t="s">
        <v>220</v>
      </c>
      <c r="F20" s="78" t="s">
        <v>313</v>
      </c>
      <c r="G20" s="171" t="s">
        <v>313</v>
      </c>
      <c r="H20" s="224" t="s">
        <v>293</v>
      </c>
      <c r="I20" s="225" t="s">
        <v>328</v>
      </c>
      <c r="J20" s="224">
        <v>12</v>
      </c>
      <c r="K20" s="225" t="s">
        <v>269</v>
      </c>
      <c r="L20" s="226">
        <v>60000</v>
      </c>
      <c r="M20" s="227">
        <f t="shared" si="0"/>
        <v>720000</v>
      </c>
      <c r="N20" s="228">
        <v>0</v>
      </c>
      <c r="O20" s="227">
        <f t="shared" si="1"/>
        <v>0</v>
      </c>
      <c r="P20" s="228">
        <v>0.16</v>
      </c>
      <c r="Q20" s="227">
        <f t="shared" si="2"/>
        <v>115200</v>
      </c>
      <c r="R20" s="227">
        <f t="shared" si="3"/>
        <v>835200</v>
      </c>
      <c r="S20" s="229">
        <f>INDEX('Glosario Partidas'!$M$8:$M$10,MATCH(K20,'Glosario Partidas'!$L$8:$L$10,0))</f>
        <v>1</v>
      </c>
      <c r="T20" s="227">
        <f t="shared" si="4"/>
        <v>835200</v>
      </c>
      <c r="U20" s="230" t="s">
        <v>315</v>
      </c>
      <c r="V20" s="249" t="s">
        <v>13</v>
      </c>
      <c r="W20" s="249" t="s">
        <v>491</v>
      </c>
      <c r="X20" s="249"/>
    </row>
    <row r="21" spans="2:24" ht="15" customHeight="1" x14ac:dyDescent="0.2">
      <c r="B21" s="63" t="s">
        <v>43</v>
      </c>
      <c r="C21" s="63" t="s">
        <v>334</v>
      </c>
      <c r="D21" s="78" t="s">
        <v>313</v>
      </c>
      <c r="E21" s="171" t="s">
        <v>220</v>
      </c>
      <c r="F21" s="78" t="s">
        <v>313</v>
      </c>
      <c r="G21" s="171" t="s">
        <v>313</v>
      </c>
      <c r="H21" s="224" t="s">
        <v>293</v>
      </c>
      <c r="I21" s="225" t="s">
        <v>328</v>
      </c>
      <c r="J21" s="224">
        <v>12</v>
      </c>
      <c r="K21" s="225" t="s">
        <v>269</v>
      </c>
      <c r="L21" s="226">
        <v>30000</v>
      </c>
      <c r="M21" s="227">
        <f t="shared" si="0"/>
        <v>360000</v>
      </c>
      <c r="N21" s="228">
        <v>0</v>
      </c>
      <c r="O21" s="227">
        <f t="shared" si="1"/>
        <v>0</v>
      </c>
      <c r="P21" s="228">
        <v>0.16</v>
      </c>
      <c r="Q21" s="227">
        <f t="shared" si="2"/>
        <v>57600</v>
      </c>
      <c r="R21" s="227">
        <f t="shared" si="3"/>
        <v>417600</v>
      </c>
      <c r="S21" s="229">
        <f>INDEX('Glosario Partidas'!$M$8:$M$10,MATCH(K21,'Glosario Partidas'!$L$8:$L$10,0))</f>
        <v>1</v>
      </c>
      <c r="T21" s="227">
        <f t="shared" si="4"/>
        <v>417600</v>
      </c>
      <c r="U21" s="230" t="s">
        <v>315</v>
      </c>
      <c r="V21" s="249" t="s">
        <v>13</v>
      </c>
      <c r="W21" s="249" t="s">
        <v>491</v>
      </c>
      <c r="X21" s="249"/>
    </row>
    <row r="22" spans="2:24" ht="15" customHeight="1" x14ac:dyDescent="0.2">
      <c r="B22" s="63" t="s">
        <v>43</v>
      </c>
      <c r="C22" s="78" t="s">
        <v>321</v>
      </c>
      <c r="D22" s="78" t="s">
        <v>321</v>
      </c>
      <c r="E22" s="171" t="s">
        <v>229</v>
      </c>
      <c r="F22" s="78" t="s">
        <v>313</v>
      </c>
      <c r="G22" s="171" t="s">
        <v>313</v>
      </c>
      <c r="H22" s="255" t="str">
        <f>'Papeleria PU'!H26</f>
        <v>Office Depot de México SA de CV</v>
      </c>
      <c r="I22" s="225" t="s">
        <v>314</v>
      </c>
      <c r="J22" s="250">
        <v>1</v>
      </c>
      <c r="K22" s="225" t="s">
        <v>269</v>
      </c>
      <c r="L22" s="142">
        <f>SUMIFS('Papeleria PU'!M:M,'Papeleria PU'!E:E,E22)</f>
        <v>56815.239980000006</v>
      </c>
      <c r="M22" s="227">
        <f t="shared" si="0"/>
        <v>56815.239980000006</v>
      </c>
      <c r="N22" s="251">
        <v>0</v>
      </c>
      <c r="O22" s="227">
        <f t="shared" si="1"/>
        <v>0</v>
      </c>
      <c r="P22" s="251">
        <v>0.16</v>
      </c>
      <c r="Q22" s="227">
        <f t="shared" si="2"/>
        <v>9090.438396800002</v>
      </c>
      <c r="R22" s="227">
        <f t="shared" si="3"/>
        <v>65905.678376800002</v>
      </c>
      <c r="S22" s="229">
        <f>INDEX('Glosario Partidas'!$M$8:$M$10,MATCH(K22,'Glosario Partidas'!$L$8:$L$10,0))</f>
        <v>1</v>
      </c>
      <c r="T22" s="227">
        <f t="shared" si="4"/>
        <v>65905.678376800002</v>
      </c>
      <c r="U22" s="230" t="s">
        <v>315</v>
      </c>
      <c r="V22" s="249" t="s">
        <v>12</v>
      </c>
      <c r="W22" s="249" t="s">
        <v>491</v>
      </c>
      <c r="X22" s="249"/>
    </row>
    <row r="23" spans="2:24" ht="15" customHeight="1" x14ac:dyDescent="0.2">
      <c r="B23" s="63" t="s">
        <v>43</v>
      </c>
      <c r="C23" s="63" t="s">
        <v>322</v>
      </c>
      <c r="D23" s="78" t="s">
        <v>323</v>
      </c>
      <c r="E23" s="171" t="s">
        <v>229</v>
      </c>
      <c r="F23" s="78" t="s">
        <v>313</v>
      </c>
      <c r="G23" s="171" t="s">
        <v>313</v>
      </c>
      <c r="H23" s="255" t="str">
        <f>'Generador Luz PU'!$H$4</f>
        <v>Tracsa</v>
      </c>
      <c r="I23" s="225" t="s">
        <v>314</v>
      </c>
      <c r="J23" s="250">
        <v>11</v>
      </c>
      <c r="K23" s="225" t="s">
        <v>269</v>
      </c>
      <c r="L23" s="142">
        <f t="array" ref="L23">INDEX('Generador Luz PU'!L:L,MATCH(1,('Generador Luz PU'!E:E=E23)*('Generador Luz PU'!D:D="Renta Generador DE55GC"),0))</f>
        <v>14454.5454545455</v>
      </c>
      <c r="M23" s="227">
        <f t="shared" si="0"/>
        <v>159000.00000000049</v>
      </c>
      <c r="N23" s="251">
        <v>0</v>
      </c>
      <c r="O23" s="227">
        <f t="shared" si="1"/>
        <v>0</v>
      </c>
      <c r="P23" s="251">
        <v>0.16</v>
      </c>
      <c r="Q23" s="227">
        <f t="shared" si="2"/>
        <v>25440.00000000008</v>
      </c>
      <c r="R23" s="227">
        <f t="shared" si="3"/>
        <v>184440.00000000058</v>
      </c>
      <c r="S23" s="229">
        <f>INDEX('Glosario Partidas'!$M$8:$M$10,MATCH(K23,'Glosario Partidas'!$L$8:$L$10,0))</f>
        <v>1</v>
      </c>
      <c r="T23" s="227">
        <f t="shared" si="4"/>
        <v>184440.00000000058</v>
      </c>
      <c r="U23" s="230" t="s">
        <v>315</v>
      </c>
      <c r="V23" s="249" t="s">
        <v>12</v>
      </c>
      <c r="W23" s="249" t="s">
        <v>491</v>
      </c>
      <c r="X23" s="249"/>
    </row>
    <row r="24" spans="2:24" ht="15" customHeight="1" x14ac:dyDescent="0.2">
      <c r="B24" s="63" t="s">
        <v>43</v>
      </c>
      <c r="C24" s="63" t="s">
        <v>322</v>
      </c>
      <c r="D24" s="78" t="s">
        <v>324</v>
      </c>
      <c r="E24" s="171" t="s">
        <v>229</v>
      </c>
      <c r="F24" s="78" t="s">
        <v>313</v>
      </c>
      <c r="G24" s="171" t="s">
        <v>313</v>
      </c>
      <c r="H24" s="255" t="str">
        <f>'Generador Luz PU'!$H$4</f>
        <v>Tracsa</v>
      </c>
      <c r="I24" s="225" t="s">
        <v>314</v>
      </c>
      <c r="J24" s="250">
        <v>11</v>
      </c>
      <c r="K24" s="225" t="s">
        <v>269</v>
      </c>
      <c r="L24" s="142">
        <f t="array" ref="L24">INDEX('Generador Luz PU'!L:L,MATCH(1,('Generador Luz PU'!E:E=E24)*('Generador Luz PU'!D:D="Renta Generador DE22GC"),0))</f>
        <v>12454.5454545455</v>
      </c>
      <c r="M24" s="227">
        <f t="shared" si="0"/>
        <v>137000.00000000049</v>
      </c>
      <c r="N24" s="251">
        <v>0</v>
      </c>
      <c r="O24" s="227">
        <f t="shared" si="1"/>
        <v>0</v>
      </c>
      <c r="P24" s="251">
        <v>0.16</v>
      </c>
      <c r="Q24" s="227">
        <f t="shared" si="2"/>
        <v>21920.00000000008</v>
      </c>
      <c r="R24" s="227">
        <f t="shared" si="3"/>
        <v>158920.00000000058</v>
      </c>
      <c r="S24" s="229">
        <f>INDEX('Glosario Partidas'!$M$8:$M$10,MATCH(K24,'Glosario Partidas'!$L$8:$L$10,0))</f>
        <v>1</v>
      </c>
      <c r="T24" s="227">
        <f t="shared" si="4"/>
        <v>158920.00000000058</v>
      </c>
      <c r="U24" s="230" t="s">
        <v>315</v>
      </c>
      <c r="V24" s="249" t="s">
        <v>12</v>
      </c>
      <c r="W24" s="249" t="s">
        <v>491</v>
      </c>
      <c r="X24" s="249"/>
    </row>
    <row r="25" spans="2:24" ht="15" customHeight="1" x14ac:dyDescent="0.2">
      <c r="B25" s="63" t="s">
        <v>43</v>
      </c>
      <c r="C25" s="63" t="s">
        <v>327</v>
      </c>
      <c r="D25" s="78" t="s">
        <v>313</v>
      </c>
      <c r="E25" s="171" t="s">
        <v>229</v>
      </c>
      <c r="F25" s="78" t="s">
        <v>313</v>
      </c>
      <c r="G25" s="171" t="s">
        <v>313</v>
      </c>
      <c r="H25" s="255" t="str">
        <f>'Camper PU'!H4</f>
        <v>Tracsa</v>
      </c>
      <c r="I25" s="225" t="s">
        <v>328</v>
      </c>
      <c r="J25" s="250">
        <v>12</v>
      </c>
      <c r="K25" s="225" t="s">
        <v>269</v>
      </c>
      <c r="L25" s="142">
        <f>SUMIFS('Camper PU'!L:L,'Camper PU'!E:E,E25)</f>
        <v>8000</v>
      </c>
      <c r="M25" s="227">
        <f t="shared" si="0"/>
        <v>96000</v>
      </c>
      <c r="N25" s="251">
        <v>0</v>
      </c>
      <c r="O25" s="227">
        <f t="shared" si="1"/>
        <v>0</v>
      </c>
      <c r="P25" s="251">
        <v>0.16</v>
      </c>
      <c r="Q25" s="227">
        <f t="shared" si="2"/>
        <v>15360</v>
      </c>
      <c r="R25" s="227">
        <f t="shared" si="3"/>
        <v>111360</v>
      </c>
      <c r="S25" s="229">
        <f>INDEX('Glosario Partidas'!$M$8:$M$10,MATCH(K25,'Glosario Partidas'!$L$8:$L$10,0))</f>
        <v>1</v>
      </c>
      <c r="T25" s="227">
        <f t="shared" si="4"/>
        <v>111360</v>
      </c>
      <c r="U25" s="230" t="s">
        <v>315</v>
      </c>
      <c r="V25" s="249" t="s">
        <v>12</v>
      </c>
      <c r="W25" s="249" t="s">
        <v>491</v>
      </c>
      <c r="X25" s="249"/>
    </row>
    <row r="26" spans="2:24" ht="15" customHeight="1" x14ac:dyDescent="0.2">
      <c r="B26" s="63" t="s">
        <v>43</v>
      </c>
      <c r="C26" s="63" t="s">
        <v>553</v>
      </c>
      <c r="D26" s="78" t="s">
        <v>313</v>
      </c>
      <c r="E26" s="171" t="s">
        <v>229</v>
      </c>
      <c r="F26" s="78" t="s">
        <v>313</v>
      </c>
      <c r="G26" s="171" t="s">
        <v>313</v>
      </c>
      <c r="H26" s="250" t="s">
        <v>293</v>
      </c>
      <c r="I26" s="225" t="s">
        <v>554</v>
      </c>
      <c r="J26" s="250">
        <v>2</v>
      </c>
      <c r="K26" s="225" t="s">
        <v>269</v>
      </c>
      <c r="L26" s="230">
        <f>1716881.89655172/2</f>
        <v>858440.94827586005</v>
      </c>
      <c r="M26" s="227">
        <f t="shared" si="0"/>
        <v>1716881.8965517201</v>
      </c>
      <c r="N26" s="251">
        <v>0</v>
      </c>
      <c r="O26" s="227">
        <f t="shared" si="1"/>
        <v>0</v>
      </c>
      <c r="P26" s="251">
        <v>0.16</v>
      </c>
      <c r="Q26" s="227">
        <f t="shared" si="2"/>
        <v>274701.10344827524</v>
      </c>
      <c r="R26" s="227">
        <f t="shared" si="3"/>
        <v>1991582.9999999953</v>
      </c>
      <c r="S26" s="229">
        <f>INDEX('Glosario Partidas'!$M$8:$M$10,MATCH(K26,'Glosario Partidas'!$L$8:$L$10,0))</f>
        <v>1</v>
      </c>
      <c r="T26" s="227">
        <f t="shared" si="4"/>
        <v>1991582.9999999953</v>
      </c>
      <c r="U26" s="230" t="s">
        <v>315</v>
      </c>
      <c r="V26" s="249" t="s">
        <v>12</v>
      </c>
      <c r="W26" s="249" t="s">
        <v>491</v>
      </c>
      <c r="X26" s="249"/>
    </row>
    <row r="27" spans="2:24" ht="15" customHeight="1" x14ac:dyDescent="0.2">
      <c r="B27" s="63" t="s">
        <v>43</v>
      </c>
      <c r="C27" s="63" t="s">
        <v>555</v>
      </c>
      <c r="D27" s="78" t="s">
        <v>556</v>
      </c>
      <c r="E27" s="171" t="s">
        <v>229</v>
      </c>
      <c r="F27" s="78" t="s">
        <v>313</v>
      </c>
      <c r="G27" s="171" t="s">
        <v>313</v>
      </c>
      <c r="H27" s="224" t="s">
        <v>293</v>
      </c>
      <c r="I27" s="225" t="s">
        <v>314</v>
      </c>
      <c r="J27" s="224">
        <v>0</v>
      </c>
      <c r="K27" s="225" t="s">
        <v>269</v>
      </c>
      <c r="L27" s="226">
        <v>20000</v>
      </c>
      <c r="M27" s="227">
        <f t="shared" si="0"/>
        <v>0</v>
      </c>
      <c r="N27" s="228">
        <v>0</v>
      </c>
      <c r="O27" s="227">
        <f t="shared" si="1"/>
        <v>0</v>
      </c>
      <c r="P27" s="228">
        <v>0.16</v>
      </c>
      <c r="Q27" s="227">
        <f t="shared" si="2"/>
        <v>0</v>
      </c>
      <c r="R27" s="227">
        <f t="shared" si="3"/>
        <v>0</v>
      </c>
      <c r="S27" s="229">
        <f>INDEX('Glosario Partidas'!$M$8:$M$10,MATCH(K27,'Glosario Partidas'!$L$8:$L$10,0))</f>
        <v>1</v>
      </c>
      <c r="T27" s="227">
        <f t="shared" si="4"/>
        <v>0</v>
      </c>
      <c r="U27" s="230" t="s">
        <v>315</v>
      </c>
      <c r="V27" s="249" t="s">
        <v>13</v>
      </c>
      <c r="W27" s="249" t="s">
        <v>491</v>
      </c>
      <c r="X27" s="249"/>
    </row>
    <row r="28" spans="2:24" ht="15" customHeight="1" x14ac:dyDescent="0.2">
      <c r="B28" s="63" t="s">
        <v>43</v>
      </c>
      <c r="C28" s="63" t="s">
        <v>557</v>
      </c>
      <c r="D28" s="78" t="s">
        <v>313</v>
      </c>
      <c r="E28" s="171" t="s">
        <v>229</v>
      </c>
      <c r="F28" s="78" t="s">
        <v>313</v>
      </c>
      <c r="G28" s="171" t="s">
        <v>313</v>
      </c>
      <c r="H28" s="224" t="s">
        <v>293</v>
      </c>
      <c r="I28" s="225" t="s">
        <v>314</v>
      </c>
      <c r="J28" s="224">
        <v>12</v>
      </c>
      <c r="K28" s="225" t="s">
        <v>269</v>
      </c>
      <c r="L28" s="226">
        <v>14000</v>
      </c>
      <c r="M28" s="227">
        <f t="shared" si="0"/>
        <v>168000</v>
      </c>
      <c r="N28" s="228">
        <v>0</v>
      </c>
      <c r="O28" s="227">
        <f t="shared" si="1"/>
        <v>0</v>
      </c>
      <c r="P28" s="228">
        <v>0.16</v>
      </c>
      <c r="Q28" s="227">
        <f t="shared" si="2"/>
        <v>26880</v>
      </c>
      <c r="R28" s="227">
        <f t="shared" si="3"/>
        <v>194880</v>
      </c>
      <c r="S28" s="229">
        <f>INDEX('Glosario Partidas'!$M$8:$M$10,MATCH(K28,'Glosario Partidas'!$L$8:$L$10,0))</f>
        <v>1</v>
      </c>
      <c r="T28" s="227">
        <f t="shared" si="4"/>
        <v>194880</v>
      </c>
      <c r="U28" s="230" t="s">
        <v>315</v>
      </c>
      <c r="V28" s="249" t="s">
        <v>13</v>
      </c>
      <c r="W28" s="249" t="s">
        <v>491</v>
      </c>
      <c r="X28" s="249"/>
    </row>
    <row r="29" spans="2:24" ht="15" customHeight="1" x14ac:dyDescent="0.2">
      <c r="B29" s="63" t="s">
        <v>43</v>
      </c>
      <c r="C29" s="63" t="s">
        <v>558</v>
      </c>
      <c r="D29" s="78" t="s">
        <v>313</v>
      </c>
      <c r="E29" s="171" t="s">
        <v>229</v>
      </c>
      <c r="F29" s="78" t="s">
        <v>313</v>
      </c>
      <c r="G29" s="171" t="s">
        <v>313</v>
      </c>
      <c r="H29" s="224" t="s">
        <v>293</v>
      </c>
      <c r="I29" s="225" t="s">
        <v>314</v>
      </c>
      <c r="J29" s="224">
        <v>1</v>
      </c>
      <c r="K29" s="225" t="s">
        <v>269</v>
      </c>
      <c r="L29" s="226">
        <v>35000</v>
      </c>
      <c r="M29" s="227">
        <f t="shared" si="0"/>
        <v>35000</v>
      </c>
      <c r="N29" s="228">
        <v>0</v>
      </c>
      <c r="O29" s="227">
        <f t="shared" si="1"/>
        <v>0</v>
      </c>
      <c r="P29" s="228">
        <v>0.16</v>
      </c>
      <c r="Q29" s="227">
        <f t="shared" si="2"/>
        <v>5600</v>
      </c>
      <c r="R29" s="227">
        <f t="shared" si="3"/>
        <v>40600</v>
      </c>
      <c r="S29" s="229">
        <f>INDEX('Glosario Partidas'!$M$8:$M$10,MATCH(K29,'Glosario Partidas'!$L$8:$L$10,0))</f>
        <v>1</v>
      </c>
      <c r="T29" s="227">
        <f t="shared" si="4"/>
        <v>40600</v>
      </c>
      <c r="U29" s="230" t="s">
        <v>315</v>
      </c>
      <c r="V29" s="249" t="s">
        <v>13</v>
      </c>
      <c r="W29" s="249" t="s">
        <v>491</v>
      </c>
      <c r="X29" s="249"/>
    </row>
    <row r="30" spans="2:24" ht="15" customHeight="1" x14ac:dyDescent="0.2">
      <c r="B30" s="63" t="s">
        <v>43</v>
      </c>
      <c r="C30" s="63" t="s">
        <v>322</v>
      </c>
      <c r="D30" s="78" t="s">
        <v>325</v>
      </c>
      <c r="E30" s="171" t="s">
        <v>229</v>
      </c>
      <c r="F30" s="78" t="s">
        <v>313</v>
      </c>
      <c r="G30" s="171" t="s">
        <v>313</v>
      </c>
      <c r="H30" s="224" t="s">
        <v>293</v>
      </c>
      <c r="I30" s="225" t="s">
        <v>314</v>
      </c>
      <c r="J30" s="224">
        <v>12</v>
      </c>
      <c r="K30" s="225" t="s">
        <v>269</v>
      </c>
      <c r="L30" s="226">
        <v>62400</v>
      </c>
      <c r="M30" s="227">
        <f t="shared" si="0"/>
        <v>748800</v>
      </c>
      <c r="N30" s="228">
        <v>0</v>
      </c>
      <c r="O30" s="227">
        <f t="shared" si="1"/>
        <v>0</v>
      </c>
      <c r="P30" s="228">
        <v>0.16</v>
      </c>
      <c r="Q30" s="227">
        <f t="shared" si="2"/>
        <v>119808</v>
      </c>
      <c r="R30" s="227">
        <f t="shared" si="3"/>
        <v>868608</v>
      </c>
      <c r="S30" s="229">
        <f>INDEX('Glosario Partidas'!$M$8:$M$10,MATCH(BD!K25,'Glosario Partidas'!$L$8:$L$10,0))</f>
        <v>1</v>
      </c>
      <c r="T30" s="227">
        <f t="shared" si="4"/>
        <v>868608</v>
      </c>
      <c r="U30" s="230" t="s">
        <v>315</v>
      </c>
      <c r="V30" s="249" t="s">
        <v>13</v>
      </c>
      <c r="W30" s="249" t="s">
        <v>491</v>
      </c>
      <c r="X30" s="249"/>
    </row>
    <row r="31" spans="2:24" ht="15" customHeight="1" x14ac:dyDescent="0.2">
      <c r="B31" s="63" t="s">
        <v>43</v>
      </c>
      <c r="C31" s="63" t="s">
        <v>322</v>
      </c>
      <c r="D31" s="78" t="s">
        <v>559</v>
      </c>
      <c r="E31" s="171" t="s">
        <v>220</v>
      </c>
      <c r="F31" s="78" t="s">
        <v>313</v>
      </c>
      <c r="G31" s="171" t="s">
        <v>313</v>
      </c>
      <c r="H31" s="224" t="s">
        <v>293</v>
      </c>
      <c r="I31" s="225" t="s">
        <v>314</v>
      </c>
      <c r="J31" s="224">
        <v>12</v>
      </c>
      <c r="K31" s="225" t="s">
        <v>269</v>
      </c>
      <c r="L31" s="226">
        <v>40000</v>
      </c>
      <c r="M31" s="227">
        <f t="shared" si="0"/>
        <v>480000</v>
      </c>
      <c r="N31" s="228">
        <v>0</v>
      </c>
      <c r="O31" s="227">
        <f t="shared" si="1"/>
        <v>0</v>
      </c>
      <c r="P31" s="228">
        <v>0.16</v>
      </c>
      <c r="Q31" s="227">
        <f t="shared" si="2"/>
        <v>76800</v>
      </c>
      <c r="R31" s="227">
        <f t="shared" si="3"/>
        <v>556800</v>
      </c>
      <c r="S31" s="229">
        <f>INDEX('Glosario Partidas'!$M$8:$M$10,MATCH(BD!K27,'Glosario Partidas'!$L$8:$L$10,0))</f>
        <v>1</v>
      </c>
      <c r="T31" s="227">
        <f t="shared" si="4"/>
        <v>556800</v>
      </c>
      <c r="U31" s="230" t="s">
        <v>315</v>
      </c>
      <c r="V31" s="249" t="s">
        <v>13</v>
      </c>
      <c r="W31" s="249" t="s">
        <v>491</v>
      </c>
      <c r="X31" s="249"/>
    </row>
    <row r="32" spans="2:24" ht="15" customHeight="1" x14ac:dyDescent="0.2">
      <c r="B32" s="63" t="s">
        <v>43</v>
      </c>
      <c r="C32" s="63" t="s">
        <v>560</v>
      </c>
      <c r="D32" s="78" t="s">
        <v>561</v>
      </c>
      <c r="E32" s="171" t="s">
        <v>229</v>
      </c>
      <c r="F32" s="78" t="s">
        <v>313</v>
      </c>
      <c r="G32" s="171" t="s">
        <v>313</v>
      </c>
      <c r="H32" s="224" t="s">
        <v>293</v>
      </c>
      <c r="I32" s="225" t="s">
        <v>328</v>
      </c>
      <c r="J32" s="224">
        <v>12</v>
      </c>
      <c r="K32" s="225" t="s">
        <v>269</v>
      </c>
      <c r="L32" s="226">
        <v>30000</v>
      </c>
      <c r="M32" s="227">
        <f t="shared" si="0"/>
        <v>360000</v>
      </c>
      <c r="N32" s="228">
        <v>0</v>
      </c>
      <c r="O32" s="227">
        <f t="shared" si="1"/>
        <v>0</v>
      </c>
      <c r="P32" s="228">
        <v>0.16</v>
      </c>
      <c r="Q32" s="227">
        <f t="shared" si="2"/>
        <v>57600</v>
      </c>
      <c r="R32" s="227">
        <f t="shared" si="3"/>
        <v>417600</v>
      </c>
      <c r="S32" s="229">
        <f>INDEX('Glosario Partidas'!$M$8:$M$10,MATCH(K32,'Glosario Partidas'!$L$8:$L$10,0))</f>
        <v>1</v>
      </c>
      <c r="T32" s="227">
        <f t="shared" si="4"/>
        <v>417600</v>
      </c>
      <c r="U32" s="230" t="s">
        <v>315</v>
      </c>
      <c r="V32" s="249" t="s">
        <v>13</v>
      </c>
      <c r="W32" s="249" t="s">
        <v>491</v>
      </c>
      <c r="X32" s="249"/>
    </row>
    <row r="33" spans="2:29" ht="15" customHeight="1" x14ac:dyDescent="0.2">
      <c r="B33" s="63" t="s">
        <v>43</v>
      </c>
      <c r="C33" s="63" t="s">
        <v>329</v>
      </c>
      <c r="D33" s="78" t="s">
        <v>313</v>
      </c>
      <c r="E33" s="171" t="s">
        <v>229</v>
      </c>
      <c r="F33" s="78" t="s">
        <v>313</v>
      </c>
      <c r="G33" s="171" t="s">
        <v>313</v>
      </c>
      <c r="H33" s="224" t="s">
        <v>293</v>
      </c>
      <c r="I33" s="225" t="s">
        <v>328</v>
      </c>
      <c r="J33" s="224">
        <v>12</v>
      </c>
      <c r="K33" s="225" t="s">
        <v>269</v>
      </c>
      <c r="L33" s="226">
        <v>45000</v>
      </c>
      <c r="M33" s="227">
        <f t="shared" si="0"/>
        <v>540000</v>
      </c>
      <c r="N33" s="228">
        <v>0</v>
      </c>
      <c r="O33" s="227">
        <f t="shared" si="1"/>
        <v>0</v>
      </c>
      <c r="P33" s="228">
        <v>0.16</v>
      </c>
      <c r="Q33" s="227">
        <f t="shared" si="2"/>
        <v>86400</v>
      </c>
      <c r="R33" s="227">
        <f t="shared" si="3"/>
        <v>626400</v>
      </c>
      <c r="S33" s="229">
        <f>INDEX('Glosario Partidas'!$M$8:$M$10,MATCH(K33,'Glosario Partidas'!$L$8:$L$10,0))</f>
        <v>1</v>
      </c>
      <c r="T33" s="227">
        <f t="shared" si="4"/>
        <v>626400</v>
      </c>
      <c r="U33" s="230" t="s">
        <v>315</v>
      </c>
      <c r="V33" s="249" t="s">
        <v>13</v>
      </c>
      <c r="W33" s="249" t="s">
        <v>491</v>
      </c>
      <c r="X33" s="249"/>
    </row>
    <row r="34" spans="2:29" ht="15" customHeight="1" x14ac:dyDescent="0.2">
      <c r="B34" s="63" t="s">
        <v>43</v>
      </c>
      <c r="C34" s="63" t="s">
        <v>330</v>
      </c>
      <c r="D34" s="78" t="s">
        <v>313</v>
      </c>
      <c r="E34" s="171" t="s">
        <v>229</v>
      </c>
      <c r="F34" s="78" t="s">
        <v>313</v>
      </c>
      <c r="G34" s="171" t="s">
        <v>313</v>
      </c>
      <c r="H34" s="224" t="s">
        <v>293</v>
      </c>
      <c r="I34" s="225" t="s">
        <v>328</v>
      </c>
      <c r="J34" s="224">
        <v>12</v>
      </c>
      <c r="K34" s="225" t="s">
        <v>269</v>
      </c>
      <c r="L34" s="226">
        <v>65000</v>
      </c>
      <c r="M34" s="227">
        <f t="shared" si="0"/>
        <v>780000</v>
      </c>
      <c r="N34" s="228">
        <v>0</v>
      </c>
      <c r="O34" s="227">
        <f t="shared" si="1"/>
        <v>0</v>
      </c>
      <c r="P34" s="228">
        <v>0.16</v>
      </c>
      <c r="Q34" s="227">
        <f t="shared" si="2"/>
        <v>124800</v>
      </c>
      <c r="R34" s="227">
        <f t="shared" si="3"/>
        <v>904800</v>
      </c>
      <c r="S34" s="229">
        <f>INDEX('Glosario Partidas'!$M$8:$M$10,MATCH(K34,'Glosario Partidas'!$L$8:$L$10,0))</f>
        <v>1</v>
      </c>
      <c r="T34" s="227">
        <f t="shared" si="4"/>
        <v>904800</v>
      </c>
      <c r="U34" s="230" t="s">
        <v>315</v>
      </c>
      <c r="V34" s="249" t="s">
        <v>13</v>
      </c>
      <c r="W34" s="249" t="s">
        <v>491</v>
      </c>
      <c r="X34" s="249"/>
    </row>
    <row r="35" spans="2:29" ht="15" customHeight="1" x14ac:dyDescent="0.2">
      <c r="B35" s="63" t="s">
        <v>43</v>
      </c>
      <c r="C35" s="63" t="s">
        <v>331</v>
      </c>
      <c r="D35" s="78" t="s">
        <v>313</v>
      </c>
      <c r="E35" s="171" t="s">
        <v>229</v>
      </c>
      <c r="F35" s="78" t="s">
        <v>313</v>
      </c>
      <c r="G35" s="171" t="s">
        <v>313</v>
      </c>
      <c r="H35" s="224" t="s">
        <v>293</v>
      </c>
      <c r="I35" s="225" t="s">
        <v>328</v>
      </c>
      <c r="J35" s="224">
        <v>12</v>
      </c>
      <c r="K35" s="225" t="s">
        <v>269</v>
      </c>
      <c r="L35" s="226">
        <v>65000</v>
      </c>
      <c r="M35" s="227">
        <f t="shared" si="0"/>
        <v>780000</v>
      </c>
      <c r="N35" s="228">
        <v>0</v>
      </c>
      <c r="O35" s="227">
        <f t="shared" si="1"/>
        <v>0</v>
      </c>
      <c r="P35" s="228">
        <v>0.16</v>
      </c>
      <c r="Q35" s="227">
        <f t="shared" si="2"/>
        <v>124800</v>
      </c>
      <c r="R35" s="227">
        <f t="shared" si="3"/>
        <v>904800</v>
      </c>
      <c r="S35" s="229">
        <f>INDEX('Glosario Partidas'!$M$8:$M$10,MATCH(K35,'Glosario Partidas'!$L$8:$L$10,0))</f>
        <v>1</v>
      </c>
      <c r="T35" s="227">
        <f t="shared" si="4"/>
        <v>904800</v>
      </c>
      <c r="U35" s="230" t="s">
        <v>315</v>
      </c>
      <c r="V35" s="249" t="s">
        <v>13</v>
      </c>
      <c r="W35" s="249" t="s">
        <v>491</v>
      </c>
      <c r="X35" s="249"/>
    </row>
    <row r="36" spans="2:29" ht="15" customHeight="1" x14ac:dyDescent="0.2">
      <c r="B36" s="63" t="s">
        <v>43</v>
      </c>
      <c r="C36" s="63" t="s">
        <v>562</v>
      </c>
      <c r="D36" s="78" t="s">
        <v>313</v>
      </c>
      <c r="E36" s="171" t="s">
        <v>229</v>
      </c>
      <c r="F36" s="78" t="s">
        <v>313</v>
      </c>
      <c r="G36" s="171" t="s">
        <v>313</v>
      </c>
      <c r="H36" s="224" t="s">
        <v>293</v>
      </c>
      <c r="I36" s="225" t="s">
        <v>328</v>
      </c>
      <c r="J36" s="224">
        <v>12</v>
      </c>
      <c r="K36" s="225" t="s">
        <v>269</v>
      </c>
      <c r="L36" s="226">
        <v>40000</v>
      </c>
      <c r="M36" s="227">
        <f t="shared" si="0"/>
        <v>480000</v>
      </c>
      <c r="N36" s="228">
        <v>0</v>
      </c>
      <c r="O36" s="227">
        <f t="shared" si="1"/>
        <v>0</v>
      </c>
      <c r="P36" s="228">
        <v>0.16</v>
      </c>
      <c r="Q36" s="227">
        <f t="shared" si="2"/>
        <v>76800</v>
      </c>
      <c r="R36" s="227">
        <f t="shared" si="3"/>
        <v>556800</v>
      </c>
      <c r="S36" s="229">
        <f>INDEX('Glosario Partidas'!$M$8:$M$10,MATCH(K36,'Glosario Partidas'!$L$8:$L$10,0))</f>
        <v>1</v>
      </c>
      <c r="T36" s="227">
        <f t="shared" si="4"/>
        <v>556800</v>
      </c>
      <c r="U36" s="230" t="s">
        <v>315</v>
      </c>
      <c r="V36" s="249" t="s">
        <v>13</v>
      </c>
      <c r="W36" s="249" t="s">
        <v>491</v>
      </c>
      <c r="X36" s="249"/>
    </row>
    <row r="37" spans="2:29" ht="15" customHeight="1" x14ac:dyDescent="0.2">
      <c r="B37" s="63" t="s">
        <v>43</v>
      </c>
      <c r="C37" s="63" t="s">
        <v>563</v>
      </c>
      <c r="D37" s="78" t="s">
        <v>564</v>
      </c>
      <c r="E37" s="171" t="s">
        <v>229</v>
      </c>
      <c r="F37" s="78" t="s">
        <v>313</v>
      </c>
      <c r="G37" s="171" t="s">
        <v>313</v>
      </c>
      <c r="H37" s="224" t="s">
        <v>293</v>
      </c>
      <c r="I37" s="225" t="s">
        <v>328</v>
      </c>
      <c r="J37" s="224">
        <v>1</v>
      </c>
      <c r="K37" s="225" t="s">
        <v>269</v>
      </c>
      <c r="L37" s="226">
        <v>50000</v>
      </c>
      <c r="M37" s="227">
        <f t="shared" si="0"/>
        <v>50000</v>
      </c>
      <c r="N37" s="228">
        <v>0</v>
      </c>
      <c r="O37" s="227">
        <f t="shared" si="1"/>
        <v>0</v>
      </c>
      <c r="P37" s="228">
        <v>0.16</v>
      </c>
      <c r="Q37" s="227">
        <f t="shared" si="2"/>
        <v>8000</v>
      </c>
      <c r="R37" s="227">
        <f t="shared" si="3"/>
        <v>58000</v>
      </c>
      <c r="S37" s="229">
        <f>INDEX('Glosario Partidas'!$M$8:$M$10,MATCH(K37,'Glosario Partidas'!$L$8:$L$10,0))</f>
        <v>1</v>
      </c>
      <c r="T37" s="227">
        <f t="shared" si="4"/>
        <v>58000</v>
      </c>
      <c r="U37" s="230" t="s">
        <v>315</v>
      </c>
      <c r="V37" s="249" t="s">
        <v>13</v>
      </c>
      <c r="W37" s="249" t="s">
        <v>491</v>
      </c>
      <c r="X37" s="249"/>
    </row>
    <row r="38" spans="2:29" ht="15" customHeight="1" x14ac:dyDescent="0.2">
      <c r="B38" s="63" t="s">
        <v>43</v>
      </c>
      <c r="C38" s="63" t="s">
        <v>563</v>
      </c>
      <c r="D38" s="78" t="s">
        <v>565</v>
      </c>
      <c r="E38" s="171" t="s">
        <v>229</v>
      </c>
      <c r="F38" s="78" t="s">
        <v>313</v>
      </c>
      <c r="G38" s="171" t="s">
        <v>313</v>
      </c>
      <c r="H38" s="224" t="s">
        <v>293</v>
      </c>
      <c r="I38" s="225" t="s">
        <v>328</v>
      </c>
      <c r="J38" s="224">
        <v>1</v>
      </c>
      <c r="K38" s="225" t="s">
        <v>269</v>
      </c>
      <c r="L38" s="226">
        <v>300000</v>
      </c>
      <c r="M38" s="227">
        <f t="shared" si="0"/>
        <v>300000</v>
      </c>
      <c r="N38" s="228">
        <v>0</v>
      </c>
      <c r="O38" s="227">
        <f t="shared" si="1"/>
        <v>0</v>
      </c>
      <c r="P38" s="228">
        <v>0.16</v>
      </c>
      <c r="Q38" s="227">
        <f t="shared" si="2"/>
        <v>48000</v>
      </c>
      <c r="R38" s="227">
        <f t="shared" si="3"/>
        <v>348000</v>
      </c>
      <c r="S38" s="229">
        <f>INDEX('Glosario Partidas'!$M$8:$M$10,MATCH(K38,'Glosario Partidas'!$L$8:$L$10,0))</f>
        <v>1</v>
      </c>
      <c r="T38" s="227">
        <f t="shared" si="4"/>
        <v>348000</v>
      </c>
      <c r="U38" s="230" t="s">
        <v>315</v>
      </c>
      <c r="V38" s="249" t="s">
        <v>13</v>
      </c>
      <c r="W38" s="249" t="s">
        <v>491</v>
      </c>
      <c r="X38" s="249"/>
    </row>
    <row r="39" spans="2:29" ht="15" customHeight="1" x14ac:dyDescent="0.2">
      <c r="B39" s="63" t="s">
        <v>43</v>
      </c>
      <c r="C39" s="63" t="s">
        <v>566</v>
      </c>
      <c r="D39" s="78" t="s">
        <v>313</v>
      </c>
      <c r="E39" s="171" t="s">
        <v>229</v>
      </c>
      <c r="F39" s="78" t="s">
        <v>313</v>
      </c>
      <c r="G39" s="171" t="s">
        <v>313</v>
      </c>
      <c r="H39" s="224" t="s">
        <v>293</v>
      </c>
      <c r="I39" s="225" t="s">
        <v>328</v>
      </c>
      <c r="J39" s="224">
        <v>1</v>
      </c>
      <c r="K39" s="225" t="s">
        <v>269</v>
      </c>
      <c r="L39" s="226">
        <v>50000</v>
      </c>
      <c r="M39" s="227">
        <f t="shared" si="0"/>
        <v>50000</v>
      </c>
      <c r="N39" s="228">
        <v>0</v>
      </c>
      <c r="O39" s="227">
        <f t="shared" si="1"/>
        <v>0</v>
      </c>
      <c r="P39" s="228">
        <v>0.16</v>
      </c>
      <c r="Q39" s="227">
        <f t="shared" si="2"/>
        <v>8000</v>
      </c>
      <c r="R39" s="227">
        <f t="shared" si="3"/>
        <v>58000</v>
      </c>
      <c r="S39" s="229">
        <f>INDEX('Glosario Partidas'!$M$8:$M$10,MATCH(K39,'Glosario Partidas'!$L$8:$L$10,0))</f>
        <v>1</v>
      </c>
      <c r="T39" s="227">
        <f t="shared" si="4"/>
        <v>58000</v>
      </c>
      <c r="U39" s="230" t="s">
        <v>315</v>
      </c>
      <c r="V39" s="249" t="s">
        <v>13</v>
      </c>
      <c r="W39" s="249" t="s">
        <v>491</v>
      </c>
      <c r="X39" s="249"/>
    </row>
    <row r="40" spans="2:29" ht="15" customHeight="1" x14ac:dyDescent="0.2">
      <c r="B40" s="63" t="s">
        <v>43</v>
      </c>
      <c r="C40" s="63" t="s">
        <v>333</v>
      </c>
      <c r="D40" s="78" t="s">
        <v>313</v>
      </c>
      <c r="E40" s="171" t="s">
        <v>229</v>
      </c>
      <c r="F40" s="78" t="s">
        <v>313</v>
      </c>
      <c r="G40" s="171" t="s">
        <v>313</v>
      </c>
      <c r="H40" s="224" t="s">
        <v>293</v>
      </c>
      <c r="I40" s="225" t="s">
        <v>328</v>
      </c>
      <c r="J40" s="224">
        <v>12</v>
      </c>
      <c r="K40" s="225" t="s">
        <v>269</v>
      </c>
      <c r="L40" s="226">
        <v>60000</v>
      </c>
      <c r="M40" s="227">
        <f t="shared" si="0"/>
        <v>720000</v>
      </c>
      <c r="N40" s="228">
        <v>0</v>
      </c>
      <c r="O40" s="227">
        <f t="shared" si="1"/>
        <v>0</v>
      </c>
      <c r="P40" s="228">
        <v>0.16</v>
      </c>
      <c r="Q40" s="227">
        <f t="shared" si="2"/>
        <v>115200</v>
      </c>
      <c r="R40" s="227">
        <f t="shared" si="3"/>
        <v>835200</v>
      </c>
      <c r="S40" s="229">
        <f>INDEX('Glosario Partidas'!$M$8:$M$10,MATCH(K40,'Glosario Partidas'!$L$8:$L$10,0))</f>
        <v>1</v>
      </c>
      <c r="T40" s="227">
        <f t="shared" si="4"/>
        <v>835200</v>
      </c>
      <c r="U40" s="230" t="s">
        <v>315</v>
      </c>
      <c r="V40" s="249" t="s">
        <v>13</v>
      </c>
      <c r="W40" s="249" t="s">
        <v>491</v>
      </c>
      <c r="X40" s="249"/>
    </row>
    <row r="41" spans="2:29" ht="15" customHeight="1" x14ac:dyDescent="0.2">
      <c r="B41" s="63" t="s">
        <v>43</v>
      </c>
      <c r="C41" s="63" t="s">
        <v>334</v>
      </c>
      <c r="D41" s="78" t="s">
        <v>313</v>
      </c>
      <c r="E41" s="171" t="s">
        <v>229</v>
      </c>
      <c r="F41" s="78" t="s">
        <v>313</v>
      </c>
      <c r="G41" s="171" t="s">
        <v>313</v>
      </c>
      <c r="H41" s="224" t="s">
        <v>293</v>
      </c>
      <c r="I41" s="225" t="s">
        <v>328</v>
      </c>
      <c r="J41" s="224">
        <v>12</v>
      </c>
      <c r="K41" s="225" t="s">
        <v>269</v>
      </c>
      <c r="L41" s="226">
        <v>30000</v>
      </c>
      <c r="M41" s="227">
        <f t="shared" si="0"/>
        <v>360000</v>
      </c>
      <c r="N41" s="228">
        <v>0</v>
      </c>
      <c r="O41" s="227">
        <f t="shared" si="1"/>
        <v>0</v>
      </c>
      <c r="P41" s="228">
        <v>0.16</v>
      </c>
      <c r="Q41" s="227">
        <f t="shared" si="2"/>
        <v>57600</v>
      </c>
      <c r="R41" s="227">
        <f t="shared" si="3"/>
        <v>417600</v>
      </c>
      <c r="S41" s="229">
        <f>INDEX('Glosario Partidas'!$M$8:$M$10,MATCH(K41,'Glosario Partidas'!$L$8:$L$10,0))</f>
        <v>1</v>
      </c>
      <c r="T41" s="227">
        <f t="shared" si="4"/>
        <v>417600</v>
      </c>
      <c r="U41" s="230" t="s">
        <v>315</v>
      </c>
      <c r="V41" s="249" t="s">
        <v>13</v>
      </c>
      <c r="W41" s="249" t="s">
        <v>491</v>
      </c>
      <c r="X41" s="249"/>
    </row>
    <row r="42" spans="2:29" ht="15" customHeight="1" x14ac:dyDescent="0.2">
      <c r="B42" s="189" t="s">
        <v>185</v>
      </c>
      <c r="C42" s="252"/>
      <c r="D42" s="252"/>
      <c r="E42" s="252"/>
      <c r="F42" s="252"/>
      <c r="G42" s="252"/>
      <c r="H42" s="252"/>
      <c r="I42" s="252"/>
      <c r="J42" s="252"/>
      <c r="K42" s="252"/>
      <c r="L42" s="246"/>
      <c r="M42" s="252"/>
      <c r="N42" s="252"/>
      <c r="O42" s="252"/>
      <c r="P42" s="252"/>
      <c r="Q42" s="252"/>
      <c r="R42" s="252"/>
      <c r="S42" s="252"/>
      <c r="T42" s="246">
        <f>SUM(T2:T41)</f>
        <v>18600593.356753591</v>
      </c>
      <c r="V42" s="253"/>
      <c r="AB42" s="254">
        <f>SUMIFS($T:$T,$W:$W,"Contratado")</f>
        <v>2512208.6783767967</v>
      </c>
      <c r="AC42" s="254">
        <f>SUMIFS($T:$T,$W:$W,"No Contratado")</f>
        <v>16088384.678376798</v>
      </c>
    </row>
  </sheetData>
  <dataValidations count="2">
    <dataValidation type="list" allowBlank="1" errorTitle="Valor inválido" error="Selecciona Contratado o No Contratado" promptTitle="Contratado/No Contratado" prompt="Selecciona estado" sqref="W2:W41" xr:uid="{00000000-0002-0000-13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41" xr:uid="{00000000-0002-0000-1300-000001000000}">
      <formula1>"Sí,No"</formula1>
      <formula2>0</formula2>
    </dataValidation>
  </dataValidations>
  <hyperlinks>
    <hyperlink ref="A1" location="'BUY OUT'!A1" display="⬅ Resumen PU" xr:uid="{00000000-0004-0000-1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51"/>
  <sheetViews>
    <sheetView zoomScaleNormal="100" workbookViewId="0">
      <selection activeCell="E26" sqref="E26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5" customHeight="1" x14ac:dyDescent="0.2">
      <c r="A1" s="258">
        <v>46023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43</v>
      </c>
      <c r="C3" s="268" t="s">
        <v>560</v>
      </c>
      <c r="D3" s="269" t="s">
        <v>567</v>
      </c>
      <c r="E3" s="171" t="s">
        <v>220</v>
      </c>
      <c r="F3" s="269"/>
      <c r="G3" s="292"/>
      <c r="H3" s="272" t="s">
        <v>568</v>
      </c>
      <c r="I3" s="273" t="s">
        <v>410</v>
      </c>
      <c r="J3" s="302">
        <v>1</v>
      </c>
      <c r="K3" s="273" t="s">
        <v>269</v>
      </c>
      <c r="L3" s="274">
        <v>6999.14</v>
      </c>
      <c r="M3" s="275">
        <f t="shared" ref="M3:M48" si="0">J3*L3</f>
        <v>6999.14</v>
      </c>
      <c r="N3" s="276">
        <v>0</v>
      </c>
      <c r="O3" s="275">
        <f t="shared" ref="O3:O48" si="1">M3*N3</f>
        <v>0</v>
      </c>
      <c r="P3" s="276">
        <v>0.16</v>
      </c>
      <c r="Q3" s="275">
        <f t="shared" ref="Q3:Q48" si="2">(M3+O3)*P3</f>
        <v>1119.8624</v>
      </c>
      <c r="R3" s="275">
        <f t="shared" ref="R3:R48" si="3">M3+O3+Q3</f>
        <v>8119.0024000000003</v>
      </c>
      <c r="S3" s="300">
        <f>INDEX('Glosario Partidas'!$M$8:$M$10,MATCH(K3,'Glosario Partidas'!$L$8:$L$10,0))</f>
        <v>1</v>
      </c>
      <c r="T3" s="275">
        <f t="shared" ref="T3:T48" si="4">R3*S3</f>
        <v>8119.0024000000003</v>
      </c>
      <c r="U3" s="275"/>
      <c r="V3" s="249" t="s">
        <v>12</v>
      </c>
    </row>
    <row r="4" spans="1:22" ht="15" customHeight="1" x14ac:dyDescent="0.2">
      <c r="A4" s="268"/>
      <c r="B4" s="268" t="s">
        <v>43</v>
      </c>
      <c r="C4" s="268" t="s">
        <v>560</v>
      </c>
      <c r="D4" s="269" t="s">
        <v>569</v>
      </c>
      <c r="E4" s="171" t="s">
        <v>220</v>
      </c>
      <c r="F4" s="269"/>
      <c r="G4" s="292"/>
      <c r="H4" s="272" t="s">
        <v>568</v>
      </c>
      <c r="I4" s="273" t="s">
        <v>410</v>
      </c>
      <c r="J4" s="302">
        <v>3</v>
      </c>
      <c r="K4" s="273" t="s">
        <v>269</v>
      </c>
      <c r="L4" s="274">
        <v>40</v>
      </c>
      <c r="M4" s="275">
        <f t="shared" si="0"/>
        <v>120</v>
      </c>
      <c r="N4" s="276">
        <v>0</v>
      </c>
      <c r="O4" s="275">
        <f t="shared" si="1"/>
        <v>0</v>
      </c>
      <c r="P4" s="276">
        <v>0.16</v>
      </c>
      <c r="Q4" s="275">
        <f t="shared" si="2"/>
        <v>19.2</v>
      </c>
      <c r="R4" s="275">
        <f t="shared" si="3"/>
        <v>139.19999999999999</v>
      </c>
      <c r="S4" s="300">
        <f>INDEX('Glosario Partidas'!$M$8:$M$10,MATCH(K4,'Glosario Partidas'!$L$8:$L$10,0))</f>
        <v>1</v>
      </c>
      <c r="T4" s="275">
        <f t="shared" si="4"/>
        <v>139.19999999999999</v>
      </c>
      <c r="U4" s="275"/>
      <c r="V4" s="249" t="s">
        <v>12</v>
      </c>
    </row>
    <row r="5" spans="1:22" ht="15" customHeight="1" x14ac:dyDescent="0.2">
      <c r="A5" s="268"/>
      <c r="B5" s="268" t="s">
        <v>43</v>
      </c>
      <c r="C5" s="268" t="s">
        <v>560</v>
      </c>
      <c r="D5" s="269" t="s">
        <v>570</v>
      </c>
      <c r="E5" s="171" t="s">
        <v>220</v>
      </c>
      <c r="F5" s="269"/>
      <c r="G5" s="292"/>
      <c r="H5" s="272" t="s">
        <v>568</v>
      </c>
      <c r="I5" s="273" t="s">
        <v>410</v>
      </c>
      <c r="J5" s="302">
        <v>1</v>
      </c>
      <c r="K5" s="273" t="s">
        <v>269</v>
      </c>
      <c r="L5" s="274">
        <v>67.5</v>
      </c>
      <c r="M5" s="275">
        <f t="shared" si="0"/>
        <v>67.5</v>
      </c>
      <c r="N5" s="276">
        <v>0</v>
      </c>
      <c r="O5" s="275">
        <f t="shared" si="1"/>
        <v>0</v>
      </c>
      <c r="P5" s="276">
        <v>0.16</v>
      </c>
      <c r="Q5" s="275">
        <f t="shared" si="2"/>
        <v>10.8</v>
      </c>
      <c r="R5" s="275">
        <f t="shared" si="3"/>
        <v>78.3</v>
      </c>
      <c r="S5" s="300">
        <f>INDEX('Glosario Partidas'!$M$8:$M$10,MATCH(K5,'Glosario Partidas'!$L$8:$L$10,0))</f>
        <v>1</v>
      </c>
      <c r="T5" s="275">
        <f t="shared" si="4"/>
        <v>78.3</v>
      </c>
      <c r="U5" s="275"/>
      <c r="V5" s="249" t="s">
        <v>12</v>
      </c>
    </row>
    <row r="6" spans="1:22" ht="15" customHeight="1" x14ac:dyDescent="0.2">
      <c r="A6" s="268"/>
      <c r="B6" s="268" t="s">
        <v>43</v>
      </c>
      <c r="C6" s="268" t="s">
        <v>560</v>
      </c>
      <c r="D6" s="269" t="s">
        <v>571</v>
      </c>
      <c r="E6" s="171" t="s">
        <v>220</v>
      </c>
      <c r="F6" s="269"/>
      <c r="G6" s="292"/>
      <c r="H6" s="272" t="s">
        <v>568</v>
      </c>
      <c r="I6" s="273" t="s">
        <v>410</v>
      </c>
      <c r="J6" s="302">
        <v>1</v>
      </c>
      <c r="K6" s="273" t="s">
        <v>269</v>
      </c>
      <c r="L6" s="274">
        <v>595</v>
      </c>
      <c r="M6" s="275">
        <f t="shared" si="0"/>
        <v>595</v>
      </c>
      <c r="N6" s="276">
        <v>0</v>
      </c>
      <c r="O6" s="275">
        <f t="shared" si="1"/>
        <v>0</v>
      </c>
      <c r="P6" s="276">
        <v>0.16</v>
      </c>
      <c r="Q6" s="275">
        <f t="shared" si="2"/>
        <v>95.2</v>
      </c>
      <c r="R6" s="275">
        <f t="shared" si="3"/>
        <v>690.2</v>
      </c>
      <c r="S6" s="300">
        <f>INDEX('Glosario Partidas'!$M$8:$M$10,MATCH(K6,'Glosario Partidas'!$L$8:$L$10,0))</f>
        <v>1</v>
      </c>
      <c r="T6" s="275">
        <f t="shared" si="4"/>
        <v>690.2</v>
      </c>
      <c r="U6" s="275"/>
      <c r="V6" s="249" t="s">
        <v>12</v>
      </c>
    </row>
    <row r="7" spans="1:22" ht="15" customHeight="1" x14ac:dyDescent="0.2">
      <c r="A7" s="268"/>
      <c r="B7" s="268" t="s">
        <v>43</v>
      </c>
      <c r="C7" s="268" t="s">
        <v>560</v>
      </c>
      <c r="D7" s="269" t="s">
        <v>572</v>
      </c>
      <c r="E7" s="171" t="s">
        <v>220</v>
      </c>
      <c r="F7" s="269"/>
      <c r="G7" s="292"/>
      <c r="H7" s="272" t="s">
        <v>568</v>
      </c>
      <c r="I7" s="273" t="s">
        <v>410</v>
      </c>
      <c r="J7" s="302">
        <v>5</v>
      </c>
      <c r="K7" s="273" t="s">
        <v>269</v>
      </c>
      <c r="L7" s="274">
        <v>179</v>
      </c>
      <c r="M7" s="275">
        <f t="shared" si="0"/>
        <v>895</v>
      </c>
      <c r="N7" s="276">
        <v>0</v>
      </c>
      <c r="O7" s="275">
        <f t="shared" si="1"/>
        <v>0</v>
      </c>
      <c r="P7" s="276">
        <v>0.16</v>
      </c>
      <c r="Q7" s="275">
        <f t="shared" si="2"/>
        <v>143.20000000000002</v>
      </c>
      <c r="R7" s="275">
        <f t="shared" si="3"/>
        <v>1038.2</v>
      </c>
      <c r="S7" s="300">
        <f>INDEX('Glosario Partidas'!$M$8:$M$10,MATCH(K7,'Glosario Partidas'!$L$8:$L$10,0))</f>
        <v>1</v>
      </c>
      <c r="T7" s="275">
        <f t="shared" si="4"/>
        <v>1038.2</v>
      </c>
      <c r="U7" s="275"/>
      <c r="V7" s="249" t="s">
        <v>12</v>
      </c>
    </row>
    <row r="8" spans="1:22" ht="15" customHeight="1" x14ac:dyDescent="0.2">
      <c r="A8" s="268"/>
      <c r="B8" s="268" t="s">
        <v>43</v>
      </c>
      <c r="C8" s="268" t="s">
        <v>560</v>
      </c>
      <c r="D8" s="269" t="s">
        <v>573</v>
      </c>
      <c r="E8" s="171" t="s">
        <v>220</v>
      </c>
      <c r="F8" s="269"/>
      <c r="G8" s="292"/>
      <c r="H8" s="272" t="s">
        <v>568</v>
      </c>
      <c r="I8" s="273" t="s">
        <v>410</v>
      </c>
      <c r="J8" s="302">
        <v>5</v>
      </c>
      <c r="K8" s="273" t="s">
        <v>269</v>
      </c>
      <c r="L8" s="274">
        <v>125.25</v>
      </c>
      <c r="M8" s="275">
        <f t="shared" si="0"/>
        <v>626.25</v>
      </c>
      <c r="N8" s="276">
        <v>0</v>
      </c>
      <c r="O8" s="275">
        <f t="shared" si="1"/>
        <v>0</v>
      </c>
      <c r="P8" s="276">
        <v>0.16</v>
      </c>
      <c r="Q8" s="275">
        <f t="shared" si="2"/>
        <v>100.2</v>
      </c>
      <c r="R8" s="275">
        <f t="shared" si="3"/>
        <v>726.45</v>
      </c>
      <c r="S8" s="300">
        <f>INDEX('Glosario Partidas'!$M$8:$M$10,MATCH(K8,'Glosario Partidas'!$L$8:$L$10,0))</f>
        <v>1</v>
      </c>
      <c r="T8" s="275">
        <f t="shared" si="4"/>
        <v>726.45</v>
      </c>
      <c r="U8" s="275"/>
      <c r="V8" s="249" t="s">
        <v>12</v>
      </c>
    </row>
    <row r="9" spans="1:22" ht="15" customHeight="1" x14ac:dyDescent="0.2">
      <c r="A9" s="268"/>
      <c r="B9" s="268" t="s">
        <v>43</v>
      </c>
      <c r="C9" s="268" t="s">
        <v>560</v>
      </c>
      <c r="D9" s="269" t="s">
        <v>574</v>
      </c>
      <c r="E9" s="171" t="s">
        <v>220</v>
      </c>
      <c r="F9" s="269"/>
      <c r="G9" s="292"/>
      <c r="H9" s="272" t="s">
        <v>568</v>
      </c>
      <c r="I9" s="273" t="s">
        <v>410</v>
      </c>
      <c r="J9" s="302">
        <v>1</v>
      </c>
      <c r="K9" s="273" t="s">
        <v>269</v>
      </c>
      <c r="L9" s="274">
        <v>2585.34</v>
      </c>
      <c r="M9" s="275">
        <f t="shared" si="0"/>
        <v>2585.34</v>
      </c>
      <c r="N9" s="276">
        <v>0</v>
      </c>
      <c r="O9" s="275">
        <f t="shared" si="1"/>
        <v>0</v>
      </c>
      <c r="P9" s="276">
        <v>0.16</v>
      </c>
      <c r="Q9" s="275">
        <f t="shared" si="2"/>
        <v>413.65440000000001</v>
      </c>
      <c r="R9" s="275">
        <f t="shared" si="3"/>
        <v>2998.9944</v>
      </c>
      <c r="S9" s="300">
        <f>INDEX('Glosario Partidas'!$M$8:$M$10,MATCH(K9,'Glosario Partidas'!$L$8:$L$10,0))</f>
        <v>1</v>
      </c>
      <c r="T9" s="275">
        <f t="shared" si="4"/>
        <v>2998.9944</v>
      </c>
      <c r="U9" s="275"/>
      <c r="V9" s="249" t="s">
        <v>12</v>
      </c>
    </row>
    <row r="10" spans="1:22" ht="15" customHeight="1" x14ac:dyDescent="0.2">
      <c r="A10" s="268"/>
      <c r="B10" s="268" t="s">
        <v>43</v>
      </c>
      <c r="C10" s="268" t="s">
        <v>560</v>
      </c>
      <c r="D10" s="269" t="s">
        <v>575</v>
      </c>
      <c r="E10" s="171" t="s">
        <v>220</v>
      </c>
      <c r="F10" s="269"/>
      <c r="G10" s="292"/>
      <c r="H10" s="272" t="s">
        <v>568</v>
      </c>
      <c r="I10" s="273" t="s">
        <v>410</v>
      </c>
      <c r="J10" s="302">
        <v>1</v>
      </c>
      <c r="K10" s="273" t="s">
        <v>269</v>
      </c>
      <c r="L10" s="274">
        <v>1292.24</v>
      </c>
      <c r="M10" s="275">
        <f t="shared" si="0"/>
        <v>1292.24</v>
      </c>
      <c r="N10" s="276">
        <v>0</v>
      </c>
      <c r="O10" s="275">
        <f t="shared" si="1"/>
        <v>0</v>
      </c>
      <c r="P10" s="276">
        <v>0.16</v>
      </c>
      <c r="Q10" s="275">
        <f t="shared" si="2"/>
        <v>206.75839999999999</v>
      </c>
      <c r="R10" s="275">
        <f t="shared" si="3"/>
        <v>1498.9983999999999</v>
      </c>
      <c r="S10" s="300">
        <f>INDEX('Glosario Partidas'!$M$8:$M$10,MATCH(K10,'Glosario Partidas'!$L$8:$L$10,0))</f>
        <v>1</v>
      </c>
      <c r="T10" s="275">
        <f t="shared" si="4"/>
        <v>1498.9983999999999</v>
      </c>
      <c r="U10" s="275"/>
      <c r="V10" s="249" t="s">
        <v>12</v>
      </c>
    </row>
    <row r="11" spans="1:22" ht="15" customHeight="1" x14ac:dyDescent="0.2">
      <c r="A11" s="268"/>
      <c r="B11" s="268" t="s">
        <v>43</v>
      </c>
      <c r="C11" s="268" t="s">
        <v>560</v>
      </c>
      <c r="D11" s="269" t="s">
        <v>576</v>
      </c>
      <c r="E11" s="171" t="s">
        <v>220</v>
      </c>
      <c r="F11" s="269"/>
      <c r="G11" s="292"/>
      <c r="H11" s="272" t="s">
        <v>568</v>
      </c>
      <c r="I11" s="273" t="s">
        <v>410</v>
      </c>
      <c r="J11" s="302">
        <v>5</v>
      </c>
      <c r="K11" s="273" t="s">
        <v>269</v>
      </c>
      <c r="L11" s="274">
        <v>205</v>
      </c>
      <c r="M11" s="275">
        <f t="shared" si="0"/>
        <v>1025</v>
      </c>
      <c r="N11" s="276">
        <v>0</v>
      </c>
      <c r="O11" s="275">
        <f t="shared" si="1"/>
        <v>0</v>
      </c>
      <c r="P11" s="276">
        <v>0.16</v>
      </c>
      <c r="Q11" s="275">
        <f t="shared" si="2"/>
        <v>164</v>
      </c>
      <c r="R11" s="275">
        <f t="shared" si="3"/>
        <v>1189</v>
      </c>
      <c r="S11" s="300">
        <f>INDEX('Glosario Partidas'!$M$8:$M$10,MATCH(K11,'Glosario Partidas'!$L$8:$L$10,0))</f>
        <v>1</v>
      </c>
      <c r="T11" s="275">
        <f t="shared" si="4"/>
        <v>1189</v>
      </c>
      <c r="U11" s="275"/>
      <c r="V11" s="249" t="s">
        <v>12</v>
      </c>
    </row>
    <row r="12" spans="1:22" ht="15" customHeight="1" x14ac:dyDescent="0.2">
      <c r="A12" s="268"/>
      <c r="B12" s="268" t="s">
        <v>43</v>
      </c>
      <c r="C12" s="268" t="s">
        <v>560</v>
      </c>
      <c r="D12" s="269" t="s">
        <v>577</v>
      </c>
      <c r="E12" s="171" t="s">
        <v>220</v>
      </c>
      <c r="F12" s="269"/>
      <c r="G12" s="292"/>
      <c r="H12" s="272" t="s">
        <v>568</v>
      </c>
      <c r="I12" s="273" t="s">
        <v>410</v>
      </c>
      <c r="J12" s="302">
        <v>2</v>
      </c>
      <c r="K12" s="273" t="s">
        <v>269</v>
      </c>
      <c r="L12" s="274">
        <v>102.93</v>
      </c>
      <c r="M12" s="275">
        <f t="shared" si="0"/>
        <v>205.86</v>
      </c>
      <c r="N12" s="276">
        <v>0</v>
      </c>
      <c r="O12" s="275">
        <f t="shared" si="1"/>
        <v>0</v>
      </c>
      <c r="P12" s="276">
        <v>0.16</v>
      </c>
      <c r="Q12" s="275">
        <f t="shared" si="2"/>
        <v>32.937600000000003</v>
      </c>
      <c r="R12" s="275">
        <f t="shared" si="3"/>
        <v>238.79760000000002</v>
      </c>
      <c r="S12" s="300">
        <f>INDEX('Glosario Partidas'!$M$8:$M$10,MATCH(K12,'Glosario Partidas'!$L$8:$L$10,0))</f>
        <v>1</v>
      </c>
      <c r="T12" s="275">
        <f t="shared" si="4"/>
        <v>238.79760000000002</v>
      </c>
      <c r="U12" s="275"/>
      <c r="V12" s="249" t="s">
        <v>12</v>
      </c>
    </row>
    <row r="13" spans="1:22" ht="15" customHeight="1" x14ac:dyDescent="0.2">
      <c r="A13" s="268"/>
      <c r="B13" s="268" t="s">
        <v>43</v>
      </c>
      <c r="C13" s="268" t="s">
        <v>560</v>
      </c>
      <c r="D13" s="269" t="s">
        <v>578</v>
      </c>
      <c r="E13" s="171" t="s">
        <v>220</v>
      </c>
      <c r="F13" s="269"/>
      <c r="G13" s="292"/>
      <c r="H13" s="272" t="s">
        <v>568</v>
      </c>
      <c r="I13" s="273" t="s">
        <v>410</v>
      </c>
      <c r="J13" s="302">
        <v>4</v>
      </c>
      <c r="K13" s="273" t="s">
        <v>269</v>
      </c>
      <c r="L13" s="274">
        <v>64.655000000000001</v>
      </c>
      <c r="M13" s="275">
        <f t="shared" si="0"/>
        <v>258.62</v>
      </c>
      <c r="N13" s="276">
        <v>0</v>
      </c>
      <c r="O13" s="275">
        <f t="shared" si="1"/>
        <v>0</v>
      </c>
      <c r="P13" s="276">
        <v>0.16</v>
      </c>
      <c r="Q13" s="275">
        <f t="shared" si="2"/>
        <v>41.379200000000004</v>
      </c>
      <c r="R13" s="275">
        <f t="shared" si="3"/>
        <v>299.99920000000003</v>
      </c>
      <c r="S13" s="300">
        <f>INDEX('Glosario Partidas'!$M$8:$M$10,MATCH(K13,'Glosario Partidas'!$L$8:$L$10,0))</f>
        <v>1</v>
      </c>
      <c r="T13" s="275">
        <f t="shared" si="4"/>
        <v>299.99920000000003</v>
      </c>
      <c r="U13" s="275"/>
      <c r="V13" s="249" t="s">
        <v>12</v>
      </c>
    </row>
    <row r="14" spans="1:22" ht="15" customHeight="1" x14ac:dyDescent="0.2">
      <c r="A14" s="268"/>
      <c r="B14" s="268" t="s">
        <v>43</v>
      </c>
      <c r="C14" s="268" t="s">
        <v>560</v>
      </c>
      <c r="D14" s="269" t="s">
        <v>579</v>
      </c>
      <c r="E14" s="171" t="s">
        <v>220</v>
      </c>
      <c r="F14" s="269"/>
      <c r="G14" s="292"/>
      <c r="H14" s="272" t="s">
        <v>568</v>
      </c>
      <c r="I14" s="273" t="s">
        <v>410</v>
      </c>
      <c r="J14" s="302">
        <v>3</v>
      </c>
      <c r="K14" s="273" t="s">
        <v>269</v>
      </c>
      <c r="L14" s="274">
        <v>1215</v>
      </c>
      <c r="M14" s="275">
        <f t="shared" si="0"/>
        <v>3645</v>
      </c>
      <c r="N14" s="276">
        <v>0</v>
      </c>
      <c r="O14" s="275">
        <f t="shared" si="1"/>
        <v>0</v>
      </c>
      <c r="P14" s="276">
        <v>0.16</v>
      </c>
      <c r="Q14" s="275">
        <f t="shared" si="2"/>
        <v>583.20000000000005</v>
      </c>
      <c r="R14" s="275">
        <f t="shared" si="3"/>
        <v>4228.2</v>
      </c>
      <c r="S14" s="300">
        <f>INDEX('Glosario Partidas'!$M$8:$M$10,MATCH(K14,'Glosario Partidas'!$L$8:$L$10,0))</f>
        <v>1</v>
      </c>
      <c r="T14" s="275">
        <f t="shared" si="4"/>
        <v>4228.2</v>
      </c>
      <c r="U14" s="275"/>
      <c r="V14" s="249" t="s">
        <v>12</v>
      </c>
    </row>
    <row r="15" spans="1:22" ht="15" customHeight="1" x14ac:dyDescent="0.2">
      <c r="A15" s="268"/>
      <c r="B15" s="268" t="s">
        <v>43</v>
      </c>
      <c r="C15" s="268" t="s">
        <v>560</v>
      </c>
      <c r="D15" s="269" t="s">
        <v>580</v>
      </c>
      <c r="E15" s="171" t="s">
        <v>220</v>
      </c>
      <c r="F15" s="269"/>
      <c r="G15" s="292"/>
      <c r="H15" s="272" t="s">
        <v>568</v>
      </c>
      <c r="I15" s="273" t="s">
        <v>410</v>
      </c>
      <c r="J15" s="302">
        <v>3</v>
      </c>
      <c r="K15" s="273" t="s">
        <v>269</v>
      </c>
      <c r="L15" s="274">
        <v>3706.0333300000002</v>
      </c>
      <c r="M15" s="275">
        <f t="shared" si="0"/>
        <v>11118.099990000001</v>
      </c>
      <c r="N15" s="276">
        <v>0</v>
      </c>
      <c r="O15" s="275">
        <f t="shared" si="1"/>
        <v>0</v>
      </c>
      <c r="P15" s="276">
        <v>0.16</v>
      </c>
      <c r="Q15" s="275">
        <f t="shared" si="2"/>
        <v>1778.8959984000001</v>
      </c>
      <c r="R15" s="275">
        <f t="shared" si="3"/>
        <v>12896.9959884</v>
      </c>
      <c r="S15" s="300">
        <f>INDEX('Glosario Partidas'!$M$8:$M$10,MATCH(K15,'Glosario Partidas'!$L$8:$L$10,0))</f>
        <v>1</v>
      </c>
      <c r="T15" s="275">
        <f t="shared" si="4"/>
        <v>12896.9959884</v>
      </c>
      <c r="U15" s="275"/>
      <c r="V15" s="249" t="s">
        <v>12</v>
      </c>
    </row>
    <row r="16" spans="1:22" ht="15" customHeight="1" x14ac:dyDescent="0.2">
      <c r="A16" s="268"/>
      <c r="B16" s="268" t="s">
        <v>43</v>
      </c>
      <c r="C16" s="268" t="s">
        <v>560</v>
      </c>
      <c r="D16" s="269" t="s">
        <v>581</v>
      </c>
      <c r="E16" s="171" t="s">
        <v>220</v>
      </c>
      <c r="F16" s="269"/>
      <c r="G16" s="292"/>
      <c r="H16" s="272" t="s">
        <v>568</v>
      </c>
      <c r="I16" s="273" t="s">
        <v>410</v>
      </c>
      <c r="J16" s="302">
        <v>1</v>
      </c>
      <c r="K16" s="273" t="s">
        <v>269</v>
      </c>
      <c r="L16" s="274">
        <v>313.75</v>
      </c>
      <c r="M16" s="275">
        <f t="shared" si="0"/>
        <v>313.75</v>
      </c>
      <c r="N16" s="276">
        <v>0</v>
      </c>
      <c r="O16" s="275">
        <f t="shared" si="1"/>
        <v>0</v>
      </c>
      <c r="P16" s="276">
        <v>0.16</v>
      </c>
      <c r="Q16" s="275">
        <f t="shared" si="2"/>
        <v>50.2</v>
      </c>
      <c r="R16" s="275">
        <f t="shared" si="3"/>
        <v>363.95</v>
      </c>
      <c r="S16" s="300">
        <f>INDEX('Glosario Partidas'!$M$8:$M$10,MATCH(K16,'Glosario Partidas'!$L$8:$L$10,0))</f>
        <v>1</v>
      </c>
      <c r="T16" s="275">
        <f t="shared" si="4"/>
        <v>363.95</v>
      </c>
      <c r="U16" s="275"/>
      <c r="V16" s="249" t="s">
        <v>12</v>
      </c>
    </row>
    <row r="17" spans="1:22" ht="15" customHeight="1" x14ac:dyDescent="0.2">
      <c r="A17" s="268"/>
      <c r="B17" s="268" t="s">
        <v>43</v>
      </c>
      <c r="C17" s="268" t="s">
        <v>560</v>
      </c>
      <c r="D17" s="269" t="s">
        <v>582</v>
      </c>
      <c r="E17" s="171" t="s">
        <v>220</v>
      </c>
      <c r="F17" s="269"/>
      <c r="G17" s="292"/>
      <c r="H17" s="272" t="s">
        <v>568</v>
      </c>
      <c r="I17" s="273" t="s">
        <v>410</v>
      </c>
      <c r="J17" s="302">
        <v>2</v>
      </c>
      <c r="K17" s="273" t="s">
        <v>269</v>
      </c>
      <c r="L17" s="274">
        <v>113</v>
      </c>
      <c r="M17" s="275">
        <f t="shared" si="0"/>
        <v>226</v>
      </c>
      <c r="N17" s="276">
        <v>0</v>
      </c>
      <c r="O17" s="275">
        <f t="shared" si="1"/>
        <v>0</v>
      </c>
      <c r="P17" s="276">
        <v>0.16</v>
      </c>
      <c r="Q17" s="275">
        <f t="shared" si="2"/>
        <v>36.160000000000004</v>
      </c>
      <c r="R17" s="275">
        <f t="shared" si="3"/>
        <v>262.16000000000003</v>
      </c>
      <c r="S17" s="300">
        <f>INDEX('Glosario Partidas'!$M$8:$M$10,MATCH(K17,'Glosario Partidas'!$L$8:$L$10,0))</f>
        <v>1</v>
      </c>
      <c r="T17" s="275">
        <f t="shared" si="4"/>
        <v>262.16000000000003</v>
      </c>
      <c r="U17" s="275"/>
      <c r="V17" s="249" t="s">
        <v>12</v>
      </c>
    </row>
    <row r="18" spans="1:22" ht="15" customHeight="1" x14ac:dyDescent="0.2">
      <c r="A18" s="268"/>
      <c r="B18" s="268" t="s">
        <v>43</v>
      </c>
      <c r="C18" s="268" t="s">
        <v>560</v>
      </c>
      <c r="D18" s="269" t="s">
        <v>583</v>
      </c>
      <c r="E18" s="171" t="s">
        <v>220</v>
      </c>
      <c r="F18" s="269"/>
      <c r="G18" s="292"/>
      <c r="H18" s="272" t="s">
        <v>568</v>
      </c>
      <c r="I18" s="273" t="s">
        <v>410</v>
      </c>
      <c r="J18" s="302">
        <v>3</v>
      </c>
      <c r="K18" s="273" t="s">
        <v>269</v>
      </c>
      <c r="L18" s="274">
        <v>2585.3433300000002</v>
      </c>
      <c r="M18" s="275">
        <f t="shared" si="0"/>
        <v>7756.0299900000009</v>
      </c>
      <c r="N18" s="276">
        <v>0</v>
      </c>
      <c r="O18" s="275">
        <f t="shared" si="1"/>
        <v>0</v>
      </c>
      <c r="P18" s="276">
        <v>0.16</v>
      </c>
      <c r="Q18" s="275">
        <f t="shared" si="2"/>
        <v>1240.9647984000001</v>
      </c>
      <c r="R18" s="275">
        <f t="shared" si="3"/>
        <v>8996.9947884000012</v>
      </c>
      <c r="S18" s="300">
        <f>INDEX('Glosario Partidas'!$M$8:$M$10,MATCH(K18,'Glosario Partidas'!$L$8:$L$10,0))</f>
        <v>1</v>
      </c>
      <c r="T18" s="275">
        <f t="shared" si="4"/>
        <v>8996.9947884000012</v>
      </c>
      <c r="U18" s="275"/>
      <c r="V18" s="249" t="s">
        <v>12</v>
      </c>
    </row>
    <row r="19" spans="1:22" ht="15" customHeight="1" x14ac:dyDescent="0.2">
      <c r="A19" s="268"/>
      <c r="B19" s="268" t="s">
        <v>43</v>
      </c>
      <c r="C19" s="268" t="s">
        <v>560</v>
      </c>
      <c r="D19" s="269" t="s">
        <v>584</v>
      </c>
      <c r="E19" s="171" t="s">
        <v>220</v>
      </c>
      <c r="F19" s="269"/>
      <c r="G19" s="292"/>
      <c r="H19" s="272" t="s">
        <v>568</v>
      </c>
      <c r="I19" s="273" t="s">
        <v>410</v>
      </c>
      <c r="J19" s="302">
        <v>1</v>
      </c>
      <c r="K19" s="273" t="s">
        <v>269</v>
      </c>
      <c r="L19" s="274">
        <v>671.55</v>
      </c>
      <c r="M19" s="275">
        <f t="shared" si="0"/>
        <v>671.55</v>
      </c>
      <c r="N19" s="276">
        <v>0</v>
      </c>
      <c r="O19" s="275">
        <f t="shared" si="1"/>
        <v>0</v>
      </c>
      <c r="P19" s="276">
        <v>0.16</v>
      </c>
      <c r="Q19" s="275">
        <f t="shared" si="2"/>
        <v>107.44799999999999</v>
      </c>
      <c r="R19" s="275">
        <f t="shared" si="3"/>
        <v>778.99799999999993</v>
      </c>
      <c r="S19" s="300">
        <f>INDEX('Glosario Partidas'!$M$8:$M$10,MATCH(K19,'Glosario Partidas'!$L$8:$L$10,0))</f>
        <v>1</v>
      </c>
      <c r="T19" s="275">
        <f t="shared" si="4"/>
        <v>778.99799999999993</v>
      </c>
      <c r="U19" s="275"/>
      <c r="V19" s="249" t="s">
        <v>12</v>
      </c>
    </row>
    <row r="20" spans="1:22" ht="15" customHeight="1" x14ac:dyDescent="0.2">
      <c r="A20" s="268"/>
      <c r="B20" s="268" t="s">
        <v>43</v>
      </c>
      <c r="C20" s="268" t="s">
        <v>560</v>
      </c>
      <c r="D20" s="269" t="s">
        <v>585</v>
      </c>
      <c r="E20" s="171" t="s">
        <v>220</v>
      </c>
      <c r="F20" s="269"/>
      <c r="G20" s="292"/>
      <c r="H20" s="272" t="s">
        <v>568</v>
      </c>
      <c r="I20" s="273" t="s">
        <v>410</v>
      </c>
      <c r="J20" s="302">
        <v>2</v>
      </c>
      <c r="K20" s="273" t="s">
        <v>269</v>
      </c>
      <c r="L20" s="274">
        <v>74</v>
      </c>
      <c r="M20" s="275">
        <f t="shared" si="0"/>
        <v>148</v>
      </c>
      <c r="N20" s="276">
        <v>0</v>
      </c>
      <c r="O20" s="275">
        <f t="shared" si="1"/>
        <v>0</v>
      </c>
      <c r="P20" s="276">
        <v>0.16</v>
      </c>
      <c r="Q20" s="275">
        <f t="shared" si="2"/>
        <v>23.68</v>
      </c>
      <c r="R20" s="275">
        <f t="shared" si="3"/>
        <v>171.68</v>
      </c>
      <c r="S20" s="300">
        <f>INDEX('Glosario Partidas'!$M$8:$M$10,MATCH(K20,'Glosario Partidas'!$L$8:$L$10,0))</f>
        <v>1</v>
      </c>
      <c r="T20" s="275">
        <f t="shared" si="4"/>
        <v>171.68</v>
      </c>
      <c r="U20" s="275"/>
      <c r="V20" s="249" t="s">
        <v>12</v>
      </c>
    </row>
    <row r="21" spans="1:22" ht="15" customHeight="1" x14ac:dyDescent="0.2">
      <c r="A21" s="268"/>
      <c r="B21" s="268" t="s">
        <v>43</v>
      </c>
      <c r="C21" s="268" t="s">
        <v>560</v>
      </c>
      <c r="D21" s="269" t="s">
        <v>586</v>
      </c>
      <c r="E21" s="171" t="s">
        <v>220</v>
      </c>
      <c r="F21" s="269"/>
      <c r="G21" s="292"/>
      <c r="H21" s="272" t="s">
        <v>568</v>
      </c>
      <c r="I21" s="273" t="s">
        <v>410</v>
      </c>
      <c r="J21" s="302">
        <v>1</v>
      </c>
      <c r="K21" s="273" t="s">
        <v>269</v>
      </c>
      <c r="L21" s="274">
        <v>41</v>
      </c>
      <c r="M21" s="275">
        <f t="shared" si="0"/>
        <v>41</v>
      </c>
      <c r="N21" s="276">
        <v>0</v>
      </c>
      <c r="O21" s="275">
        <f t="shared" si="1"/>
        <v>0</v>
      </c>
      <c r="P21" s="276">
        <v>0.16</v>
      </c>
      <c r="Q21" s="275">
        <f t="shared" si="2"/>
        <v>6.5600000000000005</v>
      </c>
      <c r="R21" s="275">
        <f t="shared" si="3"/>
        <v>47.56</v>
      </c>
      <c r="S21" s="300">
        <f>INDEX('Glosario Partidas'!$M$8:$M$10,MATCH(K21,'Glosario Partidas'!$L$8:$L$10,0))</f>
        <v>1</v>
      </c>
      <c r="T21" s="275">
        <f t="shared" si="4"/>
        <v>47.56</v>
      </c>
      <c r="U21" s="275"/>
      <c r="V21" s="249" t="s">
        <v>12</v>
      </c>
    </row>
    <row r="22" spans="1:22" ht="15" customHeight="1" x14ac:dyDescent="0.2">
      <c r="A22" s="268"/>
      <c r="B22" s="268" t="s">
        <v>43</v>
      </c>
      <c r="C22" s="268" t="s">
        <v>560</v>
      </c>
      <c r="D22" s="269" t="s">
        <v>587</v>
      </c>
      <c r="E22" s="171" t="s">
        <v>220</v>
      </c>
      <c r="F22" s="269"/>
      <c r="G22" s="292"/>
      <c r="H22" s="272" t="s">
        <v>568</v>
      </c>
      <c r="I22" s="273" t="s">
        <v>410</v>
      </c>
      <c r="J22" s="302">
        <v>5</v>
      </c>
      <c r="K22" s="273" t="s">
        <v>269</v>
      </c>
      <c r="L22" s="274">
        <v>2757.7579999999998</v>
      </c>
      <c r="M22" s="275">
        <f t="shared" si="0"/>
        <v>13788.789999999999</v>
      </c>
      <c r="N22" s="293"/>
      <c r="O22" s="275">
        <f t="shared" si="1"/>
        <v>0</v>
      </c>
      <c r="P22" s="293"/>
      <c r="Q22" s="275">
        <f t="shared" si="2"/>
        <v>0</v>
      </c>
      <c r="R22" s="275">
        <f t="shared" si="3"/>
        <v>13788.789999999999</v>
      </c>
      <c r="S22" s="300">
        <f>INDEX('Glosario Partidas'!$M$8:$M$10,MATCH(K22,'Glosario Partidas'!$L$8:$L$10,0))</f>
        <v>1</v>
      </c>
      <c r="T22" s="275">
        <f t="shared" si="4"/>
        <v>13788.789999999999</v>
      </c>
      <c r="U22" s="275"/>
      <c r="V22" s="249" t="s">
        <v>12</v>
      </c>
    </row>
    <row r="23" spans="1:22" ht="15" customHeight="1" x14ac:dyDescent="0.2">
      <c r="A23" s="268"/>
      <c r="B23" s="268" t="s">
        <v>43</v>
      </c>
      <c r="C23" s="268" t="s">
        <v>560</v>
      </c>
      <c r="D23" s="269" t="s">
        <v>588</v>
      </c>
      <c r="E23" s="171" t="s">
        <v>220</v>
      </c>
      <c r="F23" s="269"/>
      <c r="G23" s="292"/>
      <c r="H23" s="272" t="s">
        <v>568</v>
      </c>
      <c r="I23" s="273" t="s">
        <v>410</v>
      </c>
      <c r="J23" s="302">
        <v>1</v>
      </c>
      <c r="K23" s="273" t="s">
        <v>269</v>
      </c>
      <c r="L23" s="274">
        <v>2326.7199999999998</v>
      </c>
      <c r="M23" s="275">
        <f t="shared" si="0"/>
        <v>2326.7199999999998</v>
      </c>
      <c r="N23" s="276">
        <v>0</v>
      </c>
      <c r="O23" s="275">
        <f t="shared" si="1"/>
        <v>0</v>
      </c>
      <c r="P23" s="276">
        <v>0.16</v>
      </c>
      <c r="Q23" s="275">
        <f t="shared" si="2"/>
        <v>372.27519999999998</v>
      </c>
      <c r="R23" s="275">
        <f t="shared" si="3"/>
        <v>2698.9951999999998</v>
      </c>
      <c r="S23" s="300">
        <f>INDEX('Glosario Partidas'!$M$8:$M$10,MATCH(K23,'Glosario Partidas'!$L$8:$L$10,0))</f>
        <v>1</v>
      </c>
      <c r="T23" s="275">
        <f t="shared" si="4"/>
        <v>2698.9951999999998</v>
      </c>
      <c r="U23" s="275"/>
      <c r="V23" s="249" t="s">
        <v>12</v>
      </c>
    </row>
    <row r="24" spans="1:22" ht="15" customHeight="1" x14ac:dyDescent="0.2">
      <c r="A24" s="268"/>
      <c r="B24" s="268" t="s">
        <v>43</v>
      </c>
      <c r="C24" s="268" t="s">
        <v>560</v>
      </c>
      <c r="D24" s="269" t="s">
        <v>589</v>
      </c>
      <c r="E24" s="171" t="s">
        <v>220</v>
      </c>
      <c r="F24" s="269"/>
      <c r="G24" s="292"/>
      <c r="H24" s="272" t="s">
        <v>568</v>
      </c>
      <c r="I24" s="273" t="s">
        <v>410</v>
      </c>
      <c r="J24" s="302">
        <v>1</v>
      </c>
      <c r="K24" s="273" t="s">
        <v>269</v>
      </c>
      <c r="L24" s="274">
        <v>731.9</v>
      </c>
      <c r="M24" s="275">
        <f t="shared" si="0"/>
        <v>731.9</v>
      </c>
      <c r="N24" s="276">
        <v>0</v>
      </c>
      <c r="O24" s="275">
        <f t="shared" si="1"/>
        <v>0</v>
      </c>
      <c r="P24" s="276">
        <v>0.16</v>
      </c>
      <c r="Q24" s="275">
        <f t="shared" si="2"/>
        <v>117.104</v>
      </c>
      <c r="R24" s="275">
        <f t="shared" si="3"/>
        <v>849.00400000000002</v>
      </c>
      <c r="S24" s="300">
        <f>INDEX('Glosario Partidas'!$M$8:$M$10,MATCH(K24,'Glosario Partidas'!$L$8:$L$10,0))</f>
        <v>1</v>
      </c>
      <c r="T24" s="275">
        <f t="shared" si="4"/>
        <v>849.00400000000002</v>
      </c>
      <c r="U24" s="275"/>
      <c r="V24" s="249" t="s">
        <v>12</v>
      </c>
    </row>
    <row r="25" spans="1:22" ht="15" customHeight="1" x14ac:dyDescent="0.2">
      <c r="A25" s="268"/>
      <c r="B25" s="268" t="s">
        <v>43</v>
      </c>
      <c r="C25" s="268" t="s">
        <v>560</v>
      </c>
      <c r="D25" s="269" t="s">
        <v>590</v>
      </c>
      <c r="E25" s="171" t="s">
        <v>220</v>
      </c>
      <c r="F25" s="269"/>
      <c r="G25" s="292"/>
      <c r="H25" s="272" t="s">
        <v>568</v>
      </c>
      <c r="I25" s="273" t="s">
        <v>410</v>
      </c>
      <c r="J25" s="302">
        <v>1</v>
      </c>
      <c r="K25" s="273" t="s">
        <v>269</v>
      </c>
      <c r="L25" s="274">
        <v>1378.45</v>
      </c>
      <c r="M25" s="275">
        <f t="shared" si="0"/>
        <v>1378.45</v>
      </c>
      <c r="N25" s="276">
        <v>0</v>
      </c>
      <c r="O25" s="275">
        <f t="shared" si="1"/>
        <v>0</v>
      </c>
      <c r="P25" s="276">
        <v>0.16</v>
      </c>
      <c r="Q25" s="275">
        <f t="shared" si="2"/>
        <v>220.55200000000002</v>
      </c>
      <c r="R25" s="275">
        <f t="shared" si="3"/>
        <v>1599.002</v>
      </c>
      <c r="S25" s="300">
        <f>INDEX('Glosario Partidas'!$M$8:$M$10,MATCH(K25,'Glosario Partidas'!$L$8:$L$10,0))</f>
        <v>1</v>
      </c>
      <c r="T25" s="275">
        <f t="shared" si="4"/>
        <v>1599.002</v>
      </c>
      <c r="U25" s="275"/>
      <c r="V25" s="249" t="s">
        <v>12</v>
      </c>
    </row>
    <row r="26" spans="1:22" ht="15" customHeight="1" x14ac:dyDescent="0.2">
      <c r="A26" s="268"/>
      <c r="B26" s="268" t="s">
        <v>43</v>
      </c>
      <c r="C26" s="268" t="s">
        <v>560</v>
      </c>
      <c r="D26" s="269" t="s">
        <v>567</v>
      </c>
      <c r="E26" s="171" t="s">
        <v>229</v>
      </c>
      <c r="F26" s="269"/>
      <c r="G26" s="292"/>
      <c r="H26" s="272" t="s">
        <v>568</v>
      </c>
      <c r="I26" s="273" t="s">
        <v>410</v>
      </c>
      <c r="J26" s="302">
        <v>1</v>
      </c>
      <c r="K26" s="273" t="s">
        <v>269</v>
      </c>
      <c r="L26" s="274">
        <v>6999.14</v>
      </c>
      <c r="M26" s="275">
        <f t="shared" si="0"/>
        <v>6999.14</v>
      </c>
      <c r="N26" s="276">
        <v>0</v>
      </c>
      <c r="O26" s="275">
        <f t="shared" si="1"/>
        <v>0</v>
      </c>
      <c r="P26" s="276">
        <v>0.16</v>
      </c>
      <c r="Q26" s="275">
        <f t="shared" si="2"/>
        <v>1119.8624</v>
      </c>
      <c r="R26" s="275">
        <f t="shared" si="3"/>
        <v>8119.0024000000003</v>
      </c>
      <c r="S26" s="300">
        <f>INDEX('Glosario Partidas'!$M$8:$M$10,MATCH(K26,'Glosario Partidas'!$L$8:$L$10,0))</f>
        <v>1</v>
      </c>
      <c r="T26" s="275">
        <f t="shared" si="4"/>
        <v>8119.0024000000003</v>
      </c>
      <c r="U26" s="275"/>
      <c r="V26" s="249" t="s">
        <v>12</v>
      </c>
    </row>
    <row r="27" spans="1:22" ht="15" customHeight="1" x14ac:dyDescent="0.2">
      <c r="A27" s="268"/>
      <c r="B27" s="268" t="s">
        <v>43</v>
      </c>
      <c r="C27" s="268" t="s">
        <v>560</v>
      </c>
      <c r="D27" s="269" t="s">
        <v>569</v>
      </c>
      <c r="E27" s="171" t="s">
        <v>229</v>
      </c>
      <c r="F27" s="269"/>
      <c r="G27" s="292"/>
      <c r="H27" s="272" t="s">
        <v>568</v>
      </c>
      <c r="I27" s="273" t="s">
        <v>410</v>
      </c>
      <c r="J27" s="302">
        <v>3</v>
      </c>
      <c r="K27" s="273" t="s">
        <v>269</v>
      </c>
      <c r="L27" s="274">
        <v>40</v>
      </c>
      <c r="M27" s="275">
        <f t="shared" si="0"/>
        <v>120</v>
      </c>
      <c r="N27" s="276">
        <v>0</v>
      </c>
      <c r="O27" s="275">
        <f t="shared" si="1"/>
        <v>0</v>
      </c>
      <c r="P27" s="276">
        <v>0.16</v>
      </c>
      <c r="Q27" s="275">
        <f t="shared" si="2"/>
        <v>19.2</v>
      </c>
      <c r="R27" s="275">
        <f t="shared" si="3"/>
        <v>139.19999999999999</v>
      </c>
      <c r="S27" s="300">
        <f>INDEX('Glosario Partidas'!$M$8:$M$10,MATCH(K27,'Glosario Partidas'!$L$8:$L$10,0))</f>
        <v>1</v>
      </c>
      <c r="T27" s="275">
        <f t="shared" si="4"/>
        <v>139.19999999999999</v>
      </c>
      <c r="U27" s="275"/>
      <c r="V27" s="249" t="s">
        <v>12</v>
      </c>
    </row>
    <row r="28" spans="1:22" ht="15" customHeight="1" x14ac:dyDescent="0.2">
      <c r="A28" s="268"/>
      <c r="B28" s="268" t="s">
        <v>43</v>
      </c>
      <c r="C28" s="268" t="s">
        <v>560</v>
      </c>
      <c r="D28" s="269" t="s">
        <v>570</v>
      </c>
      <c r="E28" s="171" t="s">
        <v>229</v>
      </c>
      <c r="F28" s="269"/>
      <c r="G28" s="292"/>
      <c r="H28" s="272" t="s">
        <v>568</v>
      </c>
      <c r="I28" s="273" t="s">
        <v>410</v>
      </c>
      <c r="J28" s="302">
        <v>1</v>
      </c>
      <c r="K28" s="273" t="s">
        <v>269</v>
      </c>
      <c r="L28" s="274">
        <v>67.5</v>
      </c>
      <c r="M28" s="275">
        <f t="shared" si="0"/>
        <v>67.5</v>
      </c>
      <c r="N28" s="276">
        <v>0</v>
      </c>
      <c r="O28" s="275">
        <f t="shared" si="1"/>
        <v>0</v>
      </c>
      <c r="P28" s="276">
        <v>0.16</v>
      </c>
      <c r="Q28" s="275">
        <f t="shared" si="2"/>
        <v>10.8</v>
      </c>
      <c r="R28" s="275">
        <f t="shared" si="3"/>
        <v>78.3</v>
      </c>
      <c r="S28" s="300">
        <f>INDEX('Glosario Partidas'!$M$8:$M$10,MATCH(K28,'Glosario Partidas'!$L$8:$L$10,0))</f>
        <v>1</v>
      </c>
      <c r="T28" s="275">
        <f t="shared" si="4"/>
        <v>78.3</v>
      </c>
      <c r="U28" s="275"/>
      <c r="V28" s="249" t="s">
        <v>12</v>
      </c>
    </row>
    <row r="29" spans="1:22" ht="15" customHeight="1" x14ac:dyDescent="0.2">
      <c r="A29" s="268"/>
      <c r="B29" s="268" t="s">
        <v>43</v>
      </c>
      <c r="C29" s="268" t="s">
        <v>560</v>
      </c>
      <c r="D29" s="269" t="s">
        <v>571</v>
      </c>
      <c r="E29" s="171" t="s">
        <v>229</v>
      </c>
      <c r="F29" s="269"/>
      <c r="G29" s="292"/>
      <c r="H29" s="272" t="s">
        <v>568</v>
      </c>
      <c r="I29" s="273" t="s">
        <v>410</v>
      </c>
      <c r="J29" s="302">
        <v>1</v>
      </c>
      <c r="K29" s="273" t="s">
        <v>269</v>
      </c>
      <c r="L29" s="274">
        <v>595</v>
      </c>
      <c r="M29" s="275">
        <f t="shared" si="0"/>
        <v>595</v>
      </c>
      <c r="N29" s="276">
        <v>0</v>
      </c>
      <c r="O29" s="275">
        <f t="shared" si="1"/>
        <v>0</v>
      </c>
      <c r="P29" s="276">
        <v>0.16</v>
      </c>
      <c r="Q29" s="275">
        <f t="shared" si="2"/>
        <v>95.2</v>
      </c>
      <c r="R29" s="275">
        <f t="shared" si="3"/>
        <v>690.2</v>
      </c>
      <c r="S29" s="300">
        <f>INDEX('Glosario Partidas'!$M$8:$M$10,MATCH(K29,'Glosario Partidas'!$L$8:$L$10,0))</f>
        <v>1</v>
      </c>
      <c r="T29" s="275">
        <f t="shared" si="4"/>
        <v>690.2</v>
      </c>
      <c r="U29" s="275"/>
      <c r="V29" s="249" t="s">
        <v>12</v>
      </c>
    </row>
    <row r="30" spans="1:22" ht="15" customHeight="1" x14ac:dyDescent="0.2">
      <c r="A30" s="268"/>
      <c r="B30" s="268" t="s">
        <v>43</v>
      </c>
      <c r="C30" s="268" t="s">
        <v>560</v>
      </c>
      <c r="D30" s="269" t="s">
        <v>572</v>
      </c>
      <c r="E30" s="171" t="s">
        <v>229</v>
      </c>
      <c r="F30" s="269"/>
      <c r="G30" s="292"/>
      <c r="H30" s="272" t="s">
        <v>568</v>
      </c>
      <c r="I30" s="273" t="s">
        <v>410</v>
      </c>
      <c r="J30" s="302">
        <v>5</v>
      </c>
      <c r="K30" s="273" t="s">
        <v>269</v>
      </c>
      <c r="L30" s="274">
        <v>179</v>
      </c>
      <c r="M30" s="275">
        <f t="shared" si="0"/>
        <v>895</v>
      </c>
      <c r="N30" s="276">
        <v>0</v>
      </c>
      <c r="O30" s="275">
        <f t="shared" si="1"/>
        <v>0</v>
      </c>
      <c r="P30" s="276">
        <v>0.16</v>
      </c>
      <c r="Q30" s="275">
        <f t="shared" si="2"/>
        <v>143.20000000000002</v>
      </c>
      <c r="R30" s="275">
        <f t="shared" si="3"/>
        <v>1038.2</v>
      </c>
      <c r="S30" s="300">
        <f>INDEX('Glosario Partidas'!$M$8:$M$10,MATCH(K30,'Glosario Partidas'!$L$8:$L$10,0))</f>
        <v>1</v>
      </c>
      <c r="T30" s="275">
        <f t="shared" si="4"/>
        <v>1038.2</v>
      </c>
      <c r="U30" s="275"/>
      <c r="V30" s="249" t="s">
        <v>12</v>
      </c>
    </row>
    <row r="31" spans="1:22" ht="15" customHeight="1" x14ac:dyDescent="0.2">
      <c r="A31" s="268"/>
      <c r="B31" s="268" t="s">
        <v>43</v>
      </c>
      <c r="C31" s="268" t="s">
        <v>560</v>
      </c>
      <c r="D31" s="269" t="s">
        <v>573</v>
      </c>
      <c r="E31" s="171" t="s">
        <v>229</v>
      </c>
      <c r="F31" s="269"/>
      <c r="G31" s="292"/>
      <c r="H31" s="272" t="s">
        <v>568</v>
      </c>
      <c r="I31" s="273" t="s">
        <v>410</v>
      </c>
      <c r="J31" s="302">
        <v>5</v>
      </c>
      <c r="K31" s="273" t="s">
        <v>269</v>
      </c>
      <c r="L31" s="274">
        <v>125.25</v>
      </c>
      <c r="M31" s="275">
        <f t="shared" si="0"/>
        <v>626.25</v>
      </c>
      <c r="N31" s="276">
        <v>0</v>
      </c>
      <c r="O31" s="275">
        <f t="shared" si="1"/>
        <v>0</v>
      </c>
      <c r="P31" s="276">
        <v>0.16</v>
      </c>
      <c r="Q31" s="275">
        <f t="shared" si="2"/>
        <v>100.2</v>
      </c>
      <c r="R31" s="275">
        <f t="shared" si="3"/>
        <v>726.45</v>
      </c>
      <c r="S31" s="300">
        <f>INDEX('Glosario Partidas'!$M$8:$M$10,MATCH(K31,'Glosario Partidas'!$L$8:$L$10,0))</f>
        <v>1</v>
      </c>
      <c r="T31" s="275">
        <f t="shared" si="4"/>
        <v>726.45</v>
      </c>
      <c r="U31" s="275"/>
      <c r="V31" s="249" t="s">
        <v>12</v>
      </c>
    </row>
    <row r="32" spans="1:22" ht="15" customHeight="1" x14ac:dyDescent="0.2">
      <c r="A32" s="268"/>
      <c r="B32" s="268" t="s">
        <v>43</v>
      </c>
      <c r="C32" s="268" t="s">
        <v>560</v>
      </c>
      <c r="D32" s="269" t="s">
        <v>574</v>
      </c>
      <c r="E32" s="171" t="s">
        <v>229</v>
      </c>
      <c r="F32" s="269"/>
      <c r="G32" s="292"/>
      <c r="H32" s="272" t="s">
        <v>568</v>
      </c>
      <c r="I32" s="273" t="s">
        <v>410</v>
      </c>
      <c r="J32" s="302">
        <v>1</v>
      </c>
      <c r="K32" s="273" t="s">
        <v>269</v>
      </c>
      <c r="L32" s="274">
        <v>2585.34</v>
      </c>
      <c r="M32" s="275">
        <f t="shared" si="0"/>
        <v>2585.34</v>
      </c>
      <c r="N32" s="276">
        <v>0</v>
      </c>
      <c r="O32" s="275">
        <f t="shared" si="1"/>
        <v>0</v>
      </c>
      <c r="P32" s="276">
        <v>0.16</v>
      </c>
      <c r="Q32" s="275">
        <f t="shared" si="2"/>
        <v>413.65440000000001</v>
      </c>
      <c r="R32" s="275">
        <f t="shared" si="3"/>
        <v>2998.9944</v>
      </c>
      <c r="S32" s="300">
        <f>INDEX('Glosario Partidas'!$M$8:$M$10,MATCH(K32,'Glosario Partidas'!$L$8:$L$10,0))</f>
        <v>1</v>
      </c>
      <c r="T32" s="275">
        <f t="shared" si="4"/>
        <v>2998.9944</v>
      </c>
      <c r="U32" s="275"/>
      <c r="V32" s="249" t="s">
        <v>12</v>
      </c>
    </row>
    <row r="33" spans="1:22" ht="15" customHeight="1" x14ac:dyDescent="0.2">
      <c r="A33" s="268"/>
      <c r="B33" s="268" t="s">
        <v>43</v>
      </c>
      <c r="C33" s="268" t="s">
        <v>560</v>
      </c>
      <c r="D33" s="269" t="s">
        <v>575</v>
      </c>
      <c r="E33" s="171" t="s">
        <v>229</v>
      </c>
      <c r="F33" s="269"/>
      <c r="G33" s="292"/>
      <c r="H33" s="272" t="s">
        <v>568</v>
      </c>
      <c r="I33" s="273" t="s">
        <v>410</v>
      </c>
      <c r="J33" s="302">
        <v>1</v>
      </c>
      <c r="K33" s="273" t="s">
        <v>269</v>
      </c>
      <c r="L33" s="274">
        <v>1292.24</v>
      </c>
      <c r="M33" s="275">
        <f t="shared" si="0"/>
        <v>1292.24</v>
      </c>
      <c r="N33" s="276">
        <v>0</v>
      </c>
      <c r="O33" s="275">
        <f t="shared" si="1"/>
        <v>0</v>
      </c>
      <c r="P33" s="276">
        <v>0.16</v>
      </c>
      <c r="Q33" s="275">
        <f t="shared" si="2"/>
        <v>206.75839999999999</v>
      </c>
      <c r="R33" s="275">
        <f t="shared" si="3"/>
        <v>1498.9983999999999</v>
      </c>
      <c r="S33" s="300">
        <f>INDEX('Glosario Partidas'!$M$8:$M$10,MATCH(K33,'Glosario Partidas'!$L$8:$L$10,0))</f>
        <v>1</v>
      </c>
      <c r="T33" s="275">
        <f t="shared" si="4"/>
        <v>1498.9983999999999</v>
      </c>
      <c r="U33" s="275"/>
      <c r="V33" s="249" t="s">
        <v>12</v>
      </c>
    </row>
    <row r="34" spans="1:22" ht="15" customHeight="1" x14ac:dyDescent="0.2">
      <c r="A34" s="268"/>
      <c r="B34" s="268" t="s">
        <v>43</v>
      </c>
      <c r="C34" s="268" t="s">
        <v>560</v>
      </c>
      <c r="D34" s="269" t="s">
        <v>576</v>
      </c>
      <c r="E34" s="171" t="s">
        <v>229</v>
      </c>
      <c r="F34" s="269"/>
      <c r="G34" s="292"/>
      <c r="H34" s="272" t="s">
        <v>568</v>
      </c>
      <c r="I34" s="273" t="s">
        <v>410</v>
      </c>
      <c r="J34" s="302">
        <v>5</v>
      </c>
      <c r="K34" s="273" t="s">
        <v>269</v>
      </c>
      <c r="L34" s="274">
        <v>205</v>
      </c>
      <c r="M34" s="275">
        <f t="shared" si="0"/>
        <v>1025</v>
      </c>
      <c r="N34" s="276">
        <v>0</v>
      </c>
      <c r="O34" s="275">
        <f t="shared" si="1"/>
        <v>0</v>
      </c>
      <c r="P34" s="276">
        <v>0.16</v>
      </c>
      <c r="Q34" s="275">
        <f t="shared" si="2"/>
        <v>164</v>
      </c>
      <c r="R34" s="275">
        <f t="shared" si="3"/>
        <v>1189</v>
      </c>
      <c r="S34" s="300">
        <f>INDEX('Glosario Partidas'!$M$8:$M$10,MATCH(K34,'Glosario Partidas'!$L$8:$L$10,0))</f>
        <v>1</v>
      </c>
      <c r="T34" s="275">
        <f t="shared" si="4"/>
        <v>1189</v>
      </c>
      <c r="U34" s="275"/>
      <c r="V34" s="249" t="s">
        <v>12</v>
      </c>
    </row>
    <row r="35" spans="1:22" ht="15" customHeight="1" x14ac:dyDescent="0.2">
      <c r="A35" s="268"/>
      <c r="B35" s="268" t="s">
        <v>43</v>
      </c>
      <c r="C35" s="268" t="s">
        <v>560</v>
      </c>
      <c r="D35" s="269" t="s">
        <v>577</v>
      </c>
      <c r="E35" s="171" t="s">
        <v>229</v>
      </c>
      <c r="F35" s="269"/>
      <c r="G35" s="292"/>
      <c r="H35" s="272" t="s">
        <v>568</v>
      </c>
      <c r="I35" s="273" t="s">
        <v>410</v>
      </c>
      <c r="J35" s="302">
        <v>2</v>
      </c>
      <c r="K35" s="273" t="s">
        <v>269</v>
      </c>
      <c r="L35" s="274">
        <v>102.93</v>
      </c>
      <c r="M35" s="275">
        <f t="shared" si="0"/>
        <v>205.86</v>
      </c>
      <c r="N35" s="276">
        <v>0</v>
      </c>
      <c r="O35" s="275">
        <f t="shared" si="1"/>
        <v>0</v>
      </c>
      <c r="P35" s="276">
        <v>0.16</v>
      </c>
      <c r="Q35" s="275">
        <f t="shared" si="2"/>
        <v>32.937600000000003</v>
      </c>
      <c r="R35" s="275">
        <f t="shared" si="3"/>
        <v>238.79760000000002</v>
      </c>
      <c r="S35" s="300">
        <f>INDEX('Glosario Partidas'!$M$8:$M$10,MATCH(K35,'Glosario Partidas'!$L$8:$L$10,0))</f>
        <v>1</v>
      </c>
      <c r="T35" s="275">
        <f t="shared" si="4"/>
        <v>238.79760000000002</v>
      </c>
      <c r="U35" s="275"/>
      <c r="V35" s="249" t="s">
        <v>12</v>
      </c>
    </row>
    <row r="36" spans="1:22" ht="15" customHeight="1" x14ac:dyDescent="0.2">
      <c r="A36" s="268"/>
      <c r="B36" s="268" t="s">
        <v>43</v>
      </c>
      <c r="C36" s="268" t="s">
        <v>560</v>
      </c>
      <c r="D36" s="269" t="s">
        <v>578</v>
      </c>
      <c r="E36" s="171" t="s">
        <v>229</v>
      </c>
      <c r="F36" s="269"/>
      <c r="G36" s="292"/>
      <c r="H36" s="272" t="s">
        <v>568</v>
      </c>
      <c r="I36" s="273" t="s">
        <v>410</v>
      </c>
      <c r="J36" s="302">
        <v>4</v>
      </c>
      <c r="K36" s="273" t="s">
        <v>269</v>
      </c>
      <c r="L36" s="274">
        <v>64.655000000000001</v>
      </c>
      <c r="M36" s="275">
        <f t="shared" si="0"/>
        <v>258.62</v>
      </c>
      <c r="N36" s="276">
        <v>0</v>
      </c>
      <c r="O36" s="275">
        <f t="shared" si="1"/>
        <v>0</v>
      </c>
      <c r="P36" s="276">
        <v>0.16</v>
      </c>
      <c r="Q36" s="275">
        <f t="shared" si="2"/>
        <v>41.379200000000004</v>
      </c>
      <c r="R36" s="275">
        <f t="shared" si="3"/>
        <v>299.99920000000003</v>
      </c>
      <c r="S36" s="300">
        <f>INDEX('Glosario Partidas'!$M$8:$M$10,MATCH(K36,'Glosario Partidas'!$L$8:$L$10,0))</f>
        <v>1</v>
      </c>
      <c r="T36" s="275">
        <f t="shared" si="4"/>
        <v>299.99920000000003</v>
      </c>
      <c r="U36" s="275"/>
      <c r="V36" s="249" t="s">
        <v>12</v>
      </c>
    </row>
    <row r="37" spans="1:22" ht="15" customHeight="1" x14ac:dyDescent="0.2">
      <c r="A37" s="268"/>
      <c r="B37" s="268" t="s">
        <v>43</v>
      </c>
      <c r="C37" s="268" t="s">
        <v>560</v>
      </c>
      <c r="D37" s="269" t="s">
        <v>579</v>
      </c>
      <c r="E37" s="171" t="s">
        <v>229</v>
      </c>
      <c r="F37" s="269"/>
      <c r="G37" s="292"/>
      <c r="H37" s="272" t="s">
        <v>568</v>
      </c>
      <c r="I37" s="273" t="s">
        <v>410</v>
      </c>
      <c r="J37" s="302">
        <v>3</v>
      </c>
      <c r="K37" s="273" t="s">
        <v>269</v>
      </c>
      <c r="L37" s="274">
        <v>1215</v>
      </c>
      <c r="M37" s="275">
        <f t="shared" si="0"/>
        <v>3645</v>
      </c>
      <c r="N37" s="276">
        <v>0</v>
      </c>
      <c r="O37" s="275">
        <f t="shared" si="1"/>
        <v>0</v>
      </c>
      <c r="P37" s="276">
        <v>0.16</v>
      </c>
      <c r="Q37" s="275">
        <f t="shared" si="2"/>
        <v>583.20000000000005</v>
      </c>
      <c r="R37" s="275">
        <f t="shared" si="3"/>
        <v>4228.2</v>
      </c>
      <c r="S37" s="300">
        <f>INDEX('Glosario Partidas'!$M$8:$M$10,MATCH(K37,'Glosario Partidas'!$L$8:$L$10,0))</f>
        <v>1</v>
      </c>
      <c r="T37" s="275">
        <f t="shared" si="4"/>
        <v>4228.2</v>
      </c>
      <c r="U37" s="275"/>
      <c r="V37" s="249" t="s">
        <v>12</v>
      </c>
    </row>
    <row r="38" spans="1:22" ht="15" customHeight="1" x14ac:dyDescent="0.2">
      <c r="A38" s="268"/>
      <c r="B38" s="268" t="s">
        <v>43</v>
      </c>
      <c r="C38" s="268" t="s">
        <v>560</v>
      </c>
      <c r="D38" s="269" t="s">
        <v>580</v>
      </c>
      <c r="E38" s="171" t="s">
        <v>229</v>
      </c>
      <c r="F38" s="269"/>
      <c r="G38" s="292"/>
      <c r="H38" s="272" t="s">
        <v>568</v>
      </c>
      <c r="I38" s="273" t="s">
        <v>410</v>
      </c>
      <c r="J38" s="302">
        <v>3</v>
      </c>
      <c r="K38" s="273" t="s">
        <v>269</v>
      </c>
      <c r="L38" s="274">
        <v>3706.0333300000002</v>
      </c>
      <c r="M38" s="275">
        <f t="shared" si="0"/>
        <v>11118.099990000001</v>
      </c>
      <c r="N38" s="276">
        <v>0</v>
      </c>
      <c r="O38" s="275">
        <f t="shared" si="1"/>
        <v>0</v>
      </c>
      <c r="P38" s="276">
        <v>0.16</v>
      </c>
      <c r="Q38" s="275">
        <f t="shared" si="2"/>
        <v>1778.8959984000001</v>
      </c>
      <c r="R38" s="275">
        <f t="shared" si="3"/>
        <v>12896.9959884</v>
      </c>
      <c r="S38" s="300">
        <f>INDEX('Glosario Partidas'!$M$8:$M$10,MATCH(K38,'Glosario Partidas'!$L$8:$L$10,0))</f>
        <v>1</v>
      </c>
      <c r="T38" s="275">
        <f t="shared" si="4"/>
        <v>12896.9959884</v>
      </c>
      <c r="U38" s="275"/>
      <c r="V38" s="249" t="s">
        <v>12</v>
      </c>
    </row>
    <row r="39" spans="1:22" ht="15" customHeight="1" x14ac:dyDescent="0.2">
      <c r="A39" s="268"/>
      <c r="B39" s="268" t="s">
        <v>43</v>
      </c>
      <c r="C39" s="268" t="s">
        <v>560</v>
      </c>
      <c r="D39" s="269" t="s">
        <v>581</v>
      </c>
      <c r="E39" s="171" t="s">
        <v>229</v>
      </c>
      <c r="F39" s="269"/>
      <c r="G39" s="292"/>
      <c r="H39" s="272" t="s">
        <v>568</v>
      </c>
      <c r="I39" s="273" t="s">
        <v>410</v>
      </c>
      <c r="J39" s="302">
        <v>1</v>
      </c>
      <c r="K39" s="273" t="s">
        <v>269</v>
      </c>
      <c r="L39" s="274">
        <v>313.75</v>
      </c>
      <c r="M39" s="275">
        <f t="shared" si="0"/>
        <v>313.75</v>
      </c>
      <c r="N39" s="276">
        <v>0</v>
      </c>
      <c r="O39" s="275">
        <f t="shared" si="1"/>
        <v>0</v>
      </c>
      <c r="P39" s="276">
        <v>0.16</v>
      </c>
      <c r="Q39" s="275">
        <f t="shared" si="2"/>
        <v>50.2</v>
      </c>
      <c r="R39" s="275">
        <f t="shared" si="3"/>
        <v>363.95</v>
      </c>
      <c r="S39" s="300">
        <f>INDEX('Glosario Partidas'!$M$8:$M$10,MATCH(K39,'Glosario Partidas'!$L$8:$L$10,0))</f>
        <v>1</v>
      </c>
      <c r="T39" s="275">
        <f t="shared" si="4"/>
        <v>363.95</v>
      </c>
      <c r="U39" s="275"/>
      <c r="V39" s="249" t="s">
        <v>12</v>
      </c>
    </row>
    <row r="40" spans="1:22" ht="15" customHeight="1" x14ac:dyDescent="0.2">
      <c r="A40" s="268"/>
      <c r="B40" s="268" t="s">
        <v>43</v>
      </c>
      <c r="C40" s="268" t="s">
        <v>560</v>
      </c>
      <c r="D40" s="269" t="s">
        <v>582</v>
      </c>
      <c r="E40" s="171" t="s">
        <v>229</v>
      </c>
      <c r="F40" s="269"/>
      <c r="G40" s="292"/>
      <c r="H40" s="272" t="s">
        <v>568</v>
      </c>
      <c r="I40" s="273" t="s">
        <v>410</v>
      </c>
      <c r="J40" s="302">
        <v>2</v>
      </c>
      <c r="K40" s="273" t="s">
        <v>269</v>
      </c>
      <c r="L40" s="274">
        <v>113</v>
      </c>
      <c r="M40" s="275">
        <f t="shared" si="0"/>
        <v>226</v>
      </c>
      <c r="N40" s="276">
        <v>0</v>
      </c>
      <c r="O40" s="275">
        <f t="shared" si="1"/>
        <v>0</v>
      </c>
      <c r="P40" s="276">
        <v>0.16</v>
      </c>
      <c r="Q40" s="275">
        <f t="shared" si="2"/>
        <v>36.160000000000004</v>
      </c>
      <c r="R40" s="275">
        <f t="shared" si="3"/>
        <v>262.16000000000003</v>
      </c>
      <c r="S40" s="300">
        <f>INDEX('Glosario Partidas'!$M$8:$M$10,MATCH(K40,'Glosario Partidas'!$L$8:$L$10,0))</f>
        <v>1</v>
      </c>
      <c r="T40" s="275">
        <f t="shared" si="4"/>
        <v>262.16000000000003</v>
      </c>
      <c r="U40" s="275"/>
      <c r="V40" s="249" t="s">
        <v>12</v>
      </c>
    </row>
    <row r="41" spans="1:22" ht="15" customHeight="1" x14ac:dyDescent="0.2">
      <c r="A41" s="268"/>
      <c r="B41" s="268" t="s">
        <v>43</v>
      </c>
      <c r="C41" s="268" t="s">
        <v>560</v>
      </c>
      <c r="D41" s="269" t="s">
        <v>583</v>
      </c>
      <c r="E41" s="171" t="s">
        <v>229</v>
      </c>
      <c r="F41" s="269"/>
      <c r="G41" s="292"/>
      <c r="H41" s="272" t="s">
        <v>568</v>
      </c>
      <c r="I41" s="273" t="s">
        <v>410</v>
      </c>
      <c r="J41" s="302">
        <v>3</v>
      </c>
      <c r="K41" s="273" t="s">
        <v>269</v>
      </c>
      <c r="L41" s="274">
        <v>2585.3433300000002</v>
      </c>
      <c r="M41" s="275">
        <f t="shared" si="0"/>
        <v>7756.0299900000009</v>
      </c>
      <c r="N41" s="276">
        <v>0</v>
      </c>
      <c r="O41" s="275">
        <f t="shared" si="1"/>
        <v>0</v>
      </c>
      <c r="P41" s="276">
        <v>0.16</v>
      </c>
      <c r="Q41" s="275">
        <f t="shared" si="2"/>
        <v>1240.9647984000001</v>
      </c>
      <c r="R41" s="275">
        <f t="shared" si="3"/>
        <v>8996.9947884000012</v>
      </c>
      <c r="S41" s="300">
        <f>INDEX('Glosario Partidas'!$M$8:$M$10,MATCH(K41,'Glosario Partidas'!$L$8:$L$10,0))</f>
        <v>1</v>
      </c>
      <c r="T41" s="275">
        <f t="shared" si="4"/>
        <v>8996.9947884000012</v>
      </c>
      <c r="U41" s="275"/>
      <c r="V41" s="249" t="s">
        <v>12</v>
      </c>
    </row>
    <row r="42" spans="1:22" ht="15" customHeight="1" x14ac:dyDescent="0.2">
      <c r="A42" s="268"/>
      <c r="B42" s="268" t="s">
        <v>43</v>
      </c>
      <c r="C42" s="268" t="s">
        <v>560</v>
      </c>
      <c r="D42" s="269" t="s">
        <v>584</v>
      </c>
      <c r="E42" s="171" t="s">
        <v>229</v>
      </c>
      <c r="F42" s="269"/>
      <c r="G42" s="292"/>
      <c r="H42" s="272" t="s">
        <v>568</v>
      </c>
      <c r="I42" s="273" t="s">
        <v>410</v>
      </c>
      <c r="J42" s="302">
        <v>1</v>
      </c>
      <c r="K42" s="273" t="s">
        <v>269</v>
      </c>
      <c r="L42" s="274">
        <v>671.55</v>
      </c>
      <c r="M42" s="275">
        <f t="shared" si="0"/>
        <v>671.55</v>
      </c>
      <c r="N42" s="276">
        <v>0</v>
      </c>
      <c r="O42" s="275">
        <f t="shared" si="1"/>
        <v>0</v>
      </c>
      <c r="P42" s="276">
        <v>0.16</v>
      </c>
      <c r="Q42" s="275">
        <f t="shared" si="2"/>
        <v>107.44799999999999</v>
      </c>
      <c r="R42" s="275">
        <f t="shared" si="3"/>
        <v>778.99799999999993</v>
      </c>
      <c r="S42" s="300">
        <f>INDEX('Glosario Partidas'!$M$8:$M$10,MATCH(K42,'Glosario Partidas'!$L$8:$L$10,0))</f>
        <v>1</v>
      </c>
      <c r="T42" s="275">
        <f t="shared" si="4"/>
        <v>778.99799999999993</v>
      </c>
      <c r="U42" s="275"/>
      <c r="V42" s="249" t="s">
        <v>12</v>
      </c>
    </row>
    <row r="43" spans="1:22" ht="15" customHeight="1" x14ac:dyDescent="0.2">
      <c r="A43" s="268"/>
      <c r="B43" s="268" t="s">
        <v>43</v>
      </c>
      <c r="C43" s="268" t="s">
        <v>560</v>
      </c>
      <c r="D43" s="269" t="s">
        <v>585</v>
      </c>
      <c r="E43" s="171" t="s">
        <v>229</v>
      </c>
      <c r="F43" s="269"/>
      <c r="G43" s="292"/>
      <c r="H43" s="272" t="s">
        <v>568</v>
      </c>
      <c r="I43" s="273" t="s">
        <v>410</v>
      </c>
      <c r="J43" s="302">
        <v>2</v>
      </c>
      <c r="K43" s="273" t="s">
        <v>269</v>
      </c>
      <c r="L43" s="274">
        <v>74</v>
      </c>
      <c r="M43" s="275">
        <f t="shared" si="0"/>
        <v>148</v>
      </c>
      <c r="N43" s="276">
        <v>0</v>
      </c>
      <c r="O43" s="275">
        <f t="shared" si="1"/>
        <v>0</v>
      </c>
      <c r="P43" s="276">
        <v>0.16</v>
      </c>
      <c r="Q43" s="275">
        <f t="shared" si="2"/>
        <v>23.68</v>
      </c>
      <c r="R43" s="275">
        <f t="shared" si="3"/>
        <v>171.68</v>
      </c>
      <c r="S43" s="300">
        <f>INDEX('Glosario Partidas'!$M$8:$M$10,MATCH(K43,'Glosario Partidas'!$L$8:$L$10,0))</f>
        <v>1</v>
      </c>
      <c r="T43" s="275">
        <f t="shared" si="4"/>
        <v>171.68</v>
      </c>
      <c r="U43" s="275"/>
      <c r="V43" s="249" t="s">
        <v>12</v>
      </c>
    </row>
    <row r="44" spans="1:22" ht="15" customHeight="1" x14ac:dyDescent="0.2">
      <c r="A44" s="268"/>
      <c r="B44" s="268" t="s">
        <v>43</v>
      </c>
      <c r="C44" s="268" t="s">
        <v>560</v>
      </c>
      <c r="D44" s="269" t="s">
        <v>586</v>
      </c>
      <c r="E44" s="171" t="s">
        <v>229</v>
      </c>
      <c r="F44" s="269"/>
      <c r="G44" s="292"/>
      <c r="H44" s="272" t="s">
        <v>568</v>
      </c>
      <c r="I44" s="273" t="s">
        <v>410</v>
      </c>
      <c r="J44" s="302">
        <v>1</v>
      </c>
      <c r="K44" s="273" t="s">
        <v>269</v>
      </c>
      <c r="L44" s="274">
        <v>41</v>
      </c>
      <c r="M44" s="275">
        <f t="shared" si="0"/>
        <v>41</v>
      </c>
      <c r="N44" s="276">
        <v>0</v>
      </c>
      <c r="O44" s="275">
        <f t="shared" si="1"/>
        <v>0</v>
      </c>
      <c r="P44" s="276">
        <v>0.16</v>
      </c>
      <c r="Q44" s="275">
        <f t="shared" si="2"/>
        <v>6.5600000000000005</v>
      </c>
      <c r="R44" s="275">
        <f t="shared" si="3"/>
        <v>47.56</v>
      </c>
      <c r="S44" s="300">
        <f>INDEX('Glosario Partidas'!$M$8:$M$10,MATCH(K44,'Glosario Partidas'!$L$8:$L$10,0))</f>
        <v>1</v>
      </c>
      <c r="T44" s="275">
        <f t="shared" si="4"/>
        <v>47.56</v>
      </c>
      <c r="U44" s="275"/>
      <c r="V44" s="249" t="s">
        <v>12</v>
      </c>
    </row>
    <row r="45" spans="1:22" ht="15" customHeight="1" x14ac:dyDescent="0.2">
      <c r="A45" s="268"/>
      <c r="B45" s="268" t="s">
        <v>43</v>
      </c>
      <c r="C45" s="268" t="s">
        <v>560</v>
      </c>
      <c r="D45" s="269" t="s">
        <v>587</v>
      </c>
      <c r="E45" s="171" t="s">
        <v>229</v>
      </c>
      <c r="F45" s="269"/>
      <c r="G45" s="292"/>
      <c r="H45" s="272" t="s">
        <v>568</v>
      </c>
      <c r="I45" s="273" t="s">
        <v>410</v>
      </c>
      <c r="J45" s="302">
        <v>5</v>
      </c>
      <c r="K45" s="273" t="s">
        <v>269</v>
      </c>
      <c r="L45" s="274">
        <v>2757.7579999999998</v>
      </c>
      <c r="M45" s="275">
        <f t="shared" si="0"/>
        <v>13788.789999999999</v>
      </c>
      <c r="N45" s="293"/>
      <c r="O45" s="275">
        <f t="shared" si="1"/>
        <v>0</v>
      </c>
      <c r="P45" s="293"/>
      <c r="Q45" s="275">
        <f t="shared" si="2"/>
        <v>0</v>
      </c>
      <c r="R45" s="275">
        <f t="shared" si="3"/>
        <v>13788.789999999999</v>
      </c>
      <c r="S45" s="300">
        <f>INDEX('Glosario Partidas'!$M$8:$M$10,MATCH(K45,'Glosario Partidas'!$L$8:$L$10,0))</f>
        <v>1</v>
      </c>
      <c r="T45" s="275">
        <f t="shared" si="4"/>
        <v>13788.789999999999</v>
      </c>
      <c r="U45" s="275"/>
      <c r="V45" s="249" t="s">
        <v>12</v>
      </c>
    </row>
    <row r="46" spans="1:22" ht="15" customHeight="1" x14ac:dyDescent="0.2">
      <c r="A46" s="268"/>
      <c r="B46" s="268" t="s">
        <v>43</v>
      </c>
      <c r="C46" s="268" t="s">
        <v>560</v>
      </c>
      <c r="D46" s="269" t="s">
        <v>588</v>
      </c>
      <c r="E46" s="171" t="s">
        <v>229</v>
      </c>
      <c r="F46" s="269"/>
      <c r="G46" s="292"/>
      <c r="H46" s="272" t="s">
        <v>568</v>
      </c>
      <c r="I46" s="273" t="s">
        <v>410</v>
      </c>
      <c r="J46" s="302">
        <v>1</v>
      </c>
      <c r="K46" s="273" t="s">
        <v>269</v>
      </c>
      <c r="L46" s="274">
        <v>2326.7199999999998</v>
      </c>
      <c r="M46" s="275">
        <f t="shared" si="0"/>
        <v>2326.7199999999998</v>
      </c>
      <c r="N46" s="276">
        <v>0</v>
      </c>
      <c r="O46" s="275">
        <f t="shared" si="1"/>
        <v>0</v>
      </c>
      <c r="P46" s="276">
        <v>0.16</v>
      </c>
      <c r="Q46" s="275">
        <f t="shared" si="2"/>
        <v>372.27519999999998</v>
      </c>
      <c r="R46" s="275">
        <f t="shared" si="3"/>
        <v>2698.9951999999998</v>
      </c>
      <c r="S46" s="300">
        <f>INDEX('Glosario Partidas'!$M$8:$M$10,MATCH(K46,'Glosario Partidas'!$L$8:$L$10,0))</f>
        <v>1</v>
      </c>
      <c r="T46" s="275">
        <f t="shared" si="4"/>
        <v>2698.9951999999998</v>
      </c>
      <c r="U46" s="275"/>
      <c r="V46" s="249" t="s">
        <v>12</v>
      </c>
    </row>
    <row r="47" spans="1:22" ht="15" customHeight="1" x14ac:dyDescent="0.2">
      <c r="A47" s="268"/>
      <c r="B47" s="268" t="s">
        <v>43</v>
      </c>
      <c r="C47" s="268" t="s">
        <v>560</v>
      </c>
      <c r="D47" s="269" t="s">
        <v>589</v>
      </c>
      <c r="E47" s="171" t="s">
        <v>229</v>
      </c>
      <c r="F47" s="269"/>
      <c r="G47" s="292"/>
      <c r="H47" s="272" t="s">
        <v>568</v>
      </c>
      <c r="I47" s="273" t="s">
        <v>410</v>
      </c>
      <c r="J47" s="302">
        <v>1</v>
      </c>
      <c r="K47" s="273" t="s">
        <v>269</v>
      </c>
      <c r="L47" s="274">
        <v>731.9</v>
      </c>
      <c r="M47" s="275">
        <f t="shared" si="0"/>
        <v>731.9</v>
      </c>
      <c r="N47" s="276">
        <v>0</v>
      </c>
      <c r="O47" s="275">
        <f t="shared" si="1"/>
        <v>0</v>
      </c>
      <c r="P47" s="276">
        <v>0.16</v>
      </c>
      <c r="Q47" s="275">
        <f t="shared" si="2"/>
        <v>117.104</v>
      </c>
      <c r="R47" s="275">
        <f t="shared" si="3"/>
        <v>849.00400000000002</v>
      </c>
      <c r="S47" s="300">
        <f>INDEX('Glosario Partidas'!$M$8:$M$10,MATCH(K47,'Glosario Partidas'!$L$8:$L$10,0))</f>
        <v>1</v>
      </c>
      <c r="T47" s="275">
        <f t="shared" si="4"/>
        <v>849.00400000000002</v>
      </c>
      <c r="U47" s="275"/>
      <c r="V47" s="249" t="s">
        <v>12</v>
      </c>
    </row>
    <row r="48" spans="1:22" ht="15" customHeight="1" x14ac:dyDescent="0.2">
      <c r="A48" s="268"/>
      <c r="B48" s="268" t="s">
        <v>43</v>
      </c>
      <c r="C48" s="268" t="s">
        <v>560</v>
      </c>
      <c r="D48" s="269" t="s">
        <v>590</v>
      </c>
      <c r="E48" s="171" t="s">
        <v>229</v>
      </c>
      <c r="F48" s="269"/>
      <c r="G48" s="292"/>
      <c r="H48" s="272" t="s">
        <v>568</v>
      </c>
      <c r="I48" s="273" t="s">
        <v>410</v>
      </c>
      <c r="J48" s="302">
        <v>1</v>
      </c>
      <c r="K48" s="273" t="s">
        <v>269</v>
      </c>
      <c r="L48" s="274">
        <v>1378.45</v>
      </c>
      <c r="M48" s="275">
        <f t="shared" si="0"/>
        <v>1378.45</v>
      </c>
      <c r="N48" s="276">
        <v>0</v>
      </c>
      <c r="O48" s="275">
        <f t="shared" si="1"/>
        <v>0</v>
      </c>
      <c r="P48" s="276">
        <v>0.16</v>
      </c>
      <c r="Q48" s="275">
        <f t="shared" si="2"/>
        <v>220.55200000000002</v>
      </c>
      <c r="R48" s="275">
        <f t="shared" si="3"/>
        <v>1599.002</v>
      </c>
      <c r="S48" s="300">
        <f>INDEX('Glosario Partidas'!$M$8:$M$10,MATCH(K48,'Glosario Partidas'!$L$8:$L$10,0))</f>
        <v>1</v>
      </c>
      <c r="T48" s="275">
        <f t="shared" si="4"/>
        <v>1599.002</v>
      </c>
      <c r="U48" s="275"/>
      <c r="V48" s="249" t="s">
        <v>12</v>
      </c>
    </row>
    <row r="49" spans="1:22" ht="15" customHeight="1" x14ac:dyDescent="0.2">
      <c r="A49" s="268"/>
      <c r="B49" s="280" t="s">
        <v>185</v>
      </c>
      <c r="C49" s="253"/>
      <c r="D49" s="294"/>
      <c r="E49" s="295"/>
      <c r="F49" s="296"/>
      <c r="G49" s="295"/>
      <c r="H49" s="297"/>
      <c r="I49" s="132"/>
      <c r="J49" s="297"/>
      <c r="K49" s="132"/>
      <c r="L49" s="286"/>
      <c r="M49" s="286">
        <f>SUM(M3:M48)</f>
        <v>113630.47995999998</v>
      </c>
      <c r="N49" s="298"/>
      <c r="O49" s="286"/>
      <c r="P49" s="298"/>
      <c r="Q49" s="286"/>
      <c r="R49" s="286">
        <f>SUM(R3:R48)</f>
        <v>127398.94395359998</v>
      </c>
      <c r="S49" s="299"/>
      <c r="T49" s="286">
        <f>SUM(T3:T48)</f>
        <v>127398.94395359998</v>
      </c>
      <c r="U49" s="286"/>
      <c r="V49" s="253"/>
    </row>
    <row r="51" spans="1:22" ht="19.5" customHeight="1" x14ac:dyDescent="0.2"/>
  </sheetData>
  <hyperlinks>
    <hyperlink ref="A2" location="'BUY OUT'!A1" display="⬅ Resumen PU" xr:uid="{00000000-0004-0000-1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7"/>
  <sheetViews>
    <sheetView zoomScaleNormal="100" workbookViewId="0">
      <selection activeCell="T5" sqref="T5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5" customHeight="1" x14ac:dyDescent="0.2">
      <c r="A1" s="258" t="s">
        <v>591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43</v>
      </c>
      <c r="C3" s="268" t="s">
        <v>327</v>
      </c>
      <c r="D3" s="269" t="s">
        <v>327</v>
      </c>
      <c r="E3" s="171" t="s">
        <v>220</v>
      </c>
      <c r="F3" s="269"/>
      <c r="G3" s="292"/>
      <c r="H3" s="272" t="s">
        <v>592</v>
      </c>
      <c r="I3" s="273" t="s">
        <v>328</v>
      </c>
      <c r="J3" s="302">
        <v>12</v>
      </c>
      <c r="K3" s="273" t="s">
        <v>269</v>
      </c>
      <c r="L3" s="274">
        <v>8000</v>
      </c>
      <c r="M3" s="275">
        <f>J3*L3</f>
        <v>96000</v>
      </c>
      <c r="N3" s="276">
        <v>0</v>
      </c>
      <c r="O3" s="275">
        <f>M3*N3</f>
        <v>0</v>
      </c>
      <c r="P3" s="276">
        <v>0.16</v>
      </c>
      <c r="Q3" s="275">
        <f>(M3+O3)*P3</f>
        <v>15360</v>
      </c>
      <c r="R3" s="275">
        <f>M3+O3+Q3</f>
        <v>111360</v>
      </c>
      <c r="S3" s="300">
        <f>INDEX('Glosario Partidas'!$M$8:$M$10,MATCH(K3,'Glosario Partidas'!$L$8:$L$10,0))</f>
        <v>1</v>
      </c>
      <c r="T3" s="275">
        <f>R3*S3</f>
        <v>111360</v>
      </c>
      <c r="U3" s="275"/>
      <c r="V3" s="249" t="s">
        <v>12</v>
      </c>
    </row>
    <row r="4" spans="1:22" ht="15" customHeight="1" x14ac:dyDescent="0.2">
      <c r="A4" s="268"/>
      <c r="B4" s="268" t="s">
        <v>43</v>
      </c>
      <c r="C4" s="268" t="s">
        <v>327</v>
      </c>
      <c r="D4" s="269" t="s">
        <v>327</v>
      </c>
      <c r="E4" s="171" t="s">
        <v>229</v>
      </c>
      <c r="F4" s="269"/>
      <c r="G4" s="292"/>
      <c r="H4" s="272" t="s">
        <v>592</v>
      </c>
      <c r="I4" s="273" t="s">
        <v>328</v>
      </c>
      <c r="J4" s="302">
        <v>12</v>
      </c>
      <c r="K4" s="273" t="s">
        <v>269</v>
      </c>
      <c r="L4" s="274">
        <v>8000</v>
      </c>
      <c r="M4" s="275">
        <f>J4*L4</f>
        <v>96000</v>
      </c>
      <c r="N4" s="276">
        <v>0</v>
      </c>
      <c r="O4" s="275">
        <f>M4*N4</f>
        <v>0</v>
      </c>
      <c r="P4" s="276">
        <v>0.16</v>
      </c>
      <c r="Q4" s="275">
        <f>(M4+O4)*P4</f>
        <v>15360</v>
      </c>
      <c r="R4" s="275">
        <f>M4+O4+Q4</f>
        <v>111360</v>
      </c>
      <c r="S4" s="300">
        <f>INDEX('Glosario Partidas'!$M$8:$M$10,MATCH(K4,'Glosario Partidas'!$L$8:$L$10,0))</f>
        <v>1</v>
      </c>
      <c r="T4" s="275">
        <f>R4*S4</f>
        <v>111360</v>
      </c>
      <c r="U4" s="275"/>
      <c r="V4" s="249" t="s">
        <v>12</v>
      </c>
    </row>
    <row r="5" spans="1:22" ht="15" customHeight="1" x14ac:dyDescent="0.2">
      <c r="A5" s="268"/>
      <c r="B5" s="280" t="s">
        <v>185</v>
      </c>
      <c r="C5" s="253"/>
      <c r="D5" s="294"/>
      <c r="E5" s="295"/>
      <c r="F5" s="294"/>
      <c r="G5" s="295"/>
      <c r="H5" s="297"/>
      <c r="I5" s="132"/>
      <c r="J5" s="297"/>
      <c r="K5" s="132"/>
      <c r="L5" s="286"/>
      <c r="M5" s="286">
        <f>SUM(M3:M4)</f>
        <v>192000</v>
      </c>
      <c r="N5" s="298"/>
      <c r="O5" s="286"/>
      <c r="P5" s="298"/>
      <c r="Q5" s="286"/>
      <c r="R5" s="286">
        <f>SUM(R3:R4)</f>
        <v>222720</v>
      </c>
      <c r="S5" s="299"/>
      <c r="T5" s="286">
        <f>SUM(T3:T4)</f>
        <v>222720</v>
      </c>
      <c r="U5" s="286"/>
      <c r="V5" s="253"/>
    </row>
    <row r="7" spans="1:22" ht="19.5" customHeight="1" x14ac:dyDescent="0.2"/>
  </sheetData>
  <hyperlinks>
    <hyperlink ref="A2" location="'BUY OUT'!A1" display="⬅ Resumen PU" xr:uid="{00000000-0004-0000-1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9"/>
  <sheetViews>
    <sheetView zoomScale="179" zoomScaleNormal="179" workbookViewId="0">
      <selection activeCell="D4" sqref="D4"/>
    </sheetView>
  </sheetViews>
  <sheetFormatPr baseColWidth="10" defaultColWidth="8.6640625" defaultRowHeight="15" customHeight="1" x14ac:dyDescent="0.2"/>
  <cols>
    <col min="1" max="2" width="13" customWidth="1"/>
    <col min="3" max="4" width="17.83203125" customWidth="1"/>
    <col min="5" max="22" width="13" customWidth="1"/>
  </cols>
  <sheetData>
    <row r="1" spans="1:22" ht="15" customHeight="1" x14ac:dyDescent="0.2">
      <c r="A1" s="258" t="s">
        <v>591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43</v>
      </c>
      <c r="C3" s="268" t="s">
        <v>322</v>
      </c>
      <c r="D3" s="269" t="s">
        <v>593</v>
      </c>
      <c r="E3" s="171" t="s">
        <v>220</v>
      </c>
      <c r="F3" s="269"/>
      <c r="G3" s="292"/>
      <c r="H3" s="272" t="s">
        <v>592</v>
      </c>
      <c r="I3" s="273" t="s">
        <v>328</v>
      </c>
      <c r="J3" s="302">
        <v>11</v>
      </c>
      <c r="K3" s="273" t="s">
        <v>269</v>
      </c>
      <c r="L3" s="274">
        <v>14454.5454545455</v>
      </c>
      <c r="M3" s="275">
        <f>J3*L3</f>
        <v>159000.00000000049</v>
      </c>
      <c r="N3" s="276">
        <v>0</v>
      </c>
      <c r="O3" s="275">
        <f>M3*N3</f>
        <v>0</v>
      </c>
      <c r="P3" s="276">
        <v>0.16</v>
      </c>
      <c r="Q3" s="275">
        <f>(M3+O3)*P3</f>
        <v>25440.00000000008</v>
      </c>
      <c r="R3" s="275">
        <f>M3+O3+Q3</f>
        <v>184440.00000000058</v>
      </c>
      <c r="S3" s="300">
        <f>INDEX('Glosario Partidas'!$M$8:$M$10,MATCH(K3,'Glosario Partidas'!$L$8:$L$10,0))</f>
        <v>1</v>
      </c>
      <c r="T3" s="275">
        <f>R3*S3</f>
        <v>184440.00000000058</v>
      </c>
      <c r="U3" s="275"/>
      <c r="V3" s="249" t="s">
        <v>12</v>
      </c>
    </row>
    <row r="4" spans="1:22" ht="15" customHeight="1" x14ac:dyDescent="0.2">
      <c r="A4" s="268"/>
      <c r="B4" s="268" t="s">
        <v>43</v>
      </c>
      <c r="C4" s="268" t="s">
        <v>322</v>
      </c>
      <c r="D4" s="269" t="s">
        <v>594</v>
      </c>
      <c r="E4" s="171" t="s">
        <v>220</v>
      </c>
      <c r="F4" s="269"/>
      <c r="G4" s="292"/>
      <c r="H4" s="272" t="s">
        <v>592</v>
      </c>
      <c r="I4" s="273" t="s">
        <v>328</v>
      </c>
      <c r="J4" s="302">
        <v>11</v>
      </c>
      <c r="K4" s="273" t="s">
        <v>269</v>
      </c>
      <c r="L4" s="274">
        <v>12454.5454545455</v>
      </c>
      <c r="M4" s="275">
        <f>J4*L4</f>
        <v>137000.00000000049</v>
      </c>
      <c r="N4" s="276">
        <v>0</v>
      </c>
      <c r="O4" s="275">
        <f>M4*N4</f>
        <v>0</v>
      </c>
      <c r="P4" s="276">
        <v>0.16</v>
      </c>
      <c r="Q4" s="275">
        <f>(M4+O4)*P4</f>
        <v>21920.00000000008</v>
      </c>
      <c r="R4" s="275">
        <f>M4+O4+Q4</f>
        <v>158920.00000000058</v>
      </c>
      <c r="S4" s="300">
        <f>INDEX('Glosario Partidas'!$M$8:$M$10,MATCH(K4,'Glosario Partidas'!$L$8:$L$10,0))</f>
        <v>1</v>
      </c>
      <c r="T4" s="275">
        <f>R4*S4</f>
        <v>158920.00000000058</v>
      </c>
      <c r="U4" s="275"/>
      <c r="V4" s="249" t="s">
        <v>12</v>
      </c>
    </row>
    <row r="5" spans="1:22" ht="15" customHeight="1" x14ac:dyDescent="0.2">
      <c r="A5" s="268"/>
      <c r="B5" s="268" t="s">
        <v>43</v>
      </c>
      <c r="C5" s="268" t="s">
        <v>322</v>
      </c>
      <c r="D5" s="269" t="s">
        <v>593</v>
      </c>
      <c r="E5" s="171" t="s">
        <v>229</v>
      </c>
      <c r="F5" s="269"/>
      <c r="G5" s="292"/>
      <c r="H5" s="272" t="s">
        <v>592</v>
      </c>
      <c r="I5" s="273" t="s">
        <v>328</v>
      </c>
      <c r="J5" s="302">
        <v>11</v>
      </c>
      <c r="K5" s="273" t="s">
        <v>269</v>
      </c>
      <c r="L5" s="274">
        <v>14454.5454545455</v>
      </c>
      <c r="M5" s="275">
        <f>J5*L5</f>
        <v>159000.00000000049</v>
      </c>
      <c r="N5" s="276">
        <v>0</v>
      </c>
      <c r="O5" s="275">
        <f>M5*N5</f>
        <v>0</v>
      </c>
      <c r="P5" s="276">
        <v>0.16</v>
      </c>
      <c r="Q5" s="275">
        <f>(M5+O5)*P5</f>
        <v>25440.00000000008</v>
      </c>
      <c r="R5" s="275">
        <f>M5+O5+Q5</f>
        <v>184440.00000000058</v>
      </c>
      <c r="S5" s="300">
        <f>INDEX('Glosario Partidas'!$M$8:$M$10,MATCH(K5,'Glosario Partidas'!$L$8:$L$10,0))</f>
        <v>1</v>
      </c>
      <c r="T5" s="275">
        <f>R5*S5</f>
        <v>184440.00000000058</v>
      </c>
      <c r="U5" s="275"/>
      <c r="V5" s="249" t="s">
        <v>12</v>
      </c>
    </row>
    <row r="6" spans="1:22" ht="15" customHeight="1" x14ac:dyDescent="0.2">
      <c r="A6" s="268"/>
      <c r="B6" s="268" t="s">
        <v>43</v>
      </c>
      <c r="C6" s="268" t="s">
        <v>322</v>
      </c>
      <c r="D6" s="269" t="s">
        <v>594</v>
      </c>
      <c r="E6" s="171" t="s">
        <v>229</v>
      </c>
      <c r="F6" s="269"/>
      <c r="G6" s="292"/>
      <c r="H6" s="272" t="s">
        <v>592</v>
      </c>
      <c r="I6" s="273" t="s">
        <v>328</v>
      </c>
      <c r="J6" s="302">
        <v>11</v>
      </c>
      <c r="K6" s="273" t="s">
        <v>269</v>
      </c>
      <c r="L6" s="274">
        <v>12454.5454545455</v>
      </c>
      <c r="M6" s="275">
        <f>J6*L6</f>
        <v>137000.00000000049</v>
      </c>
      <c r="N6" s="276">
        <v>0</v>
      </c>
      <c r="O6" s="275">
        <f>M6*N6</f>
        <v>0</v>
      </c>
      <c r="P6" s="276">
        <v>0.16</v>
      </c>
      <c r="Q6" s="275">
        <f>(M6+O6)*P6</f>
        <v>21920.00000000008</v>
      </c>
      <c r="R6" s="275">
        <f>M6+O6+Q6</f>
        <v>158920.00000000058</v>
      </c>
      <c r="S6" s="300">
        <f>INDEX('Glosario Partidas'!$M$8:$M$10,MATCH(K6,'Glosario Partidas'!$L$8:$L$10,0))</f>
        <v>1</v>
      </c>
      <c r="T6" s="275">
        <f>R6*S6</f>
        <v>158920.00000000058</v>
      </c>
      <c r="U6" s="275"/>
      <c r="V6" s="249" t="s">
        <v>12</v>
      </c>
    </row>
    <row r="7" spans="1:22" ht="15" customHeight="1" x14ac:dyDescent="0.2">
      <c r="A7" s="268"/>
      <c r="B7" s="280" t="s">
        <v>185</v>
      </c>
      <c r="C7" s="253"/>
      <c r="D7" s="294"/>
      <c r="E7" s="295"/>
      <c r="F7" s="294"/>
      <c r="G7" s="295"/>
      <c r="H7" s="297"/>
      <c r="I7" s="132"/>
      <c r="J7" s="297"/>
      <c r="K7" s="132"/>
      <c r="L7" s="286"/>
      <c r="M7" s="286">
        <f>SUM(M3:M6)</f>
        <v>592000.00000000198</v>
      </c>
      <c r="N7" s="298"/>
      <c r="O7" s="286"/>
      <c r="P7" s="298"/>
      <c r="Q7" s="286"/>
      <c r="R7" s="286">
        <f>SUM(R3:R6)</f>
        <v>686720.00000000233</v>
      </c>
      <c r="S7" s="299"/>
      <c r="T7" s="286">
        <f>SUM(T3:T6)</f>
        <v>686720.00000000233</v>
      </c>
      <c r="U7" s="286"/>
      <c r="V7" s="253"/>
    </row>
    <row r="9" spans="1:22" ht="19.5" customHeight="1" x14ac:dyDescent="0.2"/>
  </sheetData>
  <hyperlinks>
    <hyperlink ref="A2" location="'BUY OUT'!A1" display="⬅ Resumen PU" xr:uid="{00000000-0004-0000-1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AC8"/>
  <sheetViews>
    <sheetView topLeftCell="G1" zoomScale="166" zoomScaleNormal="166" workbookViewId="0">
      <selection activeCell="H3" sqref="H3"/>
    </sheetView>
  </sheetViews>
  <sheetFormatPr baseColWidth="10" defaultColWidth="8.6640625" defaultRowHeight="15" customHeight="1" x14ac:dyDescent="0.2"/>
  <cols>
    <col min="3" max="3" width="14.5" customWidth="1"/>
    <col min="8" max="8" width="33.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197</v>
      </c>
      <c r="C2" s="211" t="s">
        <v>46</v>
      </c>
      <c r="D2" s="78" t="s">
        <v>319</v>
      </c>
      <c r="E2" s="171" t="s">
        <v>220</v>
      </c>
      <c r="F2" s="78" t="s">
        <v>313</v>
      </c>
      <c r="G2" s="171" t="s">
        <v>313</v>
      </c>
      <c r="H2" s="255" t="str">
        <f>'Despalme PU'!H3</f>
        <v>URARQ</v>
      </c>
      <c r="I2" s="225" t="s">
        <v>314</v>
      </c>
      <c r="J2" s="250">
        <v>1</v>
      </c>
      <c r="K2" s="225" t="s">
        <v>269</v>
      </c>
      <c r="L2" s="142">
        <f>SUMIFS('Despalme PU'!M:M,'Despalme PU'!E:E,E2)</f>
        <v>3696</v>
      </c>
      <c r="M2" s="227">
        <f t="shared" ref="M2:M7" si="0">J2*L2</f>
        <v>3696</v>
      </c>
      <c r="N2" s="251">
        <v>0</v>
      </c>
      <c r="O2" s="227">
        <f t="shared" ref="O2:O7" si="1">M2*N2</f>
        <v>0</v>
      </c>
      <c r="P2" s="251">
        <v>0.16</v>
      </c>
      <c r="Q2" s="227">
        <f t="shared" ref="Q2:Q7" si="2">(M2+O2)*P2</f>
        <v>591.36</v>
      </c>
      <c r="R2" s="227">
        <f t="shared" ref="R2:R7" si="3">M2+O2+Q2</f>
        <v>4287.3599999999997</v>
      </c>
      <c r="S2" s="229">
        <f>INDEX('Glosario Partidas'!$M$8:$M$10,MATCH(K2,'Glosario Partidas'!$L$8:$L$10,0))</f>
        <v>1</v>
      </c>
      <c r="T2" s="227">
        <f t="shared" ref="T2:T7" si="4">R2*S2</f>
        <v>4287.3599999999997</v>
      </c>
      <c r="U2" s="230" t="s">
        <v>315</v>
      </c>
      <c r="V2" s="249" t="s">
        <v>12</v>
      </c>
      <c r="W2" s="249" t="s">
        <v>493</v>
      </c>
      <c r="X2" s="249"/>
    </row>
    <row r="3" spans="1:29" ht="15" customHeight="1" x14ac:dyDescent="0.2">
      <c r="A3" s="211"/>
      <c r="B3" s="211" t="s">
        <v>197</v>
      </c>
      <c r="C3" s="211" t="s">
        <v>46</v>
      </c>
      <c r="D3" s="78" t="s">
        <v>320</v>
      </c>
      <c r="E3" s="171" t="s">
        <v>220</v>
      </c>
      <c r="F3" s="78" t="s">
        <v>313</v>
      </c>
      <c r="G3" s="171" t="s">
        <v>313</v>
      </c>
      <c r="H3" s="255" t="str">
        <f>'Malla PU'!H3</f>
        <v>ABIKAR PROYECTO Y CONSTRUCCION S.A DE C.V</v>
      </c>
      <c r="I3" s="225" t="s">
        <v>314</v>
      </c>
      <c r="J3" s="250">
        <v>1</v>
      </c>
      <c r="K3" s="225" t="s">
        <v>269</v>
      </c>
      <c r="L3" s="142">
        <f>SUMIFS('Malla PU'!M:M,'Malla PU'!E:E,E3)</f>
        <v>206867.55</v>
      </c>
      <c r="M3" s="227">
        <f t="shared" si="0"/>
        <v>206867.55</v>
      </c>
      <c r="N3" s="251">
        <v>0</v>
      </c>
      <c r="O3" s="227">
        <f t="shared" si="1"/>
        <v>0</v>
      </c>
      <c r="P3" s="251">
        <v>0.16</v>
      </c>
      <c r="Q3" s="227">
        <f t="shared" si="2"/>
        <v>33098.807999999997</v>
      </c>
      <c r="R3" s="227">
        <f t="shared" si="3"/>
        <v>239966.35799999998</v>
      </c>
      <c r="S3" s="229">
        <f>INDEX('Glosario Partidas'!$M$8:$M$10,MATCH(K3,'Glosario Partidas'!$L$8:$L$10,0))</f>
        <v>1</v>
      </c>
      <c r="T3" s="227">
        <f t="shared" si="4"/>
        <v>239966.35799999998</v>
      </c>
      <c r="U3" s="230" t="s">
        <v>315</v>
      </c>
      <c r="V3" s="249" t="s">
        <v>12</v>
      </c>
      <c r="W3" s="249" t="s">
        <v>493</v>
      </c>
      <c r="X3" s="249"/>
    </row>
    <row r="4" spans="1:29" ht="15" customHeight="1" x14ac:dyDescent="0.2">
      <c r="A4" s="211"/>
      <c r="B4" s="211" t="s">
        <v>197</v>
      </c>
      <c r="C4" s="211" t="s">
        <v>47</v>
      </c>
      <c r="D4" s="78" t="s">
        <v>313</v>
      </c>
      <c r="E4" s="171" t="s">
        <v>220</v>
      </c>
      <c r="F4" s="78" t="s">
        <v>313</v>
      </c>
      <c r="G4" s="171" t="s">
        <v>313</v>
      </c>
      <c r="H4" s="255" t="s">
        <v>595</v>
      </c>
      <c r="I4" s="225" t="s">
        <v>328</v>
      </c>
      <c r="J4" s="250">
        <v>1</v>
      </c>
      <c r="K4" s="225" t="s">
        <v>269</v>
      </c>
      <c r="L4" s="142">
        <f>SUMIFS('Plataformas PU'!$R:$R,'Plataformas PU'!$E:$E,Preliminares!E4)</f>
        <v>600054.5</v>
      </c>
      <c r="M4" s="227">
        <f t="shared" si="0"/>
        <v>600054.5</v>
      </c>
      <c r="N4" s="251">
        <v>0</v>
      </c>
      <c r="O4" s="227">
        <f t="shared" si="1"/>
        <v>0</v>
      </c>
      <c r="P4" s="251">
        <v>0</v>
      </c>
      <c r="Q4" s="227">
        <f t="shared" si="2"/>
        <v>0</v>
      </c>
      <c r="R4" s="227">
        <f t="shared" si="3"/>
        <v>600054.5</v>
      </c>
      <c r="S4" s="229">
        <f>INDEX('Glosario Partidas'!$M$8:$M$10,MATCH(K4,'Glosario Partidas'!$L$8:$L$10,0))</f>
        <v>1</v>
      </c>
      <c r="T4" s="227">
        <f t="shared" si="4"/>
        <v>600054.5</v>
      </c>
      <c r="U4" s="230" t="s">
        <v>315</v>
      </c>
      <c r="V4" s="249" t="s">
        <v>12</v>
      </c>
      <c r="W4" s="249" t="s">
        <v>493</v>
      </c>
      <c r="X4" s="249"/>
    </row>
    <row r="5" spans="1:29" ht="15" customHeight="1" x14ac:dyDescent="0.2">
      <c r="A5" s="211"/>
      <c r="B5" s="211" t="s">
        <v>197</v>
      </c>
      <c r="C5" s="211" t="s">
        <v>46</v>
      </c>
      <c r="D5" s="78" t="s">
        <v>319</v>
      </c>
      <c r="E5" s="171" t="s">
        <v>229</v>
      </c>
      <c r="F5" s="78" t="s">
        <v>313</v>
      </c>
      <c r="G5" s="171" t="s">
        <v>313</v>
      </c>
      <c r="H5" s="255" t="str">
        <f>'Despalme PU'!H4</f>
        <v>URARQ</v>
      </c>
      <c r="I5" s="225" t="s">
        <v>314</v>
      </c>
      <c r="J5" s="250">
        <v>1</v>
      </c>
      <c r="K5" s="225" t="s">
        <v>269</v>
      </c>
      <c r="L5" s="142">
        <f>SUMIFS('Despalme PU'!M:M,'Despalme PU'!E:E,E5)</f>
        <v>3696</v>
      </c>
      <c r="M5" s="227">
        <f t="shared" si="0"/>
        <v>3696</v>
      </c>
      <c r="N5" s="251">
        <v>0</v>
      </c>
      <c r="O5" s="227">
        <f t="shared" si="1"/>
        <v>0</v>
      </c>
      <c r="P5" s="251">
        <v>0.16</v>
      </c>
      <c r="Q5" s="227">
        <f t="shared" si="2"/>
        <v>591.36</v>
      </c>
      <c r="R5" s="227">
        <f t="shared" si="3"/>
        <v>4287.3599999999997</v>
      </c>
      <c r="S5" s="229">
        <f>INDEX('Glosario Partidas'!$M$8:$M$10,MATCH(K5,'Glosario Partidas'!$L$8:$L$10,0))</f>
        <v>1</v>
      </c>
      <c r="T5" s="227">
        <f t="shared" si="4"/>
        <v>4287.3599999999997</v>
      </c>
      <c r="U5" s="230" t="s">
        <v>315</v>
      </c>
      <c r="V5" s="249" t="s">
        <v>12</v>
      </c>
      <c r="W5" s="249" t="s">
        <v>493</v>
      </c>
      <c r="X5" s="249"/>
    </row>
    <row r="6" spans="1:29" ht="15" customHeight="1" x14ac:dyDescent="0.2">
      <c r="A6" s="211"/>
      <c r="B6" s="211" t="s">
        <v>197</v>
      </c>
      <c r="C6" s="211" t="s">
        <v>46</v>
      </c>
      <c r="D6" s="78" t="s">
        <v>320</v>
      </c>
      <c r="E6" s="171" t="s">
        <v>229</v>
      </c>
      <c r="F6" s="78" t="s">
        <v>313</v>
      </c>
      <c r="G6" s="171" t="s">
        <v>313</v>
      </c>
      <c r="H6" s="255" t="str">
        <f>'Malla PU'!H5</f>
        <v>ABIKAR PROYECTO Y CONSTRUCCION S.A DE C.V</v>
      </c>
      <c r="I6" s="225" t="s">
        <v>314</v>
      </c>
      <c r="J6" s="250">
        <v>1</v>
      </c>
      <c r="K6" s="225" t="s">
        <v>269</v>
      </c>
      <c r="L6" s="142">
        <f>SUMIFS('Malla PU'!M:M,'Malla PU'!E:E,E6)</f>
        <v>206867.55</v>
      </c>
      <c r="M6" s="227">
        <f t="shared" si="0"/>
        <v>206867.55</v>
      </c>
      <c r="N6" s="251">
        <v>0</v>
      </c>
      <c r="O6" s="227">
        <f t="shared" si="1"/>
        <v>0</v>
      </c>
      <c r="P6" s="251">
        <v>0.16</v>
      </c>
      <c r="Q6" s="227">
        <f t="shared" si="2"/>
        <v>33098.807999999997</v>
      </c>
      <c r="R6" s="227">
        <f t="shared" si="3"/>
        <v>239966.35799999998</v>
      </c>
      <c r="S6" s="229">
        <f>INDEX('Glosario Partidas'!$M$8:$M$10,MATCH(K6,'Glosario Partidas'!$L$8:$L$10,0))</f>
        <v>1</v>
      </c>
      <c r="T6" s="227">
        <f t="shared" si="4"/>
        <v>239966.35799999998</v>
      </c>
      <c r="U6" s="230" t="s">
        <v>315</v>
      </c>
      <c r="V6" s="249" t="s">
        <v>12</v>
      </c>
      <c r="W6" s="249" t="s">
        <v>493</v>
      </c>
      <c r="X6" s="249"/>
    </row>
    <row r="7" spans="1:29" ht="15" customHeight="1" x14ac:dyDescent="0.2">
      <c r="A7" s="211"/>
      <c r="B7" s="211" t="s">
        <v>197</v>
      </c>
      <c r="C7" s="211" t="s">
        <v>47</v>
      </c>
      <c r="D7" s="78" t="s">
        <v>313</v>
      </c>
      <c r="E7" s="171" t="s">
        <v>229</v>
      </c>
      <c r="F7" s="78" t="s">
        <v>313</v>
      </c>
      <c r="G7" s="171" t="s">
        <v>313</v>
      </c>
      <c r="H7" s="255" t="s">
        <v>595</v>
      </c>
      <c r="I7" s="225" t="s">
        <v>328</v>
      </c>
      <c r="J7" s="250">
        <v>1</v>
      </c>
      <c r="K7" s="225" t="s">
        <v>269</v>
      </c>
      <c r="L7" s="142">
        <f>SUMIFS('Plataformas PU'!$R:$R,'Plataformas PU'!$E:$E,Preliminares!E7)</f>
        <v>600054.5</v>
      </c>
      <c r="M7" s="227">
        <f t="shared" si="0"/>
        <v>600054.5</v>
      </c>
      <c r="N7" s="251">
        <v>0</v>
      </c>
      <c r="O7" s="227">
        <f t="shared" si="1"/>
        <v>0</v>
      </c>
      <c r="P7" s="251">
        <v>0</v>
      </c>
      <c r="Q7" s="227">
        <f t="shared" si="2"/>
        <v>0</v>
      </c>
      <c r="R7" s="227">
        <f t="shared" si="3"/>
        <v>600054.5</v>
      </c>
      <c r="S7" s="229">
        <f>INDEX('Glosario Partidas'!$M$8:$M$10,MATCH(K7,'Glosario Partidas'!$L$8:$L$10,0))</f>
        <v>1</v>
      </c>
      <c r="T7" s="227">
        <f t="shared" si="4"/>
        <v>600054.5</v>
      </c>
      <c r="U7" s="230" t="s">
        <v>315</v>
      </c>
      <c r="V7" s="249" t="s">
        <v>12</v>
      </c>
      <c r="W7" s="249" t="s">
        <v>493</v>
      </c>
      <c r="X7" s="249"/>
    </row>
    <row r="8" spans="1:29" ht="15" customHeight="1" x14ac:dyDescent="0.2">
      <c r="A8" s="189"/>
      <c r="B8" s="189" t="s">
        <v>185</v>
      </c>
      <c r="C8" s="189"/>
      <c r="D8" s="189"/>
      <c r="E8" s="189"/>
      <c r="F8" s="189"/>
      <c r="G8" s="189"/>
      <c r="H8" s="189"/>
      <c r="I8" s="189"/>
      <c r="J8" s="189"/>
      <c r="K8" s="189"/>
      <c r="L8" s="303"/>
      <c r="M8" s="303"/>
      <c r="N8" s="304"/>
      <c r="O8" s="304"/>
      <c r="P8" s="304"/>
      <c r="Q8" s="303"/>
      <c r="R8" s="303"/>
      <c r="S8" s="303"/>
      <c r="T8" s="305">
        <f>SUM(T2:T7)</f>
        <v>1688616.436</v>
      </c>
      <c r="U8" s="189"/>
      <c r="V8" s="253"/>
      <c r="AB8" s="254">
        <f>SUMIFS($T:$T,$W:$W,"Contratado")</f>
        <v>1688616.436</v>
      </c>
      <c r="AC8" s="254">
        <f>SUMIFS($T:$T,$W:$W,"No Contratado")</f>
        <v>0</v>
      </c>
    </row>
  </sheetData>
  <dataValidations count="2">
    <dataValidation type="list" allowBlank="1" errorTitle="Valor inválido" error="Selecciona Contratado o No Contratado" promptTitle="Contratado/No Contratado" prompt="Selecciona estado" sqref="W2:W7" xr:uid="{00000000-0002-0000-17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7" xr:uid="{00000000-0002-0000-1700-000001000000}">
      <formula1>"Sí,No"</formula1>
      <formula2>0</formula2>
    </dataValidation>
  </dataValidations>
  <hyperlinks>
    <hyperlink ref="A1" location="'BUY OUT'!A1" display="⬅ Resumen PU" xr:uid="{00000000-0004-0000-1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7"/>
  <sheetViews>
    <sheetView topLeftCell="D1" zoomScaleNormal="100" workbookViewId="0">
      <selection activeCell="T7" sqref="T7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5" customHeight="1" x14ac:dyDescent="0.2">
      <c r="A1" s="258">
        <v>46054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197</v>
      </c>
      <c r="C3" s="268" t="s">
        <v>46</v>
      </c>
      <c r="D3" s="269" t="s">
        <v>596</v>
      </c>
      <c r="E3" s="171" t="s">
        <v>220</v>
      </c>
      <c r="F3" s="269"/>
      <c r="G3" s="292"/>
      <c r="H3" s="272" t="s">
        <v>595</v>
      </c>
      <c r="I3" s="273" t="s">
        <v>597</v>
      </c>
      <c r="J3" s="302">
        <v>1</v>
      </c>
      <c r="K3" s="273" t="s">
        <v>269</v>
      </c>
      <c r="L3" s="274">
        <v>3696</v>
      </c>
      <c r="M3" s="275">
        <f>J3*L3</f>
        <v>3696</v>
      </c>
      <c r="N3" s="276">
        <v>0</v>
      </c>
      <c r="O3" s="275">
        <f>M3*N3</f>
        <v>0</v>
      </c>
      <c r="P3" s="276">
        <v>0.16</v>
      </c>
      <c r="Q3" s="275">
        <f>(M3+O3)*P3</f>
        <v>591.36</v>
      </c>
      <c r="R3" s="275">
        <f>M3+O3+Q3</f>
        <v>4287.3599999999997</v>
      </c>
      <c r="S3" s="300">
        <f>INDEX('Glosario Partidas'!$M$8:$M$10,MATCH(K3,'Glosario Partidas'!$L$8:$L$10,0))</f>
        <v>1</v>
      </c>
      <c r="T3" s="275">
        <f>R3*S3</f>
        <v>4287.3599999999997</v>
      </c>
      <c r="U3" s="275"/>
      <c r="V3" s="249" t="s">
        <v>12</v>
      </c>
    </row>
    <row r="4" spans="1:22" ht="15" customHeight="1" x14ac:dyDescent="0.2">
      <c r="A4" s="268"/>
      <c r="B4" s="268" t="s">
        <v>197</v>
      </c>
      <c r="C4" s="268" t="s">
        <v>46</v>
      </c>
      <c r="D4" s="269" t="s">
        <v>596</v>
      </c>
      <c r="E4" s="171" t="s">
        <v>229</v>
      </c>
      <c r="F4" s="269"/>
      <c r="G4" s="292"/>
      <c r="H4" s="272" t="s">
        <v>595</v>
      </c>
      <c r="I4" s="273" t="s">
        <v>597</v>
      </c>
      <c r="J4" s="302">
        <v>1</v>
      </c>
      <c r="K4" s="273" t="s">
        <v>269</v>
      </c>
      <c r="L4" s="274">
        <v>3696</v>
      </c>
      <c r="M4" s="275">
        <f>J4*L4</f>
        <v>3696</v>
      </c>
      <c r="N4" s="276">
        <v>0</v>
      </c>
      <c r="O4" s="275">
        <f>M4*N4</f>
        <v>0</v>
      </c>
      <c r="P4" s="276">
        <v>0.16</v>
      </c>
      <c r="Q4" s="275">
        <f>(M4+O4)*P4</f>
        <v>591.36</v>
      </c>
      <c r="R4" s="275">
        <f>M4+O4+Q4</f>
        <v>4287.3599999999997</v>
      </c>
      <c r="S4" s="300">
        <f>INDEX('Glosario Partidas'!$M$8:$M$10,MATCH(K4,'Glosario Partidas'!$L$8:$L$10,0))</f>
        <v>1</v>
      </c>
      <c r="T4" s="275">
        <f>R4*S4</f>
        <v>4287.3599999999997</v>
      </c>
      <c r="U4" s="275"/>
      <c r="V4" s="249" t="s">
        <v>12</v>
      </c>
    </row>
    <row r="5" spans="1:22" ht="15" customHeight="1" x14ac:dyDescent="0.2">
      <c r="A5" s="268"/>
      <c r="B5" s="280" t="s">
        <v>185</v>
      </c>
      <c r="C5" s="253"/>
      <c r="D5" s="294"/>
      <c r="E5" s="295"/>
      <c r="F5" s="294"/>
      <c r="G5" s="295"/>
      <c r="H5" s="297"/>
      <c r="I5" s="132"/>
      <c r="J5" s="297"/>
      <c r="K5" s="132"/>
      <c r="L5" s="286"/>
      <c r="M5" s="286">
        <f>SUM(M3:M4)</f>
        <v>7392</v>
      </c>
      <c r="N5" s="298"/>
      <c r="O5" s="286"/>
      <c r="P5" s="298"/>
      <c r="Q5" s="286"/>
      <c r="R5" s="286">
        <f>SUM(R3:R4)</f>
        <v>8574.7199999999993</v>
      </c>
      <c r="S5" s="299"/>
      <c r="T5" s="286">
        <f>SUM(T3:T4)</f>
        <v>8574.7199999999993</v>
      </c>
      <c r="U5" s="286"/>
      <c r="V5" s="253"/>
    </row>
    <row r="7" spans="1:22" ht="19.5" customHeight="1" x14ac:dyDescent="0.2"/>
  </sheetData>
  <hyperlinks>
    <hyperlink ref="A2" location="'BUY OUT'!A1" display="⬅ Resumen PU" xr:uid="{00000000-0004-0000-1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9"/>
  <sheetViews>
    <sheetView topLeftCell="E1" zoomScaleNormal="100" workbookViewId="0">
      <selection activeCell="V4" sqref="V4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5" customHeight="1" x14ac:dyDescent="0.2">
      <c r="A1" s="258">
        <v>46023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197</v>
      </c>
      <c r="C3" s="268" t="s">
        <v>46</v>
      </c>
      <c r="D3" s="269" t="s">
        <v>598</v>
      </c>
      <c r="E3" s="171" t="s">
        <v>220</v>
      </c>
      <c r="F3" s="269"/>
      <c r="G3" s="292"/>
      <c r="H3" s="306" t="s">
        <v>599</v>
      </c>
      <c r="I3" s="273" t="s">
        <v>600</v>
      </c>
      <c r="J3" s="302">
        <v>336.37</v>
      </c>
      <c r="K3" s="273" t="s">
        <v>269</v>
      </c>
      <c r="L3" s="274">
        <v>505</v>
      </c>
      <c r="M3" s="275">
        <f>J3*L3</f>
        <v>169866.85</v>
      </c>
      <c r="N3" s="276">
        <v>0</v>
      </c>
      <c r="O3" s="275">
        <f>M3*N3</f>
        <v>0</v>
      </c>
      <c r="P3" s="276">
        <v>0.16</v>
      </c>
      <c r="Q3" s="275">
        <f>(M3+O3)*P3</f>
        <v>27178.696</v>
      </c>
      <c r="R3" s="275">
        <f>M3+O3+Q3</f>
        <v>197045.546</v>
      </c>
      <c r="S3" s="300">
        <f>INDEX('Glosario Partidas'!$M$8:$M$10,MATCH(K3,'Glosario Partidas'!$L$8:$L$10,0))</f>
        <v>1</v>
      </c>
      <c r="T3" s="275">
        <f>R3*S3</f>
        <v>197045.546</v>
      </c>
      <c r="U3" s="275"/>
      <c r="V3" s="249" t="s">
        <v>12</v>
      </c>
    </row>
    <row r="4" spans="1:22" ht="15" customHeight="1" x14ac:dyDescent="0.2">
      <c r="A4" s="268"/>
      <c r="B4" s="268" t="s">
        <v>197</v>
      </c>
      <c r="C4" s="268" t="s">
        <v>46</v>
      </c>
      <c r="D4" s="269" t="s">
        <v>601</v>
      </c>
      <c r="E4" s="171" t="s">
        <v>220</v>
      </c>
      <c r="F4" s="269"/>
      <c r="G4" s="292"/>
      <c r="H4" s="306" t="s">
        <v>599</v>
      </c>
      <c r="I4" s="273" t="s">
        <v>600</v>
      </c>
      <c r="J4" s="302">
        <v>336.37</v>
      </c>
      <c r="K4" s="273" t="s">
        <v>269</v>
      </c>
      <c r="L4" s="274">
        <v>110</v>
      </c>
      <c r="M4" s="275">
        <f>J4*L4</f>
        <v>37000.699999999997</v>
      </c>
      <c r="N4" s="276">
        <v>0</v>
      </c>
      <c r="O4" s="275">
        <f>M4*N4</f>
        <v>0</v>
      </c>
      <c r="P4" s="276">
        <v>0.16</v>
      </c>
      <c r="Q4" s="275">
        <f>(M4+O4)*P4</f>
        <v>5920.1120000000001</v>
      </c>
      <c r="R4" s="275">
        <f>M4+O4+Q4</f>
        <v>42920.811999999998</v>
      </c>
      <c r="S4" s="300">
        <f>INDEX('Glosario Partidas'!$M$8:$M$10,MATCH(K4,'Glosario Partidas'!$L$8:$L$10,0))</f>
        <v>1</v>
      </c>
      <c r="T4" s="275">
        <f>R4*S4</f>
        <v>42920.811999999998</v>
      </c>
      <c r="U4" s="275"/>
      <c r="V4" s="249" t="s">
        <v>12</v>
      </c>
    </row>
    <row r="5" spans="1:22" ht="15" customHeight="1" x14ac:dyDescent="0.2">
      <c r="A5" s="268"/>
      <c r="B5" s="268" t="s">
        <v>197</v>
      </c>
      <c r="C5" s="268" t="s">
        <v>46</v>
      </c>
      <c r="D5" s="269" t="s">
        <v>598</v>
      </c>
      <c r="E5" s="171" t="s">
        <v>229</v>
      </c>
      <c r="F5" s="269"/>
      <c r="G5" s="292"/>
      <c r="H5" s="306" t="s">
        <v>599</v>
      </c>
      <c r="I5" s="273" t="s">
        <v>600</v>
      </c>
      <c r="J5" s="302">
        <v>336.37</v>
      </c>
      <c r="K5" s="273" t="s">
        <v>269</v>
      </c>
      <c r="L5" s="274">
        <v>505</v>
      </c>
      <c r="M5" s="275">
        <f>J5*L5</f>
        <v>169866.85</v>
      </c>
      <c r="N5" s="276">
        <v>0</v>
      </c>
      <c r="O5" s="275">
        <f>M5*N5</f>
        <v>0</v>
      </c>
      <c r="P5" s="276">
        <v>0.16</v>
      </c>
      <c r="Q5" s="275">
        <f>(M5+O5)*P5</f>
        <v>27178.696</v>
      </c>
      <c r="R5" s="275">
        <f>M5+O5+Q5</f>
        <v>197045.546</v>
      </c>
      <c r="S5" s="300">
        <f>INDEX('Glosario Partidas'!$M$8:$M$10,MATCH(K5,'Glosario Partidas'!$L$8:$L$10,0))</f>
        <v>1</v>
      </c>
      <c r="T5" s="275">
        <f>R5*S5</f>
        <v>197045.546</v>
      </c>
      <c r="U5" s="275"/>
      <c r="V5" s="249" t="s">
        <v>12</v>
      </c>
    </row>
    <row r="6" spans="1:22" ht="15" customHeight="1" x14ac:dyDescent="0.2">
      <c r="A6" s="268"/>
      <c r="B6" s="268" t="s">
        <v>197</v>
      </c>
      <c r="C6" s="268" t="s">
        <v>46</v>
      </c>
      <c r="D6" s="269" t="s">
        <v>601</v>
      </c>
      <c r="E6" s="171" t="s">
        <v>229</v>
      </c>
      <c r="F6" s="269"/>
      <c r="G6" s="292"/>
      <c r="H6" s="306" t="s">
        <v>599</v>
      </c>
      <c r="I6" s="273" t="s">
        <v>600</v>
      </c>
      <c r="J6" s="302">
        <v>336.37</v>
      </c>
      <c r="K6" s="273" t="s">
        <v>269</v>
      </c>
      <c r="L6" s="274">
        <v>110</v>
      </c>
      <c r="M6" s="275">
        <f>J6*L6</f>
        <v>37000.699999999997</v>
      </c>
      <c r="N6" s="276">
        <v>0</v>
      </c>
      <c r="O6" s="275">
        <f>M6*N6</f>
        <v>0</v>
      </c>
      <c r="P6" s="276">
        <v>0.16</v>
      </c>
      <c r="Q6" s="275">
        <f>(M6+O6)*P6</f>
        <v>5920.1120000000001</v>
      </c>
      <c r="R6" s="275">
        <f>M6+O6+Q6</f>
        <v>42920.811999999998</v>
      </c>
      <c r="S6" s="300">
        <f>INDEX('Glosario Partidas'!$M$8:$M$10,MATCH(K6,'Glosario Partidas'!$L$8:$L$10,0))</f>
        <v>1</v>
      </c>
      <c r="T6" s="275">
        <f>R6*S6</f>
        <v>42920.811999999998</v>
      </c>
      <c r="U6" s="275"/>
      <c r="V6" s="249" t="s">
        <v>12</v>
      </c>
    </row>
    <row r="7" spans="1:22" ht="15" customHeight="1" x14ac:dyDescent="0.2">
      <c r="A7" s="268"/>
      <c r="B7" s="280" t="s">
        <v>185</v>
      </c>
      <c r="C7" s="253"/>
      <c r="D7" s="294"/>
      <c r="E7" s="295"/>
      <c r="F7" s="294"/>
      <c r="G7" s="295"/>
      <c r="H7" s="297"/>
      <c r="I7" s="132"/>
      <c r="J7" s="297"/>
      <c r="K7" s="132"/>
      <c r="L7" s="286"/>
      <c r="M7" s="286">
        <f>SUM(M3:M6)</f>
        <v>413735.10000000003</v>
      </c>
      <c r="N7" s="298"/>
      <c r="O7" s="286"/>
      <c r="P7" s="298"/>
      <c r="Q7" s="286"/>
      <c r="R7" s="286">
        <f>SUM(R3:R6)</f>
        <v>479932.71599999996</v>
      </c>
      <c r="S7" s="299"/>
      <c r="T7" s="286">
        <f>SUM(T3:T6)</f>
        <v>479932.71599999996</v>
      </c>
      <c r="U7" s="286"/>
      <c r="V7" s="253"/>
    </row>
    <row r="9" spans="1:22" ht="19.5" customHeight="1" x14ac:dyDescent="0.2"/>
  </sheetData>
  <hyperlinks>
    <hyperlink ref="A2" location="'BUY OUT'!A1" display="⬅ Resumen PU" xr:uid="{00000000-0004-0000-1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5"/>
  <sheetViews>
    <sheetView topLeftCell="C1" zoomScale="163" zoomScaleNormal="163" workbookViewId="0">
      <selection activeCell="T3" sqref="T3"/>
    </sheetView>
  </sheetViews>
  <sheetFormatPr baseColWidth="10" defaultColWidth="8.6640625" defaultRowHeight="15" customHeight="1" x14ac:dyDescent="0.2"/>
  <sheetData>
    <row r="1" spans="1:22" ht="15" customHeight="1" x14ac:dyDescent="0.2">
      <c r="A1" s="258">
        <v>46082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2" t="s">
        <v>215</v>
      </c>
      <c r="F2" s="262" t="s">
        <v>297</v>
      </c>
      <c r="G2" s="262" t="s">
        <v>168</v>
      </c>
      <c r="H2" s="262" t="s">
        <v>298</v>
      </c>
      <c r="I2" s="262" t="s">
        <v>299</v>
      </c>
      <c r="J2" s="262" t="s">
        <v>300</v>
      </c>
      <c r="K2" s="262" t="s">
        <v>301</v>
      </c>
      <c r="L2" s="262" t="s">
        <v>302</v>
      </c>
      <c r="M2" s="262" t="s">
        <v>303</v>
      </c>
      <c r="N2" s="262" t="s">
        <v>304</v>
      </c>
      <c r="O2" s="262" t="s">
        <v>305</v>
      </c>
      <c r="P2" s="262" t="s">
        <v>306</v>
      </c>
      <c r="Q2" s="262" t="s">
        <v>307</v>
      </c>
      <c r="R2" s="262" t="s">
        <v>308</v>
      </c>
      <c r="S2" s="262" t="s">
        <v>309</v>
      </c>
      <c r="T2" s="262" t="s">
        <v>310</v>
      </c>
      <c r="U2" s="262" t="s">
        <v>311</v>
      </c>
      <c r="V2" s="262" t="s">
        <v>312</v>
      </c>
    </row>
    <row r="3" spans="1:22" ht="15" customHeight="1" x14ac:dyDescent="0.2">
      <c r="A3" s="268"/>
      <c r="B3" s="268" t="s">
        <v>197</v>
      </c>
      <c r="C3" s="63" t="s">
        <v>47</v>
      </c>
      <c r="D3" s="273"/>
      <c r="E3" s="307" t="s">
        <v>220</v>
      </c>
      <c r="F3" s="269"/>
      <c r="G3" s="273"/>
      <c r="H3" s="273" t="s">
        <v>595</v>
      </c>
      <c r="I3" s="273" t="s">
        <v>314</v>
      </c>
      <c r="J3" s="308">
        <v>0.5</v>
      </c>
      <c r="K3" s="273" t="s">
        <v>269</v>
      </c>
      <c r="L3" s="309">
        <v>1200109</v>
      </c>
      <c r="M3" s="310">
        <f>J3*L3</f>
        <v>600054.5</v>
      </c>
      <c r="N3" s="311">
        <v>0</v>
      </c>
      <c r="O3" s="312">
        <f>M3*N3</f>
        <v>0</v>
      </c>
      <c r="P3" s="313">
        <v>0</v>
      </c>
      <c r="Q3" s="312">
        <f>(M3+O3)*P3</f>
        <v>0</v>
      </c>
      <c r="R3" s="312">
        <f>M3+O3+Q3</f>
        <v>600054.5</v>
      </c>
      <c r="S3" s="314">
        <f>INDEX('Glosario Partidas'!$M$8:$M$10,MATCH(K3,'Glosario Partidas'!$L$8:$L$10,0))</f>
        <v>1</v>
      </c>
      <c r="T3" s="310">
        <f>R3*S3</f>
        <v>600054.5</v>
      </c>
      <c r="U3" s="268"/>
      <c r="V3" s="249" t="s">
        <v>12</v>
      </c>
    </row>
    <row r="4" spans="1:22" ht="15" customHeight="1" x14ac:dyDescent="0.2">
      <c r="A4" s="268"/>
      <c r="B4" s="268" t="s">
        <v>197</v>
      </c>
      <c r="C4" s="63" t="s">
        <v>47</v>
      </c>
      <c r="D4" s="273"/>
      <c r="E4" s="307" t="s">
        <v>229</v>
      </c>
      <c r="F4" s="269"/>
      <c r="G4" s="273"/>
      <c r="H4" s="273" t="s">
        <v>595</v>
      </c>
      <c r="I4" s="273" t="s">
        <v>314</v>
      </c>
      <c r="J4" s="308">
        <v>0.5</v>
      </c>
      <c r="K4" s="273" t="s">
        <v>269</v>
      </c>
      <c r="L4" s="309">
        <v>1200109</v>
      </c>
      <c r="M4" s="310">
        <f>J4*L4</f>
        <v>600054.5</v>
      </c>
      <c r="N4" s="311">
        <v>0</v>
      </c>
      <c r="O4" s="312">
        <f>M4*N4</f>
        <v>0</v>
      </c>
      <c r="P4" s="313">
        <v>0</v>
      </c>
      <c r="Q4" s="312">
        <f>(M4+O4)*P4</f>
        <v>0</v>
      </c>
      <c r="R4" s="312">
        <f>M4+O4+Q4</f>
        <v>600054.5</v>
      </c>
      <c r="S4" s="314">
        <f>INDEX('Glosario Partidas'!$M$8:$M$10,MATCH(K4,'Glosario Partidas'!$L$8:$L$10,0))</f>
        <v>1</v>
      </c>
      <c r="T4" s="310">
        <f>R4*S4</f>
        <v>600054.5</v>
      </c>
      <c r="U4" s="268"/>
      <c r="V4" s="249" t="s">
        <v>12</v>
      </c>
    </row>
    <row r="5" spans="1:22" ht="15" customHeight="1" x14ac:dyDescent="0.2">
      <c r="B5" s="280" t="s">
        <v>185</v>
      </c>
      <c r="C5" s="253"/>
      <c r="D5" s="294"/>
      <c r="E5" s="295"/>
      <c r="F5" s="294"/>
      <c r="G5" s="295"/>
      <c r="H5" s="297"/>
      <c r="I5" s="132"/>
      <c r="J5" s="297"/>
      <c r="K5" s="132"/>
      <c r="L5" s="286"/>
      <c r="M5" s="286">
        <f>SUM(M1:M4)</f>
        <v>1200109</v>
      </c>
      <c r="N5" s="298"/>
      <c r="O5" s="286"/>
      <c r="P5" s="298"/>
      <c r="Q5" s="286"/>
      <c r="R5" s="286">
        <f>SUM(R1:R4)</f>
        <v>1200109</v>
      </c>
      <c r="S5" s="299"/>
      <c r="T5" s="286">
        <f>SUM(T1:T4)</f>
        <v>1200109</v>
      </c>
      <c r="U5" s="286"/>
      <c r="V5" s="253"/>
    </row>
  </sheetData>
  <hyperlinks>
    <hyperlink ref="A2" location="'BUY OUT'!A1" display="⬅ Resumen PU" xr:uid="{00000000-0004-0000-1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AC3"/>
  <sheetViews>
    <sheetView zoomScale="160" zoomScaleNormal="160" workbookViewId="0">
      <selection activeCell="B2" sqref="B2"/>
    </sheetView>
  </sheetViews>
  <sheetFormatPr baseColWidth="10" defaultColWidth="8.6640625" defaultRowHeight="15" customHeight="1" x14ac:dyDescent="0.2"/>
  <cols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50</v>
      </c>
      <c r="C2" s="211" t="s">
        <v>50</v>
      </c>
      <c r="D2" s="78" t="s">
        <v>313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314</v>
      </c>
      <c r="J2" s="315">
        <v>0</v>
      </c>
      <c r="K2" s="211" t="s">
        <v>269</v>
      </c>
      <c r="L2" s="316">
        <v>200000</v>
      </c>
      <c r="M2" s="310">
        <f>J2*L2</f>
        <v>0</v>
      </c>
      <c r="N2" s="317">
        <v>0</v>
      </c>
      <c r="O2" s="318">
        <f>M2*N2</f>
        <v>0</v>
      </c>
      <c r="P2" s="317">
        <v>0.16</v>
      </c>
      <c r="Q2" s="310">
        <f>(M2+O2)*P2</f>
        <v>0</v>
      </c>
      <c r="R2" s="310">
        <f>M2+O2+Q2</f>
        <v>0</v>
      </c>
      <c r="S2" s="310">
        <f>INDEX('Glosario Partidas'!$M$8:$M$10,MATCH(K2,'Glosario Partidas'!$L$8:$L$10,0))</f>
        <v>1</v>
      </c>
      <c r="T2" s="310">
        <f>R2*S2</f>
        <v>0</v>
      </c>
      <c r="U2" s="307" t="s">
        <v>315</v>
      </c>
      <c r="V2" s="249" t="s">
        <v>13</v>
      </c>
      <c r="W2" s="249"/>
      <c r="X2" s="249"/>
    </row>
    <row r="3" spans="1:29" ht="15" customHeight="1" x14ac:dyDescent="0.2">
      <c r="A3" s="189"/>
      <c r="B3" s="189" t="s">
        <v>185</v>
      </c>
      <c r="C3" s="189"/>
      <c r="D3" s="189"/>
      <c r="E3" s="189"/>
      <c r="F3" s="189"/>
      <c r="G3" s="189"/>
      <c r="H3" s="189"/>
      <c r="I3" s="189"/>
      <c r="J3" s="189"/>
      <c r="K3" s="189"/>
      <c r="L3" s="303"/>
      <c r="M3" s="303"/>
      <c r="N3" s="304"/>
      <c r="O3" s="304"/>
      <c r="P3" s="304"/>
      <c r="Q3" s="303"/>
      <c r="R3" s="303"/>
      <c r="S3" s="303"/>
      <c r="T3" s="305">
        <f>SUM(T2)</f>
        <v>0</v>
      </c>
      <c r="U3" s="189"/>
      <c r="V3" s="253"/>
      <c r="AB3" s="254">
        <f>SUMIFS($T:$T,$W:$W,"Contratado")</f>
        <v>0</v>
      </c>
      <c r="AC3" s="254">
        <f>SUMIFS($T:$T,$W:$W,"No Contratado")</f>
        <v>0</v>
      </c>
    </row>
  </sheetData>
  <dataValidations count="2">
    <dataValidation type="list" allowBlank="1" errorTitle="Valor inválido" error="Selecciona Contratado o No Contratado" promptTitle="Contratado/No Contratado" prompt="Selecciona estado" sqref="W2" xr:uid="{00000000-0002-0000-1B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" xr:uid="{00000000-0002-0000-1B00-000001000000}">
      <formula1>"Sí,No"</formula1>
      <formula2>0</formula2>
    </dataValidation>
  </dataValidations>
  <hyperlinks>
    <hyperlink ref="A1" location="'BUY OUT'!A1" display="⬅ Resumen PU" xr:uid="{00000000-0004-0000-1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AC4"/>
  <sheetViews>
    <sheetView topLeftCell="H1" zoomScale="150" zoomScaleNormal="150" workbookViewId="0">
      <selection activeCell="W3" sqref="W3"/>
    </sheetView>
  </sheetViews>
  <sheetFormatPr baseColWidth="10" defaultColWidth="8.6640625" defaultRowHeight="15" customHeight="1" x14ac:dyDescent="0.2"/>
  <cols>
    <col min="3" max="3" width="10.6640625" customWidth="1"/>
    <col min="4" max="4" width="19.1640625" customWidth="1"/>
    <col min="20" max="20" width="9.1640625" customWidth="1"/>
    <col min="21" max="21" width="15.5" customWidth="1"/>
    <col min="22" max="22" width="13.66406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B2" s="273" t="s">
        <v>52</v>
      </c>
      <c r="C2" s="273" t="s">
        <v>52</v>
      </c>
      <c r="D2" s="78" t="s">
        <v>313</v>
      </c>
      <c r="E2" s="171" t="s">
        <v>220</v>
      </c>
      <c r="F2" s="78" t="s">
        <v>313</v>
      </c>
      <c r="G2" s="171" t="s">
        <v>313</v>
      </c>
      <c r="H2" s="255" t="str">
        <f>'Obra_Civil PU'!H2</f>
        <v>ADC</v>
      </c>
      <c r="I2" s="225" t="s">
        <v>314</v>
      </c>
      <c r="J2" s="250">
        <v>1</v>
      </c>
      <c r="K2" s="225" t="s">
        <v>269</v>
      </c>
      <c r="L2" s="142">
        <f>SUMIFS('Obra_Civil PU'!$M:$M,'Obra_Civil PU'!$E:$E,Obra_Civil!E2)</f>
        <v>28448275.820000004</v>
      </c>
      <c r="M2" s="227">
        <f>J2*L2</f>
        <v>28448275.820000004</v>
      </c>
      <c r="N2" s="251">
        <v>0</v>
      </c>
      <c r="O2" s="227">
        <f>M2*N2</f>
        <v>0</v>
      </c>
      <c r="P2" s="251">
        <v>0.16</v>
      </c>
      <c r="Q2" s="227">
        <f>(M2+O2)*P2</f>
        <v>4551724.1312000006</v>
      </c>
      <c r="R2" s="227">
        <f>M2+O2+Q2</f>
        <v>32999999.951200005</v>
      </c>
      <c r="S2" s="229">
        <f>INDEX('Glosario Partidas'!$M$8:$M$10,MATCH(K2,'Glosario Partidas'!$L$8:$L$10,0))</f>
        <v>1</v>
      </c>
      <c r="T2" s="227">
        <f>R2*S2</f>
        <v>32999999.951200005</v>
      </c>
      <c r="U2" s="230" t="s">
        <v>315</v>
      </c>
      <c r="V2" s="249" t="s">
        <v>12</v>
      </c>
      <c r="W2" s="249" t="s">
        <v>493</v>
      </c>
      <c r="X2" s="249"/>
    </row>
    <row r="3" spans="1:29" ht="15" customHeight="1" x14ac:dyDescent="0.2">
      <c r="B3" s="273" t="s">
        <v>52</v>
      </c>
      <c r="C3" s="273" t="s">
        <v>52</v>
      </c>
      <c r="D3" s="78" t="s">
        <v>313</v>
      </c>
      <c r="E3" s="171" t="s">
        <v>229</v>
      </c>
      <c r="F3" s="78" t="s">
        <v>313</v>
      </c>
      <c r="G3" s="171" t="s">
        <v>313</v>
      </c>
      <c r="H3" s="255" t="str">
        <f>'Obra_Civil PU'!H3</f>
        <v>ADC</v>
      </c>
      <c r="I3" s="225" t="s">
        <v>314</v>
      </c>
      <c r="J3" s="250">
        <v>1</v>
      </c>
      <c r="K3" s="225" t="s">
        <v>269</v>
      </c>
      <c r="L3" s="142">
        <f>SUMIFS('Obra_Civil PU'!$M:$M,'Obra_Civil PU'!$E:$E,Obra_Civil!E3)</f>
        <v>28448275.820000004</v>
      </c>
      <c r="M3" s="227">
        <f>J3*L3</f>
        <v>28448275.820000004</v>
      </c>
      <c r="N3" s="251">
        <v>0</v>
      </c>
      <c r="O3" s="227">
        <f>M3*N3</f>
        <v>0</v>
      </c>
      <c r="P3" s="251">
        <v>0.16</v>
      </c>
      <c r="Q3" s="227">
        <f>(M3+O3)*P3</f>
        <v>4551724.1312000006</v>
      </c>
      <c r="R3" s="227">
        <f>M3+O3+Q3</f>
        <v>32999999.951200005</v>
      </c>
      <c r="S3" s="229">
        <f>INDEX('Glosario Partidas'!$M$8:$M$10,MATCH(K3,'Glosario Partidas'!$L$8:$L$10,0))</f>
        <v>1</v>
      </c>
      <c r="T3" s="227">
        <f>R3*S3</f>
        <v>32999999.951200005</v>
      </c>
      <c r="U3" s="230" t="s">
        <v>315</v>
      </c>
      <c r="V3" s="249" t="s">
        <v>13</v>
      </c>
      <c r="W3" s="249" t="s">
        <v>491</v>
      </c>
      <c r="X3" s="249"/>
      <c r="Y3" t="s">
        <v>602</v>
      </c>
    </row>
    <row r="4" spans="1:29" ht="15" customHeight="1" x14ac:dyDescent="0.2">
      <c r="B4" s="280" t="s">
        <v>185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319">
        <f>SUM(M2:M3)</f>
        <v>56896551.640000008</v>
      </c>
      <c r="N4" s="319"/>
      <c r="O4" s="319"/>
      <c r="P4" s="319"/>
      <c r="Q4" s="319"/>
      <c r="R4" s="319">
        <f>SUM(R2:R3)</f>
        <v>65999999.902400009</v>
      </c>
      <c r="S4" s="319"/>
      <c r="T4" s="319">
        <f>SUM(T2:T3)</f>
        <v>65999999.902400009</v>
      </c>
      <c r="U4" s="253"/>
      <c r="V4" s="253"/>
      <c r="AB4" s="254">
        <f>SUMIFS($T:$T,$W:$W,"Contratado")</f>
        <v>32999999.951200005</v>
      </c>
      <c r="AC4" s="254">
        <f>SUMIFS($T:$T,$W:$W,"No Contratado")</f>
        <v>32999999.951200005</v>
      </c>
    </row>
  </sheetData>
  <dataValidations count="2">
    <dataValidation type="list" allowBlank="1" errorTitle="Valor inválido" error="Selecciona Contratado o No Contratado" promptTitle="Contratado/No Contratado" prompt="Selecciona estado" sqref="W2:W3" xr:uid="{00000000-0002-0000-1C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3" xr:uid="{00000000-0002-0000-1C00-000001000000}">
      <formula1>"Sí,No"</formula1>
      <formula2>0</formula2>
    </dataValidation>
  </dataValidations>
  <hyperlinks>
    <hyperlink ref="A1" location="'BUY OUT'!A1" display="⬅ Resumen PU" xr:uid="{00000000-0004-0000-1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84"/>
  <sheetViews>
    <sheetView showGridLines="0" topLeftCell="L1" zoomScale="150" zoomScaleNormal="150" workbookViewId="0">
      <selection activeCell="AB1" sqref="AB1"/>
    </sheetView>
  </sheetViews>
  <sheetFormatPr baseColWidth="10" defaultColWidth="8.6640625" defaultRowHeight="15" customHeight="1" x14ac:dyDescent="0.2"/>
  <cols>
    <col min="3" max="3" width="10.6640625" customWidth="1"/>
    <col min="4" max="4" width="19.1640625" customWidth="1"/>
    <col min="20" max="20" width="9.1640625" customWidth="1"/>
    <col min="21" max="21" width="15.5" customWidth="1"/>
    <col min="22" max="22" width="13.6640625" customWidth="1"/>
  </cols>
  <sheetData>
    <row r="1" spans="1:23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</row>
    <row r="2" spans="1:23" ht="15" customHeight="1" x14ac:dyDescent="0.2">
      <c r="B2" s="273" t="s">
        <v>52</v>
      </c>
      <c r="C2" s="273" t="s">
        <v>603</v>
      </c>
      <c r="D2" s="273" t="s">
        <v>45</v>
      </c>
      <c r="E2" s="307" t="s">
        <v>220</v>
      </c>
      <c r="F2" s="269" t="s">
        <v>221</v>
      </c>
      <c r="G2" s="273"/>
      <c r="H2" s="273" t="s">
        <v>604</v>
      </c>
      <c r="I2" s="273" t="s">
        <v>314</v>
      </c>
      <c r="J2" s="308">
        <v>1</v>
      </c>
      <c r="K2" s="273" t="s">
        <v>269</v>
      </c>
      <c r="L2" s="309">
        <v>721702.18</v>
      </c>
      <c r="M2" s="310">
        <f t="shared" ref="M2:M33" si="0">J2*L2</f>
        <v>721702.18</v>
      </c>
      <c r="N2" s="311">
        <v>0</v>
      </c>
      <c r="O2" s="312">
        <f t="shared" ref="O2:O33" si="1">M2*N2</f>
        <v>0</v>
      </c>
      <c r="P2" s="313">
        <v>0.16</v>
      </c>
      <c r="Q2" s="312">
        <f t="shared" ref="Q2:Q33" si="2">(M2+O2)*P2</f>
        <v>115472.34880000001</v>
      </c>
      <c r="R2" s="312">
        <f t="shared" ref="R2:R33" si="3">M2+O2+Q2</f>
        <v>837174.52880000009</v>
      </c>
      <c r="S2" s="314">
        <f>INDEX('Glosario Partidas'!$M$8:$M$10,MATCH(K2,'Glosario Partidas'!$L$8:$L$10,0))</f>
        <v>1</v>
      </c>
      <c r="T2" s="310">
        <f t="shared" ref="T2:T33" si="4">R2*S2</f>
        <v>837174.52880000009</v>
      </c>
      <c r="U2" s="268"/>
      <c r="V2" s="249" t="s">
        <v>12</v>
      </c>
      <c r="W2" s="249" t="s">
        <v>605</v>
      </c>
    </row>
    <row r="3" spans="1:23" ht="15" customHeight="1" x14ac:dyDescent="0.2">
      <c r="B3" s="273" t="s">
        <v>52</v>
      </c>
      <c r="C3" s="273" t="s">
        <v>603</v>
      </c>
      <c r="D3" s="273" t="s">
        <v>606</v>
      </c>
      <c r="E3" s="307" t="s">
        <v>220</v>
      </c>
      <c r="F3" s="269" t="s">
        <v>221</v>
      </c>
      <c r="G3" s="273"/>
      <c r="H3" s="273" t="s">
        <v>604</v>
      </c>
      <c r="I3" s="273" t="s">
        <v>314</v>
      </c>
      <c r="J3" s="308">
        <v>0</v>
      </c>
      <c r="K3" s="273" t="s">
        <v>269</v>
      </c>
      <c r="L3" s="309">
        <v>274963.67</v>
      </c>
      <c r="M3" s="310">
        <f t="shared" si="0"/>
        <v>0</v>
      </c>
      <c r="N3" s="311">
        <v>0</v>
      </c>
      <c r="O3" s="312">
        <f t="shared" si="1"/>
        <v>0</v>
      </c>
      <c r="P3" s="313">
        <v>0.16</v>
      </c>
      <c r="Q3" s="312">
        <f t="shared" si="2"/>
        <v>0</v>
      </c>
      <c r="R3" s="312">
        <f t="shared" si="3"/>
        <v>0</v>
      </c>
      <c r="S3" s="314">
        <f>INDEX('Glosario Partidas'!$M$8:$M$10,MATCH(K3,'Glosario Partidas'!$L$8:$L$10,0))</f>
        <v>1</v>
      </c>
      <c r="T3" s="310">
        <f t="shared" si="4"/>
        <v>0</v>
      </c>
      <c r="U3" s="268"/>
      <c r="V3" s="249" t="s">
        <v>12</v>
      </c>
      <c r="W3" s="249" t="s">
        <v>605</v>
      </c>
    </row>
    <row r="4" spans="1:23" ht="15" customHeight="1" x14ac:dyDescent="0.2">
      <c r="A4" s="189"/>
      <c r="B4" s="273" t="s">
        <v>52</v>
      </c>
      <c r="C4" s="273" t="s">
        <v>603</v>
      </c>
      <c r="D4" s="273" t="s">
        <v>607</v>
      </c>
      <c r="E4" s="307" t="s">
        <v>220</v>
      </c>
      <c r="F4" s="269" t="s">
        <v>221</v>
      </c>
      <c r="G4" s="273"/>
      <c r="H4" s="273" t="s">
        <v>604</v>
      </c>
      <c r="I4" s="273" t="s">
        <v>314</v>
      </c>
      <c r="J4" s="308">
        <v>1</v>
      </c>
      <c r="K4" s="273" t="s">
        <v>269</v>
      </c>
      <c r="L4" s="309">
        <v>672367.83</v>
      </c>
      <c r="M4" s="310">
        <f t="shared" si="0"/>
        <v>672367.83</v>
      </c>
      <c r="N4" s="311">
        <v>0</v>
      </c>
      <c r="O4" s="312">
        <f t="shared" si="1"/>
        <v>0</v>
      </c>
      <c r="P4" s="313">
        <v>0.16</v>
      </c>
      <c r="Q4" s="312">
        <f t="shared" si="2"/>
        <v>107578.85279999999</v>
      </c>
      <c r="R4" s="312">
        <f t="shared" si="3"/>
        <v>779946.68279999995</v>
      </c>
      <c r="S4" s="314">
        <f>INDEX('Glosario Partidas'!$M$8:$M$10,MATCH(K4,'Glosario Partidas'!$L$8:$L$10,0))</f>
        <v>1</v>
      </c>
      <c r="T4" s="310">
        <f t="shared" si="4"/>
        <v>779946.68279999995</v>
      </c>
      <c r="U4" s="268"/>
      <c r="V4" s="249" t="s">
        <v>12</v>
      </c>
      <c r="W4" s="249" t="s">
        <v>605</v>
      </c>
    </row>
    <row r="5" spans="1:23" ht="15" customHeight="1" x14ac:dyDescent="0.2">
      <c r="B5" s="273" t="s">
        <v>52</v>
      </c>
      <c r="C5" s="273" t="s">
        <v>603</v>
      </c>
      <c r="D5" s="273" t="s">
        <v>608</v>
      </c>
      <c r="E5" s="307" t="s">
        <v>220</v>
      </c>
      <c r="F5" s="269" t="s">
        <v>221</v>
      </c>
      <c r="G5" s="273"/>
      <c r="H5" s="273" t="s">
        <v>604</v>
      </c>
      <c r="I5" s="273" t="s">
        <v>314</v>
      </c>
      <c r="J5" s="308">
        <v>1</v>
      </c>
      <c r="K5" s="273" t="s">
        <v>269</v>
      </c>
      <c r="L5" s="309">
        <v>3166162.78</v>
      </c>
      <c r="M5" s="310">
        <f t="shared" si="0"/>
        <v>3166162.78</v>
      </c>
      <c r="N5" s="311">
        <v>0</v>
      </c>
      <c r="O5" s="312">
        <f t="shared" si="1"/>
        <v>0</v>
      </c>
      <c r="P5" s="313">
        <v>0.16</v>
      </c>
      <c r="Q5" s="312">
        <f t="shared" si="2"/>
        <v>506586.04479999997</v>
      </c>
      <c r="R5" s="312">
        <f t="shared" si="3"/>
        <v>3672748.8247999996</v>
      </c>
      <c r="S5" s="314">
        <f>INDEX('Glosario Partidas'!$M$8:$M$10,MATCH(K5,'Glosario Partidas'!$L$8:$L$10,0))</f>
        <v>1</v>
      </c>
      <c r="T5" s="310">
        <f t="shared" si="4"/>
        <v>3672748.8247999996</v>
      </c>
      <c r="U5" s="268"/>
      <c r="V5" s="249" t="s">
        <v>12</v>
      </c>
      <c r="W5" s="249" t="s">
        <v>605</v>
      </c>
    </row>
    <row r="6" spans="1:23" ht="15" customHeight="1" x14ac:dyDescent="0.2">
      <c r="B6" s="273" t="s">
        <v>52</v>
      </c>
      <c r="C6" s="273" t="s">
        <v>603</v>
      </c>
      <c r="D6" s="273" t="s">
        <v>609</v>
      </c>
      <c r="E6" s="307" t="s">
        <v>220</v>
      </c>
      <c r="F6" s="269" t="s">
        <v>221</v>
      </c>
      <c r="G6" s="273"/>
      <c r="H6" s="273" t="s">
        <v>604</v>
      </c>
      <c r="I6" s="273" t="s">
        <v>314</v>
      </c>
      <c r="J6" s="308">
        <v>1</v>
      </c>
      <c r="K6" s="273" t="s">
        <v>269</v>
      </c>
      <c r="L6" s="309">
        <v>82022.77</v>
      </c>
      <c r="M6" s="310">
        <f t="shared" si="0"/>
        <v>82022.77</v>
      </c>
      <c r="N6" s="311">
        <v>0</v>
      </c>
      <c r="O6" s="312">
        <f t="shared" si="1"/>
        <v>0</v>
      </c>
      <c r="P6" s="313">
        <v>0.16</v>
      </c>
      <c r="Q6" s="312">
        <f t="shared" si="2"/>
        <v>13123.6432</v>
      </c>
      <c r="R6" s="312">
        <f t="shared" si="3"/>
        <v>95146.41320000001</v>
      </c>
      <c r="S6" s="314">
        <f>INDEX('Glosario Partidas'!$M$8:$M$10,MATCH(K6,'Glosario Partidas'!$L$8:$L$10,0))</f>
        <v>1</v>
      </c>
      <c r="T6" s="310">
        <f t="shared" si="4"/>
        <v>95146.41320000001</v>
      </c>
      <c r="U6" s="268"/>
      <c r="V6" s="249" t="s">
        <v>12</v>
      </c>
      <c r="W6" s="249" t="s">
        <v>605</v>
      </c>
    </row>
    <row r="7" spans="1:23" ht="15" customHeight="1" x14ac:dyDescent="0.2">
      <c r="B7" s="273" t="s">
        <v>52</v>
      </c>
      <c r="C7" s="273" t="s">
        <v>603</v>
      </c>
      <c r="D7" s="273" t="s">
        <v>610</v>
      </c>
      <c r="E7" s="307" t="s">
        <v>220</v>
      </c>
      <c r="F7" s="269" t="s">
        <v>221</v>
      </c>
      <c r="G7" s="273"/>
      <c r="H7" s="273" t="s">
        <v>604</v>
      </c>
      <c r="I7" s="273" t="s">
        <v>314</v>
      </c>
      <c r="J7" s="308">
        <v>1</v>
      </c>
      <c r="K7" s="273" t="s">
        <v>269</v>
      </c>
      <c r="L7" s="309">
        <v>747686.36</v>
      </c>
      <c r="M7" s="310">
        <f t="shared" si="0"/>
        <v>747686.36</v>
      </c>
      <c r="N7" s="311">
        <v>0</v>
      </c>
      <c r="O7" s="312">
        <f t="shared" si="1"/>
        <v>0</v>
      </c>
      <c r="P7" s="313">
        <v>0.16</v>
      </c>
      <c r="Q7" s="312">
        <f t="shared" si="2"/>
        <v>119629.81759999999</v>
      </c>
      <c r="R7" s="312">
        <f t="shared" si="3"/>
        <v>867316.17759999994</v>
      </c>
      <c r="S7" s="314">
        <f>INDEX('Glosario Partidas'!$M$8:$M$10,MATCH(K7,'Glosario Partidas'!$L$8:$L$10,0))</f>
        <v>1</v>
      </c>
      <c r="T7" s="310">
        <f t="shared" si="4"/>
        <v>867316.17759999994</v>
      </c>
      <c r="U7" s="268"/>
      <c r="V7" s="249" t="s">
        <v>12</v>
      </c>
      <c r="W7" s="249" t="s">
        <v>605</v>
      </c>
    </row>
    <row r="8" spans="1:23" ht="15" customHeight="1" x14ac:dyDescent="0.2">
      <c r="B8" s="273" t="s">
        <v>52</v>
      </c>
      <c r="C8" s="273" t="s">
        <v>603</v>
      </c>
      <c r="D8" s="273" t="s">
        <v>611</v>
      </c>
      <c r="E8" s="307" t="s">
        <v>220</v>
      </c>
      <c r="F8" s="269" t="s">
        <v>221</v>
      </c>
      <c r="G8" s="273"/>
      <c r="H8" s="273" t="s">
        <v>604</v>
      </c>
      <c r="I8" s="273" t="s">
        <v>314</v>
      </c>
      <c r="J8" s="308">
        <v>1</v>
      </c>
      <c r="K8" s="273" t="s">
        <v>269</v>
      </c>
      <c r="L8" s="309">
        <v>2244077.3199999998</v>
      </c>
      <c r="M8" s="310">
        <f t="shared" si="0"/>
        <v>2244077.3199999998</v>
      </c>
      <c r="N8" s="311">
        <v>0</v>
      </c>
      <c r="O8" s="312">
        <f t="shared" si="1"/>
        <v>0</v>
      </c>
      <c r="P8" s="313">
        <v>0.16</v>
      </c>
      <c r="Q8" s="312">
        <f t="shared" si="2"/>
        <v>359052.37119999999</v>
      </c>
      <c r="R8" s="312">
        <f t="shared" si="3"/>
        <v>2603129.6911999998</v>
      </c>
      <c r="S8" s="314">
        <f>INDEX('Glosario Partidas'!$M$8:$M$10,MATCH(K8,'Glosario Partidas'!$L$8:$L$10,0))</f>
        <v>1</v>
      </c>
      <c r="T8" s="310">
        <f t="shared" si="4"/>
        <v>2603129.6911999998</v>
      </c>
      <c r="U8" s="268"/>
      <c r="V8" s="249" t="s">
        <v>12</v>
      </c>
      <c r="W8" s="249" t="s">
        <v>605</v>
      </c>
    </row>
    <row r="9" spans="1:23" ht="15" customHeight="1" x14ac:dyDescent="0.2">
      <c r="B9" s="273" t="s">
        <v>52</v>
      </c>
      <c r="C9" s="273" t="s">
        <v>603</v>
      </c>
      <c r="D9" s="273" t="s">
        <v>612</v>
      </c>
      <c r="E9" s="307" t="s">
        <v>220</v>
      </c>
      <c r="F9" s="269" t="s">
        <v>221</v>
      </c>
      <c r="G9" s="273"/>
      <c r="H9" s="273" t="s">
        <v>604</v>
      </c>
      <c r="I9" s="273" t="s">
        <v>314</v>
      </c>
      <c r="J9" s="308">
        <v>0</v>
      </c>
      <c r="K9" s="273" t="s">
        <v>269</v>
      </c>
      <c r="L9" s="309">
        <v>2657871.9700000002</v>
      </c>
      <c r="M9" s="310">
        <f t="shared" si="0"/>
        <v>0</v>
      </c>
      <c r="N9" s="311">
        <v>0</v>
      </c>
      <c r="O9" s="312">
        <f t="shared" si="1"/>
        <v>0</v>
      </c>
      <c r="P9" s="313">
        <v>0.16</v>
      </c>
      <c r="Q9" s="312">
        <f t="shared" si="2"/>
        <v>0</v>
      </c>
      <c r="R9" s="312">
        <f t="shared" si="3"/>
        <v>0</v>
      </c>
      <c r="S9" s="314">
        <f>INDEX('Glosario Partidas'!$M$8:$M$10,MATCH(K9,'Glosario Partidas'!$L$8:$L$10,0))</f>
        <v>1</v>
      </c>
      <c r="T9" s="310">
        <f t="shared" si="4"/>
        <v>0</v>
      </c>
      <c r="U9" s="268"/>
      <c r="V9" s="249" t="s">
        <v>12</v>
      </c>
      <c r="W9" s="249" t="s">
        <v>605</v>
      </c>
    </row>
    <row r="10" spans="1:23" ht="15" customHeight="1" x14ac:dyDescent="0.2">
      <c r="B10" s="273" t="s">
        <v>52</v>
      </c>
      <c r="C10" s="273" t="s">
        <v>603</v>
      </c>
      <c r="D10" s="273" t="s">
        <v>613</v>
      </c>
      <c r="E10" s="307" t="s">
        <v>220</v>
      </c>
      <c r="F10" s="269" t="s">
        <v>221</v>
      </c>
      <c r="G10" s="273"/>
      <c r="H10" s="273" t="s">
        <v>604</v>
      </c>
      <c r="I10" s="273" t="s">
        <v>314</v>
      </c>
      <c r="J10" s="308">
        <v>1</v>
      </c>
      <c r="K10" s="273" t="s">
        <v>269</v>
      </c>
      <c r="L10" s="309">
        <v>445096.1</v>
      </c>
      <c r="M10" s="310">
        <f t="shared" si="0"/>
        <v>445096.1</v>
      </c>
      <c r="N10" s="311">
        <v>0</v>
      </c>
      <c r="O10" s="312">
        <f t="shared" si="1"/>
        <v>0</v>
      </c>
      <c r="P10" s="313">
        <v>0.16</v>
      </c>
      <c r="Q10" s="312">
        <f t="shared" si="2"/>
        <v>71215.376000000004</v>
      </c>
      <c r="R10" s="312">
        <f t="shared" si="3"/>
        <v>516311.47599999997</v>
      </c>
      <c r="S10" s="314">
        <f>INDEX('Glosario Partidas'!$M$8:$M$10,MATCH(K10,'Glosario Partidas'!$L$8:$L$10,0))</f>
        <v>1</v>
      </c>
      <c r="T10" s="310">
        <f t="shared" si="4"/>
        <v>516311.47599999997</v>
      </c>
      <c r="U10" s="268"/>
      <c r="V10" s="249" t="s">
        <v>12</v>
      </c>
      <c r="W10" s="249" t="s">
        <v>605</v>
      </c>
    </row>
    <row r="11" spans="1:23" ht="15" customHeight="1" x14ac:dyDescent="0.2">
      <c r="B11" s="273" t="s">
        <v>52</v>
      </c>
      <c r="C11" s="273" t="s">
        <v>603</v>
      </c>
      <c r="D11" s="273" t="s">
        <v>614</v>
      </c>
      <c r="E11" s="307" t="s">
        <v>220</v>
      </c>
      <c r="F11" s="269" t="s">
        <v>221</v>
      </c>
      <c r="G11" s="273"/>
      <c r="H11" s="273" t="s">
        <v>604</v>
      </c>
      <c r="I11" s="273" t="s">
        <v>314</v>
      </c>
      <c r="J11" s="308">
        <v>1</v>
      </c>
      <c r="K11" s="273" t="s">
        <v>269</v>
      </c>
      <c r="L11" s="309">
        <v>102551.7</v>
      </c>
      <c r="M11" s="310">
        <f t="shared" si="0"/>
        <v>102551.7</v>
      </c>
      <c r="N11" s="311">
        <v>0</v>
      </c>
      <c r="O11" s="312">
        <f t="shared" si="1"/>
        <v>0</v>
      </c>
      <c r="P11" s="313">
        <v>0.16</v>
      </c>
      <c r="Q11" s="312">
        <f t="shared" si="2"/>
        <v>16408.272000000001</v>
      </c>
      <c r="R11" s="312">
        <f t="shared" si="3"/>
        <v>118959.97199999999</v>
      </c>
      <c r="S11" s="314">
        <f>INDEX('Glosario Partidas'!$M$8:$M$10,MATCH(K11,'Glosario Partidas'!$L$8:$L$10,0))</f>
        <v>1</v>
      </c>
      <c r="T11" s="310">
        <f t="shared" si="4"/>
        <v>118959.97199999999</v>
      </c>
      <c r="U11" s="268"/>
      <c r="V11" s="249" t="s">
        <v>12</v>
      </c>
      <c r="W11" s="249" t="s">
        <v>605</v>
      </c>
    </row>
    <row r="12" spans="1:23" ht="15" customHeight="1" x14ac:dyDescent="0.2">
      <c r="B12" s="273" t="s">
        <v>52</v>
      </c>
      <c r="C12" s="273" t="s">
        <v>603</v>
      </c>
      <c r="D12" s="273" t="s">
        <v>615</v>
      </c>
      <c r="E12" s="307" t="s">
        <v>220</v>
      </c>
      <c r="F12" s="269" t="s">
        <v>221</v>
      </c>
      <c r="G12" s="273"/>
      <c r="H12" s="273" t="s">
        <v>604</v>
      </c>
      <c r="I12" s="273" t="s">
        <v>314</v>
      </c>
      <c r="J12" s="308">
        <v>1</v>
      </c>
      <c r="K12" s="273" t="s">
        <v>269</v>
      </c>
      <c r="L12" s="309">
        <v>249617.05</v>
      </c>
      <c r="M12" s="310">
        <f t="shared" si="0"/>
        <v>249617.05</v>
      </c>
      <c r="N12" s="311">
        <v>0</v>
      </c>
      <c r="O12" s="312">
        <f t="shared" si="1"/>
        <v>0</v>
      </c>
      <c r="P12" s="313">
        <v>0.16</v>
      </c>
      <c r="Q12" s="312">
        <f t="shared" si="2"/>
        <v>39938.727999999996</v>
      </c>
      <c r="R12" s="312">
        <f t="shared" si="3"/>
        <v>289555.77799999999</v>
      </c>
      <c r="S12" s="314">
        <f>INDEX('Glosario Partidas'!$M$8:$M$10,MATCH(K12,'Glosario Partidas'!$L$8:$L$10,0))</f>
        <v>1</v>
      </c>
      <c r="T12" s="310">
        <f t="shared" si="4"/>
        <v>289555.77799999999</v>
      </c>
      <c r="U12" s="268"/>
      <c r="V12" s="249" t="s">
        <v>12</v>
      </c>
      <c r="W12" s="249" t="s">
        <v>605</v>
      </c>
    </row>
    <row r="13" spans="1:23" ht="15" customHeight="1" x14ac:dyDescent="0.2">
      <c r="B13" s="273" t="s">
        <v>52</v>
      </c>
      <c r="C13" s="273" t="s">
        <v>603</v>
      </c>
      <c r="D13" s="273" t="s">
        <v>616</v>
      </c>
      <c r="E13" s="307" t="s">
        <v>220</v>
      </c>
      <c r="F13" s="269" t="s">
        <v>221</v>
      </c>
      <c r="G13" s="273"/>
      <c r="H13" s="273" t="s">
        <v>604</v>
      </c>
      <c r="I13" s="273" t="s">
        <v>314</v>
      </c>
      <c r="J13" s="308">
        <v>1</v>
      </c>
      <c r="K13" s="273" t="s">
        <v>269</v>
      </c>
      <c r="L13" s="309">
        <v>837675.13</v>
      </c>
      <c r="M13" s="310">
        <f t="shared" si="0"/>
        <v>837675.13</v>
      </c>
      <c r="N13" s="311">
        <v>0</v>
      </c>
      <c r="O13" s="312">
        <f t="shared" si="1"/>
        <v>0</v>
      </c>
      <c r="P13" s="313">
        <v>0.16</v>
      </c>
      <c r="Q13" s="312">
        <f t="shared" si="2"/>
        <v>134028.0208</v>
      </c>
      <c r="R13" s="312">
        <f t="shared" si="3"/>
        <v>971703.15079999994</v>
      </c>
      <c r="S13" s="314">
        <f>INDEX('Glosario Partidas'!$M$8:$M$10,MATCH(K13,'Glosario Partidas'!$L$8:$L$10,0))</f>
        <v>1</v>
      </c>
      <c r="T13" s="310">
        <f t="shared" si="4"/>
        <v>971703.15079999994</v>
      </c>
      <c r="U13" s="268"/>
      <c r="V13" s="249" t="s">
        <v>12</v>
      </c>
      <c r="W13" s="249" t="s">
        <v>605</v>
      </c>
    </row>
    <row r="14" spans="1:23" ht="15" customHeight="1" x14ac:dyDescent="0.2">
      <c r="B14" s="273" t="s">
        <v>52</v>
      </c>
      <c r="C14" s="273" t="s">
        <v>603</v>
      </c>
      <c r="D14" s="273" t="s">
        <v>617</v>
      </c>
      <c r="E14" s="307" t="s">
        <v>220</v>
      </c>
      <c r="F14" s="269" t="s">
        <v>221</v>
      </c>
      <c r="G14" s="273"/>
      <c r="H14" s="273" t="s">
        <v>604</v>
      </c>
      <c r="I14" s="273" t="s">
        <v>314</v>
      </c>
      <c r="J14" s="308">
        <v>1</v>
      </c>
      <c r="K14" s="273" t="s">
        <v>269</v>
      </c>
      <c r="L14" s="309">
        <v>72714.59</v>
      </c>
      <c r="M14" s="310">
        <f t="shared" si="0"/>
        <v>72714.59</v>
      </c>
      <c r="N14" s="311">
        <v>0</v>
      </c>
      <c r="O14" s="312">
        <f t="shared" si="1"/>
        <v>0</v>
      </c>
      <c r="P14" s="313">
        <v>0.16</v>
      </c>
      <c r="Q14" s="312">
        <f t="shared" si="2"/>
        <v>11634.3344</v>
      </c>
      <c r="R14" s="312">
        <f t="shared" si="3"/>
        <v>84348.924399999989</v>
      </c>
      <c r="S14" s="314">
        <f>INDEX('Glosario Partidas'!$M$8:$M$10,MATCH(K14,'Glosario Partidas'!$L$8:$L$10,0))</f>
        <v>1</v>
      </c>
      <c r="T14" s="310">
        <f t="shared" si="4"/>
        <v>84348.924399999989</v>
      </c>
      <c r="U14" s="268"/>
      <c r="V14" s="249" t="s">
        <v>12</v>
      </c>
      <c r="W14" s="249" t="s">
        <v>605</v>
      </c>
    </row>
    <row r="15" spans="1:23" ht="15" customHeight="1" x14ac:dyDescent="0.2">
      <c r="B15" s="273" t="s">
        <v>52</v>
      </c>
      <c r="C15" s="273" t="s">
        <v>603</v>
      </c>
      <c r="D15" s="273" t="s">
        <v>618</v>
      </c>
      <c r="E15" s="307" t="s">
        <v>220</v>
      </c>
      <c r="F15" s="269" t="s">
        <v>221</v>
      </c>
      <c r="G15" s="273"/>
      <c r="H15" s="273" t="s">
        <v>604</v>
      </c>
      <c r="I15" s="273" t="s">
        <v>314</v>
      </c>
      <c r="J15" s="308">
        <v>1</v>
      </c>
      <c r="K15" s="273" t="s">
        <v>269</v>
      </c>
      <c r="L15" s="309">
        <v>196715.12</v>
      </c>
      <c r="M15" s="310">
        <f t="shared" si="0"/>
        <v>196715.12</v>
      </c>
      <c r="N15" s="311">
        <v>0</v>
      </c>
      <c r="O15" s="312">
        <f t="shared" si="1"/>
        <v>0</v>
      </c>
      <c r="P15" s="313">
        <v>0.16</v>
      </c>
      <c r="Q15" s="312">
        <f t="shared" si="2"/>
        <v>31474.4192</v>
      </c>
      <c r="R15" s="312">
        <f t="shared" si="3"/>
        <v>228189.5392</v>
      </c>
      <c r="S15" s="314">
        <f>INDEX('Glosario Partidas'!$M$8:$M$10,MATCH(K15,'Glosario Partidas'!$L$8:$L$10,0))</f>
        <v>1</v>
      </c>
      <c r="T15" s="310">
        <f t="shared" si="4"/>
        <v>228189.5392</v>
      </c>
      <c r="U15" s="268"/>
      <c r="V15" s="249" t="s">
        <v>12</v>
      </c>
      <c r="W15" s="249" t="s">
        <v>605</v>
      </c>
    </row>
    <row r="16" spans="1:23" ht="15" customHeight="1" x14ac:dyDescent="0.2">
      <c r="B16" s="273" t="s">
        <v>52</v>
      </c>
      <c r="C16" s="273" t="s">
        <v>603</v>
      </c>
      <c r="D16" s="273" t="s">
        <v>619</v>
      </c>
      <c r="E16" s="307" t="s">
        <v>220</v>
      </c>
      <c r="F16" s="269" t="s">
        <v>221</v>
      </c>
      <c r="G16" s="273"/>
      <c r="H16" s="273" t="s">
        <v>604</v>
      </c>
      <c r="I16" s="273" t="s">
        <v>314</v>
      </c>
      <c r="J16" s="308">
        <v>1</v>
      </c>
      <c r="K16" s="273" t="s">
        <v>269</v>
      </c>
      <c r="L16" s="309">
        <v>40202.050000000003</v>
      </c>
      <c r="M16" s="310">
        <f t="shared" si="0"/>
        <v>40202.050000000003</v>
      </c>
      <c r="N16" s="311">
        <v>0</v>
      </c>
      <c r="O16" s="312">
        <f t="shared" si="1"/>
        <v>0</v>
      </c>
      <c r="P16" s="313">
        <v>0.16</v>
      </c>
      <c r="Q16" s="312">
        <f t="shared" si="2"/>
        <v>6432.3280000000004</v>
      </c>
      <c r="R16" s="312">
        <f t="shared" si="3"/>
        <v>46634.378000000004</v>
      </c>
      <c r="S16" s="314">
        <f>INDEX('Glosario Partidas'!$M$8:$M$10,MATCH(K16,'Glosario Partidas'!$L$8:$L$10,0))</f>
        <v>1</v>
      </c>
      <c r="T16" s="310">
        <f t="shared" si="4"/>
        <v>46634.378000000004</v>
      </c>
      <c r="U16" s="268"/>
      <c r="V16" s="249" t="s">
        <v>12</v>
      </c>
      <c r="W16" s="249" t="s">
        <v>605</v>
      </c>
    </row>
    <row r="17" spans="2:23" ht="15" customHeight="1" x14ac:dyDescent="0.2">
      <c r="B17" s="273" t="s">
        <v>52</v>
      </c>
      <c r="C17" s="273" t="s">
        <v>603</v>
      </c>
      <c r="D17" s="273" t="s">
        <v>620</v>
      </c>
      <c r="E17" s="307" t="s">
        <v>220</v>
      </c>
      <c r="F17" s="269" t="s">
        <v>221</v>
      </c>
      <c r="G17" s="273"/>
      <c r="H17" s="273" t="s">
        <v>604</v>
      </c>
      <c r="I17" s="273" t="s">
        <v>314</v>
      </c>
      <c r="J17" s="308">
        <v>1</v>
      </c>
      <c r="K17" s="273" t="s">
        <v>269</v>
      </c>
      <c r="L17" s="309">
        <v>126286.36</v>
      </c>
      <c r="M17" s="310">
        <f t="shared" si="0"/>
        <v>126286.36</v>
      </c>
      <c r="N17" s="311">
        <v>0</v>
      </c>
      <c r="O17" s="312">
        <f t="shared" si="1"/>
        <v>0</v>
      </c>
      <c r="P17" s="313">
        <v>0.16</v>
      </c>
      <c r="Q17" s="312">
        <f t="shared" si="2"/>
        <v>20205.817600000002</v>
      </c>
      <c r="R17" s="312">
        <f t="shared" si="3"/>
        <v>146492.1776</v>
      </c>
      <c r="S17" s="314">
        <f>INDEX('Glosario Partidas'!$M$8:$M$10,MATCH(K17,'Glosario Partidas'!$L$8:$L$10,0))</f>
        <v>1</v>
      </c>
      <c r="T17" s="310">
        <f t="shared" si="4"/>
        <v>146492.1776</v>
      </c>
      <c r="U17" s="268"/>
      <c r="V17" s="249" t="s">
        <v>12</v>
      </c>
      <c r="W17" s="249" t="s">
        <v>605</v>
      </c>
    </row>
    <row r="18" spans="2:23" ht="15" customHeight="1" x14ac:dyDescent="0.2">
      <c r="B18" s="273" t="s">
        <v>52</v>
      </c>
      <c r="C18" s="273" t="s">
        <v>603</v>
      </c>
      <c r="D18" s="273" t="s">
        <v>621</v>
      </c>
      <c r="E18" s="307" t="s">
        <v>220</v>
      </c>
      <c r="F18" s="269" t="s">
        <v>221</v>
      </c>
      <c r="G18" s="273"/>
      <c r="H18" s="273" t="s">
        <v>604</v>
      </c>
      <c r="I18" s="273" t="s">
        <v>314</v>
      </c>
      <c r="J18" s="308">
        <v>0</v>
      </c>
      <c r="K18" s="273" t="s">
        <v>269</v>
      </c>
      <c r="L18" s="309">
        <v>814956.83</v>
      </c>
      <c r="M18" s="310">
        <f t="shared" si="0"/>
        <v>0</v>
      </c>
      <c r="N18" s="311">
        <v>0</v>
      </c>
      <c r="O18" s="312">
        <f t="shared" si="1"/>
        <v>0</v>
      </c>
      <c r="P18" s="313">
        <v>0.16</v>
      </c>
      <c r="Q18" s="312">
        <f t="shared" si="2"/>
        <v>0</v>
      </c>
      <c r="R18" s="312">
        <f t="shared" si="3"/>
        <v>0</v>
      </c>
      <c r="S18" s="314">
        <f>INDEX('Glosario Partidas'!$M$8:$M$10,MATCH(K18,'Glosario Partidas'!$L$8:$L$10,0))</f>
        <v>1</v>
      </c>
      <c r="T18" s="310">
        <f t="shared" si="4"/>
        <v>0</v>
      </c>
      <c r="U18" s="268"/>
      <c r="V18" s="249" t="s">
        <v>12</v>
      </c>
      <c r="W18" s="249" t="s">
        <v>605</v>
      </c>
    </row>
    <row r="19" spans="2:23" ht="15" customHeight="1" x14ac:dyDescent="0.2">
      <c r="B19" s="273" t="s">
        <v>52</v>
      </c>
      <c r="C19" s="273" t="s">
        <v>622</v>
      </c>
      <c r="D19" s="273" t="s">
        <v>623</v>
      </c>
      <c r="E19" s="307" t="s">
        <v>220</v>
      </c>
      <c r="F19" s="269" t="s">
        <v>354</v>
      </c>
      <c r="G19" s="273"/>
      <c r="H19" s="273" t="s">
        <v>604</v>
      </c>
      <c r="I19" s="273" t="s">
        <v>314</v>
      </c>
      <c r="J19" s="308">
        <v>1</v>
      </c>
      <c r="K19" s="273" t="s">
        <v>269</v>
      </c>
      <c r="L19" s="309">
        <v>376626.71</v>
      </c>
      <c r="M19" s="310">
        <f t="shared" si="0"/>
        <v>376626.71</v>
      </c>
      <c r="N19" s="311">
        <v>0</v>
      </c>
      <c r="O19" s="312">
        <f t="shared" si="1"/>
        <v>0</v>
      </c>
      <c r="P19" s="313">
        <v>0.16</v>
      </c>
      <c r="Q19" s="312">
        <f t="shared" si="2"/>
        <v>60260.273600000008</v>
      </c>
      <c r="R19" s="312">
        <f t="shared" si="3"/>
        <v>436886.98360000004</v>
      </c>
      <c r="S19" s="314">
        <f>INDEX('Glosario Partidas'!$M$8:$M$10,MATCH(K19,'Glosario Partidas'!$L$8:$L$10,0))</f>
        <v>1</v>
      </c>
      <c r="T19" s="310">
        <f t="shared" si="4"/>
        <v>436886.98360000004</v>
      </c>
      <c r="U19" s="268"/>
      <c r="V19" s="249" t="s">
        <v>12</v>
      </c>
      <c r="W19" s="249" t="s">
        <v>605</v>
      </c>
    </row>
    <row r="20" spans="2:23" ht="15" customHeight="1" x14ac:dyDescent="0.2">
      <c r="B20" s="273" t="s">
        <v>52</v>
      </c>
      <c r="C20" s="273" t="s">
        <v>622</v>
      </c>
      <c r="D20" s="273" t="s">
        <v>624</v>
      </c>
      <c r="E20" s="307" t="s">
        <v>220</v>
      </c>
      <c r="F20" s="269" t="s">
        <v>354</v>
      </c>
      <c r="G20" s="273"/>
      <c r="H20" s="273" t="s">
        <v>604</v>
      </c>
      <c r="I20" s="273" t="s">
        <v>314</v>
      </c>
      <c r="J20" s="308">
        <v>1</v>
      </c>
      <c r="K20" s="273" t="s">
        <v>269</v>
      </c>
      <c r="L20" s="309">
        <v>1810589.6</v>
      </c>
      <c r="M20" s="310">
        <f t="shared" si="0"/>
        <v>1810589.6</v>
      </c>
      <c r="N20" s="311">
        <v>0</v>
      </c>
      <c r="O20" s="312">
        <f t="shared" si="1"/>
        <v>0</v>
      </c>
      <c r="P20" s="313">
        <v>0.16</v>
      </c>
      <c r="Q20" s="312">
        <f t="shared" si="2"/>
        <v>289694.33600000001</v>
      </c>
      <c r="R20" s="312">
        <f t="shared" si="3"/>
        <v>2100283.9360000002</v>
      </c>
      <c r="S20" s="314">
        <f>INDEX('Glosario Partidas'!$M$8:$M$10,MATCH(K20,'Glosario Partidas'!$L$8:$L$10,0))</f>
        <v>1</v>
      </c>
      <c r="T20" s="310">
        <f t="shared" si="4"/>
        <v>2100283.9360000002</v>
      </c>
      <c r="U20" s="268"/>
      <c r="V20" s="249" t="s">
        <v>12</v>
      </c>
      <c r="W20" s="249" t="s">
        <v>605</v>
      </c>
    </row>
    <row r="21" spans="2:23" ht="15" customHeight="1" x14ac:dyDescent="0.2">
      <c r="B21" s="273" t="s">
        <v>52</v>
      </c>
      <c r="C21" s="273" t="s">
        <v>622</v>
      </c>
      <c r="D21" s="273" t="s">
        <v>609</v>
      </c>
      <c r="E21" s="307" t="s">
        <v>220</v>
      </c>
      <c r="F21" s="269" t="s">
        <v>354</v>
      </c>
      <c r="G21" s="273"/>
      <c r="H21" s="273" t="s">
        <v>604</v>
      </c>
      <c r="I21" s="273" t="s">
        <v>314</v>
      </c>
      <c r="J21" s="308">
        <v>1</v>
      </c>
      <c r="K21" s="273" t="s">
        <v>269</v>
      </c>
      <c r="L21" s="309">
        <v>82022.77</v>
      </c>
      <c r="M21" s="310">
        <f t="shared" si="0"/>
        <v>82022.77</v>
      </c>
      <c r="N21" s="311">
        <v>0</v>
      </c>
      <c r="O21" s="312">
        <f t="shared" si="1"/>
        <v>0</v>
      </c>
      <c r="P21" s="313">
        <v>0.16</v>
      </c>
      <c r="Q21" s="312">
        <f t="shared" si="2"/>
        <v>13123.6432</v>
      </c>
      <c r="R21" s="312">
        <f t="shared" si="3"/>
        <v>95146.41320000001</v>
      </c>
      <c r="S21" s="314">
        <f>INDEX('Glosario Partidas'!$M$8:$M$10,MATCH(K21,'Glosario Partidas'!$L$8:$L$10,0))</f>
        <v>1</v>
      </c>
      <c r="T21" s="310">
        <f t="shared" si="4"/>
        <v>95146.41320000001</v>
      </c>
      <c r="U21" s="268"/>
      <c r="V21" s="249" t="s">
        <v>12</v>
      </c>
      <c r="W21" s="249" t="s">
        <v>605</v>
      </c>
    </row>
    <row r="22" spans="2:23" ht="15" customHeight="1" x14ac:dyDescent="0.2">
      <c r="B22" s="273" t="s">
        <v>52</v>
      </c>
      <c r="C22" s="273" t="s">
        <v>622</v>
      </c>
      <c r="D22" s="273" t="s">
        <v>611</v>
      </c>
      <c r="E22" s="307" t="s">
        <v>220</v>
      </c>
      <c r="F22" s="269" t="s">
        <v>354</v>
      </c>
      <c r="G22" s="273"/>
      <c r="H22" s="273" t="s">
        <v>604</v>
      </c>
      <c r="I22" s="273" t="s">
        <v>314</v>
      </c>
      <c r="J22" s="308">
        <v>1</v>
      </c>
      <c r="K22" s="273" t="s">
        <v>269</v>
      </c>
      <c r="L22" s="309">
        <v>2136642.9300000002</v>
      </c>
      <c r="M22" s="310">
        <f t="shared" si="0"/>
        <v>2136642.9300000002</v>
      </c>
      <c r="N22" s="311">
        <v>0</v>
      </c>
      <c r="O22" s="312">
        <f t="shared" si="1"/>
        <v>0</v>
      </c>
      <c r="P22" s="313">
        <v>0.16</v>
      </c>
      <c r="Q22" s="312">
        <f t="shared" si="2"/>
        <v>341862.86880000005</v>
      </c>
      <c r="R22" s="312">
        <f t="shared" si="3"/>
        <v>2478505.7988</v>
      </c>
      <c r="S22" s="314">
        <f>INDEX('Glosario Partidas'!$M$8:$M$10,MATCH(K22,'Glosario Partidas'!$L$8:$L$10,0))</f>
        <v>1</v>
      </c>
      <c r="T22" s="310">
        <f t="shared" si="4"/>
        <v>2478505.7988</v>
      </c>
      <c r="U22" s="268"/>
      <c r="V22" s="249" t="s">
        <v>12</v>
      </c>
      <c r="W22" s="249" t="s">
        <v>605</v>
      </c>
    </row>
    <row r="23" spans="2:23" ht="15" customHeight="1" x14ac:dyDescent="0.2">
      <c r="B23" s="273" t="s">
        <v>52</v>
      </c>
      <c r="C23" s="273" t="s">
        <v>622</v>
      </c>
      <c r="D23" s="273" t="s">
        <v>612</v>
      </c>
      <c r="E23" s="307" t="s">
        <v>220</v>
      </c>
      <c r="F23" s="269" t="s">
        <v>354</v>
      </c>
      <c r="G23" s="273"/>
      <c r="H23" s="273" t="s">
        <v>604</v>
      </c>
      <c r="I23" s="273" t="s">
        <v>314</v>
      </c>
      <c r="J23" s="308">
        <v>0</v>
      </c>
      <c r="K23" s="273" t="s">
        <v>269</v>
      </c>
      <c r="L23" s="309">
        <v>3384587.1</v>
      </c>
      <c r="M23" s="310">
        <f t="shared" si="0"/>
        <v>0</v>
      </c>
      <c r="N23" s="311">
        <v>0</v>
      </c>
      <c r="O23" s="312">
        <f t="shared" si="1"/>
        <v>0</v>
      </c>
      <c r="P23" s="313">
        <v>0.16</v>
      </c>
      <c r="Q23" s="312">
        <f t="shared" si="2"/>
        <v>0</v>
      </c>
      <c r="R23" s="312">
        <f t="shared" si="3"/>
        <v>0</v>
      </c>
      <c r="S23" s="314">
        <f>INDEX('Glosario Partidas'!$M$8:$M$10,MATCH(K23,'Glosario Partidas'!$L$8:$L$10,0))</f>
        <v>1</v>
      </c>
      <c r="T23" s="310">
        <f t="shared" si="4"/>
        <v>0</v>
      </c>
      <c r="U23" s="268"/>
      <c r="V23" s="249" t="s">
        <v>12</v>
      </c>
      <c r="W23" s="249" t="s">
        <v>605</v>
      </c>
    </row>
    <row r="24" spans="2:23" ht="15" customHeight="1" x14ac:dyDescent="0.2">
      <c r="B24" s="273" t="s">
        <v>52</v>
      </c>
      <c r="C24" s="273" t="s">
        <v>622</v>
      </c>
      <c r="D24" s="273" t="s">
        <v>613</v>
      </c>
      <c r="E24" s="307" t="s">
        <v>220</v>
      </c>
      <c r="F24" s="269" t="s">
        <v>354</v>
      </c>
      <c r="G24" s="273"/>
      <c r="H24" s="273" t="s">
        <v>604</v>
      </c>
      <c r="I24" s="273" t="s">
        <v>314</v>
      </c>
      <c r="J24" s="308">
        <v>1</v>
      </c>
      <c r="K24" s="273" t="s">
        <v>269</v>
      </c>
      <c r="L24" s="309">
        <v>446718.46</v>
      </c>
      <c r="M24" s="310">
        <f t="shared" si="0"/>
        <v>446718.46</v>
      </c>
      <c r="N24" s="311">
        <v>0</v>
      </c>
      <c r="O24" s="312">
        <f t="shared" si="1"/>
        <v>0</v>
      </c>
      <c r="P24" s="313">
        <v>0.16</v>
      </c>
      <c r="Q24" s="312">
        <f t="shared" si="2"/>
        <v>71474.953600000008</v>
      </c>
      <c r="R24" s="312">
        <f t="shared" si="3"/>
        <v>518193.41360000003</v>
      </c>
      <c r="S24" s="314">
        <f>INDEX('Glosario Partidas'!$M$8:$M$10,MATCH(K24,'Glosario Partidas'!$L$8:$L$10,0))</f>
        <v>1</v>
      </c>
      <c r="T24" s="310">
        <f t="shared" si="4"/>
        <v>518193.41360000003</v>
      </c>
      <c r="U24" s="268"/>
      <c r="V24" s="249" t="s">
        <v>12</v>
      </c>
      <c r="W24" s="249" t="s">
        <v>605</v>
      </c>
    </row>
    <row r="25" spans="2:23" ht="15" customHeight="1" x14ac:dyDescent="0.2">
      <c r="B25" s="273" t="s">
        <v>52</v>
      </c>
      <c r="C25" s="273" t="s">
        <v>622</v>
      </c>
      <c r="D25" s="273" t="s">
        <v>620</v>
      </c>
      <c r="E25" s="307" t="s">
        <v>220</v>
      </c>
      <c r="F25" s="269" t="s">
        <v>354</v>
      </c>
      <c r="G25" s="273"/>
      <c r="H25" s="273" t="s">
        <v>604</v>
      </c>
      <c r="I25" s="273" t="s">
        <v>314</v>
      </c>
      <c r="J25" s="308">
        <v>1</v>
      </c>
      <c r="K25" s="273" t="s">
        <v>269</v>
      </c>
      <c r="L25" s="309">
        <v>126286.36</v>
      </c>
      <c r="M25" s="310">
        <f t="shared" si="0"/>
        <v>126286.36</v>
      </c>
      <c r="N25" s="311">
        <v>0</v>
      </c>
      <c r="O25" s="312">
        <f t="shared" si="1"/>
        <v>0</v>
      </c>
      <c r="P25" s="313">
        <v>0.16</v>
      </c>
      <c r="Q25" s="312">
        <f t="shared" si="2"/>
        <v>20205.817600000002</v>
      </c>
      <c r="R25" s="312">
        <f t="shared" si="3"/>
        <v>146492.1776</v>
      </c>
      <c r="S25" s="314">
        <f>INDEX('Glosario Partidas'!$M$8:$M$10,MATCH(K25,'Glosario Partidas'!$L$8:$L$10,0))</f>
        <v>1</v>
      </c>
      <c r="T25" s="310">
        <f t="shared" si="4"/>
        <v>146492.1776</v>
      </c>
      <c r="U25" s="268"/>
      <c r="V25" s="249" t="s">
        <v>12</v>
      </c>
      <c r="W25" s="249" t="s">
        <v>605</v>
      </c>
    </row>
    <row r="26" spans="2:23" ht="15" customHeight="1" x14ac:dyDescent="0.2">
      <c r="B26" s="273" t="s">
        <v>52</v>
      </c>
      <c r="C26" s="273" t="s">
        <v>622</v>
      </c>
      <c r="D26" s="273" t="s">
        <v>621</v>
      </c>
      <c r="E26" s="307" t="s">
        <v>220</v>
      </c>
      <c r="F26" s="269" t="s">
        <v>354</v>
      </c>
      <c r="G26" s="273"/>
      <c r="H26" s="273" t="s">
        <v>604</v>
      </c>
      <c r="I26" s="273" t="s">
        <v>314</v>
      </c>
      <c r="J26" s="308">
        <v>0</v>
      </c>
      <c r="K26" s="273" t="s">
        <v>269</v>
      </c>
      <c r="L26" s="309">
        <v>980725.01</v>
      </c>
      <c r="M26" s="310">
        <f t="shared" si="0"/>
        <v>0</v>
      </c>
      <c r="N26" s="311">
        <v>0</v>
      </c>
      <c r="O26" s="312">
        <f t="shared" si="1"/>
        <v>0</v>
      </c>
      <c r="P26" s="313">
        <v>0.16</v>
      </c>
      <c r="Q26" s="312">
        <f t="shared" si="2"/>
        <v>0</v>
      </c>
      <c r="R26" s="312">
        <f t="shared" si="3"/>
        <v>0</v>
      </c>
      <c r="S26" s="314">
        <f>INDEX('Glosario Partidas'!$M$8:$M$10,MATCH(K26,'Glosario Partidas'!$L$8:$L$10,0))</f>
        <v>1</v>
      </c>
      <c r="T26" s="310">
        <f t="shared" si="4"/>
        <v>0</v>
      </c>
      <c r="U26" s="268"/>
      <c r="V26" s="249" t="s">
        <v>12</v>
      </c>
      <c r="W26" s="249" t="s">
        <v>605</v>
      </c>
    </row>
    <row r="27" spans="2:23" ht="15" customHeight="1" x14ac:dyDescent="0.2">
      <c r="B27" s="273" t="s">
        <v>52</v>
      </c>
      <c r="C27" s="273" t="s">
        <v>625</v>
      </c>
      <c r="D27" s="273" t="s">
        <v>626</v>
      </c>
      <c r="E27" s="307" t="s">
        <v>220</v>
      </c>
      <c r="F27" s="269" t="s">
        <v>355</v>
      </c>
      <c r="G27" s="268"/>
      <c r="H27" s="273" t="s">
        <v>604</v>
      </c>
      <c r="I27" s="273" t="s">
        <v>314</v>
      </c>
      <c r="J27" s="308">
        <v>1</v>
      </c>
      <c r="K27" s="273" t="s">
        <v>269</v>
      </c>
      <c r="L27" s="309">
        <v>282762.88</v>
      </c>
      <c r="M27" s="310">
        <f t="shared" si="0"/>
        <v>282762.88</v>
      </c>
      <c r="N27" s="311">
        <v>0</v>
      </c>
      <c r="O27" s="312">
        <f t="shared" si="1"/>
        <v>0</v>
      </c>
      <c r="P27" s="313">
        <v>0.16</v>
      </c>
      <c r="Q27" s="312">
        <f t="shared" si="2"/>
        <v>45242.060799999999</v>
      </c>
      <c r="R27" s="312">
        <f t="shared" si="3"/>
        <v>328004.94079999998</v>
      </c>
      <c r="S27" s="314">
        <f>INDEX('Glosario Partidas'!$M$8:$M$10,MATCH(K27,'Glosario Partidas'!$L$8:$L$10,0))</f>
        <v>1</v>
      </c>
      <c r="T27" s="310">
        <f t="shared" si="4"/>
        <v>328004.94079999998</v>
      </c>
      <c r="U27" s="268"/>
      <c r="V27" s="249" t="s">
        <v>12</v>
      </c>
      <c r="W27" s="249" t="s">
        <v>605</v>
      </c>
    </row>
    <row r="28" spans="2:23" ht="15" customHeight="1" x14ac:dyDescent="0.2">
      <c r="B28" s="273" t="s">
        <v>52</v>
      </c>
      <c r="C28" s="273" t="s">
        <v>625</v>
      </c>
      <c r="D28" s="273" t="s">
        <v>624</v>
      </c>
      <c r="E28" s="307" t="s">
        <v>220</v>
      </c>
      <c r="F28" s="269" t="s">
        <v>355</v>
      </c>
      <c r="G28" s="268"/>
      <c r="H28" s="273" t="s">
        <v>604</v>
      </c>
      <c r="I28" s="273" t="s">
        <v>314</v>
      </c>
      <c r="J28" s="308">
        <v>1</v>
      </c>
      <c r="K28" s="273" t="s">
        <v>269</v>
      </c>
      <c r="L28" s="309">
        <v>1319233.27</v>
      </c>
      <c r="M28" s="310">
        <f t="shared" si="0"/>
        <v>1319233.27</v>
      </c>
      <c r="N28" s="311">
        <v>0</v>
      </c>
      <c r="O28" s="312">
        <f t="shared" si="1"/>
        <v>0</v>
      </c>
      <c r="P28" s="313">
        <v>0.16</v>
      </c>
      <c r="Q28" s="312">
        <f t="shared" si="2"/>
        <v>211077.32320000001</v>
      </c>
      <c r="R28" s="312">
        <f t="shared" si="3"/>
        <v>1530310.5932</v>
      </c>
      <c r="S28" s="314">
        <f>INDEX('Glosario Partidas'!$M$8:$M$10,MATCH(K28,'Glosario Partidas'!$L$8:$L$10,0))</f>
        <v>1</v>
      </c>
      <c r="T28" s="310">
        <f t="shared" si="4"/>
        <v>1530310.5932</v>
      </c>
      <c r="U28" s="268"/>
      <c r="V28" s="249" t="s">
        <v>12</v>
      </c>
      <c r="W28" s="249" t="s">
        <v>605</v>
      </c>
    </row>
    <row r="29" spans="2:23" ht="15" customHeight="1" x14ac:dyDescent="0.2">
      <c r="B29" s="273" t="s">
        <v>52</v>
      </c>
      <c r="C29" s="273" t="s">
        <v>625</v>
      </c>
      <c r="D29" s="273" t="s">
        <v>609</v>
      </c>
      <c r="E29" s="307" t="s">
        <v>220</v>
      </c>
      <c r="F29" s="269" t="s">
        <v>355</v>
      </c>
      <c r="G29" s="268"/>
      <c r="H29" s="273" t="s">
        <v>604</v>
      </c>
      <c r="I29" s="273" t="s">
        <v>314</v>
      </c>
      <c r="J29" s="308">
        <v>1</v>
      </c>
      <c r="K29" s="273" t="s">
        <v>269</v>
      </c>
      <c r="L29" s="309">
        <v>33782.67</v>
      </c>
      <c r="M29" s="310">
        <f t="shared" si="0"/>
        <v>33782.67</v>
      </c>
      <c r="N29" s="311">
        <v>0</v>
      </c>
      <c r="O29" s="312">
        <f t="shared" si="1"/>
        <v>0</v>
      </c>
      <c r="P29" s="313">
        <v>0.16</v>
      </c>
      <c r="Q29" s="312">
        <f t="shared" si="2"/>
        <v>5405.2272000000003</v>
      </c>
      <c r="R29" s="312">
        <f t="shared" si="3"/>
        <v>39187.897199999999</v>
      </c>
      <c r="S29" s="314">
        <f>INDEX('Glosario Partidas'!$M$8:$M$10,MATCH(K29,'Glosario Partidas'!$L$8:$L$10,0))</f>
        <v>1</v>
      </c>
      <c r="T29" s="310">
        <f t="shared" si="4"/>
        <v>39187.897199999999</v>
      </c>
      <c r="U29" s="268"/>
      <c r="V29" s="249" t="s">
        <v>12</v>
      </c>
      <c r="W29" s="249" t="s">
        <v>605</v>
      </c>
    </row>
    <row r="30" spans="2:23" ht="15" customHeight="1" x14ac:dyDescent="0.2">
      <c r="B30" s="273" t="s">
        <v>52</v>
      </c>
      <c r="C30" s="273" t="s">
        <v>625</v>
      </c>
      <c r="D30" s="273" t="s">
        <v>627</v>
      </c>
      <c r="E30" s="307" t="s">
        <v>220</v>
      </c>
      <c r="F30" s="269" t="s">
        <v>355</v>
      </c>
      <c r="G30" s="268"/>
      <c r="H30" s="273" t="s">
        <v>604</v>
      </c>
      <c r="I30" s="273" t="s">
        <v>314</v>
      </c>
      <c r="J30" s="308">
        <v>1</v>
      </c>
      <c r="K30" s="273" t="s">
        <v>269</v>
      </c>
      <c r="L30" s="309">
        <v>259284.15</v>
      </c>
      <c r="M30" s="310">
        <f t="shared" si="0"/>
        <v>259284.15</v>
      </c>
      <c r="N30" s="311">
        <v>0</v>
      </c>
      <c r="O30" s="312">
        <f t="shared" si="1"/>
        <v>0</v>
      </c>
      <c r="P30" s="313">
        <v>0.16</v>
      </c>
      <c r="Q30" s="312">
        <f t="shared" si="2"/>
        <v>41485.464</v>
      </c>
      <c r="R30" s="312">
        <f t="shared" si="3"/>
        <v>300769.614</v>
      </c>
      <c r="S30" s="314">
        <f>INDEX('Glosario Partidas'!$M$8:$M$10,MATCH(K30,'Glosario Partidas'!$L$8:$L$10,0))</f>
        <v>1</v>
      </c>
      <c r="T30" s="310">
        <f t="shared" si="4"/>
        <v>300769.614</v>
      </c>
      <c r="U30" s="268"/>
      <c r="V30" s="249" t="s">
        <v>12</v>
      </c>
      <c r="W30" s="249" t="s">
        <v>605</v>
      </c>
    </row>
    <row r="31" spans="2:23" ht="15" customHeight="1" x14ac:dyDescent="0.2">
      <c r="B31" s="273" t="s">
        <v>52</v>
      </c>
      <c r="C31" s="273" t="s">
        <v>625</v>
      </c>
      <c r="D31" s="273" t="s">
        <v>628</v>
      </c>
      <c r="E31" s="307" t="s">
        <v>220</v>
      </c>
      <c r="F31" s="269" t="s">
        <v>355</v>
      </c>
      <c r="G31" s="268"/>
      <c r="H31" s="273" t="s">
        <v>604</v>
      </c>
      <c r="I31" s="273" t="s">
        <v>314</v>
      </c>
      <c r="J31" s="308">
        <v>1</v>
      </c>
      <c r="K31" s="273" t="s">
        <v>269</v>
      </c>
      <c r="L31" s="309">
        <v>706447.5</v>
      </c>
      <c r="M31" s="310">
        <f t="shared" si="0"/>
        <v>706447.5</v>
      </c>
      <c r="N31" s="311">
        <v>0</v>
      </c>
      <c r="O31" s="312">
        <f t="shared" si="1"/>
        <v>0</v>
      </c>
      <c r="P31" s="313">
        <v>0.16</v>
      </c>
      <c r="Q31" s="312">
        <f t="shared" si="2"/>
        <v>113031.6</v>
      </c>
      <c r="R31" s="312">
        <f t="shared" si="3"/>
        <v>819479.1</v>
      </c>
      <c r="S31" s="314">
        <f>INDEX('Glosario Partidas'!$M$8:$M$10,MATCH(K31,'Glosario Partidas'!$L$8:$L$10,0))</f>
        <v>1</v>
      </c>
      <c r="T31" s="310">
        <f t="shared" si="4"/>
        <v>819479.1</v>
      </c>
      <c r="U31" s="268"/>
      <c r="V31" s="249" t="s">
        <v>12</v>
      </c>
      <c r="W31" s="249" t="s">
        <v>605</v>
      </c>
    </row>
    <row r="32" spans="2:23" ht="15" customHeight="1" x14ac:dyDescent="0.2">
      <c r="B32" s="273" t="s">
        <v>52</v>
      </c>
      <c r="C32" s="273" t="s">
        <v>625</v>
      </c>
      <c r="D32" s="273" t="s">
        <v>616</v>
      </c>
      <c r="E32" s="307" t="s">
        <v>220</v>
      </c>
      <c r="F32" s="269" t="s">
        <v>355</v>
      </c>
      <c r="G32" s="268"/>
      <c r="H32" s="273" t="s">
        <v>604</v>
      </c>
      <c r="I32" s="273" t="s">
        <v>314</v>
      </c>
      <c r="J32" s="308">
        <v>1</v>
      </c>
      <c r="K32" s="273" t="s">
        <v>269</v>
      </c>
      <c r="L32" s="309">
        <v>158023.47</v>
      </c>
      <c r="M32" s="310">
        <f t="shared" si="0"/>
        <v>158023.47</v>
      </c>
      <c r="N32" s="311">
        <v>0</v>
      </c>
      <c r="O32" s="312">
        <f t="shared" si="1"/>
        <v>0</v>
      </c>
      <c r="P32" s="313">
        <v>0.16</v>
      </c>
      <c r="Q32" s="312">
        <f t="shared" si="2"/>
        <v>25283.7552</v>
      </c>
      <c r="R32" s="312">
        <f t="shared" si="3"/>
        <v>183307.22519999999</v>
      </c>
      <c r="S32" s="314">
        <f>INDEX('Glosario Partidas'!$M$8:$M$10,MATCH(K32,'Glosario Partidas'!$L$8:$L$10,0))</f>
        <v>1</v>
      </c>
      <c r="T32" s="310">
        <f t="shared" si="4"/>
        <v>183307.22519999999</v>
      </c>
      <c r="U32" s="268"/>
      <c r="V32" s="249" t="s">
        <v>12</v>
      </c>
      <c r="W32" s="249" t="s">
        <v>605</v>
      </c>
    </row>
    <row r="33" spans="1:23" ht="15" customHeight="1" x14ac:dyDescent="0.2">
      <c r="B33" s="273" t="s">
        <v>52</v>
      </c>
      <c r="C33" s="273" t="s">
        <v>625</v>
      </c>
      <c r="D33" s="273" t="s">
        <v>629</v>
      </c>
      <c r="E33" s="307" t="s">
        <v>220</v>
      </c>
      <c r="F33" s="269" t="s">
        <v>355</v>
      </c>
      <c r="G33" s="268"/>
      <c r="H33" s="273" t="s">
        <v>604</v>
      </c>
      <c r="I33" s="273" t="s">
        <v>314</v>
      </c>
      <c r="J33" s="308">
        <v>1</v>
      </c>
      <c r="K33" s="273" t="s">
        <v>269</v>
      </c>
      <c r="L33" s="309">
        <v>281749.14</v>
      </c>
      <c r="M33" s="310">
        <f t="shared" si="0"/>
        <v>281749.14</v>
      </c>
      <c r="N33" s="311">
        <v>0</v>
      </c>
      <c r="O33" s="312">
        <f t="shared" si="1"/>
        <v>0</v>
      </c>
      <c r="P33" s="313">
        <v>0.16</v>
      </c>
      <c r="Q33" s="312">
        <f t="shared" si="2"/>
        <v>45079.862400000005</v>
      </c>
      <c r="R33" s="312">
        <f t="shared" si="3"/>
        <v>326829.0024</v>
      </c>
      <c r="S33" s="314">
        <f>INDEX('Glosario Partidas'!$M$8:$M$10,MATCH(K33,'Glosario Partidas'!$L$8:$L$10,0))</f>
        <v>1</v>
      </c>
      <c r="T33" s="310">
        <f t="shared" si="4"/>
        <v>326829.0024</v>
      </c>
      <c r="U33" s="268"/>
      <c r="V33" s="249" t="s">
        <v>12</v>
      </c>
      <c r="W33" s="249" t="s">
        <v>605</v>
      </c>
    </row>
    <row r="34" spans="1:23" ht="15" customHeight="1" x14ac:dyDescent="0.2">
      <c r="B34" s="273" t="s">
        <v>52</v>
      </c>
      <c r="C34" s="273" t="s">
        <v>625</v>
      </c>
      <c r="D34" s="273" t="s">
        <v>630</v>
      </c>
      <c r="E34" s="307" t="s">
        <v>220</v>
      </c>
      <c r="F34" s="269" t="s">
        <v>355</v>
      </c>
      <c r="G34" s="268"/>
      <c r="H34" s="273" t="s">
        <v>604</v>
      </c>
      <c r="I34" s="273" t="s">
        <v>314</v>
      </c>
      <c r="J34" s="308">
        <v>1</v>
      </c>
      <c r="K34" s="273" t="s">
        <v>269</v>
      </c>
      <c r="L34" s="309">
        <v>296426.23999999999</v>
      </c>
      <c r="M34" s="310">
        <f t="shared" ref="M34:M65" si="5">J34*L34</f>
        <v>296426.23999999999</v>
      </c>
      <c r="N34" s="311">
        <v>0</v>
      </c>
      <c r="O34" s="312">
        <f t="shared" ref="O34:O65" si="6">M34*N34</f>
        <v>0</v>
      </c>
      <c r="P34" s="313">
        <v>0.16</v>
      </c>
      <c r="Q34" s="312">
        <f t="shared" ref="Q34:Q65" si="7">(M34+O34)*P34</f>
        <v>47428.198400000001</v>
      </c>
      <c r="R34" s="312">
        <f t="shared" ref="R34:R65" si="8">M34+O34+Q34</f>
        <v>343854.43839999998</v>
      </c>
      <c r="S34" s="314">
        <f>INDEX('Glosario Partidas'!$M$8:$M$10,MATCH(K34,'Glosario Partidas'!$L$8:$L$10,0))</f>
        <v>1</v>
      </c>
      <c r="T34" s="310">
        <f t="shared" ref="T34:T65" si="9">R34*S34</f>
        <v>343854.43839999998</v>
      </c>
      <c r="U34" s="268"/>
      <c r="V34" s="249" t="s">
        <v>12</v>
      </c>
      <c r="W34" s="249" t="s">
        <v>605</v>
      </c>
    </row>
    <row r="35" spans="1:23" ht="15" customHeight="1" x14ac:dyDescent="0.2">
      <c r="B35" s="273" t="s">
        <v>52</v>
      </c>
      <c r="C35" s="273" t="s">
        <v>625</v>
      </c>
      <c r="D35" s="273" t="s">
        <v>631</v>
      </c>
      <c r="E35" s="307" t="s">
        <v>220</v>
      </c>
      <c r="F35" s="269" t="s">
        <v>355</v>
      </c>
      <c r="G35" s="268"/>
      <c r="H35" s="273" t="s">
        <v>604</v>
      </c>
      <c r="I35" s="273" t="s">
        <v>314</v>
      </c>
      <c r="J35" s="308">
        <v>1</v>
      </c>
      <c r="K35" s="273" t="s">
        <v>269</v>
      </c>
      <c r="L35" s="309">
        <v>46535.8</v>
      </c>
      <c r="M35" s="310">
        <f t="shared" si="5"/>
        <v>46535.8</v>
      </c>
      <c r="N35" s="311">
        <v>0</v>
      </c>
      <c r="O35" s="312">
        <f t="shared" si="6"/>
        <v>0</v>
      </c>
      <c r="P35" s="313">
        <v>0.16</v>
      </c>
      <c r="Q35" s="312">
        <f t="shared" si="7"/>
        <v>7445.728000000001</v>
      </c>
      <c r="R35" s="312">
        <f t="shared" si="8"/>
        <v>53981.528000000006</v>
      </c>
      <c r="S35" s="314">
        <f>INDEX('Glosario Partidas'!$M$8:$M$10,MATCH(K35,'Glosario Partidas'!$L$8:$L$10,0))</f>
        <v>1</v>
      </c>
      <c r="T35" s="310">
        <f t="shared" si="9"/>
        <v>53981.528000000006</v>
      </c>
      <c r="U35" s="268"/>
      <c r="V35" s="249" t="s">
        <v>12</v>
      </c>
      <c r="W35" s="249" t="s">
        <v>605</v>
      </c>
    </row>
    <row r="36" spans="1:23" ht="15" customHeight="1" x14ac:dyDescent="0.2">
      <c r="B36" s="273" t="s">
        <v>52</v>
      </c>
      <c r="C36" s="273" t="s">
        <v>625</v>
      </c>
      <c r="D36" s="273" t="s">
        <v>619</v>
      </c>
      <c r="E36" s="307" t="s">
        <v>220</v>
      </c>
      <c r="F36" s="269" t="s">
        <v>355</v>
      </c>
      <c r="G36" s="268"/>
      <c r="H36" s="273" t="s">
        <v>604</v>
      </c>
      <c r="I36" s="273" t="s">
        <v>314</v>
      </c>
      <c r="J36" s="308">
        <v>1</v>
      </c>
      <c r="K36" s="273" t="s">
        <v>269</v>
      </c>
      <c r="L36" s="309">
        <v>81363.100000000006</v>
      </c>
      <c r="M36" s="310">
        <f t="shared" si="5"/>
        <v>81363.100000000006</v>
      </c>
      <c r="N36" s="311">
        <v>0</v>
      </c>
      <c r="O36" s="312">
        <f t="shared" si="6"/>
        <v>0</v>
      </c>
      <c r="P36" s="313">
        <v>0.16</v>
      </c>
      <c r="Q36" s="312">
        <f t="shared" si="7"/>
        <v>13018.096000000001</v>
      </c>
      <c r="R36" s="312">
        <f t="shared" si="8"/>
        <v>94381.196000000011</v>
      </c>
      <c r="S36" s="314">
        <f>INDEX('Glosario Partidas'!$M$8:$M$10,MATCH(K36,'Glosario Partidas'!$L$8:$L$10,0))</f>
        <v>1</v>
      </c>
      <c r="T36" s="310">
        <f t="shared" si="9"/>
        <v>94381.196000000011</v>
      </c>
      <c r="U36" s="268"/>
      <c r="V36" s="249" t="s">
        <v>12</v>
      </c>
      <c r="W36" s="249" t="s">
        <v>605</v>
      </c>
    </row>
    <row r="37" spans="1:23" ht="15" customHeight="1" x14ac:dyDescent="0.2">
      <c r="B37" s="273" t="s">
        <v>52</v>
      </c>
      <c r="C37" s="273" t="s">
        <v>632</v>
      </c>
      <c r="D37" s="273" t="s">
        <v>626</v>
      </c>
      <c r="E37" s="307" t="s">
        <v>220</v>
      </c>
      <c r="F37" s="269" t="s">
        <v>355</v>
      </c>
      <c r="G37" s="268"/>
      <c r="H37" s="273" t="s">
        <v>604</v>
      </c>
      <c r="I37" s="273" t="s">
        <v>314</v>
      </c>
      <c r="J37" s="308">
        <v>1</v>
      </c>
      <c r="K37" s="273" t="s">
        <v>269</v>
      </c>
      <c r="L37" s="309">
        <v>314287.38</v>
      </c>
      <c r="M37" s="310">
        <f t="shared" si="5"/>
        <v>314287.38</v>
      </c>
      <c r="N37" s="311">
        <v>0</v>
      </c>
      <c r="O37" s="312">
        <f t="shared" si="6"/>
        <v>0</v>
      </c>
      <c r="P37" s="313">
        <v>0.16</v>
      </c>
      <c r="Q37" s="312">
        <f t="shared" si="7"/>
        <v>50285.980800000005</v>
      </c>
      <c r="R37" s="312">
        <f t="shared" si="8"/>
        <v>364573.36080000002</v>
      </c>
      <c r="S37" s="314">
        <f>INDEX('Glosario Partidas'!$M$8:$M$10,MATCH(K37,'Glosario Partidas'!$L$8:$L$10,0))</f>
        <v>1</v>
      </c>
      <c r="T37" s="310">
        <f t="shared" si="9"/>
        <v>364573.36080000002</v>
      </c>
      <c r="U37" s="268"/>
      <c r="V37" s="249" t="s">
        <v>12</v>
      </c>
      <c r="W37" s="249" t="s">
        <v>605</v>
      </c>
    </row>
    <row r="38" spans="1:23" ht="15" customHeight="1" x14ac:dyDescent="0.2">
      <c r="B38" s="273" t="s">
        <v>52</v>
      </c>
      <c r="C38" s="273" t="s">
        <v>632</v>
      </c>
      <c r="D38" s="273" t="s">
        <v>624</v>
      </c>
      <c r="E38" s="307" t="s">
        <v>220</v>
      </c>
      <c r="F38" s="269" t="s">
        <v>355</v>
      </c>
      <c r="G38" s="268"/>
      <c r="H38" s="273" t="s">
        <v>604</v>
      </c>
      <c r="I38" s="273" t="s">
        <v>314</v>
      </c>
      <c r="J38" s="308">
        <v>1</v>
      </c>
      <c r="K38" s="273" t="s">
        <v>269</v>
      </c>
      <c r="L38" s="309">
        <v>517298.84</v>
      </c>
      <c r="M38" s="310">
        <f t="shared" si="5"/>
        <v>517298.84</v>
      </c>
      <c r="N38" s="311">
        <v>0</v>
      </c>
      <c r="O38" s="312">
        <f t="shared" si="6"/>
        <v>0</v>
      </c>
      <c r="P38" s="313">
        <v>0.16</v>
      </c>
      <c r="Q38" s="312">
        <f t="shared" si="7"/>
        <v>82767.814400000003</v>
      </c>
      <c r="R38" s="312">
        <f t="shared" si="8"/>
        <v>600066.6544</v>
      </c>
      <c r="S38" s="314">
        <f>INDEX('Glosario Partidas'!$M$8:$M$10,MATCH(K38,'Glosario Partidas'!$L$8:$L$10,0))</f>
        <v>1</v>
      </c>
      <c r="T38" s="310">
        <f t="shared" si="9"/>
        <v>600066.6544</v>
      </c>
      <c r="U38" s="268"/>
      <c r="V38" s="249" t="s">
        <v>12</v>
      </c>
      <c r="W38" s="249" t="s">
        <v>605</v>
      </c>
    </row>
    <row r="39" spans="1:23" ht="15" customHeight="1" x14ac:dyDescent="0.2">
      <c r="B39" s="273" t="s">
        <v>52</v>
      </c>
      <c r="C39" s="273" t="s">
        <v>633</v>
      </c>
      <c r="D39" s="273" t="s">
        <v>633</v>
      </c>
      <c r="E39" s="307" t="s">
        <v>220</v>
      </c>
      <c r="F39" s="269" t="s">
        <v>313</v>
      </c>
      <c r="G39" s="268"/>
      <c r="H39" s="273" t="s">
        <v>604</v>
      </c>
      <c r="I39" s="273" t="s">
        <v>314</v>
      </c>
      <c r="J39" s="308">
        <v>1</v>
      </c>
      <c r="K39" s="273" t="s">
        <v>269</v>
      </c>
      <c r="L39" s="309">
        <v>55532.6</v>
      </c>
      <c r="M39" s="310">
        <f t="shared" si="5"/>
        <v>55532.6</v>
      </c>
      <c r="N39" s="311">
        <v>0</v>
      </c>
      <c r="O39" s="312">
        <f t="shared" si="6"/>
        <v>0</v>
      </c>
      <c r="P39" s="313">
        <v>0.16</v>
      </c>
      <c r="Q39" s="312">
        <f t="shared" si="7"/>
        <v>8885.2160000000003</v>
      </c>
      <c r="R39" s="312">
        <f t="shared" si="8"/>
        <v>64417.815999999999</v>
      </c>
      <c r="S39" s="314">
        <f>INDEX('Glosario Partidas'!$M$8:$M$10,MATCH(K39,'Glosario Partidas'!$L$8:$L$10,0))</f>
        <v>1</v>
      </c>
      <c r="T39" s="310">
        <f t="shared" si="9"/>
        <v>64417.815999999999</v>
      </c>
      <c r="U39" s="268"/>
      <c r="V39" s="249" t="s">
        <v>12</v>
      </c>
      <c r="W39" s="249" t="s">
        <v>605</v>
      </c>
    </row>
    <row r="40" spans="1:23" ht="15" customHeight="1" x14ac:dyDescent="0.2">
      <c r="B40" s="273" t="s">
        <v>52</v>
      </c>
      <c r="C40" s="273" t="s">
        <v>634</v>
      </c>
      <c r="D40" s="273" t="s">
        <v>634</v>
      </c>
      <c r="E40" s="307" t="s">
        <v>220</v>
      </c>
      <c r="F40" s="269" t="s">
        <v>313</v>
      </c>
      <c r="G40" s="268"/>
      <c r="H40" s="273" t="s">
        <v>604</v>
      </c>
      <c r="I40" s="273" t="s">
        <v>314</v>
      </c>
      <c r="J40" s="308">
        <v>1</v>
      </c>
      <c r="K40" s="273" t="s">
        <v>269</v>
      </c>
      <c r="L40" s="309">
        <v>2734889.49</v>
      </c>
      <c r="M40" s="310">
        <f t="shared" si="5"/>
        <v>2734889.49</v>
      </c>
      <c r="N40" s="311">
        <v>0</v>
      </c>
      <c r="O40" s="312">
        <f t="shared" si="6"/>
        <v>0</v>
      </c>
      <c r="P40" s="313">
        <v>0.16</v>
      </c>
      <c r="Q40" s="312">
        <f t="shared" si="7"/>
        <v>437582.31840000005</v>
      </c>
      <c r="R40" s="312">
        <f t="shared" si="8"/>
        <v>3172471.8084000004</v>
      </c>
      <c r="S40" s="314">
        <f>INDEX('Glosario Partidas'!$M$8:$M$10,MATCH(K40,'Glosario Partidas'!$L$8:$L$10,0))</f>
        <v>1</v>
      </c>
      <c r="T40" s="310">
        <f t="shared" si="9"/>
        <v>3172471.8084000004</v>
      </c>
      <c r="U40" s="268"/>
      <c r="V40" s="249" t="s">
        <v>12</v>
      </c>
      <c r="W40" s="249" t="s">
        <v>605</v>
      </c>
    </row>
    <row r="41" spans="1:23" ht="15" customHeight="1" x14ac:dyDescent="0.2">
      <c r="B41" s="273" t="s">
        <v>52</v>
      </c>
      <c r="C41" s="273" t="s">
        <v>635</v>
      </c>
      <c r="D41" s="273" t="s">
        <v>635</v>
      </c>
      <c r="E41" s="307" t="s">
        <v>220</v>
      </c>
      <c r="F41" s="269" t="s">
        <v>313</v>
      </c>
      <c r="G41" s="268"/>
      <c r="H41" s="273" t="s">
        <v>604</v>
      </c>
      <c r="I41" s="273" t="s">
        <v>314</v>
      </c>
      <c r="J41" s="308">
        <v>1</v>
      </c>
      <c r="K41" s="273" t="s">
        <v>269</v>
      </c>
      <c r="L41" s="309">
        <v>5935723.1200000001</v>
      </c>
      <c r="M41" s="310">
        <f t="shared" si="5"/>
        <v>5935723.1200000001</v>
      </c>
      <c r="N41" s="311">
        <v>0</v>
      </c>
      <c r="O41" s="312">
        <f t="shared" si="6"/>
        <v>0</v>
      </c>
      <c r="P41" s="313">
        <v>0.16</v>
      </c>
      <c r="Q41" s="312">
        <f t="shared" si="7"/>
        <v>949715.69920000003</v>
      </c>
      <c r="R41" s="312">
        <f t="shared" si="8"/>
        <v>6885438.8191999998</v>
      </c>
      <c r="S41" s="314">
        <f>INDEX('Glosario Partidas'!$M$8:$M$10,MATCH(K41,'Glosario Partidas'!$L$8:$L$10,0))</f>
        <v>1</v>
      </c>
      <c r="T41" s="310">
        <f t="shared" si="9"/>
        <v>6885438.8191999998</v>
      </c>
      <c r="U41" s="268"/>
      <c r="V41" s="249" t="s">
        <v>12</v>
      </c>
      <c r="W41" s="249" t="s">
        <v>605</v>
      </c>
    </row>
    <row r="42" spans="1:23" ht="15" customHeight="1" x14ac:dyDescent="0.2">
      <c r="B42" s="273" t="s">
        <v>52</v>
      </c>
      <c r="C42" s="273" t="s">
        <v>636</v>
      </c>
      <c r="D42" s="273" t="s">
        <v>636</v>
      </c>
      <c r="E42" s="307" t="s">
        <v>220</v>
      </c>
      <c r="F42" s="269" t="s">
        <v>313</v>
      </c>
      <c r="G42" s="268"/>
      <c r="H42" s="273" t="s">
        <v>604</v>
      </c>
      <c r="I42" s="273" t="s">
        <v>314</v>
      </c>
      <c r="J42" s="308">
        <v>1</v>
      </c>
      <c r="K42" s="273" t="s">
        <v>269</v>
      </c>
      <c r="L42" s="309">
        <v>741172</v>
      </c>
      <c r="M42" s="310">
        <f t="shared" si="5"/>
        <v>741172</v>
      </c>
      <c r="N42" s="311">
        <v>0</v>
      </c>
      <c r="O42" s="312">
        <f t="shared" si="6"/>
        <v>0</v>
      </c>
      <c r="P42" s="313">
        <v>0.16</v>
      </c>
      <c r="Q42" s="312">
        <f t="shared" si="7"/>
        <v>118587.52</v>
      </c>
      <c r="R42" s="312">
        <f t="shared" si="8"/>
        <v>859759.52</v>
      </c>
      <c r="S42" s="314">
        <f>INDEX('Glosario Partidas'!$M$8:$M$10,MATCH(K42,'Glosario Partidas'!$L$8:$L$10,0))</f>
        <v>1</v>
      </c>
      <c r="T42" s="310">
        <f t="shared" si="9"/>
        <v>859759.52</v>
      </c>
      <c r="U42" s="268"/>
      <c r="V42" s="249" t="s">
        <v>12</v>
      </c>
      <c r="W42" s="249" t="s">
        <v>605</v>
      </c>
    </row>
    <row r="43" spans="1:23" ht="15" customHeight="1" x14ac:dyDescent="0.2">
      <c r="A43" s="75"/>
      <c r="B43" s="75" t="s">
        <v>52</v>
      </c>
      <c r="C43" s="75" t="s">
        <v>603</v>
      </c>
      <c r="D43" s="320" t="s">
        <v>45</v>
      </c>
      <c r="E43" s="321" t="s">
        <v>229</v>
      </c>
      <c r="F43" s="320" t="s">
        <v>221</v>
      </c>
      <c r="G43" s="321"/>
      <c r="H43" s="322" t="s">
        <v>604</v>
      </c>
      <c r="I43" s="75" t="s">
        <v>314</v>
      </c>
      <c r="J43" s="322">
        <v>1</v>
      </c>
      <c r="K43" s="75" t="s">
        <v>269</v>
      </c>
      <c r="L43" s="322">
        <v>721702.18</v>
      </c>
      <c r="M43" s="323">
        <f t="shared" si="5"/>
        <v>721702.18</v>
      </c>
      <c r="N43" s="324">
        <v>0</v>
      </c>
      <c r="O43" s="325">
        <f t="shared" si="6"/>
        <v>0</v>
      </c>
      <c r="P43" s="324">
        <v>0.16</v>
      </c>
      <c r="Q43" s="323">
        <f t="shared" si="7"/>
        <v>115472.34880000001</v>
      </c>
      <c r="R43" s="323">
        <f t="shared" si="8"/>
        <v>837174.52880000009</v>
      </c>
      <c r="S43" s="323">
        <f>INDEX('Glosario Partidas'!$M$8:$M$10,MATCH(K43,'Glosario Partidas'!$L$8:$L$10,0))</f>
        <v>1</v>
      </c>
      <c r="T43" s="323">
        <f t="shared" si="9"/>
        <v>837174.52880000009</v>
      </c>
      <c r="U43" s="321"/>
      <c r="V43" s="326" t="s">
        <v>13</v>
      </c>
      <c r="W43" s="249" t="s">
        <v>605</v>
      </c>
    </row>
    <row r="44" spans="1:23" ht="15" customHeight="1" x14ac:dyDescent="0.2">
      <c r="A44" s="75"/>
      <c r="B44" s="75" t="s">
        <v>52</v>
      </c>
      <c r="C44" s="75" t="s">
        <v>603</v>
      </c>
      <c r="D44" s="320" t="s">
        <v>606</v>
      </c>
      <c r="E44" s="321" t="s">
        <v>229</v>
      </c>
      <c r="F44" s="320" t="s">
        <v>221</v>
      </c>
      <c r="G44" s="321"/>
      <c r="H44" s="322" t="s">
        <v>604</v>
      </c>
      <c r="I44" s="75" t="s">
        <v>314</v>
      </c>
      <c r="J44" s="322">
        <v>0</v>
      </c>
      <c r="K44" s="75" t="s">
        <v>269</v>
      </c>
      <c r="L44" s="322">
        <v>274963.67</v>
      </c>
      <c r="M44" s="323">
        <f t="shared" si="5"/>
        <v>0</v>
      </c>
      <c r="N44" s="324">
        <v>0</v>
      </c>
      <c r="O44" s="325">
        <f t="shared" si="6"/>
        <v>0</v>
      </c>
      <c r="P44" s="324">
        <v>0.16</v>
      </c>
      <c r="Q44" s="323">
        <f t="shared" si="7"/>
        <v>0</v>
      </c>
      <c r="R44" s="323">
        <f t="shared" si="8"/>
        <v>0</v>
      </c>
      <c r="S44" s="323">
        <f>INDEX('Glosario Partidas'!$M$8:$M$10,MATCH(K44,'Glosario Partidas'!$L$8:$L$10,0))</f>
        <v>1</v>
      </c>
      <c r="T44" s="323">
        <f t="shared" si="9"/>
        <v>0</v>
      </c>
      <c r="U44" s="321"/>
      <c r="V44" s="326" t="s">
        <v>13</v>
      </c>
      <c r="W44" s="249" t="s">
        <v>605</v>
      </c>
    </row>
    <row r="45" spans="1:23" ht="15" customHeight="1" x14ac:dyDescent="0.2">
      <c r="A45" s="75"/>
      <c r="B45" s="75" t="s">
        <v>52</v>
      </c>
      <c r="C45" s="75" t="s">
        <v>603</v>
      </c>
      <c r="D45" s="320" t="s">
        <v>607</v>
      </c>
      <c r="E45" s="321" t="s">
        <v>229</v>
      </c>
      <c r="F45" s="320" t="s">
        <v>221</v>
      </c>
      <c r="G45" s="321"/>
      <c r="H45" s="322" t="s">
        <v>604</v>
      </c>
      <c r="I45" s="75" t="s">
        <v>314</v>
      </c>
      <c r="J45" s="322">
        <v>1</v>
      </c>
      <c r="K45" s="75" t="s">
        <v>269</v>
      </c>
      <c r="L45" s="322">
        <v>672367.83</v>
      </c>
      <c r="M45" s="323">
        <f t="shared" si="5"/>
        <v>672367.83</v>
      </c>
      <c r="N45" s="324">
        <v>0</v>
      </c>
      <c r="O45" s="325">
        <f t="shared" si="6"/>
        <v>0</v>
      </c>
      <c r="P45" s="324">
        <v>0.16</v>
      </c>
      <c r="Q45" s="323">
        <f t="shared" si="7"/>
        <v>107578.85279999999</v>
      </c>
      <c r="R45" s="323">
        <f t="shared" si="8"/>
        <v>779946.68279999995</v>
      </c>
      <c r="S45" s="323">
        <f>INDEX('Glosario Partidas'!$M$8:$M$10,MATCH(K45,'Glosario Partidas'!$L$8:$L$10,0))</f>
        <v>1</v>
      </c>
      <c r="T45" s="323">
        <f t="shared" si="9"/>
        <v>779946.68279999995</v>
      </c>
      <c r="U45" s="321"/>
      <c r="V45" s="326" t="s">
        <v>13</v>
      </c>
      <c r="W45" s="249" t="s">
        <v>605</v>
      </c>
    </row>
    <row r="46" spans="1:23" ht="15" customHeight="1" x14ac:dyDescent="0.2">
      <c r="A46" s="75"/>
      <c r="B46" s="75" t="s">
        <v>52</v>
      </c>
      <c r="C46" s="75" t="s">
        <v>603</v>
      </c>
      <c r="D46" s="320" t="s">
        <v>608</v>
      </c>
      <c r="E46" s="321" t="s">
        <v>229</v>
      </c>
      <c r="F46" s="320" t="s">
        <v>221</v>
      </c>
      <c r="G46" s="321"/>
      <c r="H46" s="322" t="s">
        <v>604</v>
      </c>
      <c r="I46" s="75" t="s">
        <v>314</v>
      </c>
      <c r="J46" s="322">
        <v>1</v>
      </c>
      <c r="K46" s="75" t="s">
        <v>269</v>
      </c>
      <c r="L46" s="322">
        <v>3166162.78</v>
      </c>
      <c r="M46" s="323">
        <f t="shared" si="5"/>
        <v>3166162.78</v>
      </c>
      <c r="N46" s="324">
        <v>0</v>
      </c>
      <c r="O46" s="325">
        <f t="shared" si="6"/>
        <v>0</v>
      </c>
      <c r="P46" s="324">
        <v>0.16</v>
      </c>
      <c r="Q46" s="323">
        <f t="shared" si="7"/>
        <v>506586.04479999997</v>
      </c>
      <c r="R46" s="323">
        <f t="shared" si="8"/>
        <v>3672748.8247999996</v>
      </c>
      <c r="S46" s="323">
        <f>INDEX('Glosario Partidas'!$M$8:$M$10,MATCH(K46,'Glosario Partidas'!$L$8:$L$10,0))</f>
        <v>1</v>
      </c>
      <c r="T46" s="323">
        <f t="shared" si="9"/>
        <v>3672748.8247999996</v>
      </c>
      <c r="U46" s="321"/>
      <c r="V46" s="326" t="s">
        <v>13</v>
      </c>
      <c r="W46" s="249" t="s">
        <v>605</v>
      </c>
    </row>
    <row r="47" spans="1:23" ht="15" customHeight="1" x14ac:dyDescent="0.2">
      <c r="A47" s="75"/>
      <c r="B47" s="75" t="s">
        <v>52</v>
      </c>
      <c r="C47" s="75" t="s">
        <v>603</v>
      </c>
      <c r="D47" s="320" t="s">
        <v>609</v>
      </c>
      <c r="E47" s="321" t="s">
        <v>229</v>
      </c>
      <c r="F47" s="320" t="s">
        <v>221</v>
      </c>
      <c r="G47" s="321"/>
      <c r="H47" s="322" t="s">
        <v>604</v>
      </c>
      <c r="I47" s="75" t="s">
        <v>314</v>
      </c>
      <c r="J47" s="322">
        <v>1</v>
      </c>
      <c r="K47" s="75" t="s">
        <v>269</v>
      </c>
      <c r="L47" s="322">
        <v>82022.77</v>
      </c>
      <c r="M47" s="323">
        <f t="shared" si="5"/>
        <v>82022.77</v>
      </c>
      <c r="N47" s="324">
        <v>0</v>
      </c>
      <c r="O47" s="325">
        <f t="shared" si="6"/>
        <v>0</v>
      </c>
      <c r="P47" s="324">
        <v>0.16</v>
      </c>
      <c r="Q47" s="323">
        <f t="shared" si="7"/>
        <v>13123.6432</v>
      </c>
      <c r="R47" s="323">
        <f t="shared" si="8"/>
        <v>95146.41320000001</v>
      </c>
      <c r="S47" s="323">
        <f>INDEX('Glosario Partidas'!$M$8:$M$10,MATCH(K47,'Glosario Partidas'!$L$8:$L$10,0))</f>
        <v>1</v>
      </c>
      <c r="T47" s="323">
        <f t="shared" si="9"/>
        <v>95146.41320000001</v>
      </c>
      <c r="U47" s="321"/>
      <c r="V47" s="326" t="s">
        <v>13</v>
      </c>
      <c r="W47" s="249" t="s">
        <v>605</v>
      </c>
    </row>
    <row r="48" spans="1:23" ht="15" customHeight="1" x14ac:dyDescent="0.2">
      <c r="A48" s="75"/>
      <c r="B48" s="75" t="s">
        <v>52</v>
      </c>
      <c r="C48" s="75" t="s">
        <v>603</v>
      </c>
      <c r="D48" s="320" t="s">
        <v>610</v>
      </c>
      <c r="E48" s="321" t="s">
        <v>229</v>
      </c>
      <c r="F48" s="320" t="s">
        <v>221</v>
      </c>
      <c r="G48" s="321"/>
      <c r="H48" s="322" t="s">
        <v>604</v>
      </c>
      <c r="I48" s="75" t="s">
        <v>314</v>
      </c>
      <c r="J48" s="322">
        <v>1</v>
      </c>
      <c r="K48" s="75" t="s">
        <v>269</v>
      </c>
      <c r="L48" s="322">
        <v>747686.36</v>
      </c>
      <c r="M48" s="323">
        <f t="shared" si="5"/>
        <v>747686.36</v>
      </c>
      <c r="N48" s="324">
        <v>0</v>
      </c>
      <c r="O48" s="325">
        <f t="shared" si="6"/>
        <v>0</v>
      </c>
      <c r="P48" s="324">
        <v>0.16</v>
      </c>
      <c r="Q48" s="323">
        <f t="shared" si="7"/>
        <v>119629.81759999999</v>
      </c>
      <c r="R48" s="323">
        <f t="shared" si="8"/>
        <v>867316.17759999994</v>
      </c>
      <c r="S48" s="323">
        <f>INDEX('Glosario Partidas'!$M$8:$M$10,MATCH(K48,'Glosario Partidas'!$L$8:$L$10,0))</f>
        <v>1</v>
      </c>
      <c r="T48" s="323">
        <f t="shared" si="9"/>
        <v>867316.17759999994</v>
      </c>
      <c r="U48" s="321"/>
      <c r="V48" s="326" t="s">
        <v>13</v>
      </c>
      <c r="W48" s="249" t="s">
        <v>605</v>
      </c>
    </row>
    <row r="49" spans="1:23" ht="15" customHeight="1" x14ac:dyDescent="0.2">
      <c r="A49" s="75"/>
      <c r="B49" s="75" t="s">
        <v>52</v>
      </c>
      <c r="C49" s="75" t="s">
        <v>603</v>
      </c>
      <c r="D49" s="320" t="s">
        <v>611</v>
      </c>
      <c r="E49" s="321" t="s">
        <v>229</v>
      </c>
      <c r="F49" s="320" t="s">
        <v>221</v>
      </c>
      <c r="G49" s="321"/>
      <c r="H49" s="322" t="s">
        <v>604</v>
      </c>
      <c r="I49" s="75" t="s">
        <v>314</v>
      </c>
      <c r="J49" s="322">
        <v>1</v>
      </c>
      <c r="K49" s="75" t="s">
        <v>269</v>
      </c>
      <c r="L49" s="322">
        <v>2244077.3199999998</v>
      </c>
      <c r="M49" s="323">
        <f t="shared" si="5"/>
        <v>2244077.3199999998</v>
      </c>
      <c r="N49" s="324">
        <v>0</v>
      </c>
      <c r="O49" s="325">
        <f t="shared" si="6"/>
        <v>0</v>
      </c>
      <c r="P49" s="324">
        <v>0.16</v>
      </c>
      <c r="Q49" s="323">
        <f t="shared" si="7"/>
        <v>359052.37119999999</v>
      </c>
      <c r="R49" s="323">
        <f t="shared" si="8"/>
        <v>2603129.6911999998</v>
      </c>
      <c r="S49" s="323">
        <f>INDEX('Glosario Partidas'!$M$8:$M$10,MATCH(K49,'Glosario Partidas'!$L$8:$L$10,0))</f>
        <v>1</v>
      </c>
      <c r="T49" s="323">
        <f t="shared" si="9"/>
        <v>2603129.6911999998</v>
      </c>
      <c r="U49" s="321"/>
      <c r="V49" s="326" t="s">
        <v>13</v>
      </c>
      <c r="W49" s="249" t="s">
        <v>605</v>
      </c>
    </row>
    <row r="50" spans="1:23" ht="15" customHeight="1" x14ac:dyDescent="0.2">
      <c r="A50" s="75"/>
      <c r="B50" s="75" t="s">
        <v>52</v>
      </c>
      <c r="C50" s="75" t="s">
        <v>603</v>
      </c>
      <c r="D50" s="320" t="s">
        <v>612</v>
      </c>
      <c r="E50" s="321" t="s">
        <v>229</v>
      </c>
      <c r="F50" s="320" t="s">
        <v>221</v>
      </c>
      <c r="G50" s="321"/>
      <c r="H50" s="322" t="s">
        <v>604</v>
      </c>
      <c r="I50" s="75" t="s">
        <v>314</v>
      </c>
      <c r="J50" s="322">
        <v>0</v>
      </c>
      <c r="K50" s="75" t="s">
        <v>269</v>
      </c>
      <c r="L50" s="322">
        <v>2657871.9700000002</v>
      </c>
      <c r="M50" s="323">
        <f t="shared" si="5"/>
        <v>0</v>
      </c>
      <c r="N50" s="324">
        <v>0</v>
      </c>
      <c r="O50" s="325">
        <f t="shared" si="6"/>
        <v>0</v>
      </c>
      <c r="P50" s="324">
        <v>0.16</v>
      </c>
      <c r="Q50" s="323">
        <f t="shared" si="7"/>
        <v>0</v>
      </c>
      <c r="R50" s="323">
        <f t="shared" si="8"/>
        <v>0</v>
      </c>
      <c r="S50" s="323">
        <f>INDEX('Glosario Partidas'!$M$8:$M$10,MATCH(K50,'Glosario Partidas'!$L$8:$L$10,0))</f>
        <v>1</v>
      </c>
      <c r="T50" s="323">
        <f t="shared" si="9"/>
        <v>0</v>
      </c>
      <c r="U50" s="321"/>
      <c r="V50" s="326" t="s">
        <v>13</v>
      </c>
      <c r="W50" s="249" t="s">
        <v>605</v>
      </c>
    </row>
    <row r="51" spans="1:23" ht="15" customHeight="1" x14ac:dyDescent="0.2">
      <c r="A51" s="75"/>
      <c r="B51" s="75" t="s">
        <v>52</v>
      </c>
      <c r="C51" s="75" t="s">
        <v>603</v>
      </c>
      <c r="D51" s="320" t="s">
        <v>613</v>
      </c>
      <c r="E51" s="321" t="s">
        <v>229</v>
      </c>
      <c r="F51" s="320" t="s">
        <v>221</v>
      </c>
      <c r="G51" s="321"/>
      <c r="H51" s="322" t="s">
        <v>604</v>
      </c>
      <c r="I51" s="75" t="s">
        <v>314</v>
      </c>
      <c r="J51" s="322">
        <v>1</v>
      </c>
      <c r="K51" s="75" t="s">
        <v>269</v>
      </c>
      <c r="L51" s="322">
        <v>445096.1</v>
      </c>
      <c r="M51" s="323">
        <f t="shared" si="5"/>
        <v>445096.1</v>
      </c>
      <c r="N51" s="324">
        <v>0</v>
      </c>
      <c r="O51" s="325">
        <f t="shared" si="6"/>
        <v>0</v>
      </c>
      <c r="P51" s="324">
        <v>0.16</v>
      </c>
      <c r="Q51" s="323">
        <f t="shared" si="7"/>
        <v>71215.376000000004</v>
      </c>
      <c r="R51" s="323">
        <f t="shared" si="8"/>
        <v>516311.47599999997</v>
      </c>
      <c r="S51" s="323">
        <f>INDEX('Glosario Partidas'!$M$8:$M$10,MATCH(K51,'Glosario Partidas'!$L$8:$L$10,0))</f>
        <v>1</v>
      </c>
      <c r="T51" s="323">
        <f t="shared" si="9"/>
        <v>516311.47599999997</v>
      </c>
      <c r="U51" s="321"/>
      <c r="V51" s="326" t="s">
        <v>13</v>
      </c>
      <c r="W51" s="249" t="s">
        <v>605</v>
      </c>
    </row>
    <row r="52" spans="1:23" ht="15" customHeight="1" x14ac:dyDescent="0.2">
      <c r="A52" s="75"/>
      <c r="B52" s="75" t="s">
        <v>52</v>
      </c>
      <c r="C52" s="75" t="s">
        <v>603</v>
      </c>
      <c r="D52" s="320" t="s">
        <v>614</v>
      </c>
      <c r="E52" s="321" t="s">
        <v>229</v>
      </c>
      <c r="F52" s="320" t="s">
        <v>221</v>
      </c>
      <c r="G52" s="321"/>
      <c r="H52" s="322" t="s">
        <v>604</v>
      </c>
      <c r="I52" s="75" t="s">
        <v>314</v>
      </c>
      <c r="J52" s="322">
        <v>1</v>
      </c>
      <c r="K52" s="75" t="s">
        <v>269</v>
      </c>
      <c r="L52" s="322">
        <v>102551.7</v>
      </c>
      <c r="M52" s="323">
        <f t="shared" si="5"/>
        <v>102551.7</v>
      </c>
      <c r="N52" s="324">
        <v>0</v>
      </c>
      <c r="O52" s="325">
        <f t="shared" si="6"/>
        <v>0</v>
      </c>
      <c r="P52" s="324">
        <v>0.16</v>
      </c>
      <c r="Q52" s="323">
        <f t="shared" si="7"/>
        <v>16408.272000000001</v>
      </c>
      <c r="R52" s="323">
        <f t="shared" si="8"/>
        <v>118959.97199999999</v>
      </c>
      <c r="S52" s="323">
        <f>INDEX('Glosario Partidas'!$M$8:$M$10,MATCH(K52,'Glosario Partidas'!$L$8:$L$10,0))</f>
        <v>1</v>
      </c>
      <c r="T52" s="323">
        <f t="shared" si="9"/>
        <v>118959.97199999999</v>
      </c>
      <c r="U52" s="321"/>
      <c r="V52" s="326" t="s">
        <v>13</v>
      </c>
      <c r="W52" s="249" t="s">
        <v>605</v>
      </c>
    </row>
    <row r="53" spans="1:23" ht="15" customHeight="1" x14ac:dyDescent="0.2">
      <c r="A53" s="75"/>
      <c r="B53" s="75" t="s">
        <v>52</v>
      </c>
      <c r="C53" s="75" t="s">
        <v>603</v>
      </c>
      <c r="D53" s="320" t="s">
        <v>615</v>
      </c>
      <c r="E53" s="321" t="s">
        <v>229</v>
      </c>
      <c r="F53" s="320" t="s">
        <v>221</v>
      </c>
      <c r="G53" s="321"/>
      <c r="H53" s="322" t="s">
        <v>604</v>
      </c>
      <c r="I53" s="75" t="s">
        <v>314</v>
      </c>
      <c r="J53" s="322">
        <v>1</v>
      </c>
      <c r="K53" s="75" t="s">
        <v>269</v>
      </c>
      <c r="L53" s="322">
        <v>249617.05</v>
      </c>
      <c r="M53" s="323">
        <f t="shared" si="5"/>
        <v>249617.05</v>
      </c>
      <c r="N53" s="324">
        <v>0</v>
      </c>
      <c r="O53" s="325">
        <f t="shared" si="6"/>
        <v>0</v>
      </c>
      <c r="P53" s="324">
        <v>0.16</v>
      </c>
      <c r="Q53" s="323">
        <f t="shared" si="7"/>
        <v>39938.727999999996</v>
      </c>
      <c r="R53" s="323">
        <f t="shared" si="8"/>
        <v>289555.77799999999</v>
      </c>
      <c r="S53" s="323">
        <f>INDEX('Glosario Partidas'!$M$8:$M$10,MATCH(K53,'Glosario Partidas'!$L$8:$L$10,0))</f>
        <v>1</v>
      </c>
      <c r="T53" s="323">
        <f t="shared" si="9"/>
        <v>289555.77799999999</v>
      </c>
      <c r="U53" s="321"/>
      <c r="V53" s="326" t="s">
        <v>13</v>
      </c>
      <c r="W53" s="249" t="s">
        <v>605</v>
      </c>
    </row>
    <row r="54" spans="1:23" ht="15" customHeight="1" x14ac:dyDescent="0.2">
      <c r="A54" s="75"/>
      <c r="B54" s="75" t="s">
        <v>52</v>
      </c>
      <c r="C54" s="75" t="s">
        <v>603</v>
      </c>
      <c r="D54" s="320" t="s">
        <v>616</v>
      </c>
      <c r="E54" s="321" t="s">
        <v>229</v>
      </c>
      <c r="F54" s="320" t="s">
        <v>221</v>
      </c>
      <c r="G54" s="321"/>
      <c r="H54" s="322" t="s">
        <v>604</v>
      </c>
      <c r="I54" s="75" t="s">
        <v>314</v>
      </c>
      <c r="J54" s="322">
        <v>1</v>
      </c>
      <c r="K54" s="75" t="s">
        <v>269</v>
      </c>
      <c r="L54" s="322">
        <v>837675.13</v>
      </c>
      <c r="M54" s="323">
        <f t="shared" si="5"/>
        <v>837675.13</v>
      </c>
      <c r="N54" s="324">
        <v>0</v>
      </c>
      <c r="O54" s="325">
        <f t="shared" si="6"/>
        <v>0</v>
      </c>
      <c r="P54" s="324">
        <v>0.16</v>
      </c>
      <c r="Q54" s="323">
        <f t="shared" si="7"/>
        <v>134028.0208</v>
      </c>
      <c r="R54" s="323">
        <f t="shared" si="8"/>
        <v>971703.15079999994</v>
      </c>
      <c r="S54" s="323">
        <f>INDEX('Glosario Partidas'!$M$8:$M$10,MATCH(K54,'Glosario Partidas'!$L$8:$L$10,0))</f>
        <v>1</v>
      </c>
      <c r="T54" s="323">
        <f t="shared" si="9"/>
        <v>971703.15079999994</v>
      </c>
      <c r="U54" s="321"/>
      <c r="V54" s="326" t="s">
        <v>13</v>
      </c>
      <c r="W54" s="249" t="s">
        <v>605</v>
      </c>
    </row>
    <row r="55" spans="1:23" ht="15" customHeight="1" x14ac:dyDescent="0.2">
      <c r="A55" s="75"/>
      <c r="B55" s="75" t="s">
        <v>52</v>
      </c>
      <c r="C55" s="75" t="s">
        <v>603</v>
      </c>
      <c r="D55" s="320" t="s">
        <v>617</v>
      </c>
      <c r="E55" s="321" t="s">
        <v>229</v>
      </c>
      <c r="F55" s="320" t="s">
        <v>221</v>
      </c>
      <c r="G55" s="321"/>
      <c r="H55" s="322" t="s">
        <v>604</v>
      </c>
      <c r="I55" s="75" t="s">
        <v>314</v>
      </c>
      <c r="J55" s="322">
        <v>1</v>
      </c>
      <c r="K55" s="75" t="s">
        <v>269</v>
      </c>
      <c r="L55" s="322">
        <v>72714.59</v>
      </c>
      <c r="M55" s="323">
        <f t="shared" si="5"/>
        <v>72714.59</v>
      </c>
      <c r="N55" s="324">
        <v>0</v>
      </c>
      <c r="O55" s="325">
        <f t="shared" si="6"/>
        <v>0</v>
      </c>
      <c r="P55" s="324">
        <v>0.16</v>
      </c>
      <c r="Q55" s="323">
        <f t="shared" si="7"/>
        <v>11634.3344</v>
      </c>
      <c r="R55" s="323">
        <f t="shared" si="8"/>
        <v>84348.924399999989</v>
      </c>
      <c r="S55" s="323">
        <f>INDEX('Glosario Partidas'!$M$8:$M$10,MATCH(K55,'Glosario Partidas'!$L$8:$L$10,0))</f>
        <v>1</v>
      </c>
      <c r="T55" s="323">
        <f t="shared" si="9"/>
        <v>84348.924399999989</v>
      </c>
      <c r="U55" s="321"/>
      <c r="V55" s="326" t="s">
        <v>13</v>
      </c>
      <c r="W55" s="249" t="s">
        <v>605</v>
      </c>
    </row>
    <row r="56" spans="1:23" ht="15" customHeight="1" x14ac:dyDescent="0.2">
      <c r="A56" s="75"/>
      <c r="B56" s="75" t="s">
        <v>52</v>
      </c>
      <c r="C56" s="75" t="s">
        <v>603</v>
      </c>
      <c r="D56" s="320" t="s">
        <v>618</v>
      </c>
      <c r="E56" s="321" t="s">
        <v>229</v>
      </c>
      <c r="F56" s="320" t="s">
        <v>221</v>
      </c>
      <c r="G56" s="321"/>
      <c r="H56" s="322" t="s">
        <v>604</v>
      </c>
      <c r="I56" s="75" t="s">
        <v>314</v>
      </c>
      <c r="J56" s="322">
        <v>1</v>
      </c>
      <c r="K56" s="75" t="s">
        <v>269</v>
      </c>
      <c r="L56" s="322">
        <v>196715.12</v>
      </c>
      <c r="M56" s="323">
        <f t="shared" si="5"/>
        <v>196715.12</v>
      </c>
      <c r="N56" s="324">
        <v>0</v>
      </c>
      <c r="O56" s="325">
        <f t="shared" si="6"/>
        <v>0</v>
      </c>
      <c r="P56" s="324">
        <v>0.16</v>
      </c>
      <c r="Q56" s="323">
        <f t="shared" si="7"/>
        <v>31474.4192</v>
      </c>
      <c r="R56" s="323">
        <f t="shared" si="8"/>
        <v>228189.5392</v>
      </c>
      <c r="S56" s="323">
        <f>INDEX('Glosario Partidas'!$M$8:$M$10,MATCH(K56,'Glosario Partidas'!$L$8:$L$10,0))</f>
        <v>1</v>
      </c>
      <c r="T56" s="323">
        <f t="shared" si="9"/>
        <v>228189.5392</v>
      </c>
      <c r="U56" s="321"/>
      <c r="V56" s="326" t="s">
        <v>13</v>
      </c>
      <c r="W56" s="249" t="s">
        <v>605</v>
      </c>
    </row>
    <row r="57" spans="1:23" ht="15" customHeight="1" x14ac:dyDescent="0.2">
      <c r="A57" s="75"/>
      <c r="B57" s="75" t="s">
        <v>52</v>
      </c>
      <c r="C57" s="75" t="s">
        <v>603</v>
      </c>
      <c r="D57" s="320" t="s">
        <v>619</v>
      </c>
      <c r="E57" s="321" t="s">
        <v>229</v>
      </c>
      <c r="F57" s="320" t="s">
        <v>221</v>
      </c>
      <c r="G57" s="321"/>
      <c r="H57" s="322" t="s">
        <v>604</v>
      </c>
      <c r="I57" s="75" t="s">
        <v>314</v>
      </c>
      <c r="J57" s="322">
        <v>1</v>
      </c>
      <c r="K57" s="75" t="s">
        <v>269</v>
      </c>
      <c r="L57" s="322">
        <v>40202.050000000003</v>
      </c>
      <c r="M57" s="323">
        <f t="shared" si="5"/>
        <v>40202.050000000003</v>
      </c>
      <c r="N57" s="324">
        <v>0</v>
      </c>
      <c r="O57" s="325">
        <f t="shared" si="6"/>
        <v>0</v>
      </c>
      <c r="P57" s="324">
        <v>0.16</v>
      </c>
      <c r="Q57" s="323">
        <f t="shared" si="7"/>
        <v>6432.3280000000004</v>
      </c>
      <c r="R57" s="323">
        <f t="shared" si="8"/>
        <v>46634.378000000004</v>
      </c>
      <c r="S57" s="323">
        <f>INDEX('Glosario Partidas'!$M$8:$M$10,MATCH(K57,'Glosario Partidas'!$L$8:$L$10,0))</f>
        <v>1</v>
      </c>
      <c r="T57" s="323">
        <f t="shared" si="9"/>
        <v>46634.378000000004</v>
      </c>
      <c r="U57" s="321"/>
      <c r="V57" s="326" t="s">
        <v>13</v>
      </c>
      <c r="W57" s="249" t="s">
        <v>605</v>
      </c>
    </row>
    <row r="58" spans="1:23" ht="15" customHeight="1" x14ac:dyDescent="0.2">
      <c r="A58" s="75"/>
      <c r="B58" s="75" t="s">
        <v>52</v>
      </c>
      <c r="C58" s="75" t="s">
        <v>603</v>
      </c>
      <c r="D58" s="320" t="s">
        <v>620</v>
      </c>
      <c r="E58" s="321" t="s">
        <v>229</v>
      </c>
      <c r="F58" s="320" t="s">
        <v>221</v>
      </c>
      <c r="G58" s="321"/>
      <c r="H58" s="322" t="s">
        <v>604</v>
      </c>
      <c r="I58" s="75" t="s">
        <v>314</v>
      </c>
      <c r="J58" s="322">
        <v>1</v>
      </c>
      <c r="K58" s="75" t="s">
        <v>269</v>
      </c>
      <c r="L58" s="322">
        <v>126286.36</v>
      </c>
      <c r="M58" s="323">
        <f t="shared" si="5"/>
        <v>126286.36</v>
      </c>
      <c r="N58" s="324">
        <v>0</v>
      </c>
      <c r="O58" s="325">
        <f t="shared" si="6"/>
        <v>0</v>
      </c>
      <c r="P58" s="324">
        <v>0.16</v>
      </c>
      <c r="Q58" s="323">
        <f t="shared" si="7"/>
        <v>20205.817600000002</v>
      </c>
      <c r="R58" s="323">
        <f t="shared" si="8"/>
        <v>146492.1776</v>
      </c>
      <c r="S58" s="323">
        <f>INDEX('Glosario Partidas'!$M$8:$M$10,MATCH(K58,'Glosario Partidas'!$L$8:$L$10,0))</f>
        <v>1</v>
      </c>
      <c r="T58" s="323">
        <f t="shared" si="9"/>
        <v>146492.1776</v>
      </c>
      <c r="U58" s="321"/>
      <c r="V58" s="326" t="s">
        <v>13</v>
      </c>
      <c r="W58" s="249" t="s">
        <v>605</v>
      </c>
    </row>
    <row r="59" spans="1:23" ht="15" customHeight="1" x14ac:dyDescent="0.2">
      <c r="A59" s="75"/>
      <c r="B59" s="75" t="s">
        <v>52</v>
      </c>
      <c r="C59" s="75" t="s">
        <v>603</v>
      </c>
      <c r="D59" s="320" t="s">
        <v>621</v>
      </c>
      <c r="E59" s="321" t="s">
        <v>229</v>
      </c>
      <c r="F59" s="320" t="s">
        <v>221</v>
      </c>
      <c r="G59" s="321"/>
      <c r="H59" s="322" t="s">
        <v>604</v>
      </c>
      <c r="I59" s="75" t="s">
        <v>314</v>
      </c>
      <c r="J59" s="322">
        <v>0</v>
      </c>
      <c r="K59" s="75" t="s">
        <v>269</v>
      </c>
      <c r="L59" s="322">
        <v>814956.83</v>
      </c>
      <c r="M59" s="323">
        <f t="shared" si="5"/>
        <v>0</v>
      </c>
      <c r="N59" s="324">
        <v>0</v>
      </c>
      <c r="O59" s="325">
        <f t="shared" si="6"/>
        <v>0</v>
      </c>
      <c r="P59" s="324">
        <v>0.16</v>
      </c>
      <c r="Q59" s="323">
        <f t="shared" si="7"/>
        <v>0</v>
      </c>
      <c r="R59" s="323">
        <f t="shared" si="8"/>
        <v>0</v>
      </c>
      <c r="S59" s="323">
        <f>INDEX('Glosario Partidas'!$M$8:$M$10,MATCH(K59,'Glosario Partidas'!$L$8:$L$10,0))</f>
        <v>1</v>
      </c>
      <c r="T59" s="323">
        <f t="shared" si="9"/>
        <v>0</v>
      </c>
      <c r="U59" s="321"/>
      <c r="V59" s="326" t="s">
        <v>13</v>
      </c>
      <c r="W59" s="249" t="s">
        <v>605</v>
      </c>
    </row>
    <row r="60" spans="1:23" ht="15" customHeight="1" x14ac:dyDescent="0.2">
      <c r="A60" s="75"/>
      <c r="B60" s="75" t="s">
        <v>52</v>
      </c>
      <c r="C60" s="75" t="s">
        <v>622</v>
      </c>
      <c r="D60" s="320" t="s">
        <v>623</v>
      </c>
      <c r="E60" s="321" t="s">
        <v>229</v>
      </c>
      <c r="F60" s="320" t="s">
        <v>354</v>
      </c>
      <c r="G60" s="321"/>
      <c r="H60" s="322" t="s">
        <v>604</v>
      </c>
      <c r="I60" s="75" t="s">
        <v>314</v>
      </c>
      <c r="J60" s="322">
        <v>1</v>
      </c>
      <c r="K60" s="75" t="s">
        <v>269</v>
      </c>
      <c r="L60" s="322">
        <v>376626.71</v>
      </c>
      <c r="M60" s="323">
        <f t="shared" si="5"/>
        <v>376626.71</v>
      </c>
      <c r="N60" s="324">
        <v>0</v>
      </c>
      <c r="O60" s="325">
        <f t="shared" si="6"/>
        <v>0</v>
      </c>
      <c r="P60" s="324">
        <v>0.16</v>
      </c>
      <c r="Q60" s="323">
        <f t="shared" si="7"/>
        <v>60260.273600000008</v>
      </c>
      <c r="R60" s="323">
        <f t="shared" si="8"/>
        <v>436886.98360000004</v>
      </c>
      <c r="S60" s="323">
        <f>INDEX('Glosario Partidas'!$M$8:$M$10,MATCH(K60,'Glosario Partidas'!$L$8:$L$10,0))</f>
        <v>1</v>
      </c>
      <c r="T60" s="323">
        <f t="shared" si="9"/>
        <v>436886.98360000004</v>
      </c>
      <c r="U60" s="321"/>
      <c r="V60" s="326" t="s">
        <v>13</v>
      </c>
      <c r="W60" s="249" t="s">
        <v>605</v>
      </c>
    </row>
    <row r="61" spans="1:23" ht="15" customHeight="1" x14ac:dyDescent="0.2">
      <c r="A61" s="75"/>
      <c r="B61" s="75" t="s">
        <v>52</v>
      </c>
      <c r="C61" s="75" t="s">
        <v>622</v>
      </c>
      <c r="D61" s="320" t="s">
        <v>624</v>
      </c>
      <c r="E61" s="321" t="s">
        <v>229</v>
      </c>
      <c r="F61" s="320" t="s">
        <v>354</v>
      </c>
      <c r="G61" s="321"/>
      <c r="H61" s="322" t="s">
        <v>604</v>
      </c>
      <c r="I61" s="75" t="s">
        <v>314</v>
      </c>
      <c r="J61" s="322">
        <v>1</v>
      </c>
      <c r="K61" s="75" t="s">
        <v>269</v>
      </c>
      <c r="L61" s="322">
        <v>1810589.6</v>
      </c>
      <c r="M61" s="323">
        <f t="shared" si="5"/>
        <v>1810589.6</v>
      </c>
      <c r="N61" s="324">
        <v>0</v>
      </c>
      <c r="O61" s="325">
        <f t="shared" si="6"/>
        <v>0</v>
      </c>
      <c r="P61" s="324">
        <v>0.16</v>
      </c>
      <c r="Q61" s="323">
        <f t="shared" si="7"/>
        <v>289694.33600000001</v>
      </c>
      <c r="R61" s="323">
        <f t="shared" si="8"/>
        <v>2100283.9360000002</v>
      </c>
      <c r="S61" s="323">
        <f>INDEX('Glosario Partidas'!$M$8:$M$10,MATCH(K61,'Glosario Partidas'!$L$8:$L$10,0))</f>
        <v>1</v>
      </c>
      <c r="T61" s="323">
        <f t="shared" si="9"/>
        <v>2100283.9360000002</v>
      </c>
      <c r="U61" s="321"/>
      <c r="V61" s="326" t="s">
        <v>13</v>
      </c>
      <c r="W61" s="249" t="s">
        <v>605</v>
      </c>
    </row>
    <row r="62" spans="1:23" ht="15" customHeight="1" x14ac:dyDescent="0.2">
      <c r="A62" s="75"/>
      <c r="B62" s="75" t="s">
        <v>52</v>
      </c>
      <c r="C62" s="75" t="s">
        <v>622</v>
      </c>
      <c r="D62" s="320" t="s">
        <v>609</v>
      </c>
      <c r="E62" s="321" t="s">
        <v>229</v>
      </c>
      <c r="F62" s="320" t="s">
        <v>354</v>
      </c>
      <c r="G62" s="321"/>
      <c r="H62" s="322" t="s">
        <v>604</v>
      </c>
      <c r="I62" s="75" t="s">
        <v>314</v>
      </c>
      <c r="J62" s="322">
        <v>1</v>
      </c>
      <c r="K62" s="75" t="s">
        <v>269</v>
      </c>
      <c r="L62" s="322">
        <v>82022.77</v>
      </c>
      <c r="M62" s="323">
        <f t="shared" si="5"/>
        <v>82022.77</v>
      </c>
      <c r="N62" s="324">
        <v>0</v>
      </c>
      <c r="O62" s="325">
        <f t="shared" si="6"/>
        <v>0</v>
      </c>
      <c r="P62" s="324">
        <v>0.16</v>
      </c>
      <c r="Q62" s="323">
        <f t="shared" si="7"/>
        <v>13123.6432</v>
      </c>
      <c r="R62" s="323">
        <f t="shared" si="8"/>
        <v>95146.41320000001</v>
      </c>
      <c r="S62" s="323">
        <f>INDEX('Glosario Partidas'!$M$8:$M$10,MATCH(K62,'Glosario Partidas'!$L$8:$L$10,0))</f>
        <v>1</v>
      </c>
      <c r="T62" s="323">
        <f t="shared" si="9"/>
        <v>95146.41320000001</v>
      </c>
      <c r="U62" s="321"/>
      <c r="V62" s="326" t="s">
        <v>13</v>
      </c>
      <c r="W62" s="249" t="s">
        <v>605</v>
      </c>
    </row>
    <row r="63" spans="1:23" ht="15" customHeight="1" x14ac:dyDescent="0.2">
      <c r="A63" s="75"/>
      <c r="B63" s="75" t="s">
        <v>52</v>
      </c>
      <c r="C63" s="75" t="s">
        <v>622</v>
      </c>
      <c r="D63" s="320" t="s">
        <v>611</v>
      </c>
      <c r="E63" s="321" t="s">
        <v>229</v>
      </c>
      <c r="F63" s="320" t="s">
        <v>354</v>
      </c>
      <c r="G63" s="321"/>
      <c r="H63" s="322" t="s">
        <v>604</v>
      </c>
      <c r="I63" s="75" t="s">
        <v>314</v>
      </c>
      <c r="J63" s="322">
        <v>1</v>
      </c>
      <c r="K63" s="75" t="s">
        <v>269</v>
      </c>
      <c r="L63" s="322">
        <v>2136642.9300000002</v>
      </c>
      <c r="M63" s="323">
        <f t="shared" si="5"/>
        <v>2136642.9300000002</v>
      </c>
      <c r="N63" s="324">
        <v>0</v>
      </c>
      <c r="O63" s="325">
        <f t="shared" si="6"/>
        <v>0</v>
      </c>
      <c r="P63" s="324">
        <v>0.16</v>
      </c>
      <c r="Q63" s="323">
        <f t="shared" si="7"/>
        <v>341862.86880000005</v>
      </c>
      <c r="R63" s="323">
        <f t="shared" si="8"/>
        <v>2478505.7988</v>
      </c>
      <c r="S63" s="323">
        <f>INDEX('Glosario Partidas'!$M$8:$M$10,MATCH(K63,'Glosario Partidas'!$L$8:$L$10,0))</f>
        <v>1</v>
      </c>
      <c r="T63" s="323">
        <f t="shared" si="9"/>
        <v>2478505.7988</v>
      </c>
      <c r="U63" s="321"/>
      <c r="V63" s="326" t="s">
        <v>13</v>
      </c>
      <c r="W63" s="249" t="s">
        <v>605</v>
      </c>
    </row>
    <row r="64" spans="1:23" ht="15" customHeight="1" x14ac:dyDescent="0.2">
      <c r="A64" s="75"/>
      <c r="B64" s="75" t="s">
        <v>52</v>
      </c>
      <c r="C64" s="75" t="s">
        <v>622</v>
      </c>
      <c r="D64" s="320" t="s">
        <v>612</v>
      </c>
      <c r="E64" s="321" t="s">
        <v>229</v>
      </c>
      <c r="F64" s="320" t="s">
        <v>354</v>
      </c>
      <c r="G64" s="321"/>
      <c r="H64" s="322" t="s">
        <v>604</v>
      </c>
      <c r="I64" s="75" t="s">
        <v>314</v>
      </c>
      <c r="J64" s="322">
        <v>0</v>
      </c>
      <c r="K64" s="75" t="s">
        <v>269</v>
      </c>
      <c r="L64" s="322">
        <v>3384587.1</v>
      </c>
      <c r="M64" s="323">
        <f t="shared" si="5"/>
        <v>0</v>
      </c>
      <c r="N64" s="324">
        <v>0</v>
      </c>
      <c r="O64" s="325">
        <f t="shared" si="6"/>
        <v>0</v>
      </c>
      <c r="P64" s="324">
        <v>0.16</v>
      </c>
      <c r="Q64" s="323">
        <f t="shared" si="7"/>
        <v>0</v>
      </c>
      <c r="R64" s="323">
        <f t="shared" si="8"/>
        <v>0</v>
      </c>
      <c r="S64" s="323">
        <f>INDEX('Glosario Partidas'!$M$8:$M$10,MATCH(K64,'Glosario Partidas'!$L$8:$L$10,0))</f>
        <v>1</v>
      </c>
      <c r="T64" s="323">
        <f t="shared" si="9"/>
        <v>0</v>
      </c>
      <c r="U64" s="321"/>
      <c r="V64" s="326" t="s">
        <v>13</v>
      </c>
      <c r="W64" s="249" t="s">
        <v>605</v>
      </c>
    </row>
    <row r="65" spans="1:23" ht="15" customHeight="1" x14ac:dyDescent="0.2">
      <c r="A65" s="75"/>
      <c r="B65" s="75" t="s">
        <v>52</v>
      </c>
      <c r="C65" s="75" t="s">
        <v>622</v>
      </c>
      <c r="D65" s="320" t="s">
        <v>613</v>
      </c>
      <c r="E65" s="321" t="s">
        <v>229</v>
      </c>
      <c r="F65" s="320" t="s">
        <v>354</v>
      </c>
      <c r="G65" s="321"/>
      <c r="H65" s="322" t="s">
        <v>604</v>
      </c>
      <c r="I65" s="75" t="s">
        <v>314</v>
      </c>
      <c r="J65" s="322">
        <v>1</v>
      </c>
      <c r="K65" s="75" t="s">
        <v>269</v>
      </c>
      <c r="L65" s="322">
        <v>446718.46</v>
      </c>
      <c r="M65" s="323">
        <f t="shared" si="5"/>
        <v>446718.46</v>
      </c>
      <c r="N65" s="324">
        <v>0</v>
      </c>
      <c r="O65" s="325">
        <f t="shared" si="6"/>
        <v>0</v>
      </c>
      <c r="P65" s="324">
        <v>0.16</v>
      </c>
      <c r="Q65" s="323">
        <f t="shared" si="7"/>
        <v>71474.953600000008</v>
      </c>
      <c r="R65" s="323">
        <f t="shared" si="8"/>
        <v>518193.41360000003</v>
      </c>
      <c r="S65" s="323">
        <f>INDEX('Glosario Partidas'!$M$8:$M$10,MATCH(K65,'Glosario Partidas'!$L$8:$L$10,0))</f>
        <v>1</v>
      </c>
      <c r="T65" s="323">
        <f t="shared" si="9"/>
        <v>518193.41360000003</v>
      </c>
      <c r="U65" s="321"/>
      <c r="V65" s="326" t="s">
        <v>13</v>
      </c>
      <c r="W65" s="249" t="s">
        <v>605</v>
      </c>
    </row>
    <row r="66" spans="1:23" ht="15" customHeight="1" x14ac:dyDescent="0.2">
      <c r="A66" s="75"/>
      <c r="B66" s="75" t="s">
        <v>52</v>
      </c>
      <c r="C66" s="75" t="s">
        <v>622</v>
      </c>
      <c r="D66" s="320" t="s">
        <v>620</v>
      </c>
      <c r="E66" s="321" t="s">
        <v>229</v>
      </c>
      <c r="F66" s="320" t="s">
        <v>354</v>
      </c>
      <c r="G66" s="321"/>
      <c r="H66" s="322" t="s">
        <v>604</v>
      </c>
      <c r="I66" s="75" t="s">
        <v>314</v>
      </c>
      <c r="J66" s="322">
        <v>1</v>
      </c>
      <c r="K66" s="75" t="s">
        <v>269</v>
      </c>
      <c r="L66" s="322">
        <v>126286.36</v>
      </c>
      <c r="M66" s="323">
        <f t="shared" ref="M66:M83" si="10">J66*L66</f>
        <v>126286.36</v>
      </c>
      <c r="N66" s="324">
        <v>0</v>
      </c>
      <c r="O66" s="325">
        <f t="shared" ref="O66:O83" si="11">M66*N66</f>
        <v>0</v>
      </c>
      <c r="P66" s="324">
        <v>0.16</v>
      </c>
      <c r="Q66" s="323">
        <f t="shared" ref="Q66:Q83" si="12">(M66+O66)*P66</f>
        <v>20205.817600000002</v>
      </c>
      <c r="R66" s="323">
        <f t="shared" ref="R66:R83" si="13">M66+O66+Q66</f>
        <v>146492.1776</v>
      </c>
      <c r="S66" s="323">
        <f>INDEX('Glosario Partidas'!$M$8:$M$10,MATCH(K66,'Glosario Partidas'!$L$8:$L$10,0))</f>
        <v>1</v>
      </c>
      <c r="T66" s="323">
        <f t="shared" ref="T66:T83" si="14">R66*S66</f>
        <v>146492.1776</v>
      </c>
      <c r="U66" s="321"/>
      <c r="V66" s="326" t="s">
        <v>13</v>
      </c>
      <c r="W66" s="249" t="s">
        <v>605</v>
      </c>
    </row>
    <row r="67" spans="1:23" ht="15" customHeight="1" x14ac:dyDescent="0.2">
      <c r="A67" s="75"/>
      <c r="B67" s="75" t="s">
        <v>52</v>
      </c>
      <c r="C67" s="75" t="s">
        <v>622</v>
      </c>
      <c r="D67" s="320" t="s">
        <v>621</v>
      </c>
      <c r="E67" s="321" t="s">
        <v>229</v>
      </c>
      <c r="F67" s="320" t="s">
        <v>354</v>
      </c>
      <c r="G67" s="321"/>
      <c r="H67" s="322" t="s">
        <v>604</v>
      </c>
      <c r="I67" s="75" t="s">
        <v>314</v>
      </c>
      <c r="J67" s="322">
        <v>0</v>
      </c>
      <c r="K67" s="75" t="s">
        <v>269</v>
      </c>
      <c r="L67" s="322">
        <v>980725.01</v>
      </c>
      <c r="M67" s="323">
        <f t="shared" si="10"/>
        <v>0</v>
      </c>
      <c r="N67" s="324">
        <v>0</v>
      </c>
      <c r="O67" s="325">
        <f t="shared" si="11"/>
        <v>0</v>
      </c>
      <c r="P67" s="324">
        <v>0.16</v>
      </c>
      <c r="Q67" s="323">
        <f t="shared" si="12"/>
        <v>0</v>
      </c>
      <c r="R67" s="323">
        <f t="shared" si="13"/>
        <v>0</v>
      </c>
      <c r="S67" s="323">
        <f>INDEX('Glosario Partidas'!$M$8:$M$10,MATCH(K67,'Glosario Partidas'!$L$8:$L$10,0))</f>
        <v>1</v>
      </c>
      <c r="T67" s="323">
        <f t="shared" si="14"/>
        <v>0</v>
      </c>
      <c r="U67" s="321"/>
      <c r="V67" s="326" t="s">
        <v>13</v>
      </c>
      <c r="W67" s="249" t="s">
        <v>605</v>
      </c>
    </row>
    <row r="68" spans="1:23" ht="15" customHeight="1" x14ac:dyDescent="0.2">
      <c r="A68" s="75"/>
      <c r="B68" s="75" t="s">
        <v>52</v>
      </c>
      <c r="C68" s="75" t="s">
        <v>625</v>
      </c>
      <c r="D68" s="320" t="s">
        <v>626</v>
      </c>
      <c r="E68" s="321" t="s">
        <v>229</v>
      </c>
      <c r="F68" s="320" t="s">
        <v>355</v>
      </c>
      <c r="G68" s="321"/>
      <c r="H68" s="322" t="s">
        <v>604</v>
      </c>
      <c r="I68" s="75" t="s">
        <v>314</v>
      </c>
      <c r="J68" s="322">
        <v>1</v>
      </c>
      <c r="K68" s="75" t="s">
        <v>269</v>
      </c>
      <c r="L68" s="322">
        <v>282762.88</v>
      </c>
      <c r="M68" s="323">
        <f t="shared" si="10"/>
        <v>282762.88</v>
      </c>
      <c r="N68" s="324">
        <v>0</v>
      </c>
      <c r="O68" s="325">
        <f t="shared" si="11"/>
        <v>0</v>
      </c>
      <c r="P68" s="324">
        <v>0.16</v>
      </c>
      <c r="Q68" s="323">
        <f t="shared" si="12"/>
        <v>45242.060799999999</v>
      </c>
      <c r="R68" s="323">
        <f t="shared" si="13"/>
        <v>328004.94079999998</v>
      </c>
      <c r="S68" s="323">
        <f>INDEX('Glosario Partidas'!$M$8:$M$10,MATCH(K68,'Glosario Partidas'!$L$8:$L$10,0))</f>
        <v>1</v>
      </c>
      <c r="T68" s="323">
        <f t="shared" si="14"/>
        <v>328004.94079999998</v>
      </c>
      <c r="U68" s="321"/>
      <c r="V68" s="326" t="s">
        <v>13</v>
      </c>
      <c r="W68" s="249" t="s">
        <v>605</v>
      </c>
    </row>
    <row r="69" spans="1:23" ht="15" customHeight="1" x14ac:dyDescent="0.2">
      <c r="A69" s="75"/>
      <c r="B69" s="75" t="s">
        <v>52</v>
      </c>
      <c r="C69" s="75" t="s">
        <v>625</v>
      </c>
      <c r="D69" s="320" t="s">
        <v>624</v>
      </c>
      <c r="E69" s="321" t="s">
        <v>229</v>
      </c>
      <c r="F69" s="320" t="s">
        <v>355</v>
      </c>
      <c r="G69" s="321"/>
      <c r="H69" s="322" t="s">
        <v>604</v>
      </c>
      <c r="I69" s="75" t="s">
        <v>314</v>
      </c>
      <c r="J69" s="322">
        <v>1</v>
      </c>
      <c r="K69" s="75" t="s">
        <v>269</v>
      </c>
      <c r="L69" s="322">
        <v>1319233.27</v>
      </c>
      <c r="M69" s="323">
        <f t="shared" si="10"/>
        <v>1319233.27</v>
      </c>
      <c r="N69" s="324">
        <v>0</v>
      </c>
      <c r="O69" s="325">
        <f t="shared" si="11"/>
        <v>0</v>
      </c>
      <c r="P69" s="324">
        <v>0.16</v>
      </c>
      <c r="Q69" s="323">
        <f t="shared" si="12"/>
        <v>211077.32320000001</v>
      </c>
      <c r="R69" s="323">
        <f t="shared" si="13"/>
        <v>1530310.5932</v>
      </c>
      <c r="S69" s="323">
        <f>INDEX('Glosario Partidas'!$M$8:$M$10,MATCH(K69,'Glosario Partidas'!$L$8:$L$10,0))</f>
        <v>1</v>
      </c>
      <c r="T69" s="323">
        <f t="shared" si="14"/>
        <v>1530310.5932</v>
      </c>
      <c r="U69" s="321"/>
      <c r="V69" s="326" t="s">
        <v>13</v>
      </c>
      <c r="W69" s="249" t="s">
        <v>605</v>
      </c>
    </row>
    <row r="70" spans="1:23" ht="15" customHeight="1" x14ac:dyDescent="0.2">
      <c r="A70" s="75"/>
      <c r="B70" s="75" t="s">
        <v>52</v>
      </c>
      <c r="C70" s="75" t="s">
        <v>625</v>
      </c>
      <c r="D70" s="320" t="s">
        <v>609</v>
      </c>
      <c r="E70" s="321" t="s">
        <v>229</v>
      </c>
      <c r="F70" s="320" t="s">
        <v>355</v>
      </c>
      <c r="G70" s="321"/>
      <c r="H70" s="322" t="s">
        <v>604</v>
      </c>
      <c r="I70" s="75" t="s">
        <v>314</v>
      </c>
      <c r="J70" s="322">
        <v>1</v>
      </c>
      <c r="K70" s="75" t="s">
        <v>269</v>
      </c>
      <c r="L70" s="322">
        <v>33782.67</v>
      </c>
      <c r="M70" s="323">
        <f t="shared" si="10"/>
        <v>33782.67</v>
      </c>
      <c r="N70" s="324">
        <v>0</v>
      </c>
      <c r="O70" s="325">
        <f t="shared" si="11"/>
        <v>0</v>
      </c>
      <c r="P70" s="324">
        <v>0.16</v>
      </c>
      <c r="Q70" s="323">
        <f t="shared" si="12"/>
        <v>5405.2272000000003</v>
      </c>
      <c r="R70" s="323">
        <f t="shared" si="13"/>
        <v>39187.897199999999</v>
      </c>
      <c r="S70" s="323">
        <f>INDEX('Glosario Partidas'!$M$8:$M$10,MATCH(K70,'Glosario Partidas'!$L$8:$L$10,0))</f>
        <v>1</v>
      </c>
      <c r="T70" s="323">
        <f t="shared" si="14"/>
        <v>39187.897199999999</v>
      </c>
      <c r="U70" s="321"/>
      <c r="V70" s="326" t="s">
        <v>13</v>
      </c>
      <c r="W70" s="249" t="s">
        <v>605</v>
      </c>
    </row>
    <row r="71" spans="1:23" ht="15" customHeight="1" x14ac:dyDescent="0.2">
      <c r="A71" s="75"/>
      <c r="B71" s="75" t="s">
        <v>52</v>
      </c>
      <c r="C71" s="75" t="s">
        <v>625</v>
      </c>
      <c r="D71" s="320" t="s">
        <v>627</v>
      </c>
      <c r="E71" s="321" t="s">
        <v>229</v>
      </c>
      <c r="F71" s="320" t="s">
        <v>355</v>
      </c>
      <c r="G71" s="321"/>
      <c r="H71" s="322" t="s">
        <v>604</v>
      </c>
      <c r="I71" s="75" t="s">
        <v>314</v>
      </c>
      <c r="J71" s="322">
        <v>1</v>
      </c>
      <c r="K71" s="75" t="s">
        <v>269</v>
      </c>
      <c r="L71" s="322">
        <v>259284.15</v>
      </c>
      <c r="M71" s="323">
        <f t="shared" si="10"/>
        <v>259284.15</v>
      </c>
      <c r="N71" s="324">
        <v>0</v>
      </c>
      <c r="O71" s="325">
        <f t="shared" si="11"/>
        <v>0</v>
      </c>
      <c r="P71" s="324">
        <v>0.16</v>
      </c>
      <c r="Q71" s="323">
        <f t="shared" si="12"/>
        <v>41485.464</v>
      </c>
      <c r="R71" s="323">
        <f t="shared" si="13"/>
        <v>300769.614</v>
      </c>
      <c r="S71" s="323">
        <f>INDEX('Glosario Partidas'!$M$8:$M$10,MATCH(K71,'Glosario Partidas'!$L$8:$L$10,0))</f>
        <v>1</v>
      </c>
      <c r="T71" s="323">
        <f t="shared" si="14"/>
        <v>300769.614</v>
      </c>
      <c r="U71" s="321"/>
      <c r="V71" s="326" t="s">
        <v>13</v>
      </c>
      <c r="W71" s="249" t="s">
        <v>605</v>
      </c>
    </row>
    <row r="72" spans="1:23" ht="15" customHeight="1" x14ac:dyDescent="0.2">
      <c r="A72" s="75"/>
      <c r="B72" s="75" t="s">
        <v>52</v>
      </c>
      <c r="C72" s="75" t="s">
        <v>625</v>
      </c>
      <c r="D72" s="320" t="s">
        <v>628</v>
      </c>
      <c r="E72" s="321" t="s">
        <v>229</v>
      </c>
      <c r="F72" s="320" t="s">
        <v>355</v>
      </c>
      <c r="G72" s="321"/>
      <c r="H72" s="322" t="s">
        <v>604</v>
      </c>
      <c r="I72" s="75" t="s">
        <v>314</v>
      </c>
      <c r="J72" s="322">
        <v>1</v>
      </c>
      <c r="K72" s="75" t="s">
        <v>269</v>
      </c>
      <c r="L72" s="322">
        <v>706447.5</v>
      </c>
      <c r="M72" s="323">
        <f t="shared" si="10"/>
        <v>706447.5</v>
      </c>
      <c r="N72" s="324">
        <v>0</v>
      </c>
      <c r="O72" s="325">
        <f t="shared" si="11"/>
        <v>0</v>
      </c>
      <c r="P72" s="324">
        <v>0.16</v>
      </c>
      <c r="Q72" s="323">
        <f t="shared" si="12"/>
        <v>113031.6</v>
      </c>
      <c r="R72" s="323">
        <f t="shared" si="13"/>
        <v>819479.1</v>
      </c>
      <c r="S72" s="323">
        <f>INDEX('Glosario Partidas'!$M$8:$M$10,MATCH(K72,'Glosario Partidas'!$L$8:$L$10,0))</f>
        <v>1</v>
      </c>
      <c r="T72" s="323">
        <f t="shared" si="14"/>
        <v>819479.1</v>
      </c>
      <c r="U72" s="321"/>
      <c r="V72" s="326" t="s">
        <v>13</v>
      </c>
      <c r="W72" s="249" t="s">
        <v>605</v>
      </c>
    </row>
    <row r="73" spans="1:23" ht="15" customHeight="1" x14ac:dyDescent="0.2">
      <c r="A73" s="75"/>
      <c r="B73" s="75" t="s">
        <v>52</v>
      </c>
      <c r="C73" s="75" t="s">
        <v>625</v>
      </c>
      <c r="D73" s="320" t="s">
        <v>616</v>
      </c>
      <c r="E73" s="321" t="s">
        <v>229</v>
      </c>
      <c r="F73" s="320" t="s">
        <v>355</v>
      </c>
      <c r="G73" s="321"/>
      <c r="H73" s="322" t="s">
        <v>604</v>
      </c>
      <c r="I73" s="75" t="s">
        <v>314</v>
      </c>
      <c r="J73" s="322">
        <v>1</v>
      </c>
      <c r="K73" s="75" t="s">
        <v>269</v>
      </c>
      <c r="L73" s="322">
        <v>158023.47</v>
      </c>
      <c r="M73" s="323">
        <f t="shared" si="10"/>
        <v>158023.47</v>
      </c>
      <c r="N73" s="324">
        <v>0</v>
      </c>
      <c r="O73" s="325">
        <f t="shared" si="11"/>
        <v>0</v>
      </c>
      <c r="P73" s="324">
        <v>0.16</v>
      </c>
      <c r="Q73" s="323">
        <f t="shared" si="12"/>
        <v>25283.7552</v>
      </c>
      <c r="R73" s="323">
        <f t="shared" si="13"/>
        <v>183307.22519999999</v>
      </c>
      <c r="S73" s="323">
        <f>INDEX('Glosario Partidas'!$M$8:$M$10,MATCH(K73,'Glosario Partidas'!$L$8:$L$10,0))</f>
        <v>1</v>
      </c>
      <c r="T73" s="323">
        <f t="shared" si="14"/>
        <v>183307.22519999999</v>
      </c>
      <c r="U73" s="321"/>
      <c r="V73" s="326" t="s">
        <v>13</v>
      </c>
      <c r="W73" s="249" t="s">
        <v>605</v>
      </c>
    </row>
    <row r="74" spans="1:23" ht="15" customHeight="1" x14ac:dyDescent="0.2">
      <c r="A74" s="75"/>
      <c r="B74" s="75" t="s">
        <v>52</v>
      </c>
      <c r="C74" s="75" t="s">
        <v>625</v>
      </c>
      <c r="D74" s="320" t="s">
        <v>629</v>
      </c>
      <c r="E74" s="321" t="s">
        <v>229</v>
      </c>
      <c r="F74" s="320" t="s">
        <v>355</v>
      </c>
      <c r="G74" s="321"/>
      <c r="H74" s="322" t="s">
        <v>604</v>
      </c>
      <c r="I74" s="75" t="s">
        <v>314</v>
      </c>
      <c r="J74" s="322">
        <v>1</v>
      </c>
      <c r="K74" s="75" t="s">
        <v>269</v>
      </c>
      <c r="L74" s="322">
        <v>281749.14</v>
      </c>
      <c r="M74" s="323">
        <f t="shared" si="10"/>
        <v>281749.14</v>
      </c>
      <c r="N74" s="324">
        <v>0</v>
      </c>
      <c r="O74" s="325">
        <f t="shared" si="11"/>
        <v>0</v>
      </c>
      <c r="P74" s="324">
        <v>0.16</v>
      </c>
      <c r="Q74" s="323">
        <f t="shared" si="12"/>
        <v>45079.862400000005</v>
      </c>
      <c r="R74" s="323">
        <f t="shared" si="13"/>
        <v>326829.0024</v>
      </c>
      <c r="S74" s="323">
        <f>INDEX('Glosario Partidas'!$M$8:$M$10,MATCH(K74,'Glosario Partidas'!$L$8:$L$10,0))</f>
        <v>1</v>
      </c>
      <c r="T74" s="323">
        <f t="shared" si="14"/>
        <v>326829.0024</v>
      </c>
      <c r="U74" s="321"/>
      <c r="V74" s="326" t="s">
        <v>13</v>
      </c>
      <c r="W74" s="249" t="s">
        <v>605</v>
      </c>
    </row>
    <row r="75" spans="1:23" ht="15" customHeight="1" x14ac:dyDescent="0.2">
      <c r="A75" s="75"/>
      <c r="B75" s="75" t="s">
        <v>52</v>
      </c>
      <c r="C75" s="75" t="s">
        <v>625</v>
      </c>
      <c r="D75" s="320" t="s">
        <v>630</v>
      </c>
      <c r="E75" s="321" t="s">
        <v>229</v>
      </c>
      <c r="F75" s="320" t="s">
        <v>355</v>
      </c>
      <c r="G75" s="321"/>
      <c r="H75" s="322" t="s">
        <v>604</v>
      </c>
      <c r="I75" s="75" t="s">
        <v>314</v>
      </c>
      <c r="J75" s="322">
        <v>1</v>
      </c>
      <c r="K75" s="75" t="s">
        <v>269</v>
      </c>
      <c r="L75" s="322">
        <v>296426.23999999999</v>
      </c>
      <c r="M75" s="323">
        <f t="shared" si="10"/>
        <v>296426.23999999999</v>
      </c>
      <c r="N75" s="324">
        <v>0</v>
      </c>
      <c r="O75" s="325">
        <f t="shared" si="11"/>
        <v>0</v>
      </c>
      <c r="P75" s="324">
        <v>0.16</v>
      </c>
      <c r="Q75" s="323">
        <f t="shared" si="12"/>
        <v>47428.198400000001</v>
      </c>
      <c r="R75" s="323">
        <f t="shared" si="13"/>
        <v>343854.43839999998</v>
      </c>
      <c r="S75" s="323">
        <f>INDEX('Glosario Partidas'!$M$8:$M$10,MATCH(K75,'Glosario Partidas'!$L$8:$L$10,0))</f>
        <v>1</v>
      </c>
      <c r="T75" s="323">
        <f t="shared" si="14"/>
        <v>343854.43839999998</v>
      </c>
      <c r="U75" s="321"/>
      <c r="V75" s="326" t="s">
        <v>13</v>
      </c>
      <c r="W75" s="249" t="s">
        <v>605</v>
      </c>
    </row>
    <row r="76" spans="1:23" ht="15" customHeight="1" x14ac:dyDescent="0.2">
      <c r="A76" s="75"/>
      <c r="B76" s="75" t="s">
        <v>52</v>
      </c>
      <c r="C76" s="75" t="s">
        <v>625</v>
      </c>
      <c r="D76" s="320" t="s">
        <v>631</v>
      </c>
      <c r="E76" s="321" t="s">
        <v>229</v>
      </c>
      <c r="F76" s="320" t="s">
        <v>355</v>
      </c>
      <c r="G76" s="321"/>
      <c r="H76" s="322" t="s">
        <v>604</v>
      </c>
      <c r="I76" s="75" t="s">
        <v>314</v>
      </c>
      <c r="J76" s="322">
        <v>1</v>
      </c>
      <c r="K76" s="75" t="s">
        <v>269</v>
      </c>
      <c r="L76" s="322">
        <v>46535.8</v>
      </c>
      <c r="M76" s="323">
        <f t="shared" si="10"/>
        <v>46535.8</v>
      </c>
      <c r="N76" s="324">
        <v>0</v>
      </c>
      <c r="O76" s="325">
        <f t="shared" si="11"/>
        <v>0</v>
      </c>
      <c r="P76" s="324">
        <v>0.16</v>
      </c>
      <c r="Q76" s="323">
        <f t="shared" si="12"/>
        <v>7445.728000000001</v>
      </c>
      <c r="R76" s="323">
        <f t="shared" si="13"/>
        <v>53981.528000000006</v>
      </c>
      <c r="S76" s="323">
        <f>INDEX('Glosario Partidas'!$M$8:$M$10,MATCH(K76,'Glosario Partidas'!$L$8:$L$10,0))</f>
        <v>1</v>
      </c>
      <c r="T76" s="323">
        <f t="shared" si="14"/>
        <v>53981.528000000006</v>
      </c>
      <c r="U76" s="321"/>
      <c r="V76" s="326" t="s">
        <v>13</v>
      </c>
      <c r="W76" s="249" t="s">
        <v>605</v>
      </c>
    </row>
    <row r="77" spans="1:23" ht="15" customHeight="1" x14ac:dyDescent="0.2">
      <c r="A77" s="75"/>
      <c r="B77" s="75" t="s">
        <v>52</v>
      </c>
      <c r="C77" s="75" t="s">
        <v>625</v>
      </c>
      <c r="D77" s="320" t="s">
        <v>619</v>
      </c>
      <c r="E77" s="321" t="s">
        <v>229</v>
      </c>
      <c r="F77" s="320" t="s">
        <v>355</v>
      </c>
      <c r="G77" s="321"/>
      <c r="H77" s="322" t="s">
        <v>604</v>
      </c>
      <c r="I77" s="75" t="s">
        <v>314</v>
      </c>
      <c r="J77" s="322">
        <v>1</v>
      </c>
      <c r="K77" s="75" t="s">
        <v>269</v>
      </c>
      <c r="L77" s="322">
        <v>81363.100000000006</v>
      </c>
      <c r="M77" s="323">
        <f t="shared" si="10"/>
        <v>81363.100000000006</v>
      </c>
      <c r="N77" s="324">
        <v>0</v>
      </c>
      <c r="O77" s="325">
        <f t="shared" si="11"/>
        <v>0</v>
      </c>
      <c r="P77" s="324">
        <v>0.16</v>
      </c>
      <c r="Q77" s="323">
        <f t="shared" si="12"/>
        <v>13018.096000000001</v>
      </c>
      <c r="R77" s="323">
        <f t="shared" si="13"/>
        <v>94381.196000000011</v>
      </c>
      <c r="S77" s="323">
        <f>INDEX('Glosario Partidas'!$M$8:$M$10,MATCH(K77,'Glosario Partidas'!$L$8:$L$10,0))</f>
        <v>1</v>
      </c>
      <c r="T77" s="323">
        <f t="shared" si="14"/>
        <v>94381.196000000011</v>
      </c>
      <c r="U77" s="321"/>
      <c r="V77" s="326" t="s">
        <v>13</v>
      </c>
      <c r="W77" s="249" t="s">
        <v>605</v>
      </c>
    </row>
    <row r="78" spans="1:23" ht="15" customHeight="1" x14ac:dyDescent="0.2">
      <c r="A78" s="75"/>
      <c r="B78" s="75" t="s">
        <v>52</v>
      </c>
      <c r="C78" s="75" t="s">
        <v>632</v>
      </c>
      <c r="D78" s="320" t="s">
        <v>626</v>
      </c>
      <c r="E78" s="321" t="s">
        <v>229</v>
      </c>
      <c r="F78" s="320" t="s">
        <v>355</v>
      </c>
      <c r="G78" s="321"/>
      <c r="H78" s="322" t="s">
        <v>604</v>
      </c>
      <c r="I78" s="75" t="s">
        <v>314</v>
      </c>
      <c r="J78" s="322">
        <v>1</v>
      </c>
      <c r="K78" s="75" t="s">
        <v>269</v>
      </c>
      <c r="L78" s="322">
        <v>314287.38</v>
      </c>
      <c r="M78" s="323">
        <f t="shared" si="10"/>
        <v>314287.38</v>
      </c>
      <c r="N78" s="324">
        <v>0</v>
      </c>
      <c r="O78" s="325">
        <f t="shared" si="11"/>
        <v>0</v>
      </c>
      <c r="P78" s="324">
        <v>0.16</v>
      </c>
      <c r="Q78" s="323">
        <f t="shared" si="12"/>
        <v>50285.980800000005</v>
      </c>
      <c r="R78" s="323">
        <f t="shared" si="13"/>
        <v>364573.36080000002</v>
      </c>
      <c r="S78" s="323">
        <f>INDEX('Glosario Partidas'!$M$8:$M$10,MATCH(K78,'Glosario Partidas'!$L$8:$L$10,0))</f>
        <v>1</v>
      </c>
      <c r="T78" s="323">
        <f t="shared" si="14"/>
        <v>364573.36080000002</v>
      </c>
      <c r="U78" s="321"/>
      <c r="V78" s="326" t="s">
        <v>13</v>
      </c>
      <c r="W78" s="249" t="s">
        <v>605</v>
      </c>
    </row>
    <row r="79" spans="1:23" ht="15" customHeight="1" x14ac:dyDescent="0.2">
      <c r="A79" s="75"/>
      <c r="B79" s="75" t="s">
        <v>52</v>
      </c>
      <c r="C79" s="75" t="s">
        <v>632</v>
      </c>
      <c r="D79" s="320" t="s">
        <v>624</v>
      </c>
      <c r="E79" s="321" t="s">
        <v>229</v>
      </c>
      <c r="F79" s="320" t="s">
        <v>355</v>
      </c>
      <c r="G79" s="321"/>
      <c r="H79" s="322" t="s">
        <v>604</v>
      </c>
      <c r="I79" s="75" t="s">
        <v>314</v>
      </c>
      <c r="J79" s="322">
        <v>1</v>
      </c>
      <c r="K79" s="75" t="s">
        <v>269</v>
      </c>
      <c r="L79" s="322">
        <v>517298.84</v>
      </c>
      <c r="M79" s="323">
        <f t="shared" si="10"/>
        <v>517298.84</v>
      </c>
      <c r="N79" s="324">
        <v>0</v>
      </c>
      <c r="O79" s="325">
        <f t="shared" si="11"/>
        <v>0</v>
      </c>
      <c r="P79" s="324">
        <v>0.16</v>
      </c>
      <c r="Q79" s="323">
        <f t="shared" si="12"/>
        <v>82767.814400000003</v>
      </c>
      <c r="R79" s="323">
        <f t="shared" si="13"/>
        <v>600066.6544</v>
      </c>
      <c r="S79" s="323">
        <f>INDEX('Glosario Partidas'!$M$8:$M$10,MATCH(K79,'Glosario Partidas'!$L$8:$L$10,0))</f>
        <v>1</v>
      </c>
      <c r="T79" s="323">
        <f t="shared" si="14"/>
        <v>600066.6544</v>
      </c>
      <c r="U79" s="321"/>
      <c r="V79" s="326" t="s">
        <v>13</v>
      </c>
      <c r="W79" s="249" t="s">
        <v>605</v>
      </c>
    </row>
    <row r="80" spans="1:23" ht="15" customHeight="1" x14ac:dyDescent="0.2">
      <c r="A80" s="75"/>
      <c r="B80" s="75" t="s">
        <v>52</v>
      </c>
      <c r="C80" s="75" t="s">
        <v>633</v>
      </c>
      <c r="D80" s="320" t="s">
        <v>633</v>
      </c>
      <c r="E80" s="321" t="s">
        <v>229</v>
      </c>
      <c r="F80" s="320" t="s">
        <v>313</v>
      </c>
      <c r="G80" s="321"/>
      <c r="H80" s="322" t="s">
        <v>604</v>
      </c>
      <c r="I80" s="75" t="s">
        <v>314</v>
      </c>
      <c r="J80" s="322">
        <v>1</v>
      </c>
      <c r="K80" s="75" t="s">
        <v>269</v>
      </c>
      <c r="L80" s="322">
        <v>55532.6</v>
      </c>
      <c r="M80" s="323">
        <f t="shared" si="10"/>
        <v>55532.6</v>
      </c>
      <c r="N80" s="324">
        <v>0</v>
      </c>
      <c r="O80" s="325">
        <f t="shared" si="11"/>
        <v>0</v>
      </c>
      <c r="P80" s="324">
        <v>0.16</v>
      </c>
      <c r="Q80" s="323">
        <f t="shared" si="12"/>
        <v>8885.2160000000003</v>
      </c>
      <c r="R80" s="323">
        <f t="shared" si="13"/>
        <v>64417.815999999999</v>
      </c>
      <c r="S80" s="323">
        <f>INDEX('Glosario Partidas'!$M$8:$M$10,MATCH(K80,'Glosario Partidas'!$L$8:$L$10,0))</f>
        <v>1</v>
      </c>
      <c r="T80" s="323">
        <f t="shared" si="14"/>
        <v>64417.815999999999</v>
      </c>
      <c r="U80" s="321"/>
      <c r="V80" s="326" t="s">
        <v>13</v>
      </c>
      <c r="W80" s="249" t="s">
        <v>605</v>
      </c>
    </row>
    <row r="81" spans="1:23" ht="15" customHeight="1" x14ac:dyDescent="0.2">
      <c r="A81" s="75"/>
      <c r="B81" s="75" t="s">
        <v>52</v>
      </c>
      <c r="C81" s="75" t="s">
        <v>634</v>
      </c>
      <c r="D81" s="320" t="s">
        <v>634</v>
      </c>
      <c r="E81" s="321" t="s">
        <v>229</v>
      </c>
      <c r="F81" s="320" t="s">
        <v>313</v>
      </c>
      <c r="G81" s="321"/>
      <c r="H81" s="322" t="s">
        <v>604</v>
      </c>
      <c r="I81" s="75" t="s">
        <v>314</v>
      </c>
      <c r="J81" s="322">
        <v>1</v>
      </c>
      <c r="K81" s="75" t="s">
        <v>269</v>
      </c>
      <c r="L81" s="322">
        <v>2734889.49</v>
      </c>
      <c r="M81" s="323">
        <f t="shared" si="10"/>
        <v>2734889.49</v>
      </c>
      <c r="N81" s="324">
        <v>0</v>
      </c>
      <c r="O81" s="325">
        <f t="shared" si="11"/>
        <v>0</v>
      </c>
      <c r="P81" s="324">
        <v>0.16</v>
      </c>
      <c r="Q81" s="323">
        <f t="shared" si="12"/>
        <v>437582.31840000005</v>
      </c>
      <c r="R81" s="323">
        <f t="shared" si="13"/>
        <v>3172471.8084000004</v>
      </c>
      <c r="S81" s="323">
        <f>INDEX('Glosario Partidas'!$M$8:$M$10,MATCH(K81,'Glosario Partidas'!$L$8:$L$10,0))</f>
        <v>1</v>
      </c>
      <c r="T81" s="323">
        <f t="shared" si="14"/>
        <v>3172471.8084000004</v>
      </c>
      <c r="U81" s="321"/>
      <c r="V81" s="326" t="s">
        <v>13</v>
      </c>
      <c r="W81" s="249" t="s">
        <v>605</v>
      </c>
    </row>
    <row r="82" spans="1:23" ht="15" customHeight="1" x14ac:dyDescent="0.2">
      <c r="A82" s="75"/>
      <c r="B82" s="75" t="s">
        <v>52</v>
      </c>
      <c r="C82" s="75" t="s">
        <v>635</v>
      </c>
      <c r="D82" s="320" t="s">
        <v>635</v>
      </c>
      <c r="E82" s="321" t="s">
        <v>229</v>
      </c>
      <c r="F82" s="320" t="s">
        <v>313</v>
      </c>
      <c r="G82" s="321"/>
      <c r="H82" s="322" t="s">
        <v>604</v>
      </c>
      <c r="I82" s="75" t="s">
        <v>314</v>
      </c>
      <c r="J82" s="322">
        <v>1</v>
      </c>
      <c r="K82" s="75" t="s">
        <v>269</v>
      </c>
      <c r="L82" s="322">
        <v>5935723.1200000001</v>
      </c>
      <c r="M82" s="323">
        <f t="shared" si="10"/>
        <v>5935723.1200000001</v>
      </c>
      <c r="N82" s="324">
        <v>0</v>
      </c>
      <c r="O82" s="325">
        <f t="shared" si="11"/>
        <v>0</v>
      </c>
      <c r="P82" s="324">
        <v>0.16</v>
      </c>
      <c r="Q82" s="323">
        <f t="shared" si="12"/>
        <v>949715.69920000003</v>
      </c>
      <c r="R82" s="323">
        <f t="shared" si="13"/>
        <v>6885438.8191999998</v>
      </c>
      <c r="S82" s="323">
        <f>INDEX('Glosario Partidas'!$M$8:$M$10,MATCH(K82,'Glosario Partidas'!$L$8:$L$10,0))</f>
        <v>1</v>
      </c>
      <c r="T82" s="323">
        <f t="shared" si="14"/>
        <v>6885438.8191999998</v>
      </c>
      <c r="U82" s="321"/>
      <c r="V82" s="326" t="s">
        <v>13</v>
      </c>
      <c r="W82" s="249" t="s">
        <v>605</v>
      </c>
    </row>
    <row r="83" spans="1:23" ht="15" customHeight="1" x14ac:dyDescent="0.2">
      <c r="A83" s="75"/>
      <c r="B83" s="75" t="s">
        <v>52</v>
      </c>
      <c r="C83" s="75" t="s">
        <v>636</v>
      </c>
      <c r="D83" s="320" t="s">
        <v>636</v>
      </c>
      <c r="E83" s="321" t="s">
        <v>229</v>
      </c>
      <c r="F83" s="320" t="s">
        <v>313</v>
      </c>
      <c r="G83" s="321"/>
      <c r="H83" s="322" t="s">
        <v>604</v>
      </c>
      <c r="I83" s="75" t="s">
        <v>314</v>
      </c>
      <c r="J83" s="322">
        <v>1</v>
      </c>
      <c r="K83" s="75" t="s">
        <v>269</v>
      </c>
      <c r="L83" s="322">
        <v>741172</v>
      </c>
      <c r="M83" s="323">
        <f t="shared" si="10"/>
        <v>741172</v>
      </c>
      <c r="N83" s="324">
        <v>0</v>
      </c>
      <c r="O83" s="325">
        <f t="shared" si="11"/>
        <v>0</v>
      </c>
      <c r="P83" s="324">
        <v>0.16</v>
      </c>
      <c r="Q83" s="323">
        <f t="shared" si="12"/>
        <v>118587.52</v>
      </c>
      <c r="R83" s="323">
        <f t="shared" si="13"/>
        <v>859759.52</v>
      </c>
      <c r="S83" s="323">
        <f>INDEX('Glosario Partidas'!$M$8:$M$10,MATCH(K83,'Glosario Partidas'!$L$8:$L$10,0))</f>
        <v>1</v>
      </c>
      <c r="T83" s="323">
        <f t="shared" si="14"/>
        <v>859759.52</v>
      </c>
      <c r="U83" s="321"/>
      <c r="V83" s="326" t="s">
        <v>13</v>
      </c>
      <c r="W83" s="249" t="s">
        <v>605</v>
      </c>
    </row>
    <row r="84" spans="1:23" ht="15" customHeight="1" x14ac:dyDescent="0.2">
      <c r="B84" s="280" t="s">
        <v>185</v>
      </c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319">
        <f>SUM(M2:M83)</f>
        <v>56896551.640000023</v>
      </c>
      <c r="N84" s="319"/>
      <c r="O84" s="319"/>
      <c r="P84" s="319"/>
      <c r="Q84" s="319"/>
      <c r="R84" s="319">
        <f>SUM(R2:R83)</f>
        <v>65999999.902399987</v>
      </c>
      <c r="S84" s="319"/>
      <c r="T84" s="319">
        <f>SUM(T2:T83)</f>
        <v>65999999.902399987</v>
      </c>
      <c r="U84" s="253"/>
      <c r="V84" s="253"/>
    </row>
  </sheetData>
  <hyperlinks>
    <hyperlink ref="A1" location="'BUY OUT'!A1" display="⬅ Resumen PU" xr:uid="{00000000-0004-0000-1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AC4"/>
  <sheetViews>
    <sheetView topLeftCell="H1" zoomScale="150" zoomScaleNormal="150" workbookViewId="0">
      <selection activeCell="W3" sqref="W3"/>
    </sheetView>
  </sheetViews>
  <sheetFormatPr baseColWidth="10" defaultColWidth="8.6640625" defaultRowHeight="15" customHeight="1" x14ac:dyDescent="0.2"/>
  <cols>
    <col min="3" max="3" width="10.6640625" customWidth="1"/>
    <col min="4" max="4" width="19.1640625" customWidth="1"/>
    <col min="20" max="20" width="9.1640625" customWidth="1"/>
    <col min="21" max="21" width="15.5" customWidth="1"/>
    <col min="22" max="22" width="13.66406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B2" s="273" t="s">
        <v>202</v>
      </c>
      <c r="C2" s="273" t="s">
        <v>54</v>
      </c>
      <c r="D2" s="78" t="s">
        <v>313</v>
      </c>
      <c r="E2" s="171" t="s">
        <v>220</v>
      </c>
      <c r="F2" s="78" t="s">
        <v>313</v>
      </c>
      <c r="G2" s="171" t="s">
        <v>313</v>
      </c>
      <c r="H2" s="255" t="str">
        <f>'Aplanados PU'!H2</f>
        <v>ADC</v>
      </c>
      <c r="I2" s="225" t="s">
        <v>314</v>
      </c>
      <c r="J2" s="250">
        <v>1</v>
      </c>
      <c r="K2" s="225" t="s">
        <v>269</v>
      </c>
      <c r="L2" s="142">
        <f>SUMIFS('Aplanados PU'!$M:$M,'Aplanados PU'!$E:$E,'Albañilerias '!E2)</f>
        <v>2799569.7480000001</v>
      </c>
      <c r="M2" s="227">
        <f>J2*L2</f>
        <v>2799569.7480000001</v>
      </c>
      <c r="N2" s="251">
        <v>0</v>
      </c>
      <c r="O2" s="227">
        <f>M2*N2</f>
        <v>0</v>
      </c>
      <c r="P2" s="251">
        <v>0.16</v>
      </c>
      <c r="Q2" s="227">
        <f>(M2+O2)*P2</f>
        <v>447931.15968000004</v>
      </c>
      <c r="R2" s="227">
        <f>M2+O2+Q2</f>
        <v>3247500.9076800002</v>
      </c>
      <c r="S2" s="229">
        <f>INDEX('Glosario Partidas'!$M$8:$M$10,MATCH(K2,'Glosario Partidas'!$L$8:$L$10,0))</f>
        <v>1</v>
      </c>
      <c r="T2" s="227">
        <f>R2*S2</f>
        <v>3247500.9076800002</v>
      </c>
      <c r="U2" s="230" t="s">
        <v>315</v>
      </c>
      <c r="V2" s="249" t="s">
        <v>12</v>
      </c>
      <c r="W2" s="249" t="s">
        <v>493</v>
      </c>
      <c r="X2" s="249"/>
    </row>
    <row r="3" spans="1:29" ht="15" customHeight="1" x14ac:dyDescent="0.2">
      <c r="B3" s="273" t="s">
        <v>202</v>
      </c>
      <c r="C3" s="273" t="s">
        <v>54</v>
      </c>
      <c r="D3" s="78" t="s">
        <v>313</v>
      </c>
      <c r="E3" s="171" t="s">
        <v>229</v>
      </c>
      <c r="F3" s="78" t="s">
        <v>313</v>
      </c>
      <c r="G3" s="171" t="s">
        <v>313</v>
      </c>
      <c r="H3" s="255" t="str">
        <f>'Aplanados PU'!H3</f>
        <v>ADC</v>
      </c>
      <c r="I3" s="225" t="s">
        <v>314</v>
      </c>
      <c r="J3" s="250">
        <v>1</v>
      </c>
      <c r="K3" s="225" t="s">
        <v>269</v>
      </c>
      <c r="L3" s="142">
        <f>SUMIFS('Aplanados PU'!$M:$M,'Aplanados PU'!$E:$E,'Albañilerias '!E3)</f>
        <v>2799569.7480000001</v>
      </c>
      <c r="M3" s="227">
        <f>J3*L3</f>
        <v>2799569.7480000001</v>
      </c>
      <c r="N3" s="251">
        <v>0</v>
      </c>
      <c r="O3" s="227">
        <f>M3*N3</f>
        <v>0</v>
      </c>
      <c r="P3" s="251">
        <v>0.16</v>
      </c>
      <c r="Q3" s="227">
        <f>(M3+O3)*P3</f>
        <v>447931.15968000004</v>
      </c>
      <c r="R3" s="227">
        <f>M3+O3+Q3</f>
        <v>3247500.9076800002</v>
      </c>
      <c r="S3" s="229">
        <f>INDEX('Glosario Partidas'!$M$8:$M$10,MATCH(K3,'Glosario Partidas'!$L$8:$L$10,0))</f>
        <v>1</v>
      </c>
      <c r="T3" s="227">
        <f>R3*S3</f>
        <v>3247500.9076800002</v>
      </c>
      <c r="U3" s="230" t="s">
        <v>315</v>
      </c>
      <c r="V3" s="249" t="s">
        <v>13</v>
      </c>
      <c r="W3" s="249" t="s">
        <v>491</v>
      </c>
      <c r="X3" s="249"/>
    </row>
    <row r="4" spans="1:29" ht="15" customHeight="1" x14ac:dyDescent="0.2">
      <c r="B4" s="280" t="s">
        <v>185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319">
        <f>SUM(M2:M3)</f>
        <v>5599139.4960000003</v>
      </c>
      <c r="N4" s="319"/>
      <c r="O4" s="319"/>
      <c r="P4" s="319"/>
      <c r="Q4" s="319"/>
      <c r="R4" s="319">
        <f>SUM(R2:R3)</f>
        <v>6495001.8153600004</v>
      </c>
      <c r="S4" s="319"/>
      <c r="T4" s="319">
        <f>SUM(T2:T3)</f>
        <v>6495001.8153600004</v>
      </c>
      <c r="U4" s="253"/>
      <c r="V4" s="253"/>
      <c r="AB4" s="254">
        <f>SUMIFS($T:$T,$W:$W,"Contratado")</f>
        <v>3247500.9076800002</v>
      </c>
      <c r="AC4" s="254">
        <f>SUMIFS($T:$T,$W:$W,"No Contratado")</f>
        <v>3247500.9076800002</v>
      </c>
    </row>
  </sheetData>
  <dataValidations count="2">
    <dataValidation type="list" allowBlank="1" errorTitle="Valor inválido" error="Selecciona Sí o No" promptTitle="5 Recamara" prompt="¿Aplica 5a recámara?" sqref="X2:X3" xr:uid="{00000000-0002-0000-1E00-000000000000}">
      <formula1>"Sí,No"</formula1>
      <formula2>0</formula2>
    </dataValidation>
    <dataValidation type="list" allowBlank="1" errorTitle="Valor inválido" error="Selecciona Contratado o No Contratado" promptTitle="Contratado/No Contratado" prompt="Selecciona estado" sqref="W2:W3" xr:uid="{00000000-0002-0000-1E00-000001000000}">
      <formula1>"Contratado,No Contratado"</formula1>
      <formula2>0</formula2>
    </dataValidation>
  </dataValidations>
  <hyperlinks>
    <hyperlink ref="A1" location="'BUY OUT'!A1" display="⬅ Resumen PU" xr:uid="{00000000-0004-0000-1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14"/>
  <sheetViews>
    <sheetView showGridLines="0" zoomScale="140" zoomScaleNormal="140" workbookViewId="0">
      <selection activeCell="U2" sqref="U2"/>
    </sheetView>
  </sheetViews>
  <sheetFormatPr baseColWidth="10" defaultColWidth="8.6640625" defaultRowHeight="15" x14ac:dyDescent="0.2"/>
  <cols>
    <col min="3" max="3" width="27.33203125" customWidth="1"/>
    <col min="4" max="4" width="15.33203125" customWidth="1"/>
  </cols>
  <sheetData>
    <row r="1" spans="1:22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</row>
    <row r="2" spans="1:22" ht="15" customHeight="1" x14ac:dyDescent="0.2">
      <c r="A2" s="273"/>
      <c r="B2" s="273" t="s">
        <v>79</v>
      </c>
      <c r="C2" s="273" t="s">
        <v>54</v>
      </c>
      <c r="D2" s="269" t="s">
        <v>637</v>
      </c>
      <c r="E2" s="311" t="s">
        <v>220</v>
      </c>
      <c r="F2" s="269" t="s">
        <v>221</v>
      </c>
      <c r="G2" s="311"/>
      <c r="H2" s="311" t="s">
        <v>604</v>
      </c>
      <c r="I2" s="273" t="s">
        <v>207</v>
      </c>
      <c r="J2" s="311">
        <v>493.51</v>
      </c>
      <c r="K2" s="273" t="s">
        <v>269</v>
      </c>
      <c r="L2" s="311">
        <v>550.6</v>
      </c>
      <c r="M2" s="275">
        <f t="shared" ref="M2:M13" si="0">J2*L2</f>
        <v>271726.60600000003</v>
      </c>
      <c r="N2" s="313">
        <v>0</v>
      </c>
      <c r="O2" s="327">
        <f t="shared" ref="O2:O13" si="1">M2*N2</f>
        <v>0</v>
      </c>
      <c r="P2" s="313">
        <v>0.16</v>
      </c>
      <c r="Q2" s="275">
        <f t="shared" ref="Q2:Q13" si="2">(M2+O2)*P2</f>
        <v>43476.256960000006</v>
      </c>
      <c r="R2" s="275">
        <f t="shared" ref="R2:R13" si="3">M2+O2+Q2</f>
        <v>315202.86296000006</v>
      </c>
      <c r="S2" s="275">
        <f>INDEX('Glosario Partidas'!$M$8:$M$10,MATCH(K2,'Glosario Partidas'!$L$8:$L$10,0))</f>
        <v>1</v>
      </c>
      <c r="T2" s="275">
        <f t="shared" ref="T2:T13" si="4">R2*S2</f>
        <v>315202.86296000006</v>
      </c>
      <c r="U2" s="311" t="s">
        <v>638</v>
      </c>
      <c r="V2" s="311" t="s">
        <v>12</v>
      </c>
    </row>
    <row r="3" spans="1:22" ht="15" customHeight="1" x14ac:dyDescent="0.2">
      <c r="A3" s="273"/>
      <c r="B3" s="273" t="s">
        <v>79</v>
      </c>
      <c r="C3" s="273" t="s">
        <v>54</v>
      </c>
      <c r="D3" s="269" t="s">
        <v>639</v>
      </c>
      <c r="E3" s="311" t="s">
        <v>220</v>
      </c>
      <c r="F3" s="269" t="s">
        <v>221</v>
      </c>
      <c r="G3" s="311"/>
      <c r="H3" s="311" t="s">
        <v>604</v>
      </c>
      <c r="I3" s="273" t="s">
        <v>207</v>
      </c>
      <c r="J3" s="311">
        <v>1606.84</v>
      </c>
      <c r="K3" s="273" t="s">
        <v>269</v>
      </c>
      <c r="L3" s="311">
        <v>550.6</v>
      </c>
      <c r="M3" s="275">
        <f t="shared" si="0"/>
        <v>884726.10399999993</v>
      </c>
      <c r="N3" s="313">
        <v>0</v>
      </c>
      <c r="O3" s="327">
        <f t="shared" si="1"/>
        <v>0</v>
      </c>
      <c r="P3" s="313">
        <v>0.16</v>
      </c>
      <c r="Q3" s="275">
        <f t="shared" si="2"/>
        <v>141556.17663999999</v>
      </c>
      <c r="R3" s="275">
        <f t="shared" si="3"/>
        <v>1026282.2806399999</v>
      </c>
      <c r="S3" s="275">
        <f>INDEX('Glosario Partidas'!$M$8:$M$10,MATCH(K3,'Glosario Partidas'!$L$8:$L$10,0))</f>
        <v>1</v>
      </c>
      <c r="T3" s="275">
        <f t="shared" si="4"/>
        <v>1026282.2806399999</v>
      </c>
      <c r="U3" s="311" t="s">
        <v>638</v>
      </c>
      <c r="V3" s="311" t="s">
        <v>12</v>
      </c>
    </row>
    <row r="4" spans="1:22" ht="15" customHeight="1" x14ac:dyDescent="0.2">
      <c r="A4" s="273"/>
      <c r="B4" s="273" t="s">
        <v>79</v>
      </c>
      <c r="C4" s="273" t="s">
        <v>54</v>
      </c>
      <c r="D4" s="269" t="s">
        <v>640</v>
      </c>
      <c r="E4" s="311" t="s">
        <v>220</v>
      </c>
      <c r="F4" s="269" t="s">
        <v>354</v>
      </c>
      <c r="G4" s="311"/>
      <c r="H4" s="311" t="s">
        <v>604</v>
      </c>
      <c r="I4" s="273" t="s">
        <v>207</v>
      </c>
      <c r="J4" s="311">
        <v>591.13</v>
      </c>
      <c r="K4" s="273" t="s">
        <v>269</v>
      </c>
      <c r="L4" s="311">
        <v>550.6</v>
      </c>
      <c r="M4" s="275">
        <f t="shared" si="0"/>
        <v>325476.17800000001</v>
      </c>
      <c r="N4" s="313">
        <v>0</v>
      </c>
      <c r="O4" s="327">
        <f t="shared" si="1"/>
        <v>0</v>
      </c>
      <c r="P4" s="313">
        <v>0.16</v>
      </c>
      <c r="Q4" s="275">
        <f t="shared" si="2"/>
        <v>52076.188480000004</v>
      </c>
      <c r="R4" s="275">
        <f t="shared" si="3"/>
        <v>377552.36648000003</v>
      </c>
      <c r="S4" s="275">
        <f>INDEX('Glosario Partidas'!$M$8:$M$10,MATCH(K4,'Glosario Partidas'!$L$8:$L$10,0))</f>
        <v>1</v>
      </c>
      <c r="T4" s="275">
        <f t="shared" si="4"/>
        <v>377552.36648000003</v>
      </c>
      <c r="U4" s="311" t="s">
        <v>638</v>
      </c>
      <c r="V4" s="311" t="s">
        <v>12</v>
      </c>
    </row>
    <row r="5" spans="1:22" ht="15" customHeight="1" x14ac:dyDescent="0.2">
      <c r="A5" s="273"/>
      <c r="B5" s="273" t="s">
        <v>79</v>
      </c>
      <c r="C5" s="273" t="s">
        <v>54</v>
      </c>
      <c r="D5" s="269" t="s">
        <v>641</v>
      </c>
      <c r="E5" s="311" t="s">
        <v>220</v>
      </c>
      <c r="F5" s="269" t="s">
        <v>354</v>
      </c>
      <c r="G5" s="311"/>
      <c r="H5" s="311" t="s">
        <v>604</v>
      </c>
      <c r="I5" s="273" t="s">
        <v>207</v>
      </c>
      <c r="J5" s="311">
        <v>1524.3</v>
      </c>
      <c r="K5" s="273" t="s">
        <v>269</v>
      </c>
      <c r="L5" s="311">
        <v>550.6</v>
      </c>
      <c r="M5" s="275">
        <f t="shared" si="0"/>
        <v>839279.58</v>
      </c>
      <c r="N5" s="313">
        <v>0</v>
      </c>
      <c r="O5" s="327">
        <f t="shared" si="1"/>
        <v>0</v>
      </c>
      <c r="P5" s="313">
        <v>0.16</v>
      </c>
      <c r="Q5" s="275">
        <f t="shared" si="2"/>
        <v>134284.7328</v>
      </c>
      <c r="R5" s="275">
        <f t="shared" si="3"/>
        <v>973564.31279999996</v>
      </c>
      <c r="S5" s="275">
        <f>INDEX('Glosario Partidas'!$M$8:$M$10,MATCH(K5,'Glosario Partidas'!$L$8:$L$10,0))</f>
        <v>1</v>
      </c>
      <c r="T5" s="275">
        <f t="shared" si="4"/>
        <v>973564.31279999996</v>
      </c>
      <c r="U5" s="311" t="s">
        <v>638</v>
      </c>
      <c r="V5" s="311" t="s">
        <v>12</v>
      </c>
    </row>
    <row r="6" spans="1:22" ht="15" customHeight="1" x14ac:dyDescent="0.2">
      <c r="A6" s="273"/>
      <c r="B6" s="273" t="s">
        <v>79</v>
      </c>
      <c r="C6" s="273" t="s">
        <v>54</v>
      </c>
      <c r="D6" s="269" t="s">
        <v>642</v>
      </c>
      <c r="E6" s="311" t="s">
        <v>220</v>
      </c>
      <c r="F6" s="269" t="s">
        <v>355</v>
      </c>
      <c r="G6" s="311"/>
      <c r="H6" s="311" t="s">
        <v>604</v>
      </c>
      <c r="I6" s="273" t="s">
        <v>207</v>
      </c>
      <c r="J6" s="311">
        <v>482.62</v>
      </c>
      <c r="K6" s="273" t="s">
        <v>269</v>
      </c>
      <c r="L6" s="311">
        <v>550.6</v>
      </c>
      <c r="M6" s="275">
        <f t="shared" si="0"/>
        <v>265730.57199999999</v>
      </c>
      <c r="N6" s="313">
        <v>0</v>
      </c>
      <c r="O6" s="327">
        <f t="shared" si="1"/>
        <v>0</v>
      </c>
      <c r="P6" s="313">
        <v>0.16</v>
      </c>
      <c r="Q6" s="275">
        <f t="shared" si="2"/>
        <v>42516.891519999997</v>
      </c>
      <c r="R6" s="275">
        <f t="shared" si="3"/>
        <v>308247.46351999999</v>
      </c>
      <c r="S6" s="275">
        <f>INDEX('Glosario Partidas'!$M$8:$M$10,MATCH(K6,'Glosario Partidas'!$L$8:$L$10,0))</f>
        <v>1</v>
      </c>
      <c r="T6" s="275">
        <f t="shared" si="4"/>
        <v>308247.46351999999</v>
      </c>
      <c r="U6" s="311" t="s">
        <v>638</v>
      </c>
      <c r="V6" s="311" t="s">
        <v>12</v>
      </c>
    </row>
    <row r="7" spans="1:22" ht="15" customHeight="1" x14ac:dyDescent="0.2">
      <c r="A7" s="273"/>
      <c r="B7" s="273" t="s">
        <v>79</v>
      </c>
      <c r="C7" s="273" t="s">
        <v>54</v>
      </c>
      <c r="D7" s="269" t="s">
        <v>643</v>
      </c>
      <c r="E7" s="311" t="s">
        <v>220</v>
      </c>
      <c r="F7" s="269" t="s">
        <v>355</v>
      </c>
      <c r="G7" s="311"/>
      <c r="H7" s="311" t="s">
        <v>604</v>
      </c>
      <c r="I7" s="273" t="s">
        <v>207</v>
      </c>
      <c r="J7" s="311">
        <v>386.18</v>
      </c>
      <c r="K7" s="273" t="s">
        <v>269</v>
      </c>
      <c r="L7" s="311">
        <v>550.6</v>
      </c>
      <c r="M7" s="275">
        <f t="shared" si="0"/>
        <v>212630.70800000001</v>
      </c>
      <c r="N7" s="313">
        <v>0</v>
      </c>
      <c r="O7" s="327">
        <f t="shared" si="1"/>
        <v>0</v>
      </c>
      <c r="P7" s="313">
        <v>0.16</v>
      </c>
      <c r="Q7" s="275">
        <f t="shared" si="2"/>
        <v>34020.913280000001</v>
      </c>
      <c r="R7" s="275">
        <f t="shared" si="3"/>
        <v>246651.62128000002</v>
      </c>
      <c r="S7" s="275">
        <f>INDEX('Glosario Partidas'!$M$8:$M$10,MATCH(K7,'Glosario Partidas'!$L$8:$L$10,0))</f>
        <v>1</v>
      </c>
      <c r="T7" s="275">
        <f t="shared" si="4"/>
        <v>246651.62128000002</v>
      </c>
      <c r="U7" s="311" t="s">
        <v>638</v>
      </c>
      <c r="V7" s="311" t="s">
        <v>12</v>
      </c>
    </row>
    <row r="8" spans="1:22" ht="15" customHeight="1" x14ac:dyDescent="0.2">
      <c r="A8" s="75"/>
      <c r="B8" s="75" t="s">
        <v>79</v>
      </c>
      <c r="C8" s="75" t="s">
        <v>54</v>
      </c>
      <c r="D8" s="320" t="s">
        <v>637</v>
      </c>
      <c r="E8" s="321" t="s">
        <v>229</v>
      </c>
      <c r="F8" s="320" t="s">
        <v>221</v>
      </c>
      <c r="G8" s="321"/>
      <c r="H8" s="322" t="s">
        <v>604</v>
      </c>
      <c r="I8" s="75" t="s">
        <v>207</v>
      </c>
      <c r="J8" s="322">
        <v>493.51</v>
      </c>
      <c r="K8" s="75" t="s">
        <v>269</v>
      </c>
      <c r="L8" s="322">
        <v>550.6</v>
      </c>
      <c r="M8" s="323">
        <f t="shared" si="0"/>
        <v>271726.60600000003</v>
      </c>
      <c r="N8" s="324">
        <v>0</v>
      </c>
      <c r="O8" s="325">
        <f t="shared" si="1"/>
        <v>0</v>
      </c>
      <c r="P8" s="324">
        <v>0.16</v>
      </c>
      <c r="Q8" s="323">
        <f t="shared" si="2"/>
        <v>43476.256960000006</v>
      </c>
      <c r="R8" s="323">
        <f t="shared" si="3"/>
        <v>315202.86296000006</v>
      </c>
      <c r="S8" s="323">
        <f>INDEX('Glosario Partidas'!$M$8:$M$10,MATCH(K8,'Glosario Partidas'!$L$8:$L$10,0))</f>
        <v>1</v>
      </c>
      <c r="T8" s="323">
        <f t="shared" si="4"/>
        <v>315202.86296000006</v>
      </c>
      <c r="U8" s="321" t="s">
        <v>638</v>
      </c>
      <c r="V8" s="321" t="s">
        <v>13</v>
      </c>
    </row>
    <row r="9" spans="1:22" ht="15" customHeight="1" x14ac:dyDescent="0.2">
      <c r="A9" s="75"/>
      <c r="B9" s="75" t="s">
        <v>79</v>
      </c>
      <c r="C9" s="75" t="s">
        <v>54</v>
      </c>
      <c r="D9" s="320" t="s">
        <v>639</v>
      </c>
      <c r="E9" s="321" t="s">
        <v>229</v>
      </c>
      <c r="F9" s="320" t="s">
        <v>221</v>
      </c>
      <c r="G9" s="321"/>
      <c r="H9" s="322" t="s">
        <v>604</v>
      </c>
      <c r="I9" s="75" t="s">
        <v>207</v>
      </c>
      <c r="J9" s="322">
        <v>1606.84</v>
      </c>
      <c r="K9" s="75" t="s">
        <v>269</v>
      </c>
      <c r="L9" s="322">
        <v>550.6</v>
      </c>
      <c r="M9" s="323">
        <f t="shared" si="0"/>
        <v>884726.10399999993</v>
      </c>
      <c r="N9" s="324">
        <v>0</v>
      </c>
      <c r="O9" s="325">
        <f t="shared" si="1"/>
        <v>0</v>
      </c>
      <c r="P9" s="324">
        <v>0.16</v>
      </c>
      <c r="Q9" s="323">
        <f t="shared" si="2"/>
        <v>141556.17663999999</v>
      </c>
      <c r="R9" s="323">
        <f t="shared" si="3"/>
        <v>1026282.2806399999</v>
      </c>
      <c r="S9" s="323">
        <f>INDEX('Glosario Partidas'!$M$8:$M$10,MATCH(K9,'Glosario Partidas'!$L$8:$L$10,0))</f>
        <v>1</v>
      </c>
      <c r="T9" s="323">
        <f t="shared" si="4"/>
        <v>1026282.2806399999</v>
      </c>
      <c r="U9" s="321" t="s">
        <v>638</v>
      </c>
      <c r="V9" s="321" t="s">
        <v>13</v>
      </c>
    </row>
    <row r="10" spans="1:22" ht="15" customHeight="1" x14ac:dyDescent="0.2">
      <c r="A10" s="75"/>
      <c r="B10" s="75" t="s">
        <v>79</v>
      </c>
      <c r="C10" s="75" t="s">
        <v>54</v>
      </c>
      <c r="D10" s="320" t="s">
        <v>640</v>
      </c>
      <c r="E10" s="321" t="s">
        <v>229</v>
      </c>
      <c r="F10" s="320" t="s">
        <v>354</v>
      </c>
      <c r="G10" s="321"/>
      <c r="H10" s="322" t="s">
        <v>604</v>
      </c>
      <c r="I10" s="75" t="s">
        <v>207</v>
      </c>
      <c r="J10" s="322">
        <v>591.13</v>
      </c>
      <c r="K10" s="75" t="s">
        <v>269</v>
      </c>
      <c r="L10" s="322">
        <v>550.6</v>
      </c>
      <c r="M10" s="323">
        <f t="shared" si="0"/>
        <v>325476.17800000001</v>
      </c>
      <c r="N10" s="324">
        <v>0</v>
      </c>
      <c r="O10" s="325">
        <f t="shared" si="1"/>
        <v>0</v>
      </c>
      <c r="P10" s="324">
        <v>0.16</v>
      </c>
      <c r="Q10" s="323">
        <f t="shared" si="2"/>
        <v>52076.188480000004</v>
      </c>
      <c r="R10" s="323">
        <f t="shared" si="3"/>
        <v>377552.36648000003</v>
      </c>
      <c r="S10" s="323">
        <f>INDEX('Glosario Partidas'!$M$8:$M$10,MATCH(K10,'Glosario Partidas'!$L$8:$L$10,0))</f>
        <v>1</v>
      </c>
      <c r="T10" s="323">
        <f t="shared" si="4"/>
        <v>377552.36648000003</v>
      </c>
      <c r="U10" s="321" t="s">
        <v>638</v>
      </c>
      <c r="V10" s="321" t="s">
        <v>13</v>
      </c>
    </row>
    <row r="11" spans="1:22" ht="15" customHeight="1" x14ac:dyDescent="0.2">
      <c r="A11" s="75"/>
      <c r="B11" s="75" t="s">
        <v>79</v>
      </c>
      <c r="C11" s="75" t="s">
        <v>54</v>
      </c>
      <c r="D11" s="320" t="s">
        <v>641</v>
      </c>
      <c r="E11" s="321" t="s">
        <v>229</v>
      </c>
      <c r="F11" s="320" t="s">
        <v>354</v>
      </c>
      <c r="G11" s="321"/>
      <c r="H11" s="322" t="s">
        <v>604</v>
      </c>
      <c r="I11" s="75" t="s">
        <v>207</v>
      </c>
      <c r="J11" s="322">
        <v>1524.3</v>
      </c>
      <c r="K11" s="75" t="s">
        <v>269</v>
      </c>
      <c r="L11" s="322">
        <v>550.6</v>
      </c>
      <c r="M11" s="323">
        <f t="shared" si="0"/>
        <v>839279.58</v>
      </c>
      <c r="N11" s="324">
        <v>0</v>
      </c>
      <c r="O11" s="325">
        <f t="shared" si="1"/>
        <v>0</v>
      </c>
      <c r="P11" s="324">
        <v>0.16</v>
      </c>
      <c r="Q11" s="323">
        <f t="shared" si="2"/>
        <v>134284.7328</v>
      </c>
      <c r="R11" s="323">
        <f t="shared" si="3"/>
        <v>973564.31279999996</v>
      </c>
      <c r="S11" s="323">
        <f>INDEX('Glosario Partidas'!$M$8:$M$10,MATCH(K11,'Glosario Partidas'!$L$8:$L$10,0))</f>
        <v>1</v>
      </c>
      <c r="T11" s="323">
        <f t="shared" si="4"/>
        <v>973564.31279999996</v>
      </c>
      <c r="U11" s="321" t="s">
        <v>638</v>
      </c>
      <c r="V11" s="321" t="s">
        <v>13</v>
      </c>
    </row>
    <row r="12" spans="1:22" ht="15" customHeight="1" x14ac:dyDescent="0.2">
      <c r="A12" s="75"/>
      <c r="B12" s="75" t="s">
        <v>79</v>
      </c>
      <c r="C12" s="75" t="s">
        <v>54</v>
      </c>
      <c r="D12" s="320" t="s">
        <v>642</v>
      </c>
      <c r="E12" s="321" t="s">
        <v>229</v>
      </c>
      <c r="F12" s="320" t="s">
        <v>355</v>
      </c>
      <c r="G12" s="321"/>
      <c r="H12" s="322" t="s">
        <v>604</v>
      </c>
      <c r="I12" s="75" t="s">
        <v>207</v>
      </c>
      <c r="J12" s="322">
        <v>482.62</v>
      </c>
      <c r="K12" s="75" t="s">
        <v>269</v>
      </c>
      <c r="L12" s="322">
        <v>550.6</v>
      </c>
      <c r="M12" s="323">
        <f t="shared" si="0"/>
        <v>265730.57199999999</v>
      </c>
      <c r="N12" s="324">
        <v>0</v>
      </c>
      <c r="O12" s="325">
        <f t="shared" si="1"/>
        <v>0</v>
      </c>
      <c r="P12" s="324">
        <v>0.16</v>
      </c>
      <c r="Q12" s="323">
        <f t="shared" si="2"/>
        <v>42516.891519999997</v>
      </c>
      <c r="R12" s="323">
        <f t="shared" si="3"/>
        <v>308247.46351999999</v>
      </c>
      <c r="S12" s="323">
        <f>INDEX('Glosario Partidas'!$M$8:$M$10,MATCH(K12,'Glosario Partidas'!$L$8:$L$10,0))</f>
        <v>1</v>
      </c>
      <c r="T12" s="323">
        <f t="shared" si="4"/>
        <v>308247.46351999999</v>
      </c>
      <c r="U12" s="321" t="s">
        <v>638</v>
      </c>
      <c r="V12" s="321" t="s">
        <v>13</v>
      </c>
    </row>
    <row r="13" spans="1:22" ht="15" customHeight="1" x14ac:dyDescent="0.2">
      <c r="A13" s="75"/>
      <c r="B13" s="75" t="s">
        <v>79</v>
      </c>
      <c r="C13" s="75" t="s">
        <v>54</v>
      </c>
      <c r="D13" s="320" t="s">
        <v>643</v>
      </c>
      <c r="E13" s="321" t="s">
        <v>229</v>
      </c>
      <c r="F13" s="320" t="s">
        <v>355</v>
      </c>
      <c r="G13" s="321"/>
      <c r="H13" s="322" t="s">
        <v>604</v>
      </c>
      <c r="I13" s="75" t="s">
        <v>207</v>
      </c>
      <c r="J13" s="322">
        <v>386.18</v>
      </c>
      <c r="K13" s="75" t="s">
        <v>269</v>
      </c>
      <c r="L13" s="322">
        <v>550.6</v>
      </c>
      <c r="M13" s="323">
        <f t="shared" si="0"/>
        <v>212630.70800000001</v>
      </c>
      <c r="N13" s="324">
        <v>0</v>
      </c>
      <c r="O13" s="325">
        <f t="shared" si="1"/>
        <v>0</v>
      </c>
      <c r="P13" s="324">
        <v>0.16</v>
      </c>
      <c r="Q13" s="323">
        <f t="shared" si="2"/>
        <v>34020.913280000001</v>
      </c>
      <c r="R13" s="323">
        <f t="shared" si="3"/>
        <v>246651.62128000002</v>
      </c>
      <c r="S13" s="323">
        <f>INDEX('Glosario Partidas'!$M$8:$M$10,MATCH(K13,'Glosario Partidas'!$L$8:$L$10,0))</f>
        <v>1</v>
      </c>
      <c r="T13" s="323">
        <f t="shared" si="4"/>
        <v>246651.62128000002</v>
      </c>
      <c r="U13" s="321" t="s">
        <v>638</v>
      </c>
      <c r="V13" s="321" t="s">
        <v>13</v>
      </c>
    </row>
    <row r="14" spans="1:22" s="335" customFormat="1" ht="15" customHeight="1" x14ac:dyDescent="0.2">
      <c r="A14" s="328"/>
      <c r="B14" s="284" t="s">
        <v>644</v>
      </c>
      <c r="C14" s="328"/>
      <c r="D14" s="329"/>
      <c r="E14" s="330"/>
      <c r="F14" s="329"/>
      <c r="G14" s="330"/>
      <c r="H14" s="331"/>
      <c r="I14" s="328"/>
      <c r="J14" s="284"/>
      <c r="K14" s="328"/>
      <c r="L14" s="330"/>
      <c r="M14" s="285">
        <f>SUM(M2:M13)</f>
        <v>5599139.4959999993</v>
      </c>
      <c r="N14" s="332"/>
      <c r="O14" s="333">
        <f>SUM(O2:O7)</f>
        <v>0</v>
      </c>
      <c r="P14" s="332"/>
      <c r="Q14" s="285">
        <f>SUM(Q2:Q13)</f>
        <v>895862.31935999996</v>
      </c>
      <c r="R14" s="285">
        <f>SUM(R2:R13)</f>
        <v>6495001.8153599985</v>
      </c>
      <c r="S14" s="334"/>
      <c r="T14" s="285">
        <f>SUM(T2:T13)</f>
        <v>6495001.8153599985</v>
      </c>
      <c r="U14" s="330"/>
      <c r="V14" s="3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AC8"/>
  <sheetViews>
    <sheetView topLeftCell="H1" zoomScale="140" zoomScaleNormal="140" workbookViewId="0">
      <selection activeCell="W5" sqref="W5"/>
    </sheetView>
  </sheetViews>
  <sheetFormatPr baseColWidth="10" defaultColWidth="8.6640625" defaultRowHeight="15" customHeight="1" x14ac:dyDescent="0.2"/>
  <cols>
    <col min="4" max="4" width="12.33203125" customWidth="1"/>
    <col min="8" max="8" width="29.5" customWidth="1"/>
    <col min="20" max="20" width="9.1640625" customWidth="1"/>
    <col min="21" max="21" width="11.8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B2" s="63" t="s">
        <v>39</v>
      </c>
      <c r="C2" s="63" t="s">
        <v>39</v>
      </c>
      <c r="D2" s="78" t="s">
        <v>338</v>
      </c>
      <c r="E2" s="171" t="s">
        <v>220</v>
      </c>
      <c r="F2" s="78" t="s">
        <v>313</v>
      </c>
      <c r="G2" s="171" t="s">
        <v>313</v>
      </c>
      <c r="H2" s="255" t="s">
        <v>645</v>
      </c>
      <c r="I2" s="225" t="s">
        <v>314</v>
      </c>
      <c r="J2" s="250">
        <v>1</v>
      </c>
      <c r="K2" s="225" t="s">
        <v>269</v>
      </c>
      <c r="L2" s="142">
        <f>SUMIFS('Pilas - Mano de Obra PU'!$M:$M,'Pilas - Mano de Obra PU'!$E:$E,E2,'Pilas - Mano de Obra PU'!$C:$C,D2)</f>
        <v>2534821.9188999999</v>
      </c>
      <c r="M2" s="227">
        <f t="shared" ref="M2:M7" si="0">J2*L2</f>
        <v>2534821.9188999999</v>
      </c>
      <c r="N2" s="251">
        <v>0</v>
      </c>
      <c r="O2" s="227">
        <f t="shared" ref="O2:O7" si="1">M2*N2</f>
        <v>0</v>
      </c>
      <c r="P2" s="251">
        <v>0</v>
      </c>
      <c r="Q2" s="227">
        <f t="shared" ref="Q2:Q7" si="2">(M2+O2)*P2</f>
        <v>0</v>
      </c>
      <c r="R2" s="227">
        <f t="shared" ref="R2:R7" si="3">M2+O2+Q2</f>
        <v>2534821.9188999999</v>
      </c>
      <c r="S2" s="229">
        <f>INDEX('Glosario Partidas'!$M$8:$M$10,MATCH(K2,'Glosario Partidas'!$L$8:$L$10,0))</f>
        <v>1</v>
      </c>
      <c r="T2" s="227">
        <f t="shared" ref="T2:T7" si="4">R2*S2</f>
        <v>2534821.9188999999</v>
      </c>
      <c r="U2" s="230" t="s">
        <v>315</v>
      </c>
      <c r="V2" s="249" t="s">
        <v>12</v>
      </c>
      <c r="W2" s="249" t="s">
        <v>493</v>
      </c>
      <c r="X2" s="249"/>
    </row>
    <row r="3" spans="1:29" ht="15" customHeight="1" x14ac:dyDescent="0.2">
      <c r="B3" s="63" t="s">
        <v>39</v>
      </c>
      <c r="C3" s="63" t="s">
        <v>39</v>
      </c>
      <c r="D3" s="78" t="s">
        <v>646</v>
      </c>
      <c r="E3" s="171" t="s">
        <v>220</v>
      </c>
      <c r="F3" s="78" t="s">
        <v>313</v>
      </c>
      <c r="G3" s="171" t="s">
        <v>313</v>
      </c>
      <c r="H3" s="255" t="s">
        <v>645</v>
      </c>
      <c r="I3" s="225" t="s">
        <v>314</v>
      </c>
      <c r="J3" s="250">
        <v>1</v>
      </c>
      <c r="K3" s="225" t="s">
        <v>269</v>
      </c>
      <c r="L3" s="142">
        <f>SUMIFS('Pilas - Mano de Obra PU'!$M:$M,'Pilas - Mano de Obra PU'!$E:$E,E3,'Pilas - Mano de Obra PU'!$C:$C,"Suministro de concreto*")</f>
        <v>1005145.4143000001</v>
      </c>
      <c r="M3" s="227">
        <f t="shared" si="0"/>
        <v>1005145.4143000001</v>
      </c>
      <c r="N3" s="251">
        <v>0</v>
      </c>
      <c r="O3" s="227">
        <f t="shared" si="1"/>
        <v>0</v>
      </c>
      <c r="P3" s="251">
        <v>0</v>
      </c>
      <c r="Q3" s="227">
        <f t="shared" si="2"/>
        <v>0</v>
      </c>
      <c r="R3" s="227">
        <f t="shared" si="3"/>
        <v>1005145.4143000001</v>
      </c>
      <c r="S3" s="229">
        <f>INDEX('Glosario Partidas'!$M$8:$M$10,MATCH(K3,'Glosario Partidas'!$L$8:$L$10,0))</f>
        <v>1</v>
      </c>
      <c r="T3" s="227">
        <f t="shared" si="4"/>
        <v>1005145.4143000001</v>
      </c>
      <c r="U3" s="230" t="s">
        <v>315</v>
      </c>
      <c r="V3" s="249" t="s">
        <v>12</v>
      </c>
      <c r="W3" s="249" t="s">
        <v>493</v>
      </c>
      <c r="X3" s="249"/>
    </row>
    <row r="4" spans="1:29" ht="15" customHeight="1" x14ac:dyDescent="0.2">
      <c r="B4" s="63" t="s">
        <v>39</v>
      </c>
      <c r="C4" s="63" t="s">
        <v>39</v>
      </c>
      <c r="D4" s="78" t="s">
        <v>647</v>
      </c>
      <c r="E4" s="171" t="s">
        <v>220</v>
      </c>
      <c r="F4" s="78" t="s">
        <v>313</v>
      </c>
      <c r="G4" s="171" t="s">
        <v>313</v>
      </c>
      <c r="H4" s="255" t="s">
        <v>648</v>
      </c>
      <c r="I4" s="225" t="s">
        <v>314</v>
      </c>
      <c r="J4" s="250">
        <v>1</v>
      </c>
      <c r="K4" s="225" t="s">
        <v>269</v>
      </c>
      <c r="L4" s="142">
        <f>SUMIFS('Pilas - Varilla PU'!$M:$M,'Pilas - Varilla PU'!$E:$E,E4)</f>
        <v>554200</v>
      </c>
      <c r="M4" s="227">
        <f t="shared" si="0"/>
        <v>554200</v>
      </c>
      <c r="N4" s="251">
        <v>0</v>
      </c>
      <c r="O4" s="227">
        <f t="shared" si="1"/>
        <v>0</v>
      </c>
      <c r="P4" s="251">
        <v>0.16</v>
      </c>
      <c r="Q4" s="227">
        <f t="shared" si="2"/>
        <v>88672</v>
      </c>
      <c r="R4" s="227">
        <f t="shared" si="3"/>
        <v>642872</v>
      </c>
      <c r="S4" s="229">
        <f>INDEX('Glosario Partidas'!$M$8:$M$10,MATCH(K4,'Glosario Partidas'!$L$8:$L$10,0))</f>
        <v>1</v>
      </c>
      <c r="T4" s="227">
        <f t="shared" si="4"/>
        <v>642872</v>
      </c>
      <c r="U4" s="230" t="s">
        <v>315</v>
      </c>
      <c r="V4" s="249" t="s">
        <v>12</v>
      </c>
      <c r="W4" s="249" t="s">
        <v>493</v>
      </c>
      <c r="X4" s="249"/>
    </row>
    <row r="5" spans="1:29" ht="15" customHeight="1" x14ac:dyDescent="0.2">
      <c r="B5" s="63" t="s">
        <v>39</v>
      </c>
      <c r="C5" s="63" t="s">
        <v>39</v>
      </c>
      <c r="D5" s="78" t="s">
        <v>338</v>
      </c>
      <c r="E5" s="171" t="s">
        <v>229</v>
      </c>
      <c r="F5" s="78" t="s">
        <v>313</v>
      </c>
      <c r="G5" s="171" t="s">
        <v>313</v>
      </c>
      <c r="H5" s="255" t="s">
        <v>645</v>
      </c>
      <c r="I5" s="225" t="s">
        <v>314</v>
      </c>
      <c r="J5" s="250">
        <v>1</v>
      </c>
      <c r="K5" s="225" t="s">
        <v>269</v>
      </c>
      <c r="L5" s="142">
        <f>SUMIFS('Pilas - Mano de Obra PU'!$M:$M,'Pilas - Mano de Obra PU'!$E:$E,E5,'Pilas - Mano de Obra PU'!$C:$C,D5)</f>
        <v>2534821.9188999999</v>
      </c>
      <c r="M5" s="227">
        <f t="shared" si="0"/>
        <v>2534821.9188999999</v>
      </c>
      <c r="N5" s="251">
        <v>0</v>
      </c>
      <c r="O5" s="227">
        <f t="shared" si="1"/>
        <v>0</v>
      </c>
      <c r="P5" s="251">
        <v>0</v>
      </c>
      <c r="Q5" s="227">
        <f t="shared" si="2"/>
        <v>0</v>
      </c>
      <c r="R5" s="227">
        <f t="shared" si="3"/>
        <v>2534821.9188999999</v>
      </c>
      <c r="S5" s="229">
        <f>INDEX('Glosario Partidas'!$M$8:$M$10,MATCH(K5,'Glosario Partidas'!$L$8:$L$10,0))</f>
        <v>1</v>
      </c>
      <c r="T5" s="227">
        <f t="shared" si="4"/>
        <v>2534821.9188999999</v>
      </c>
      <c r="U5" s="230" t="s">
        <v>315</v>
      </c>
      <c r="V5" s="249" t="s">
        <v>12</v>
      </c>
      <c r="W5" s="249" t="s">
        <v>491</v>
      </c>
      <c r="X5" s="249"/>
    </row>
    <row r="6" spans="1:29" ht="15" customHeight="1" x14ac:dyDescent="0.2">
      <c r="B6" s="63" t="s">
        <v>39</v>
      </c>
      <c r="C6" s="63" t="s">
        <v>39</v>
      </c>
      <c r="D6" s="78" t="s">
        <v>646</v>
      </c>
      <c r="E6" s="171" t="s">
        <v>229</v>
      </c>
      <c r="F6" s="78" t="s">
        <v>313</v>
      </c>
      <c r="G6" s="171" t="s">
        <v>313</v>
      </c>
      <c r="H6" s="255" t="s">
        <v>645</v>
      </c>
      <c r="I6" s="225" t="s">
        <v>314</v>
      </c>
      <c r="J6" s="250">
        <v>1</v>
      </c>
      <c r="K6" s="225" t="s">
        <v>269</v>
      </c>
      <c r="L6" s="142">
        <f>SUMIFS('Pilas - Mano de Obra PU'!$M:$M,'Pilas - Mano de Obra PU'!$E:$E,E6,'Pilas - Mano de Obra PU'!$C:$C,"Suministro de concreto*")</f>
        <v>1005145.4143000001</v>
      </c>
      <c r="M6" s="227">
        <f t="shared" si="0"/>
        <v>1005145.4143000001</v>
      </c>
      <c r="N6" s="251">
        <v>0</v>
      </c>
      <c r="O6" s="227">
        <f t="shared" si="1"/>
        <v>0</v>
      </c>
      <c r="P6" s="251">
        <v>0</v>
      </c>
      <c r="Q6" s="227">
        <f t="shared" si="2"/>
        <v>0</v>
      </c>
      <c r="R6" s="227">
        <f t="shared" si="3"/>
        <v>1005145.4143000001</v>
      </c>
      <c r="S6" s="229">
        <f>INDEX('Glosario Partidas'!$M$8:$M$10,MATCH(K6,'Glosario Partidas'!$L$8:$L$10,0))</f>
        <v>1</v>
      </c>
      <c r="T6" s="227">
        <f t="shared" si="4"/>
        <v>1005145.4143000001</v>
      </c>
      <c r="U6" s="230" t="s">
        <v>315</v>
      </c>
      <c r="V6" s="249" t="s">
        <v>12</v>
      </c>
      <c r="W6" s="249" t="s">
        <v>491</v>
      </c>
      <c r="X6" s="249"/>
    </row>
    <row r="7" spans="1:29" ht="15" customHeight="1" x14ac:dyDescent="0.2">
      <c r="B7" s="63" t="s">
        <v>39</v>
      </c>
      <c r="C7" s="63" t="s">
        <v>39</v>
      </c>
      <c r="D7" s="78" t="s">
        <v>647</v>
      </c>
      <c r="E7" s="171" t="s">
        <v>229</v>
      </c>
      <c r="F7" s="78" t="s">
        <v>313</v>
      </c>
      <c r="G7" s="171" t="s">
        <v>313</v>
      </c>
      <c r="H7" s="255" t="s">
        <v>648</v>
      </c>
      <c r="I7" s="225" t="s">
        <v>314</v>
      </c>
      <c r="J7" s="250">
        <v>1</v>
      </c>
      <c r="K7" s="225" t="s">
        <v>269</v>
      </c>
      <c r="L7" s="142">
        <f>SUMIFS('Pilas - Varilla PU'!$M:$M,'Pilas - Varilla PU'!$E:$E,E7)</f>
        <v>554200</v>
      </c>
      <c r="M7" s="227">
        <f t="shared" si="0"/>
        <v>554200</v>
      </c>
      <c r="N7" s="251">
        <v>0</v>
      </c>
      <c r="O7" s="227">
        <f t="shared" si="1"/>
        <v>0</v>
      </c>
      <c r="P7" s="251">
        <v>0.16</v>
      </c>
      <c r="Q7" s="227">
        <f t="shared" si="2"/>
        <v>88672</v>
      </c>
      <c r="R7" s="227">
        <f t="shared" si="3"/>
        <v>642872</v>
      </c>
      <c r="S7" s="229">
        <f>INDEX('Glosario Partidas'!$M$8:$M$10,MATCH(K7,'Glosario Partidas'!$L$8:$L$10,0))</f>
        <v>1</v>
      </c>
      <c r="T7" s="227">
        <f t="shared" si="4"/>
        <v>642872</v>
      </c>
      <c r="U7" s="230" t="s">
        <v>315</v>
      </c>
      <c r="V7" s="249" t="s">
        <v>12</v>
      </c>
      <c r="W7" s="249" t="s">
        <v>491</v>
      </c>
      <c r="X7" s="249"/>
    </row>
    <row r="8" spans="1:29" ht="15" customHeight="1" x14ac:dyDescent="0.2">
      <c r="A8" s="189"/>
      <c r="B8" s="189" t="s">
        <v>185</v>
      </c>
      <c r="C8" s="189"/>
      <c r="D8" s="189"/>
      <c r="E8" s="189"/>
      <c r="F8" s="189"/>
      <c r="G8" s="189"/>
      <c r="H8" s="189"/>
      <c r="I8" s="189"/>
      <c r="J8" s="189"/>
      <c r="K8" s="189"/>
      <c r="L8" s="303"/>
      <c r="M8" s="303"/>
      <c r="N8" s="304"/>
      <c r="O8" s="304"/>
      <c r="P8" s="304"/>
      <c r="Q8" s="303"/>
      <c r="R8" s="303"/>
      <c r="S8" s="303"/>
      <c r="T8" s="305">
        <f>SUM(T2:T7)</f>
        <v>8365678.6664000005</v>
      </c>
      <c r="U8" s="189"/>
      <c r="V8" s="253"/>
      <c r="AB8" s="254">
        <f>SUMIFS($T:$T,$W:$W,"Contratado")</f>
        <v>4182839.3332000002</v>
      </c>
      <c r="AC8" s="254">
        <f>SUMIFS($T:$T,$W:$W,"No Contratado")</f>
        <v>4182839.3332000002</v>
      </c>
    </row>
  </sheetData>
  <dataValidations count="2">
    <dataValidation type="list" allowBlank="1" errorTitle="Valor inválido" error="Selecciona Contratado o No Contratado" promptTitle="Contratado/No Contratado" prompt="Selecciona estado" sqref="W2:W7" xr:uid="{00000000-0002-0000-20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7" xr:uid="{00000000-0002-0000-2000-000001000000}">
      <formula1>"Sí,No"</formula1>
      <formula2>0</formula2>
    </dataValidation>
  </dataValidations>
  <hyperlinks>
    <hyperlink ref="A1" location="'BUY OUT'!A1" display="⬅ Resumen PU" xr:uid="{00000000-0004-0000-2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47"/>
  <sheetViews>
    <sheetView topLeftCell="A35" zoomScale="130" zoomScaleNormal="130" workbookViewId="0">
      <selection activeCell="B4" sqref="B4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89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2" ht="15" customHeight="1" x14ac:dyDescent="0.2">
      <c r="A2" s="291">
        <v>46084</v>
      </c>
      <c r="B2" s="259" t="s">
        <v>495</v>
      </c>
      <c r="C2" s="273"/>
      <c r="D2" s="273"/>
      <c r="E2" s="292"/>
      <c r="F2" s="273"/>
      <c r="G2" s="292"/>
      <c r="H2" s="272"/>
      <c r="I2" s="273"/>
      <c r="J2" s="272"/>
      <c r="K2" s="273"/>
      <c r="L2" s="275"/>
      <c r="M2" s="275"/>
      <c r="N2" s="293"/>
      <c r="O2" s="275"/>
      <c r="P2" s="293"/>
      <c r="Q2" s="275"/>
      <c r="R2" s="275"/>
      <c r="S2" s="277"/>
      <c r="T2" s="275"/>
      <c r="U2" s="275"/>
      <c r="V2" s="273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8"/>
      <c r="B4" s="268" t="s">
        <v>39</v>
      </c>
      <c r="C4" s="268" t="s">
        <v>649</v>
      </c>
      <c r="D4" s="269"/>
      <c r="E4" s="171" t="s">
        <v>220</v>
      </c>
      <c r="F4" s="269"/>
      <c r="G4" s="292"/>
      <c r="H4" s="272" t="s">
        <v>645</v>
      </c>
      <c r="I4" s="273" t="s">
        <v>650</v>
      </c>
      <c r="J4" s="272">
        <f>2/2</f>
        <v>1</v>
      </c>
      <c r="K4" s="273" t="s">
        <v>269</v>
      </c>
      <c r="L4" s="274">
        <v>86356.44</v>
      </c>
      <c r="M4" s="275">
        <f t="shared" ref="M4:M43" si="0">J4*L4</f>
        <v>86356.44</v>
      </c>
      <c r="N4" s="276">
        <v>0</v>
      </c>
      <c r="O4" s="275">
        <f t="shared" ref="O4:O43" si="1">M4*N4</f>
        <v>0</v>
      </c>
      <c r="P4" s="276">
        <v>0</v>
      </c>
      <c r="Q4" s="275">
        <f t="shared" ref="Q4:Q43" si="2">(M4+O4)*P4</f>
        <v>0</v>
      </c>
      <c r="R4" s="275">
        <f t="shared" ref="R4:R43" si="3">M4+O4+Q4</f>
        <v>86356.44</v>
      </c>
      <c r="S4" s="300">
        <f>INDEX('Glosario Partidas'!$M$8:$M$10,MATCH(K4,'Glosario Partidas'!$L$8:$L$10,0))</f>
        <v>1</v>
      </c>
      <c r="T4" s="275">
        <f t="shared" ref="T4:T43" si="4">R4*S4</f>
        <v>86356.44</v>
      </c>
      <c r="U4" s="275"/>
      <c r="V4" s="249" t="s">
        <v>12</v>
      </c>
    </row>
    <row r="5" spans="1:22" ht="15" customHeight="1" x14ac:dyDescent="0.2">
      <c r="A5" s="268"/>
      <c r="B5" s="268" t="s">
        <v>39</v>
      </c>
      <c r="C5" s="268" t="s">
        <v>651</v>
      </c>
      <c r="D5" s="269"/>
      <c r="E5" s="171" t="s">
        <v>220</v>
      </c>
      <c r="F5" s="269"/>
      <c r="G5" s="292"/>
      <c r="H5" s="272" t="s">
        <v>645</v>
      </c>
      <c r="I5" s="273" t="s">
        <v>652</v>
      </c>
      <c r="J5" s="272">
        <f>8/2</f>
        <v>4</v>
      </c>
      <c r="K5" s="273" t="s">
        <v>269</v>
      </c>
      <c r="L5" s="274">
        <v>21258.92</v>
      </c>
      <c r="M5" s="275">
        <f t="shared" si="0"/>
        <v>85035.68</v>
      </c>
      <c r="N5" s="276">
        <v>0</v>
      </c>
      <c r="O5" s="275">
        <f t="shared" si="1"/>
        <v>0</v>
      </c>
      <c r="P5" s="276">
        <v>0</v>
      </c>
      <c r="Q5" s="275">
        <f t="shared" si="2"/>
        <v>0</v>
      </c>
      <c r="R5" s="275">
        <f t="shared" si="3"/>
        <v>85035.68</v>
      </c>
      <c r="S5" s="300">
        <f>INDEX('Glosario Partidas'!$M$8:$M$10,MATCH(K5,'Glosario Partidas'!$L$8:$L$10,0))</f>
        <v>1</v>
      </c>
      <c r="T5" s="275">
        <f t="shared" si="4"/>
        <v>85035.68</v>
      </c>
      <c r="U5" s="275"/>
      <c r="V5" s="249" t="s">
        <v>12</v>
      </c>
    </row>
    <row r="6" spans="1:22" ht="15" customHeight="1" x14ac:dyDescent="0.2">
      <c r="A6" s="268"/>
      <c r="B6" s="268" t="s">
        <v>39</v>
      </c>
      <c r="C6" s="268" t="s">
        <v>653</v>
      </c>
      <c r="D6" s="269"/>
      <c r="E6" s="171" t="s">
        <v>220</v>
      </c>
      <c r="F6" s="269"/>
      <c r="G6" s="292"/>
      <c r="H6" s="272" t="s">
        <v>645</v>
      </c>
      <c r="I6" s="273" t="s">
        <v>652</v>
      </c>
      <c r="J6" s="272">
        <f>8/2</f>
        <v>4</v>
      </c>
      <c r="K6" s="273" t="s">
        <v>269</v>
      </c>
      <c r="L6" s="274">
        <v>15564.27</v>
      </c>
      <c r="M6" s="275">
        <f t="shared" si="0"/>
        <v>62257.08</v>
      </c>
      <c r="N6" s="276">
        <v>0</v>
      </c>
      <c r="O6" s="275">
        <f t="shared" si="1"/>
        <v>0</v>
      </c>
      <c r="P6" s="276">
        <v>0</v>
      </c>
      <c r="Q6" s="275">
        <f t="shared" si="2"/>
        <v>0</v>
      </c>
      <c r="R6" s="275">
        <f t="shared" si="3"/>
        <v>62257.08</v>
      </c>
      <c r="S6" s="300">
        <f>INDEX('Glosario Partidas'!$M$8:$M$10,MATCH(K6,'Glosario Partidas'!$L$8:$L$10,0))</f>
        <v>1</v>
      </c>
      <c r="T6" s="275">
        <f t="shared" si="4"/>
        <v>62257.08</v>
      </c>
      <c r="U6" s="275"/>
      <c r="V6" s="249" t="s">
        <v>12</v>
      </c>
    </row>
    <row r="7" spans="1:22" ht="15" customHeight="1" x14ac:dyDescent="0.2">
      <c r="A7" s="268"/>
      <c r="B7" s="268" t="s">
        <v>39</v>
      </c>
      <c r="C7" s="268" t="s">
        <v>654</v>
      </c>
      <c r="D7" s="269"/>
      <c r="E7" s="171" t="s">
        <v>220</v>
      </c>
      <c r="F7" s="269"/>
      <c r="G7" s="292"/>
      <c r="H7" s="272" t="s">
        <v>645</v>
      </c>
      <c r="I7" s="273" t="s">
        <v>652</v>
      </c>
      <c r="J7" s="272">
        <f>8/2</f>
        <v>4</v>
      </c>
      <c r="K7" s="273" t="s">
        <v>269</v>
      </c>
      <c r="L7" s="274">
        <v>19887.38</v>
      </c>
      <c r="M7" s="275">
        <f t="shared" si="0"/>
        <v>79549.52</v>
      </c>
      <c r="N7" s="276">
        <v>0</v>
      </c>
      <c r="O7" s="275">
        <f t="shared" si="1"/>
        <v>0</v>
      </c>
      <c r="P7" s="276">
        <v>0</v>
      </c>
      <c r="Q7" s="275">
        <f t="shared" si="2"/>
        <v>0</v>
      </c>
      <c r="R7" s="275">
        <f t="shared" si="3"/>
        <v>79549.52</v>
      </c>
      <c r="S7" s="300">
        <f>INDEX('Glosario Partidas'!$M$8:$M$10,MATCH(K7,'Glosario Partidas'!$L$8:$L$10,0))</f>
        <v>1</v>
      </c>
      <c r="T7" s="275">
        <f t="shared" si="4"/>
        <v>79549.52</v>
      </c>
      <c r="U7" s="275"/>
      <c r="V7" s="249" t="s">
        <v>12</v>
      </c>
    </row>
    <row r="8" spans="1:22" ht="15" customHeight="1" x14ac:dyDescent="0.2">
      <c r="A8" s="268"/>
      <c r="B8" s="268" t="s">
        <v>39</v>
      </c>
      <c r="C8" s="268" t="s">
        <v>655</v>
      </c>
      <c r="D8" s="269"/>
      <c r="E8" s="171" t="s">
        <v>220</v>
      </c>
      <c r="F8" s="269"/>
      <c r="G8" s="292"/>
      <c r="H8" s="272" t="s">
        <v>645</v>
      </c>
      <c r="I8" s="273" t="s">
        <v>652</v>
      </c>
      <c r="J8" s="272">
        <f>8/2</f>
        <v>4</v>
      </c>
      <c r="K8" s="273" t="s">
        <v>269</v>
      </c>
      <c r="L8" s="274">
        <v>57349.41</v>
      </c>
      <c r="M8" s="275">
        <f t="shared" si="0"/>
        <v>229397.64</v>
      </c>
      <c r="N8" s="276">
        <v>0</v>
      </c>
      <c r="O8" s="275">
        <f t="shared" si="1"/>
        <v>0</v>
      </c>
      <c r="P8" s="276">
        <v>0</v>
      </c>
      <c r="Q8" s="275">
        <f t="shared" si="2"/>
        <v>0</v>
      </c>
      <c r="R8" s="275">
        <f t="shared" si="3"/>
        <v>229397.64</v>
      </c>
      <c r="S8" s="300">
        <f>INDEX('Glosario Partidas'!$M$8:$M$10,MATCH(K8,'Glosario Partidas'!$L$8:$L$10,0))</f>
        <v>1</v>
      </c>
      <c r="T8" s="275">
        <f t="shared" si="4"/>
        <v>229397.64</v>
      </c>
      <c r="U8" s="275"/>
      <c r="V8" s="249" t="s">
        <v>12</v>
      </c>
    </row>
    <row r="9" spans="1:22" ht="15" customHeight="1" x14ac:dyDescent="0.2">
      <c r="A9" s="268"/>
      <c r="B9" s="268" t="s">
        <v>39</v>
      </c>
      <c r="C9" s="268" t="s">
        <v>656</v>
      </c>
      <c r="D9" s="269"/>
      <c r="E9" s="171" t="s">
        <v>220</v>
      </c>
      <c r="F9" s="269"/>
      <c r="G9" s="292"/>
      <c r="H9" s="272" t="s">
        <v>645</v>
      </c>
      <c r="I9" s="273" t="s">
        <v>410</v>
      </c>
      <c r="J9" s="272">
        <f>37/2</f>
        <v>18.5</v>
      </c>
      <c r="K9" s="273" t="s">
        <v>269</v>
      </c>
      <c r="L9" s="274">
        <v>9461.1200000000008</v>
      </c>
      <c r="M9" s="275">
        <f t="shared" si="0"/>
        <v>175030.72</v>
      </c>
      <c r="N9" s="276">
        <v>0</v>
      </c>
      <c r="O9" s="275">
        <f t="shared" si="1"/>
        <v>0</v>
      </c>
      <c r="P9" s="276">
        <v>0</v>
      </c>
      <c r="Q9" s="275">
        <f t="shared" si="2"/>
        <v>0</v>
      </c>
      <c r="R9" s="275">
        <f t="shared" si="3"/>
        <v>175030.72</v>
      </c>
      <c r="S9" s="300">
        <f>INDEX('Glosario Partidas'!$M$8:$M$10,MATCH(K9,'Glosario Partidas'!$L$8:$L$10,0))</f>
        <v>1</v>
      </c>
      <c r="T9" s="275">
        <f t="shared" si="4"/>
        <v>175030.72</v>
      </c>
      <c r="U9" s="275"/>
      <c r="V9" s="249" t="s">
        <v>12</v>
      </c>
    </row>
    <row r="10" spans="1:22" ht="15" customHeight="1" x14ac:dyDescent="0.2">
      <c r="A10" s="268"/>
      <c r="B10" s="268" t="s">
        <v>39</v>
      </c>
      <c r="C10" s="268" t="s">
        <v>657</v>
      </c>
      <c r="D10" s="269"/>
      <c r="E10" s="171" t="s">
        <v>220</v>
      </c>
      <c r="F10" s="336"/>
      <c r="G10" s="292"/>
      <c r="H10" s="272" t="s">
        <v>645</v>
      </c>
      <c r="I10" s="273" t="s">
        <v>501</v>
      </c>
      <c r="J10" s="272">
        <f>612/2</f>
        <v>306</v>
      </c>
      <c r="K10" s="273" t="s">
        <v>269</v>
      </c>
      <c r="L10" s="274">
        <v>897.74</v>
      </c>
      <c r="M10" s="275">
        <f t="shared" si="0"/>
        <v>274708.44</v>
      </c>
      <c r="N10" s="276">
        <v>0</v>
      </c>
      <c r="O10" s="275">
        <f t="shared" si="1"/>
        <v>0</v>
      </c>
      <c r="P10" s="276">
        <v>0</v>
      </c>
      <c r="Q10" s="275">
        <f t="shared" si="2"/>
        <v>0</v>
      </c>
      <c r="R10" s="275">
        <f t="shared" si="3"/>
        <v>274708.44</v>
      </c>
      <c r="S10" s="300">
        <f>INDEX('Glosario Partidas'!$M$8:$M$10,MATCH(K10,'Glosario Partidas'!$L$8:$L$10,0))</f>
        <v>1</v>
      </c>
      <c r="T10" s="275">
        <f t="shared" si="4"/>
        <v>274708.44</v>
      </c>
      <c r="U10" s="275"/>
      <c r="V10" s="249" t="s">
        <v>12</v>
      </c>
    </row>
    <row r="11" spans="1:22" ht="15" customHeight="1" x14ac:dyDescent="0.2">
      <c r="A11" s="268"/>
      <c r="B11" s="268" t="s">
        <v>39</v>
      </c>
      <c r="C11" s="268" t="s">
        <v>658</v>
      </c>
      <c r="D11" s="269"/>
      <c r="E11" s="171" t="s">
        <v>220</v>
      </c>
      <c r="F11" s="269"/>
      <c r="G11" s="292"/>
      <c r="H11" s="272" t="s">
        <v>645</v>
      </c>
      <c r="I11" s="273" t="s">
        <v>501</v>
      </c>
      <c r="J11" s="272">
        <f>176/2</f>
        <v>88</v>
      </c>
      <c r="K11" s="273" t="s">
        <v>269</v>
      </c>
      <c r="L11" s="274">
        <v>1005.48</v>
      </c>
      <c r="M11" s="275">
        <f t="shared" si="0"/>
        <v>88482.240000000005</v>
      </c>
      <c r="N11" s="276">
        <v>0</v>
      </c>
      <c r="O11" s="275">
        <f t="shared" si="1"/>
        <v>0</v>
      </c>
      <c r="P11" s="276">
        <v>0</v>
      </c>
      <c r="Q11" s="275">
        <f t="shared" si="2"/>
        <v>0</v>
      </c>
      <c r="R11" s="275">
        <f t="shared" si="3"/>
        <v>88482.240000000005</v>
      </c>
      <c r="S11" s="300">
        <f>INDEX('Glosario Partidas'!$M$8:$M$10,MATCH(K11,'Glosario Partidas'!$L$8:$L$10,0))</f>
        <v>1</v>
      </c>
      <c r="T11" s="275">
        <f t="shared" si="4"/>
        <v>88482.240000000005</v>
      </c>
      <c r="U11" s="275"/>
      <c r="V11" s="249" t="s">
        <v>12</v>
      </c>
    </row>
    <row r="12" spans="1:22" ht="15" customHeight="1" x14ac:dyDescent="0.2">
      <c r="A12" s="268"/>
      <c r="B12" s="268" t="s">
        <v>39</v>
      </c>
      <c r="C12" s="268" t="s">
        <v>659</v>
      </c>
      <c r="D12" s="269"/>
      <c r="E12" s="171" t="s">
        <v>220</v>
      </c>
      <c r="F12" s="269"/>
      <c r="G12" s="292"/>
      <c r="H12" s="272" t="s">
        <v>645</v>
      </c>
      <c r="I12" s="273" t="s">
        <v>501</v>
      </c>
      <c r="J12" s="272">
        <f>48/2</f>
        <v>24</v>
      </c>
      <c r="K12" s="273" t="s">
        <v>269</v>
      </c>
      <c r="L12" s="274">
        <v>1158.6300000000001</v>
      </c>
      <c r="M12" s="275">
        <f t="shared" si="0"/>
        <v>27807.120000000003</v>
      </c>
      <c r="N12" s="276">
        <v>0</v>
      </c>
      <c r="O12" s="275">
        <f t="shared" si="1"/>
        <v>0</v>
      </c>
      <c r="P12" s="276">
        <v>0</v>
      </c>
      <c r="Q12" s="275">
        <f t="shared" si="2"/>
        <v>0</v>
      </c>
      <c r="R12" s="275">
        <f t="shared" si="3"/>
        <v>27807.120000000003</v>
      </c>
      <c r="S12" s="300">
        <f>INDEX('Glosario Partidas'!$M$8:$M$10,MATCH(K12,'Glosario Partidas'!$L$8:$L$10,0))</f>
        <v>1</v>
      </c>
      <c r="T12" s="275">
        <f t="shared" si="4"/>
        <v>27807.120000000003</v>
      </c>
      <c r="U12" s="275"/>
      <c r="V12" s="249" t="s">
        <v>12</v>
      </c>
    </row>
    <row r="13" spans="1:22" ht="15" customHeight="1" x14ac:dyDescent="0.2">
      <c r="A13" s="268"/>
      <c r="B13" s="268" t="s">
        <v>39</v>
      </c>
      <c r="C13" s="268" t="s">
        <v>660</v>
      </c>
      <c r="D13" s="269"/>
      <c r="E13" s="171" t="s">
        <v>220</v>
      </c>
      <c r="F13" s="269"/>
      <c r="G13" s="292"/>
      <c r="H13" s="272" t="s">
        <v>645</v>
      </c>
      <c r="I13" s="273" t="s">
        <v>661</v>
      </c>
      <c r="J13" s="272">
        <f>55587.48/2</f>
        <v>27793.74</v>
      </c>
      <c r="K13" s="273" t="s">
        <v>269</v>
      </c>
      <c r="L13" s="274">
        <v>15.5</v>
      </c>
      <c r="M13" s="275">
        <f t="shared" si="0"/>
        <v>430802.97000000003</v>
      </c>
      <c r="N13" s="276">
        <v>0</v>
      </c>
      <c r="O13" s="275">
        <f t="shared" si="1"/>
        <v>0</v>
      </c>
      <c r="P13" s="276">
        <v>0</v>
      </c>
      <c r="Q13" s="275">
        <f t="shared" si="2"/>
        <v>0</v>
      </c>
      <c r="R13" s="275">
        <f t="shared" si="3"/>
        <v>430802.97000000003</v>
      </c>
      <c r="S13" s="300">
        <f>INDEX('Glosario Partidas'!$M$8:$M$10,MATCH(K13,'Glosario Partidas'!$L$8:$L$10,0))</f>
        <v>1</v>
      </c>
      <c r="T13" s="275">
        <f t="shared" si="4"/>
        <v>430802.97000000003</v>
      </c>
      <c r="U13" s="275"/>
      <c r="V13" s="249" t="s">
        <v>12</v>
      </c>
    </row>
    <row r="14" spans="1:22" ht="15" customHeight="1" x14ac:dyDescent="0.2">
      <c r="A14" s="268"/>
      <c r="B14" s="268" t="s">
        <v>39</v>
      </c>
      <c r="C14" s="268" t="s">
        <v>662</v>
      </c>
      <c r="D14" s="269"/>
      <c r="E14" s="171" t="s">
        <v>220</v>
      </c>
      <c r="F14" s="269"/>
      <c r="G14" s="292"/>
      <c r="H14" s="272" t="s">
        <v>645</v>
      </c>
      <c r="I14" s="273" t="s">
        <v>410</v>
      </c>
      <c r="J14" s="272">
        <f>122/2</f>
        <v>61</v>
      </c>
      <c r="K14" s="273" t="s">
        <v>269</v>
      </c>
      <c r="L14" s="274">
        <v>1451.68</v>
      </c>
      <c r="M14" s="275">
        <f t="shared" si="0"/>
        <v>88552.48000000001</v>
      </c>
      <c r="N14" s="276">
        <v>0</v>
      </c>
      <c r="O14" s="275">
        <f t="shared" si="1"/>
        <v>0</v>
      </c>
      <c r="P14" s="276">
        <v>0</v>
      </c>
      <c r="Q14" s="275">
        <f t="shared" si="2"/>
        <v>0</v>
      </c>
      <c r="R14" s="275">
        <f t="shared" si="3"/>
        <v>88552.48000000001</v>
      </c>
      <c r="S14" s="300">
        <f>INDEX('Glosario Partidas'!$M$8:$M$10,MATCH(K14,'Glosario Partidas'!$L$8:$L$10,0))</f>
        <v>1</v>
      </c>
      <c r="T14" s="275">
        <f t="shared" si="4"/>
        <v>88552.48000000001</v>
      </c>
      <c r="U14" s="275"/>
      <c r="V14" s="249" t="s">
        <v>12</v>
      </c>
    </row>
    <row r="15" spans="1:22" ht="15" customHeight="1" x14ac:dyDescent="0.2">
      <c r="A15" s="268"/>
      <c r="B15" s="268" t="s">
        <v>39</v>
      </c>
      <c r="C15" s="268" t="s">
        <v>663</v>
      </c>
      <c r="D15" s="269"/>
      <c r="E15" s="171" t="s">
        <v>220</v>
      </c>
      <c r="F15" s="269"/>
      <c r="G15" s="292"/>
      <c r="H15" s="272" t="s">
        <v>645</v>
      </c>
      <c r="I15" s="273" t="s">
        <v>664</v>
      </c>
      <c r="J15" s="272">
        <f>450.22/2</f>
        <v>225.11</v>
      </c>
      <c r="K15" s="273" t="s">
        <v>269</v>
      </c>
      <c r="L15" s="274">
        <v>4465.13</v>
      </c>
      <c r="M15" s="275">
        <f t="shared" si="0"/>
        <v>1005145.4143000001</v>
      </c>
      <c r="N15" s="276">
        <v>0</v>
      </c>
      <c r="O15" s="275">
        <f t="shared" si="1"/>
        <v>0</v>
      </c>
      <c r="P15" s="276">
        <v>0</v>
      </c>
      <c r="Q15" s="275">
        <f t="shared" si="2"/>
        <v>0</v>
      </c>
      <c r="R15" s="275">
        <f t="shared" si="3"/>
        <v>1005145.4143000001</v>
      </c>
      <c r="S15" s="300">
        <f>INDEX('Glosario Partidas'!$M$8:$M$10,MATCH(K15,'Glosario Partidas'!$L$8:$L$10,0))</f>
        <v>1</v>
      </c>
      <c r="T15" s="275">
        <f t="shared" si="4"/>
        <v>1005145.4143000001</v>
      </c>
      <c r="U15" s="275"/>
      <c r="V15" s="249" t="s">
        <v>12</v>
      </c>
    </row>
    <row r="16" spans="1:22" ht="15" customHeight="1" x14ac:dyDescent="0.2">
      <c r="A16" s="268"/>
      <c r="B16" s="268" t="s">
        <v>39</v>
      </c>
      <c r="C16" s="268" t="s">
        <v>665</v>
      </c>
      <c r="D16" s="269"/>
      <c r="E16" s="171" t="s">
        <v>220</v>
      </c>
      <c r="F16" s="269"/>
      <c r="G16" s="292"/>
      <c r="H16" s="272" t="s">
        <v>645</v>
      </c>
      <c r="I16" s="273" t="s">
        <v>410</v>
      </c>
      <c r="J16" s="272">
        <f>122/2</f>
        <v>61</v>
      </c>
      <c r="K16" s="273" t="s">
        <v>269</v>
      </c>
      <c r="L16" s="274">
        <v>1626.11</v>
      </c>
      <c r="M16" s="275">
        <f t="shared" si="0"/>
        <v>99192.709999999992</v>
      </c>
      <c r="N16" s="276">
        <v>0</v>
      </c>
      <c r="O16" s="275">
        <f t="shared" si="1"/>
        <v>0</v>
      </c>
      <c r="P16" s="276">
        <v>0</v>
      </c>
      <c r="Q16" s="275">
        <f t="shared" si="2"/>
        <v>0</v>
      </c>
      <c r="R16" s="275">
        <f t="shared" si="3"/>
        <v>99192.709999999992</v>
      </c>
      <c r="S16" s="300">
        <f>INDEX('Glosario Partidas'!$M$8:$M$10,MATCH(K16,'Glosario Partidas'!$L$8:$L$10,0))</f>
        <v>1</v>
      </c>
      <c r="T16" s="275">
        <f t="shared" si="4"/>
        <v>99192.709999999992</v>
      </c>
      <c r="U16" s="275"/>
      <c r="V16" s="249" t="s">
        <v>12</v>
      </c>
    </row>
    <row r="17" spans="1:22" ht="15" customHeight="1" x14ac:dyDescent="0.2">
      <c r="A17" s="268"/>
      <c r="B17" s="268" t="s">
        <v>39</v>
      </c>
      <c r="C17" s="268" t="s">
        <v>666</v>
      </c>
      <c r="D17" s="269"/>
      <c r="E17" s="171" t="s">
        <v>220</v>
      </c>
      <c r="F17" s="269"/>
      <c r="G17" s="292"/>
      <c r="H17" s="272" t="s">
        <v>645</v>
      </c>
      <c r="I17" s="273" t="s">
        <v>664</v>
      </c>
      <c r="J17" s="272">
        <f>500.14/2</f>
        <v>250.07</v>
      </c>
      <c r="K17" s="273" t="s">
        <v>269</v>
      </c>
      <c r="L17" s="274">
        <v>617</v>
      </c>
      <c r="M17" s="275">
        <f t="shared" si="0"/>
        <v>154293.19</v>
      </c>
      <c r="N17" s="276">
        <v>0</v>
      </c>
      <c r="O17" s="275">
        <f t="shared" si="1"/>
        <v>0</v>
      </c>
      <c r="P17" s="276">
        <v>0</v>
      </c>
      <c r="Q17" s="275">
        <f t="shared" si="2"/>
        <v>0</v>
      </c>
      <c r="R17" s="275">
        <f t="shared" si="3"/>
        <v>154293.19</v>
      </c>
      <c r="S17" s="300">
        <f>INDEX('Glosario Partidas'!$M$8:$M$10,MATCH(K17,'Glosario Partidas'!$L$8:$L$10,0))</f>
        <v>1</v>
      </c>
      <c r="T17" s="275">
        <f t="shared" si="4"/>
        <v>154293.19</v>
      </c>
      <c r="U17" s="275"/>
      <c r="V17" s="249" t="s">
        <v>12</v>
      </c>
    </row>
    <row r="18" spans="1:22" ht="15" customHeight="1" x14ac:dyDescent="0.2">
      <c r="A18" s="268"/>
      <c r="B18" s="268" t="s">
        <v>39</v>
      </c>
      <c r="C18" s="268" t="s">
        <v>667</v>
      </c>
      <c r="D18" s="269"/>
      <c r="E18" s="171" t="s">
        <v>220</v>
      </c>
      <c r="F18" s="269"/>
      <c r="G18" s="292"/>
      <c r="H18" s="272" t="s">
        <v>645</v>
      </c>
      <c r="I18" s="273" t="s">
        <v>664</v>
      </c>
      <c r="J18" s="272">
        <f>500.14/2</f>
        <v>250.07</v>
      </c>
      <c r="K18" s="273" t="s">
        <v>269</v>
      </c>
      <c r="L18" s="274">
        <v>1119.6400000000001</v>
      </c>
      <c r="M18" s="275">
        <f t="shared" si="0"/>
        <v>279988.37479999999</v>
      </c>
      <c r="N18" s="276">
        <v>0</v>
      </c>
      <c r="O18" s="275">
        <f t="shared" si="1"/>
        <v>0</v>
      </c>
      <c r="P18" s="276">
        <v>0</v>
      </c>
      <c r="Q18" s="275">
        <f t="shared" si="2"/>
        <v>0</v>
      </c>
      <c r="R18" s="275">
        <f t="shared" si="3"/>
        <v>279988.37479999999</v>
      </c>
      <c r="S18" s="300">
        <f>INDEX('Glosario Partidas'!$M$8:$M$10,MATCH(K18,'Glosario Partidas'!$L$8:$L$10,0))</f>
        <v>1</v>
      </c>
      <c r="T18" s="275">
        <f t="shared" si="4"/>
        <v>279988.37479999999</v>
      </c>
      <c r="U18" s="275"/>
      <c r="V18" s="249" t="s">
        <v>12</v>
      </c>
    </row>
    <row r="19" spans="1:22" ht="15" customHeight="1" x14ac:dyDescent="0.2">
      <c r="A19" s="268"/>
      <c r="B19" s="268" t="s">
        <v>39</v>
      </c>
      <c r="C19" s="268" t="s">
        <v>668</v>
      </c>
      <c r="D19" s="269"/>
      <c r="E19" s="171" t="s">
        <v>220</v>
      </c>
      <c r="F19" s="269"/>
      <c r="G19" s="292"/>
      <c r="H19" s="272" t="s">
        <v>645</v>
      </c>
      <c r="I19" s="273" t="s">
        <v>664</v>
      </c>
      <c r="J19" s="272">
        <f>500.14/2</f>
        <v>250.07</v>
      </c>
      <c r="K19" s="273" t="s">
        <v>269</v>
      </c>
      <c r="L19" s="274">
        <v>429.94</v>
      </c>
      <c r="M19" s="275">
        <f t="shared" si="0"/>
        <v>107515.0958</v>
      </c>
      <c r="N19" s="276">
        <v>0</v>
      </c>
      <c r="O19" s="275">
        <f t="shared" si="1"/>
        <v>0</v>
      </c>
      <c r="P19" s="276">
        <v>0</v>
      </c>
      <c r="Q19" s="275">
        <f t="shared" si="2"/>
        <v>0</v>
      </c>
      <c r="R19" s="275">
        <f t="shared" si="3"/>
        <v>107515.0958</v>
      </c>
      <c r="S19" s="300">
        <f>INDEX('Glosario Partidas'!$M$8:$M$10,MATCH(K19,'Glosario Partidas'!$L$8:$L$10,0))</f>
        <v>1</v>
      </c>
      <c r="T19" s="275">
        <f t="shared" si="4"/>
        <v>107515.0958</v>
      </c>
      <c r="U19" s="275"/>
      <c r="V19" s="249" t="s">
        <v>12</v>
      </c>
    </row>
    <row r="20" spans="1:22" ht="15" customHeight="1" x14ac:dyDescent="0.2">
      <c r="A20" s="268"/>
      <c r="B20" s="268" t="s">
        <v>39</v>
      </c>
      <c r="C20" s="268" t="s">
        <v>669</v>
      </c>
      <c r="D20" s="269"/>
      <c r="E20" s="171" t="s">
        <v>220</v>
      </c>
      <c r="F20" s="269"/>
      <c r="G20" s="292"/>
      <c r="H20" s="272" t="s">
        <v>645</v>
      </c>
      <c r="I20" s="273" t="s">
        <v>410</v>
      </c>
      <c r="J20" s="272">
        <f>94/2</f>
        <v>47</v>
      </c>
      <c r="K20" s="273" t="s">
        <v>269</v>
      </c>
      <c r="L20" s="274">
        <v>2771.19</v>
      </c>
      <c r="M20" s="275">
        <f t="shared" si="0"/>
        <v>130245.93000000001</v>
      </c>
      <c r="N20" s="276">
        <v>0</v>
      </c>
      <c r="O20" s="275">
        <f t="shared" si="1"/>
        <v>0</v>
      </c>
      <c r="P20" s="276">
        <v>0</v>
      </c>
      <c r="Q20" s="275">
        <f t="shared" si="2"/>
        <v>0</v>
      </c>
      <c r="R20" s="275">
        <f t="shared" si="3"/>
        <v>130245.93000000001</v>
      </c>
      <c r="S20" s="300">
        <f>INDEX('Glosario Partidas'!$M$8:$M$10,MATCH(K20,'Glosario Partidas'!$L$8:$L$10,0))</f>
        <v>1</v>
      </c>
      <c r="T20" s="275">
        <f t="shared" si="4"/>
        <v>130245.93000000001</v>
      </c>
      <c r="U20" s="275"/>
      <c r="V20" s="249" t="s">
        <v>12</v>
      </c>
    </row>
    <row r="21" spans="1:22" ht="15" customHeight="1" x14ac:dyDescent="0.2">
      <c r="A21" s="268"/>
      <c r="B21" s="268" t="s">
        <v>39</v>
      </c>
      <c r="C21" s="268" t="s">
        <v>670</v>
      </c>
      <c r="D21" s="269"/>
      <c r="E21" s="171" t="s">
        <v>220</v>
      </c>
      <c r="F21" s="269"/>
      <c r="G21" s="292"/>
      <c r="H21" s="272" t="s">
        <v>645</v>
      </c>
      <c r="I21" s="273" t="s">
        <v>410</v>
      </c>
      <c r="J21" s="272">
        <f>22/2</f>
        <v>11</v>
      </c>
      <c r="K21" s="273" t="s">
        <v>269</v>
      </c>
      <c r="L21" s="274">
        <v>2889.31</v>
      </c>
      <c r="M21" s="275">
        <f t="shared" si="0"/>
        <v>31782.41</v>
      </c>
      <c r="N21" s="276">
        <v>0</v>
      </c>
      <c r="O21" s="275">
        <f t="shared" si="1"/>
        <v>0</v>
      </c>
      <c r="P21" s="276">
        <v>0</v>
      </c>
      <c r="Q21" s="275">
        <f t="shared" si="2"/>
        <v>0</v>
      </c>
      <c r="R21" s="275">
        <f t="shared" si="3"/>
        <v>31782.41</v>
      </c>
      <c r="S21" s="300">
        <f>INDEX('Glosario Partidas'!$M$8:$M$10,MATCH(K21,'Glosario Partidas'!$L$8:$L$10,0))</f>
        <v>1</v>
      </c>
      <c r="T21" s="275">
        <f t="shared" si="4"/>
        <v>31782.41</v>
      </c>
      <c r="U21" s="275"/>
      <c r="V21" s="249" t="s">
        <v>12</v>
      </c>
    </row>
    <row r="22" spans="1:22" ht="15" customHeight="1" x14ac:dyDescent="0.2">
      <c r="A22" s="268"/>
      <c r="B22" s="268" t="s">
        <v>39</v>
      </c>
      <c r="C22" s="268" t="s">
        <v>671</v>
      </c>
      <c r="D22" s="269"/>
      <c r="E22" s="171" t="s">
        <v>220</v>
      </c>
      <c r="F22" s="269"/>
      <c r="G22" s="292"/>
      <c r="H22" s="272" t="s">
        <v>645</v>
      </c>
      <c r="I22" s="273" t="s">
        <v>410</v>
      </c>
      <c r="J22" s="272">
        <f>6/2</f>
        <v>3</v>
      </c>
      <c r="K22" s="273" t="s">
        <v>269</v>
      </c>
      <c r="L22" s="274">
        <v>3066.63</v>
      </c>
      <c r="M22" s="275">
        <f t="shared" si="0"/>
        <v>9199.89</v>
      </c>
      <c r="N22" s="276">
        <v>0</v>
      </c>
      <c r="O22" s="275">
        <f t="shared" si="1"/>
        <v>0</v>
      </c>
      <c r="P22" s="276">
        <v>0</v>
      </c>
      <c r="Q22" s="275">
        <f t="shared" si="2"/>
        <v>0</v>
      </c>
      <c r="R22" s="275">
        <f t="shared" si="3"/>
        <v>9199.89</v>
      </c>
      <c r="S22" s="300">
        <f>INDEX('Glosario Partidas'!$M$8:$M$10,MATCH(K22,'Glosario Partidas'!$L$8:$L$10,0))</f>
        <v>1</v>
      </c>
      <c r="T22" s="275">
        <f t="shared" si="4"/>
        <v>9199.89</v>
      </c>
      <c r="U22" s="275"/>
      <c r="V22" s="249" t="s">
        <v>12</v>
      </c>
    </row>
    <row r="23" spans="1:22" ht="15" customHeight="1" x14ac:dyDescent="0.2">
      <c r="A23" s="268"/>
      <c r="B23" s="268" t="s">
        <v>39</v>
      </c>
      <c r="C23" s="268" t="s">
        <v>672</v>
      </c>
      <c r="D23" s="269"/>
      <c r="E23" s="171" t="s">
        <v>220</v>
      </c>
      <c r="F23" s="269"/>
      <c r="G23" s="292"/>
      <c r="H23" s="272" t="s">
        <v>645</v>
      </c>
      <c r="I23" s="273" t="s">
        <v>664</v>
      </c>
      <c r="J23" s="272">
        <f>35.66/2</f>
        <v>17.829999999999998</v>
      </c>
      <c r="K23" s="273" t="s">
        <v>269</v>
      </c>
      <c r="L23" s="274">
        <v>5307.01</v>
      </c>
      <c r="M23" s="275">
        <f t="shared" si="0"/>
        <v>94623.988299999997</v>
      </c>
      <c r="N23" s="276">
        <v>0</v>
      </c>
      <c r="O23" s="275">
        <f t="shared" si="1"/>
        <v>0</v>
      </c>
      <c r="P23" s="276">
        <v>0</v>
      </c>
      <c r="Q23" s="275">
        <f t="shared" si="2"/>
        <v>0</v>
      </c>
      <c r="R23" s="275">
        <f t="shared" si="3"/>
        <v>94623.988299999997</v>
      </c>
      <c r="S23" s="300">
        <f>INDEX('Glosario Partidas'!$M$8:$M$10,MATCH(K23,'Glosario Partidas'!$L$8:$L$10,0))</f>
        <v>1</v>
      </c>
      <c r="T23" s="275">
        <f t="shared" si="4"/>
        <v>94623.988299999997</v>
      </c>
      <c r="U23" s="275"/>
      <c r="V23" s="249" t="s">
        <v>12</v>
      </c>
    </row>
    <row r="24" spans="1:22" ht="15" customHeight="1" x14ac:dyDescent="0.2">
      <c r="A24" s="268"/>
      <c r="B24" s="268" t="s">
        <v>39</v>
      </c>
      <c r="C24" s="268" t="s">
        <v>649</v>
      </c>
      <c r="D24" s="269"/>
      <c r="E24" s="171" t="s">
        <v>229</v>
      </c>
      <c r="F24" s="269"/>
      <c r="G24" s="292"/>
      <c r="H24" s="272" t="s">
        <v>645</v>
      </c>
      <c r="I24" s="273" t="s">
        <v>650</v>
      </c>
      <c r="J24" s="272">
        <f>2/2</f>
        <v>1</v>
      </c>
      <c r="K24" s="273" t="s">
        <v>269</v>
      </c>
      <c r="L24" s="274">
        <v>86356.44</v>
      </c>
      <c r="M24" s="275">
        <f t="shared" si="0"/>
        <v>86356.44</v>
      </c>
      <c r="N24" s="276">
        <v>0</v>
      </c>
      <c r="O24" s="275">
        <f t="shared" si="1"/>
        <v>0</v>
      </c>
      <c r="P24" s="276">
        <v>0</v>
      </c>
      <c r="Q24" s="275">
        <f t="shared" si="2"/>
        <v>0</v>
      </c>
      <c r="R24" s="275">
        <f t="shared" si="3"/>
        <v>86356.44</v>
      </c>
      <c r="S24" s="300">
        <f>INDEX('Glosario Partidas'!$M$8:$M$10,MATCH(K24,'Glosario Partidas'!$L$8:$L$10,0))</f>
        <v>1</v>
      </c>
      <c r="T24" s="275">
        <f t="shared" si="4"/>
        <v>86356.44</v>
      </c>
      <c r="U24" s="275"/>
      <c r="V24" s="249" t="s">
        <v>12</v>
      </c>
    </row>
    <row r="25" spans="1:22" ht="15" customHeight="1" x14ac:dyDescent="0.2">
      <c r="A25" s="268"/>
      <c r="B25" s="268" t="s">
        <v>39</v>
      </c>
      <c r="C25" s="268" t="s">
        <v>651</v>
      </c>
      <c r="D25" s="269"/>
      <c r="E25" s="171" t="s">
        <v>229</v>
      </c>
      <c r="F25" s="269"/>
      <c r="G25" s="292"/>
      <c r="H25" s="272" t="s">
        <v>645</v>
      </c>
      <c r="I25" s="273" t="s">
        <v>652</v>
      </c>
      <c r="J25" s="272">
        <f>8/2</f>
        <v>4</v>
      </c>
      <c r="K25" s="273" t="s">
        <v>269</v>
      </c>
      <c r="L25" s="274">
        <v>21258.92</v>
      </c>
      <c r="M25" s="275">
        <f t="shared" si="0"/>
        <v>85035.68</v>
      </c>
      <c r="N25" s="276">
        <v>0</v>
      </c>
      <c r="O25" s="275">
        <f t="shared" si="1"/>
        <v>0</v>
      </c>
      <c r="P25" s="276">
        <v>0</v>
      </c>
      <c r="Q25" s="275">
        <f t="shared" si="2"/>
        <v>0</v>
      </c>
      <c r="R25" s="275">
        <f t="shared" si="3"/>
        <v>85035.68</v>
      </c>
      <c r="S25" s="300">
        <f>INDEX('Glosario Partidas'!$M$8:$M$10,MATCH(K25,'Glosario Partidas'!$L$8:$L$10,0))</f>
        <v>1</v>
      </c>
      <c r="T25" s="275">
        <f t="shared" si="4"/>
        <v>85035.68</v>
      </c>
      <c r="U25" s="275"/>
      <c r="V25" s="249" t="s">
        <v>12</v>
      </c>
    </row>
    <row r="26" spans="1:22" ht="15" customHeight="1" x14ac:dyDescent="0.2">
      <c r="A26" s="268"/>
      <c r="B26" s="268" t="s">
        <v>39</v>
      </c>
      <c r="C26" s="268" t="s">
        <v>653</v>
      </c>
      <c r="D26" s="269"/>
      <c r="E26" s="171" t="s">
        <v>229</v>
      </c>
      <c r="F26" s="269"/>
      <c r="G26" s="292"/>
      <c r="H26" s="272" t="s">
        <v>645</v>
      </c>
      <c r="I26" s="273" t="s">
        <v>652</v>
      </c>
      <c r="J26" s="272">
        <f>8/2</f>
        <v>4</v>
      </c>
      <c r="K26" s="273" t="s">
        <v>269</v>
      </c>
      <c r="L26" s="274">
        <v>15564.27</v>
      </c>
      <c r="M26" s="275">
        <f t="shared" si="0"/>
        <v>62257.08</v>
      </c>
      <c r="N26" s="276">
        <v>0</v>
      </c>
      <c r="O26" s="275">
        <f t="shared" si="1"/>
        <v>0</v>
      </c>
      <c r="P26" s="276">
        <v>0</v>
      </c>
      <c r="Q26" s="275">
        <f t="shared" si="2"/>
        <v>0</v>
      </c>
      <c r="R26" s="275">
        <f t="shared" si="3"/>
        <v>62257.08</v>
      </c>
      <c r="S26" s="300">
        <f>INDEX('Glosario Partidas'!$M$8:$M$10,MATCH(K26,'Glosario Partidas'!$L$8:$L$10,0))</f>
        <v>1</v>
      </c>
      <c r="T26" s="275">
        <f t="shared" si="4"/>
        <v>62257.08</v>
      </c>
      <c r="U26" s="275"/>
      <c r="V26" s="249" t="s">
        <v>12</v>
      </c>
    </row>
    <row r="27" spans="1:22" ht="15" customHeight="1" x14ac:dyDescent="0.2">
      <c r="A27" s="268"/>
      <c r="B27" s="268" t="s">
        <v>39</v>
      </c>
      <c r="C27" s="268" t="s">
        <v>654</v>
      </c>
      <c r="D27" s="269"/>
      <c r="E27" s="171" t="s">
        <v>229</v>
      </c>
      <c r="F27" s="269"/>
      <c r="G27" s="292"/>
      <c r="H27" s="272" t="s">
        <v>645</v>
      </c>
      <c r="I27" s="273" t="s">
        <v>652</v>
      </c>
      <c r="J27" s="272">
        <f>8/2</f>
        <v>4</v>
      </c>
      <c r="K27" s="273" t="s">
        <v>269</v>
      </c>
      <c r="L27" s="274">
        <v>19887.38</v>
      </c>
      <c r="M27" s="275">
        <f t="shared" si="0"/>
        <v>79549.52</v>
      </c>
      <c r="N27" s="276">
        <v>0</v>
      </c>
      <c r="O27" s="275">
        <f t="shared" si="1"/>
        <v>0</v>
      </c>
      <c r="P27" s="276">
        <v>0</v>
      </c>
      <c r="Q27" s="275">
        <f t="shared" si="2"/>
        <v>0</v>
      </c>
      <c r="R27" s="275">
        <f t="shared" si="3"/>
        <v>79549.52</v>
      </c>
      <c r="S27" s="300">
        <f>INDEX('Glosario Partidas'!$M$8:$M$10,MATCH(K27,'Glosario Partidas'!$L$8:$L$10,0))</f>
        <v>1</v>
      </c>
      <c r="T27" s="275">
        <f t="shared" si="4"/>
        <v>79549.52</v>
      </c>
      <c r="U27" s="275"/>
      <c r="V27" s="249" t="s">
        <v>12</v>
      </c>
    </row>
    <row r="28" spans="1:22" ht="15" customHeight="1" x14ac:dyDescent="0.2">
      <c r="A28" s="268"/>
      <c r="B28" s="268" t="s">
        <v>39</v>
      </c>
      <c r="C28" s="268" t="s">
        <v>655</v>
      </c>
      <c r="D28" s="269"/>
      <c r="E28" s="171" t="s">
        <v>229</v>
      </c>
      <c r="F28" s="269"/>
      <c r="G28" s="292"/>
      <c r="H28" s="272" t="s">
        <v>645</v>
      </c>
      <c r="I28" s="273" t="s">
        <v>652</v>
      </c>
      <c r="J28" s="272">
        <f>8/2</f>
        <v>4</v>
      </c>
      <c r="K28" s="273" t="s">
        <v>269</v>
      </c>
      <c r="L28" s="274">
        <v>57349.41</v>
      </c>
      <c r="M28" s="275">
        <f t="shared" si="0"/>
        <v>229397.64</v>
      </c>
      <c r="N28" s="276">
        <v>0</v>
      </c>
      <c r="O28" s="275">
        <f t="shared" si="1"/>
        <v>0</v>
      </c>
      <c r="P28" s="276">
        <v>0</v>
      </c>
      <c r="Q28" s="275">
        <f t="shared" si="2"/>
        <v>0</v>
      </c>
      <c r="R28" s="275">
        <f t="shared" si="3"/>
        <v>229397.64</v>
      </c>
      <c r="S28" s="300">
        <f>INDEX('Glosario Partidas'!$M$8:$M$10,MATCH(K28,'Glosario Partidas'!$L$8:$L$10,0))</f>
        <v>1</v>
      </c>
      <c r="T28" s="275">
        <f t="shared" si="4"/>
        <v>229397.64</v>
      </c>
      <c r="U28" s="275"/>
      <c r="V28" s="249" t="s">
        <v>12</v>
      </c>
    </row>
    <row r="29" spans="1:22" ht="15" customHeight="1" x14ac:dyDescent="0.2">
      <c r="A29" s="268"/>
      <c r="B29" s="268" t="s">
        <v>39</v>
      </c>
      <c r="C29" s="268" t="s">
        <v>656</v>
      </c>
      <c r="D29" s="269"/>
      <c r="E29" s="171" t="s">
        <v>229</v>
      </c>
      <c r="F29" s="269"/>
      <c r="G29" s="292"/>
      <c r="H29" s="272" t="s">
        <v>645</v>
      </c>
      <c r="I29" s="273" t="s">
        <v>410</v>
      </c>
      <c r="J29" s="272">
        <f>37/2</f>
        <v>18.5</v>
      </c>
      <c r="K29" s="273" t="s">
        <v>269</v>
      </c>
      <c r="L29" s="274">
        <v>9461.1200000000008</v>
      </c>
      <c r="M29" s="275">
        <f t="shared" si="0"/>
        <v>175030.72</v>
      </c>
      <c r="N29" s="276">
        <v>0</v>
      </c>
      <c r="O29" s="275">
        <f t="shared" si="1"/>
        <v>0</v>
      </c>
      <c r="P29" s="276">
        <v>0</v>
      </c>
      <c r="Q29" s="275">
        <f t="shared" si="2"/>
        <v>0</v>
      </c>
      <c r="R29" s="275">
        <f t="shared" si="3"/>
        <v>175030.72</v>
      </c>
      <c r="S29" s="300">
        <f>INDEX('Glosario Partidas'!$M$8:$M$10,MATCH(K29,'Glosario Partidas'!$L$8:$L$10,0))</f>
        <v>1</v>
      </c>
      <c r="T29" s="275">
        <f t="shared" si="4"/>
        <v>175030.72</v>
      </c>
      <c r="U29" s="275"/>
      <c r="V29" s="249" t="s">
        <v>12</v>
      </c>
    </row>
    <row r="30" spans="1:22" ht="15" customHeight="1" x14ac:dyDescent="0.2">
      <c r="A30" s="268"/>
      <c r="B30" s="268" t="s">
        <v>39</v>
      </c>
      <c r="C30" s="268" t="s">
        <v>657</v>
      </c>
      <c r="D30" s="269"/>
      <c r="E30" s="171" t="s">
        <v>229</v>
      </c>
      <c r="F30" s="336"/>
      <c r="G30" s="292"/>
      <c r="H30" s="272" t="s">
        <v>645</v>
      </c>
      <c r="I30" s="273" t="s">
        <v>501</v>
      </c>
      <c r="J30" s="272">
        <f>612/2</f>
        <v>306</v>
      </c>
      <c r="K30" s="273" t="s">
        <v>269</v>
      </c>
      <c r="L30" s="274">
        <v>897.74</v>
      </c>
      <c r="M30" s="275">
        <f t="shared" si="0"/>
        <v>274708.44</v>
      </c>
      <c r="N30" s="276">
        <v>0</v>
      </c>
      <c r="O30" s="275">
        <f t="shared" si="1"/>
        <v>0</v>
      </c>
      <c r="P30" s="276">
        <v>0</v>
      </c>
      <c r="Q30" s="275">
        <f t="shared" si="2"/>
        <v>0</v>
      </c>
      <c r="R30" s="275">
        <f t="shared" si="3"/>
        <v>274708.44</v>
      </c>
      <c r="S30" s="300">
        <f>INDEX('Glosario Partidas'!$M$8:$M$10,MATCH(K30,'Glosario Partidas'!$L$8:$L$10,0))</f>
        <v>1</v>
      </c>
      <c r="T30" s="275">
        <f t="shared" si="4"/>
        <v>274708.44</v>
      </c>
      <c r="U30" s="275"/>
      <c r="V30" s="249" t="s">
        <v>12</v>
      </c>
    </row>
    <row r="31" spans="1:22" ht="15" customHeight="1" x14ac:dyDescent="0.2">
      <c r="A31" s="268"/>
      <c r="B31" s="268" t="s">
        <v>39</v>
      </c>
      <c r="C31" s="268" t="s">
        <v>658</v>
      </c>
      <c r="D31" s="269"/>
      <c r="E31" s="171" t="s">
        <v>229</v>
      </c>
      <c r="F31" s="269"/>
      <c r="G31" s="292"/>
      <c r="H31" s="272" t="s">
        <v>645</v>
      </c>
      <c r="I31" s="273" t="s">
        <v>501</v>
      </c>
      <c r="J31" s="272">
        <f>176/2</f>
        <v>88</v>
      </c>
      <c r="K31" s="273" t="s">
        <v>269</v>
      </c>
      <c r="L31" s="274">
        <v>1005.48</v>
      </c>
      <c r="M31" s="275">
        <f t="shared" si="0"/>
        <v>88482.240000000005</v>
      </c>
      <c r="N31" s="276">
        <v>0</v>
      </c>
      <c r="O31" s="275">
        <f t="shared" si="1"/>
        <v>0</v>
      </c>
      <c r="P31" s="276">
        <v>0</v>
      </c>
      <c r="Q31" s="275">
        <f t="shared" si="2"/>
        <v>0</v>
      </c>
      <c r="R31" s="275">
        <f t="shared" si="3"/>
        <v>88482.240000000005</v>
      </c>
      <c r="S31" s="300">
        <f>INDEX('Glosario Partidas'!$M$8:$M$10,MATCH(K31,'Glosario Partidas'!$L$8:$L$10,0))</f>
        <v>1</v>
      </c>
      <c r="T31" s="275">
        <f t="shared" si="4"/>
        <v>88482.240000000005</v>
      </c>
      <c r="U31" s="275"/>
      <c r="V31" s="249" t="s">
        <v>12</v>
      </c>
    </row>
    <row r="32" spans="1:22" ht="15" customHeight="1" x14ac:dyDescent="0.2">
      <c r="A32" s="268"/>
      <c r="B32" s="268" t="s">
        <v>39</v>
      </c>
      <c r="C32" s="268" t="s">
        <v>659</v>
      </c>
      <c r="D32" s="269"/>
      <c r="E32" s="171" t="s">
        <v>229</v>
      </c>
      <c r="F32" s="269"/>
      <c r="G32" s="292"/>
      <c r="H32" s="272" t="s">
        <v>645</v>
      </c>
      <c r="I32" s="273" t="s">
        <v>501</v>
      </c>
      <c r="J32" s="272">
        <f>48/2</f>
        <v>24</v>
      </c>
      <c r="K32" s="273" t="s">
        <v>269</v>
      </c>
      <c r="L32" s="274">
        <v>1158.6300000000001</v>
      </c>
      <c r="M32" s="275">
        <f t="shared" si="0"/>
        <v>27807.120000000003</v>
      </c>
      <c r="N32" s="276">
        <v>0</v>
      </c>
      <c r="O32" s="275">
        <f t="shared" si="1"/>
        <v>0</v>
      </c>
      <c r="P32" s="276">
        <v>0</v>
      </c>
      <c r="Q32" s="275">
        <f t="shared" si="2"/>
        <v>0</v>
      </c>
      <c r="R32" s="275">
        <f t="shared" si="3"/>
        <v>27807.120000000003</v>
      </c>
      <c r="S32" s="300">
        <f>INDEX('Glosario Partidas'!$M$8:$M$10,MATCH(K32,'Glosario Partidas'!$L$8:$L$10,0))</f>
        <v>1</v>
      </c>
      <c r="T32" s="275">
        <f t="shared" si="4"/>
        <v>27807.120000000003</v>
      </c>
      <c r="U32" s="275"/>
      <c r="V32" s="249" t="s">
        <v>12</v>
      </c>
    </row>
    <row r="33" spans="1:22" ht="15" customHeight="1" x14ac:dyDescent="0.2">
      <c r="A33" s="268"/>
      <c r="B33" s="268" t="s">
        <v>39</v>
      </c>
      <c r="C33" s="268" t="s">
        <v>660</v>
      </c>
      <c r="D33" s="269"/>
      <c r="E33" s="171" t="s">
        <v>229</v>
      </c>
      <c r="F33" s="269"/>
      <c r="G33" s="292"/>
      <c r="H33" s="272" t="s">
        <v>645</v>
      </c>
      <c r="I33" s="273" t="s">
        <v>661</v>
      </c>
      <c r="J33" s="272">
        <f>55587.48/2</f>
        <v>27793.74</v>
      </c>
      <c r="K33" s="273" t="s">
        <v>269</v>
      </c>
      <c r="L33" s="274">
        <v>15.5</v>
      </c>
      <c r="M33" s="275">
        <f t="shared" si="0"/>
        <v>430802.97000000003</v>
      </c>
      <c r="N33" s="276">
        <v>0</v>
      </c>
      <c r="O33" s="275">
        <f t="shared" si="1"/>
        <v>0</v>
      </c>
      <c r="P33" s="276">
        <v>0</v>
      </c>
      <c r="Q33" s="275">
        <f t="shared" si="2"/>
        <v>0</v>
      </c>
      <c r="R33" s="275">
        <f t="shared" si="3"/>
        <v>430802.97000000003</v>
      </c>
      <c r="S33" s="300">
        <f>INDEX('Glosario Partidas'!$M$8:$M$10,MATCH(K33,'Glosario Partidas'!$L$8:$L$10,0))</f>
        <v>1</v>
      </c>
      <c r="T33" s="275">
        <f t="shared" si="4"/>
        <v>430802.97000000003</v>
      </c>
      <c r="U33" s="275"/>
      <c r="V33" s="249" t="s">
        <v>12</v>
      </c>
    </row>
    <row r="34" spans="1:22" ht="15" customHeight="1" x14ac:dyDescent="0.2">
      <c r="A34" s="268"/>
      <c r="B34" s="268" t="s">
        <v>39</v>
      </c>
      <c r="C34" s="268" t="s">
        <v>662</v>
      </c>
      <c r="D34" s="269"/>
      <c r="E34" s="171" t="s">
        <v>229</v>
      </c>
      <c r="F34" s="269"/>
      <c r="G34" s="292"/>
      <c r="H34" s="272" t="s">
        <v>645</v>
      </c>
      <c r="I34" s="273" t="s">
        <v>410</v>
      </c>
      <c r="J34" s="272">
        <f>122/2</f>
        <v>61</v>
      </c>
      <c r="K34" s="273" t="s">
        <v>269</v>
      </c>
      <c r="L34" s="274">
        <v>1451.68</v>
      </c>
      <c r="M34" s="275">
        <f t="shared" si="0"/>
        <v>88552.48000000001</v>
      </c>
      <c r="N34" s="276">
        <v>0</v>
      </c>
      <c r="O34" s="275">
        <f t="shared" si="1"/>
        <v>0</v>
      </c>
      <c r="P34" s="276">
        <v>0</v>
      </c>
      <c r="Q34" s="275">
        <f t="shared" si="2"/>
        <v>0</v>
      </c>
      <c r="R34" s="275">
        <f t="shared" si="3"/>
        <v>88552.48000000001</v>
      </c>
      <c r="S34" s="300">
        <f>INDEX('Glosario Partidas'!$M$8:$M$10,MATCH(K34,'Glosario Partidas'!$L$8:$L$10,0))</f>
        <v>1</v>
      </c>
      <c r="T34" s="275">
        <f t="shared" si="4"/>
        <v>88552.48000000001</v>
      </c>
      <c r="U34" s="275"/>
      <c r="V34" s="249" t="s">
        <v>12</v>
      </c>
    </row>
    <row r="35" spans="1:22" ht="15" customHeight="1" x14ac:dyDescent="0.2">
      <c r="A35" s="268"/>
      <c r="B35" s="268" t="s">
        <v>39</v>
      </c>
      <c r="C35" s="268" t="s">
        <v>663</v>
      </c>
      <c r="D35" s="269"/>
      <c r="E35" s="171" t="s">
        <v>229</v>
      </c>
      <c r="F35" s="269"/>
      <c r="G35" s="292"/>
      <c r="H35" s="272" t="s">
        <v>645</v>
      </c>
      <c r="I35" s="273" t="s">
        <v>664</v>
      </c>
      <c r="J35" s="272">
        <f>450.22/2</f>
        <v>225.11</v>
      </c>
      <c r="K35" s="273" t="s">
        <v>269</v>
      </c>
      <c r="L35" s="274">
        <v>4465.13</v>
      </c>
      <c r="M35" s="275">
        <f t="shared" si="0"/>
        <v>1005145.4143000001</v>
      </c>
      <c r="N35" s="276">
        <v>0</v>
      </c>
      <c r="O35" s="275">
        <f t="shared" si="1"/>
        <v>0</v>
      </c>
      <c r="P35" s="276">
        <v>0</v>
      </c>
      <c r="Q35" s="275">
        <f t="shared" si="2"/>
        <v>0</v>
      </c>
      <c r="R35" s="275">
        <f t="shared" si="3"/>
        <v>1005145.4143000001</v>
      </c>
      <c r="S35" s="300">
        <f>INDEX('Glosario Partidas'!$M$8:$M$10,MATCH(K35,'Glosario Partidas'!$L$8:$L$10,0))</f>
        <v>1</v>
      </c>
      <c r="T35" s="275">
        <f t="shared" si="4"/>
        <v>1005145.4143000001</v>
      </c>
      <c r="U35" s="275"/>
      <c r="V35" s="249" t="s">
        <v>12</v>
      </c>
    </row>
    <row r="36" spans="1:22" ht="15" customHeight="1" x14ac:dyDescent="0.2">
      <c r="A36" s="268"/>
      <c r="B36" s="268" t="s">
        <v>39</v>
      </c>
      <c r="C36" s="268" t="s">
        <v>665</v>
      </c>
      <c r="D36" s="269"/>
      <c r="E36" s="171" t="s">
        <v>229</v>
      </c>
      <c r="F36" s="269"/>
      <c r="G36" s="292"/>
      <c r="H36" s="272" t="s">
        <v>645</v>
      </c>
      <c r="I36" s="273" t="s">
        <v>410</v>
      </c>
      <c r="J36" s="272">
        <f>122/2</f>
        <v>61</v>
      </c>
      <c r="K36" s="273" t="s">
        <v>269</v>
      </c>
      <c r="L36" s="274">
        <v>1626.11</v>
      </c>
      <c r="M36" s="275">
        <f t="shared" si="0"/>
        <v>99192.709999999992</v>
      </c>
      <c r="N36" s="276">
        <v>0</v>
      </c>
      <c r="O36" s="275">
        <f t="shared" si="1"/>
        <v>0</v>
      </c>
      <c r="P36" s="276">
        <v>0</v>
      </c>
      <c r="Q36" s="275">
        <f t="shared" si="2"/>
        <v>0</v>
      </c>
      <c r="R36" s="275">
        <f t="shared" si="3"/>
        <v>99192.709999999992</v>
      </c>
      <c r="S36" s="300">
        <f>INDEX('Glosario Partidas'!$M$8:$M$10,MATCH(K36,'Glosario Partidas'!$L$8:$L$10,0))</f>
        <v>1</v>
      </c>
      <c r="T36" s="275">
        <f t="shared" si="4"/>
        <v>99192.709999999992</v>
      </c>
      <c r="U36" s="275"/>
      <c r="V36" s="249" t="s">
        <v>12</v>
      </c>
    </row>
    <row r="37" spans="1:22" ht="15" customHeight="1" x14ac:dyDescent="0.2">
      <c r="A37" s="268"/>
      <c r="B37" s="268" t="s">
        <v>39</v>
      </c>
      <c r="C37" s="268" t="s">
        <v>666</v>
      </c>
      <c r="D37" s="269"/>
      <c r="E37" s="171" t="s">
        <v>229</v>
      </c>
      <c r="F37" s="269"/>
      <c r="G37" s="292"/>
      <c r="H37" s="272" t="s">
        <v>645</v>
      </c>
      <c r="I37" s="273" t="s">
        <v>664</v>
      </c>
      <c r="J37" s="272">
        <f>500.14/2</f>
        <v>250.07</v>
      </c>
      <c r="K37" s="273" t="s">
        <v>269</v>
      </c>
      <c r="L37" s="274">
        <v>617</v>
      </c>
      <c r="M37" s="275">
        <f t="shared" si="0"/>
        <v>154293.19</v>
      </c>
      <c r="N37" s="276">
        <v>0</v>
      </c>
      <c r="O37" s="275">
        <f t="shared" si="1"/>
        <v>0</v>
      </c>
      <c r="P37" s="276">
        <v>0</v>
      </c>
      <c r="Q37" s="275">
        <f t="shared" si="2"/>
        <v>0</v>
      </c>
      <c r="R37" s="275">
        <f t="shared" si="3"/>
        <v>154293.19</v>
      </c>
      <c r="S37" s="300">
        <f>INDEX('Glosario Partidas'!$M$8:$M$10,MATCH(K37,'Glosario Partidas'!$L$8:$L$10,0))</f>
        <v>1</v>
      </c>
      <c r="T37" s="275">
        <f t="shared" si="4"/>
        <v>154293.19</v>
      </c>
      <c r="U37" s="275"/>
      <c r="V37" s="249" t="s">
        <v>12</v>
      </c>
    </row>
    <row r="38" spans="1:22" ht="15" customHeight="1" x14ac:dyDescent="0.2">
      <c r="A38" s="268"/>
      <c r="B38" s="268" t="s">
        <v>39</v>
      </c>
      <c r="C38" s="268" t="s">
        <v>667</v>
      </c>
      <c r="D38" s="269"/>
      <c r="E38" s="171" t="s">
        <v>229</v>
      </c>
      <c r="F38" s="269"/>
      <c r="G38" s="292"/>
      <c r="H38" s="272" t="s">
        <v>645</v>
      </c>
      <c r="I38" s="273" t="s">
        <v>664</v>
      </c>
      <c r="J38" s="272">
        <f>500.14/2</f>
        <v>250.07</v>
      </c>
      <c r="K38" s="273" t="s">
        <v>269</v>
      </c>
      <c r="L38" s="274">
        <v>1119.6400000000001</v>
      </c>
      <c r="M38" s="275">
        <f t="shared" si="0"/>
        <v>279988.37479999999</v>
      </c>
      <c r="N38" s="276">
        <v>0</v>
      </c>
      <c r="O38" s="275">
        <f t="shared" si="1"/>
        <v>0</v>
      </c>
      <c r="P38" s="276">
        <v>0</v>
      </c>
      <c r="Q38" s="275">
        <f t="shared" si="2"/>
        <v>0</v>
      </c>
      <c r="R38" s="275">
        <f t="shared" si="3"/>
        <v>279988.37479999999</v>
      </c>
      <c r="S38" s="300">
        <f>INDEX('Glosario Partidas'!$M$8:$M$10,MATCH(K38,'Glosario Partidas'!$L$8:$L$10,0))</f>
        <v>1</v>
      </c>
      <c r="T38" s="275">
        <f t="shared" si="4"/>
        <v>279988.37479999999</v>
      </c>
      <c r="U38" s="275"/>
      <c r="V38" s="249" t="s">
        <v>12</v>
      </c>
    </row>
    <row r="39" spans="1:22" ht="15" customHeight="1" x14ac:dyDescent="0.2">
      <c r="A39" s="268"/>
      <c r="B39" s="268" t="s">
        <v>39</v>
      </c>
      <c r="C39" s="268" t="s">
        <v>668</v>
      </c>
      <c r="D39" s="269"/>
      <c r="E39" s="171" t="s">
        <v>229</v>
      </c>
      <c r="F39" s="269"/>
      <c r="G39" s="292"/>
      <c r="H39" s="272" t="s">
        <v>645</v>
      </c>
      <c r="I39" s="273" t="s">
        <v>664</v>
      </c>
      <c r="J39" s="272">
        <f>500.14/2</f>
        <v>250.07</v>
      </c>
      <c r="K39" s="273" t="s">
        <v>269</v>
      </c>
      <c r="L39" s="274">
        <v>429.94</v>
      </c>
      <c r="M39" s="275">
        <f t="shared" si="0"/>
        <v>107515.0958</v>
      </c>
      <c r="N39" s="276">
        <v>0</v>
      </c>
      <c r="O39" s="275">
        <f t="shared" si="1"/>
        <v>0</v>
      </c>
      <c r="P39" s="276">
        <v>0</v>
      </c>
      <c r="Q39" s="275">
        <f t="shared" si="2"/>
        <v>0</v>
      </c>
      <c r="R39" s="275">
        <f t="shared" si="3"/>
        <v>107515.0958</v>
      </c>
      <c r="S39" s="300">
        <f>INDEX('Glosario Partidas'!$M$8:$M$10,MATCH(K39,'Glosario Partidas'!$L$8:$L$10,0))</f>
        <v>1</v>
      </c>
      <c r="T39" s="275">
        <f t="shared" si="4"/>
        <v>107515.0958</v>
      </c>
      <c r="U39" s="275"/>
      <c r="V39" s="249" t="s">
        <v>12</v>
      </c>
    </row>
    <row r="40" spans="1:22" ht="15" customHeight="1" x14ac:dyDescent="0.2">
      <c r="A40" s="268"/>
      <c r="B40" s="268" t="s">
        <v>39</v>
      </c>
      <c r="C40" s="268" t="s">
        <v>669</v>
      </c>
      <c r="D40" s="269"/>
      <c r="E40" s="171" t="s">
        <v>229</v>
      </c>
      <c r="F40" s="269"/>
      <c r="G40" s="292"/>
      <c r="H40" s="272" t="s">
        <v>645</v>
      </c>
      <c r="I40" s="273" t="s">
        <v>410</v>
      </c>
      <c r="J40" s="272">
        <f>94/2</f>
        <v>47</v>
      </c>
      <c r="K40" s="273" t="s">
        <v>269</v>
      </c>
      <c r="L40" s="274">
        <v>2771.19</v>
      </c>
      <c r="M40" s="275">
        <f t="shared" si="0"/>
        <v>130245.93000000001</v>
      </c>
      <c r="N40" s="276">
        <v>0</v>
      </c>
      <c r="O40" s="275">
        <f t="shared" si="1"/>
        <v>0</v>
      </c>
      <c r="P40" s="276">
        <v>0</v>
      </c>
      <c r="Q40" s="275">
        <f t="shared" si="2"/>
        <v>0</v>
      </c>
      <c r="R40" s="275">
        <f t="shared" si="3"/>
        <v>130245.93000000001</v>
      </c>
      <c r="S40" s="300">
        <f>INDEX('Glosario Partidas'!$M$8:$M$10,MATCH(K40,'Glosario Partidas'!$L$8:$L$10,0))</f>
        <v>1</v>
      </c>
      <c r="T40" s="275">
        <f t="shared" si="4"/>
        <v>130245.93000000001</v>
      </c>
      <c r="U40" s="275"/>
      <c r="V40" s="249" t="s">
        <v>12</v>
      </c>
    </row>
    <row r="41" spans="1:22" ht="15" customHeight="1" x14ac:dyDescent="0.2">
      <c r="A41" s="268"/>
      <c r="B41" s="268" t="s">
        <v>39</v>
      </c>
      <c r="C41" s="268" t="s">
        <v>670</v>
      </c>
      <c r="D41" s="269"/>
      <c r="E41" s="171" t="s">
        <v>229</v>
      </c>
      <c r="F41" s="269"/>
      <c r="G41" s="292"/>
      <c r="H41" s="272" t="s">
        <v>645</v>
      </c>
      <c r="I41" s="273" t="s">
        <v>410</v>
      </c>
      <c r="J41" s="272">
        <f>22/2</f>
        <v>11</v>
      </c>
      <c r="K41" s="273" t="s">
        <v>269</v>
      </c>
      <c r="L41" s="274">
        <v>2889.31</v>
      </c>
      <c r="M41" s="275">
        <f t="shared" si="0"/>
        <v>31782.41</v>
      </c>
      <c r="N41" s="276">
        <v>0</v>
      </c>
      <c r="O41" s="275">
        <f t="shared" si="1"/>
        <v>0</v>
      </c>
      <c r="P41" s="276">
        <v>0</v>
      </c>
      <c r="Q41" s="275">
        <f t="shared" si="2"/>
        <v>0</v>
      </c>
      <c r="R41" s="275">
        <f t="shared" si="3"/>
        <v>31782.41</v>
      </c>
      <c r="S41" s="300">
        <f>INDEX('Glosario Partidas'!$M$8:$M$10,MATCH(K41,'Glosario Partidas'!$L$8:$L$10,0))</f>
        <v>1</v>
      </c>
      <c r="T41" s="275">
        <f t="shared" si="4"/>
        <v>31782.41</v>
      </c>
      <c r="U41" s="275"/>
      <c r="V41" s="249" t="s">
        <v>12</v>
      </c>
    </row>
    <row r="42" spans="1:22" ht="15" customHeight="1" x14ac:dyDescent="0.2">
      <c r="A42" s="268"/>
      <c r="B42" s="268" t="s">
        <v>39</v>
      </c>
      <c r="C42" s="268" t="s">
        <v>671</v>
      </c>
      <c r="D42" s="269"/>
      <c r="E42" s="171" t="s">
        <v>229</v>
      </c>
      <c r="F42" s="269"/>
      <c r="G42" s="292"/>
      <c r="H42" s="272" t="s">
        <v>645</v>
      </c>
      <c r="I42" s="273" t="s">
        <v>410</v>
      </c>
      <c r="J42" s="272">
        <f>6/2</f>
        <v>3</v>
      </c>
      <c r="K42" s="273" t="s">
        <v>269</v>
      </c>
      <c r="L42" s="274">
        <v>3066.63</v>
      </c>
      <c r="M42" s="275">
        <f t="shared" si="0"/>
        <v>9199.89</v>
      </c>
      <c r="N42" s="276">
        <v>0</v>
      </c>
      <c r="O42" s="275">
        <f t="shared" si="1"/>
        <v>0</v>
      </c>
      <c r="P42" s="276">
        <v>0</v>
      </c>
      <c r="Q42" s="275">
        <f t="shared" si="2"/>
        <v>0</v>
      </c>
      <c r="R42" s="275">
        <f t="shared" si="3"/>
        <v>9199.89</v>
      </c>
      <c r="S42" s="300">
        <f>INDEX('Glosario Partidas'!$M$8:$M$10,MATCH(K42,'Glosario Partidas'!$L$8:$L$10,0))</f>
        <v>1</v>
      </c>
      <c r="T42" s="275">
        <f t="shared" si="4"/>
        <v>9199.89</v>
      </c>
      <c r="U42" s="275"/>
      <c r="V42" s="249" t="s">
        <v>12</v>
      </c>
    </row>
    <row r="43" spans="1:22" ht="15" customHeight="1" x14ac:dyDescent="0.2">
      <c r="A43" s="268"/>
      <c r="B43" s="268" t="s">
        <v>39</v>
      </c>
      <c r="C43" s="268" t="s">
        <v>672</v>
      </c>
      <c r="D43" s="269"/>
      <c r="E43" s="171" t="s">
        <v>229</v>
      </c>
      <c r="F43" s="269"/>
      <c r="G43" s="292"/>
      <c r="H43" s="272" t="s">
        <v>645</v>
      </c>
      <c r="I43" s="273" t="s">
        <v>664</v>
      </c>
      <c r="J43" s="272">
        <f>35.66/2</f>
        <v>17.829999999999998</v>
      </c>
      <c r="K43" s="273" t="s">
        <v>269</v>
      </c>
      <c r="L43" s="274">
        <v>5307.01</v>
      </c>
      <c r="M43" s="275">
        <f t="shared" si="0"/>
        <v>94623.988299999997</v>
      </c>
      <c r="N43" s="276">
        <v>0</v>
      </c>
      <c r="O43" s="275">
        <f t="shared" si="1"/>
        <v>0</v>
      </c>
      <c r="P43" s="276">
        <v>0</v>
      </c>
      <c r="Q43" s="275">
        <f t="shared" si="2"/>
        <v>0</v>
      </c>
      <c r="R43" s="275">
        <f t="shared" si="3"/>
        <v>94623.988299999997</v>
      </c>
      <c r="S43" s="300">
        <f>INDEX('Glosario Partidas'!$M$8:$M$10,MATCH(K43,'Glosario Partidas'!$L$8:$L$10,0))</f>
        <v>1</v>
      </c>
      <c r="T43" s="275">
        <f t="shared" si="4"/>
        <v>94623.988299999997</v>
      </c>
      <c r="U43" s="275"/>
      <c r="V43" s="249" t="s">
        <v>12</v>
      </c>
    </row>
    <row r="44" spans="1:22" ht="15" customHeight="1" x14ac:dyDescent="0.2">
      <c r="A44" s="268"/>
      <c r="B44" s="253" t="s">
        <v>185</v>
      </c>
      <c r="C44" s="253"/>
      <c r="D44" s="294"/>
      <c r="E44" s="295"/>
      <c r="F44" s="294"/>
      <c r="G44" s="295"/>
      <c r="H44" s="297"/>
      <c r="I44" s="132"/>
      <c r="J44" s="297"/>
      <c r="K44" s="132"/>
      <c r="L44" s="286"/>
      <c r="M44" s="286">
        <f>SUM(M4:M43)</f>
        <v>7079934.6664000023</v>
      </c>
      <c r="N44" s="298"/>
      <c r="O44" s="286"/>
      <c r="P44" s="298"/>
      <c r="Q44" s="286"/>
      <c r="R44" s="286">
        <f>SUM(R4:R43)</f>
        <v>7079934.6664000023</v>
      </c>
      <c r="S44" s="299"/>
      <c r="T44" s="286">
        <f>SUM(T4:T43)</f>
        <v>7079934.6664000023</v>
      </c>
      <c r="U44" s="334"/>
      <c r="V44" s="337"/>
    </row>
    <row r="45" spans="1:22" ht="15" customHeight="1" x14ac:dyDescent="0.2">
      <c r="A45" s="338"/>
      <c r="B45" s="253"/>
      <c r="C45" s="253" t="s">
        <v>338</v>
      </c>
      <c r="D45" s="294"/>
      <c r="E45" s="295" t="s">
        <v>220</v>
      </c>
      <c r="F45" s="339"/>
      <c r="G45" s="295"/>
      <c r="H45" s="297"/>
      <c r="I45" s="132"/>
      <c r="J45" s="297"/>
      <c r="K45" s="132"/>
      <c r="L45" s="286"/>
      <c r="M45" s="286">
        <f>SUMIFS(M4:M43,E4:E43,E45)-M15</f>
        <v>2534821.9188999999</v>
      </c>
      <c r="N45" s="298"/>
      <c r="O45" s="286"/>
      <c r="P45" s="298"/>
      <c r="Q45" s="286"/>
      <c r="R45" s="286">
        <f>M45+O45+Q45</f>
        <v>2534821.9188999999</v>
      </c>
      <c r="S45" s="299"/>
      <c r="T45" s="286"/>
      <c r="U45" s="286"/>
      <c r="V45" s="253"/>
    </row>
    <row r="46" spans="1:22" ht="15" customHeight="1" x14ac:dyDescent="0.2">
      <c r="A46" s="338"/>
      <c r="B46" s="253"/>
      <c r="C46" s="253" t="s">
        <v>338</v>
      </c>
      <c r="D46" s="294"/>
      <c r="E46" s="295" t="s">
        <v>229</v>
      </c>
      <c r="F46" s="339"/>
      <c r="G46" s="295"/>
      <c r="H46" s="297"/>
      <c r="I46" s="132"/>
      <c r="J46" s="297"/>
      <c r="K46" s="132"/>
      <c r="L46" s="286"/>
      <c r="M46" s="286">
        <f>SUMIFS(M4:M43,E4:E43,E46)-M15</f>
        <v>2534821.9188999999</v>
      </c>
      <c r="N46" s="298"/>
      <c r="O46" s="286"/>
      <c r="P46" s="298"/>
      <c r="Q46" s="286"/>
      <c r="R46" s="286">
        <f>M46+O46+Q46</f>
        <v>2534821.9188999999</v>
      </c>
      <c r="S46" s="299"/>
      <c r="T46" s="286"/>
      <c r="U46" s="286"/>
      <c r="V46" s="253"/>
    </row>
    <row r="47" spans="1:22" ht="19.5" customHeight="1" x14ac:dyDescent="0.2"/>
  </sheetData>
  <hyperlinks>
    <hyperlink ref="A3" location="'BUY OUT'!A1" display="⬅ Resumen PU" xr:uid="{00000000-0004-0000-2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10"/>
  <sheetViews>
    <sheetView zoomScale="160" zoomScaleNormal="160" workbookViewId="0">
      <selection activeCell="L4" sqref="L4"/>
    </sheetView>
  </sheetViews>
  <sheetFormatPr baseColWidth="10" defaultColWidth="8.6640625" defaultRowHeight="15" customHeight="1" x14ac:dyDescent="0.2"/>
  <cols>
    <col min="1" max="22" width="13" customWidth="1"/>
  </cols>
  <sheetData>
    <row r="1" spans="1:22" ht="18" customHeight="1" x14ac:dyDescent="0.2">
      <c r="A1" s="289"/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2" ht="15" customHeight="1" x14ac:dyDescent="0.2">
      <c r="A2" s="291">
        <v>46082</v>
      </c>
      <c r="B2" s="259" t="s">
        <v>495</v>
      </c>
      <c r="C2" s="273"/>
      <c r="D2" s="273"/>
      <c r="E2" s="292"/>
      <c r="F2" s="273"/>
      <c r="G2" s="292"/>
      <c r="H2" s="272"/>
      <c r="I2" s="273"/>
      <c r="J2" s="272"/>
      <c r="K2" s="273"/>
      <c r="L2" s="275"/>
      <c r="M2" s="275"/>
      <c r="N2" s="293"/>
      <c r="O2" s="275"/>
      <c r="P2" s="293"/>
      <c r="Q2" s="275"/>
      <c r="R2" s="275"/>
      <c r="S2" s="277"/>
      <c r="T2" s="275"/>
      <c r="U2" s="275"/>
      <c r="V2" s="273"/>
    </row>
    <row r="3" spans="1:22" ht="15" customHeight="1" x14ac:dyDescent="0.2">
      <c r="A3" s="261" t="s">
        <v>488</v>
      </c>
      <c r="B3" s="262" t="s">
        <v>295</v>
      </c>
      <c r="C3" s="262" t="s">
        <v>2</v>
      </c>
      <c r="D3" s="262" t="s">
        <v>296</v>
      </c>
      <c r="E3" s="263" t="s">
        <v>215</v>
      </c>
      <c r="F3" s="262" t="s">
        <v>297</v>
      </c>
      <c r="G3" s="263" t="s">
        <v>168</v>
      </c>
      <c r="H3" s="264" t="s">
        <v>298</v>
      </c>
      <c r="I3" s="262" t="s">
        <v>299</v>
      </c>
      <c r="J3" s="264" t="s">
        <v>300</v>
      </c>
      <c r="K3" s="262" t="s">
        <v>301</v>
      </c>
      <c r="L3" s="265" t="s">
        <v>302</v>
      </c>
      <c r="M3" s="265" t="s">
        <v>303</v>
      </c>
      <c r="N3" s="266" t="s">
        <v>304</v>
      </c>
      <c r="O3" s="265" t="s">
        <v>305</v>
      </c>
      <c r="P3" s="266" t="s">
        <v>306</v>
      </c>
      <c r="Q3" s="265" t="s">
        <v>307</v>
      </c>
      <c r="R3" s="265" t="s">
        <v>308</v>
      </c>
      <c r="S3" s="267" t="s">
        <v>309</v>
      </c>
      <c r="T3" s="265" t="s">
        <v>310</v>
      </c>
      <c r="U3" s="265" t="s">
        <v>311</v>
      </c>
      <c r="V3" s="262" t="s">
        <v>312</v>
      </c>
    </row>
    <row r="4" spans="1:22" ht="15" customHeight="1" x14ac:dyDescent="0.2">
      <c r="A4" s="268"/>
      <c r="B4" s="268" t="s">
        <v>39</v>
      </c>
      <c r="C4" s="268" t="s">
        <v>673</v>
      </c>
      <c r="D4" s="269"/>
      <c r="E4" s="171" t="s">
        <v>220</v>
      </c>
      <c r="F4" s="269"/>
      <c r="G4" s="292"/>
      <c r="H4" s="272" t="s">
        <v>648</v>
      </c>
      <c r="I4" s="273" t="s">
        <v>661</v>
      </c>
      <c r="J4" s="272">
        <f>18000/2</f>
        <v>9000</v>
      </c>
      <c r="K4" s="273" t="s">
        <v>269</v>
      </c>
      <c r="L4" s="274">
        <v>16.3</v>
      </c>
      <c r="M4" s="275">
        <f>J4*L4</f>
        <v>146700</v>
      </c>
      <c r="N4" s="276">
        <v>0</v>
      </c>
      <c r="O4" s="275">
        <f>M4*N4</f>
        <v>0</v>
      </c>
      <c r="P4" s="276">
        <v>0.16</v>
      </c>
      <c r="Q4" s="275">
        <f>(M4+O4)*P4</f>
        <v>23472</v>
      </c>
      <c r="R4" s="275">
        <f>M4+O4+Q4</f>
        <v>170172</v>
      </c>
      <c r="S4" s="300">
        <f>INDEX('Glosario Partidas'!$M$8:$M$10,MATCH(K4,'Glosario Partidas'!$L$8:$L$10,0))</f>
        <v>1</v>
      </c>
      <c r="T4" s="275">
        <f>R4*S4</f>
        <v>170172</v>
      </c>
      <c r="U4" s="275"/>
      <c r="V4" s="249" t="s">
        <v>12</v>
      </c>
    </row>
    <row r="5" spans="1:22" ht="15" customHeight="1" x14ac:dyDescent="0.2">
      <c r="A5" s="268"/>
      <c r="B5" s="268" t="s">
        <v>39</v>
      </c>
      <c r="C5" s="268" t="s">
        <v>674</v>
      </c>
      <c r="D5" s="269"/>
      <c r="E5" s="171" t="s">
        <v>220</v>
      </c>
      <c r="F5" s="269"/>
      <c r="G5" s="292"/>
      <c r="H5" s="272" t="s">
        <v>648</v>
      </c>
      <c r="I5" s="273" t="s">
        <v>661</v>
      </c>
      <c r="J5" s="272">
        <f>50000/2</f>
        <v>25000</v>
      </c>
      <c r="K5" s="273" t="s">
        <v>269</v>
      </c>
      <c r="L5" s="274">
        <v>16.3</v>
      </c>
      <c r="M5" s="275">
        <f>J5*L5</f>
        <v>407500</v>
      </c>
      <c r="N5" s="276">
        <v>0</v>
      </c>
      <c r="O5" s="275">
        <f>M5*N5</f>
        <v>0</v>
      </c>
      <c r="P5" s="276">
        <v>0.16</v>
      </c>
      <c r="Q5" s="275">
        <f>(M5+O5)*P5</f>
        <v>65200</v>
      </c>
      <c r="R5" s="275">
        <f>M5+O5+Q5</f>
        <v>472700</v>
      </c>
      <c r="S5" s="300">
        <f>INDEX('Glosario Partidas'!$M$8:$M$10,MATCH(K5,'Glosario Partidas'!$L$8:$L$10,0))</f>
        <v>1</v>
      </c>
      <c r="T5" s="275">
        <f>R5*S5</f>
        <v>472700</v>
      </c>
      <c r="U5" s="275"/>
      <c r="V5" s="249" t="s">
        <v>12</v>
      </c>
    </row>
    <row r="6" spans="1:22" ht="15" customHeight="1" x14ac:dyDescent="0.2">
      <c r="A6" s="268"/>
      <c r="B6" s="268" t="s">
        <v>39</v>
      </c>
      <c r="C6" s="268" t="s">
        <v>673</v>
      </c>
      <c r="D6" s="269"/>
      <c r="E6" s="171" t="s">
        <v>229</v>
      </c>
      <c r="F6" s="269"/>
      <c r="G6" s="292"/>
      <c r="H6" s="272" t="s">
        <v>648</v>
      </c>
      <c r="I6" s="273" t="s">
        <v>661</v>
      </c>
      <c r="J6" s="272">
        <f>18000/2</f>
        <v>9000</v>
      </c>
      <c r="K6" s="273" t="s">
        <v>269</v>
      </c>
      <c r="L6" s="274">
        <v>16.3</v>
      </c>
      <c r="M6" s="275">
        <f>J6*L6</f>
        <v>146700</v>
      </c>
      <c r="N6" s="276">
        <v>0</v>
      </c>
      <c r="O6" s="275">
        <f>M6*N6</f>
        <v>0</v>
      </c>
      <c r="P6" s="276">
        <v>0.16</v>
      </c>
      <c r="Q6" s="275">
        <f>(M6+O6)*P6</f>
        <v>23472</v>
      </c>
      <c r="R6" s="275">
        <f>M6+O6+Q6</f>
        <v>170172</v>
      </c>
      <c r="S6" s="300">
        <f>INDEX('Glosario Partidas'!$M$8:$M$10,MATCH(K6,'Glosario Partidas'!$L$8:$L$10,0))</f>
        <v>1</v>
      </c>
      <c r="T6" s="275">
        <f>R6*S6</f>
        <v>170172</v>
      </c>
      <c r="U6" s="275"/>
      <c r="V6" s="249" t="s">
        <v>12</v>
      </c>
    </row>
    <row r="7" spans="1:22" ht="15" customHeight="1" x14ac:dyDescent="0.2">
      <c r="A7" s="268"/>
      <c r="B7" s="268" t="s">
        <v>39</v>
      </c>
      <c r="C7" s="268" t="s">
        <v>674</v>
      </c>
      <c r="D7" s="269"/>
      <c r="E7" s="171" t="s">
        <v>229</v>
      </c>
      <c r="F7" s="269"/>
      <c r="G7" s="292"/>
      <c r="H7" s="272" t="s">
        <v>648</v>
      </c>
      <c r="I7" s="273" t="s">
        <v>661</v>
      </c>
      <c r="J7" s="272">
        <f>50000/2</f>
        <v>25000</v>
      </c>
      <c r="K7" s="273" t="s">
        <v>269</v>
      </c>
      <c r="L7" s="274">
        <v>16.3</v>
      </c>
      <c r="M7" s="275">
        <f>J7*L7</f>
        <v>407500</v>
      </c>
      <c r="N7" s="276">
        <v>0</v>
      </c>
      <c r="O7" s="275">
        <f>M7*N7</f>
        <v>0</v>
      </c>
      <c r="P7" s="276">
        <v>0.16</v>
      </c>
      <c r="Q7" s="275">
        <f>(M7+O7)*P7</f>
        <v>65200</v>
      </c>
      <c r="R7" s="275">
        <f>M7+O7+Q7</f>
        <v>472700</v>
      </c>
      <c r="S7" s="300">
        <f>INDEX('Glosario Partidas'!$M$8:$M$10,MATCH(K7,'Glosario Partidas'!$L$8:$L$10,0))</f>
        <v>1</v>
      </c>
      <c r="T7" s="275">
        <f>R7*S7</f>
        <v>472700</v>
      </c>
      <c r="U7" s="275"/>
      <c r="V7" s="249" t="s">
        <v>12</v>
      </c>
    </row>
    <row r="8" spans="1:22" ht="15" customHeight="1" x14ac:dyDescent="0.2">
      <c r="A8" s="268"/>
      <c r="B8" s="253" t="s">
        <v>185</v>
      </c>
      <c r="C8" s="253"/>
      <c r="D8" s="294"/>
      <c r="E8" s="295"/>
      <c r="F8" s="294"/>
      <c r="G8" s="295"/>
      <c r="H8" s="297"/>
      <c r="I8" s="132"/>
      <c r="J8" s="297"/>
      <c r="K8" s="132"/>
      <c r="L8" s="286"/>
      <c r="M8" s="286">
        <f>SUM(M4:M7)</f>
        <v>1108400</v>
      </c>
      <c r="N8" s="298"/>
      <c r="O8" s="286"/>
      <c r="P8" s="298"/>
      <c r="Q8" s="286"/>
      <c r="R8" s="286">
        <f>SUM(R4:R7)</f>
        <v>1285744</v>
      </c>
      <c r="S8" s="299"/>
      <c r="T8" s="286">
        <f>SUM(T4:T7)</f>
        <v>1285744</v>
      </c>
      <c r="U8" s="286"/>
      <c r="V8" s="253"/>
    </row>
    <row r="10" spans="1:22" ht="19.5" customHeight="1" x14ac:dyDescent="0.2"/>
  </sheetData>
  <hyperlinks>
    <hyperlink ref="A3" location="'BUY OUT'!A1" display="⬅ Resumen PU" xr:uid="{00000000-0004-0000-2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AC28"/>
  <sheetViews>
    <sheetView zoomScale="173" zoomScaleNormal="173" workbookViewId="0">
      <selection activeCell="B22" sqref="B22"/>
    </sheetView>
  </sheetViews>
  <sheetFormatPr baseColWidth="10" defaultColWidth="8.6640625" defaultRowHeight="15" customHeight="1" x14ac:dyDescent="0.2"/>
  <cols>
    <col min="2" max="2" width="15.83203125" customWidth="1"/>
    <col min="3" max="3" width="23.83203125" customWidth="1"/>
    <col min="4" max="4" width="49.33203125" customWidth="1"/>
    <col min="8" max="8" width="55.1640625" customWidth="1"/>
    <col min="14" max="14" width="9.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B2" s="63" t="s">
        <v>57</v>
      </c>
      <c r="C2" s="63" t="s">
        <v>348</v>
      </c>
      <c r="D2" s="268" t="s">
        <v>675</v>
      </c>
      <c r="E2" s="171"/>
      <c r="F2" s="78" t="s">
        <v>676</v>
      </c>
      <c r="G2" s="171" t="s">
        <v>677</v>
      </c>
      <c r="H2" s="171" t="s">
        <v>678</v>
      </c>
      <c r="I2" s="225" t="s">
        <v>207</v>
      </c>
      <c r="J2" s="250">
        <v>299.92599999999999</v>
      </c>
      <c r="K2" s="225" t="s">
        <v>269</v>
      </c>
      <c r="L2" s="230">
        <v>506.28</v>
      </c>
      <c r="M2" s="227">
        <f t="shared" ref="M2:M22" si="0">J2*L2</f>
        <v>151846.53527999998</v>
      </c>
      <c r="N2" s="251">
        <v>0.35</v>
      </c>
      <c r="O2" s="227">
        <f t="shared" ref="O2:O22" si="1">M2*N2</f>
        <v>53146.287347999991</v>
      </c>
      <c r="P2" s="251">
        <v>0</v>
      </c>
      <c r="Q2" s="227">
        <f t="shared" ref="Q2:Q22" si="2">(M2+O2)*P2</f>
        <v>0</v>
      </c>
      <c r="R2" s="227">
        <f t="shared" ref="R2:R22" si="3">M2+O2+Q2</f>
        <v>204992.82262799997</v>
      </c>
      <c r="S2" s="229">
        <f>INDEX('Glosario Partidas'!$M$8:$M$10,MATCH(K2,'Glosario Partidas'!$L$8:$L$10,0))</f>
        <v>1</v>
      </c>
      <c r="T2" s="227">
        <f t="shared" ref="T2:T22" si="4">R2*S2</f>
        <v>204992.82262799997</v>
      </c>
      <c r="U2" s="230" t="s">
        <v>679</v>
      </c>
      <c r="V2" s="249" t="s">
        <v>13</v>
      </c>
      <c r="W2" s="249" t="s">
        <v>491</v>
      </c>
      <c r="X2" s="249"/>
      <c r="Y2" t="s">
        <v>680</v>
      </c>
      <c r="Z2" s="63"/>
    </row>
    <row r="3" spans="1:29" ht="15" customHeight="1" x14ac:dyDescent="0.2">
      <c r="B3" s="63" t="s">
        <v>57</v>
      </c>
      <c r="C3" s="63" t="s">
        <v>351</v>
      </c>
      <c r="D3" s="268" t="s">
        <v>681</v>
      </c>
      <c r="E3" s="171"/>
      <c r="F3" s="78" t="s">
        <v>676</v>
      </c>
      <c r="G3" s="171" t="s">
        <v>677</v>
      </c>
      <c r="H3" s="171" t="s">
        <v>678</v>
      </c>
      <c r="I3" s="225" t="s">
        <v>207</v>
      </c>
      <c r="J3" s="250">
        <v>210.53299999999999</v>
      </c>
      <c r="K3" s="225" t="s">
        <v>269</v>
      </c>
      <c r="L3" s="230">
        <v>662.75</v>
      </c>
      <c r="M3" s="227">
        <f t="shared" si="0"/>
        <v>139530.74575</v>
      </c>
      <c r="N3" s="251">
        <v>0.35</v>
      </c>
      <c r="O3" s="227">
        <f t="shared" si="1"/>
        <v>48835.761012499999</v>
      </c>
      <c r="P3" s="251">
        <v>0</v>
      </c>
      <c r="Q3" s="227">
        <f t="shared" si="2"/>
        <v>0</v>
      </c>
      <c r="R3" s="227">
        <f t="shared" si="3"/>
        <v>188366.50676250001</v>
      </c>
      <c r="S3" s="229">
        <f>INDEX('Glosario Partidas'!$M$8:$M$10,MATCH(K3,'Glosario Partidas'!$L$8:$L$10,0))</f>
        <v>1</v>
      </c>
      <c r="T3" s="227">
        <f t="shared" si="4"/>
        <v>188366.50676250001</v>
      </c>
      <c r="U3" s="230" t="s">
        <v>679</v>
      </c>
      <c r="V3" s="249" t="s">
        <v>13</v>
      </c>
      <c r="W3" s="249" t="s">
        <v>491</v>
      </c>
      <c r="X3" s="249"/>
      <c r="Y3" t="s">
        <v>680</v>
      </c>
      <c r="Z3" s="63"/>
    </row>
    <row r="4" spans="1:29" ht="15" customHeight="1" x14ac:dyDescent="0.2">
      <c r="B4" s="63" t="s">
        <v>57</v>
      </c>
      <c r="C4" s="63" t="s">
        <v>682</v>
      </c>
      <c r="D4" s="268" t="s">
        <v>683</v>
      </c>
      <c r="E4" s="171"/>
      <c r="F4" s="78" t="s">
        <v>676</v>
      </c>
      <c r="G4" s="171" t="s">
        <v>677</v>
      </c>
      <c r="H4" s="171" t="s">
        <v>678</v>
      </c>
      <c r="I4" s="225" t="s">
        <v>207</v>
      </c>
      <c r="J4" s="250">
        <v>19.866</v>
      </c>
      <c r="K4" s="225" t="s">
        <v>269</v>
      </c>
      <c r="L4" s="230">
        <v>1159.49504950495</v>
      </c>
      <c r="M4" s="227">
        <f t="shared" si="0"/>
        <v>23034.528653465335</v>
      </c>
      <c r="N4" s="251">
        <v>0.35</v>
      </c>
      <c r="O4" s="227">
        <f t="shared" si="1"/>
        <v>8062.0850287128669</v>
      </c>
      <c r="P4" s="251">
        <v>0</v>
      </c>
      <c r="Q4" s="227">
        <f t="shared" si="2"/>
        <v>0</v>
      </c>
      <c r="R4" s="227">
        <f t="shared" si="3"/>
        <v>31096.613682178202</v>
      </c>
      <c r="S4" s="229">
        <f>INDEX('Glosario Partidas'!$M$8:$M$10,MATCH(K4,'Glosario Partidas'!$L$8:$L$10,0))</f>
        <v>1</v>
      </c>
      <c r="T4" s="227">
        <f t="shared" si="4"/>
        <v>31096.613682178202</v>
      </c>
      <c r="U4" s="230" t="s">
        <v>679</v>
      </c>
      <c r="V4" s="249" t="s">
        <v>13</v>
      </c>
      <c r="W4" s="249" t="s">
        <v>491</v>
      </c>
      <c r="X4" s="249"/>
      <c r="Y4" t="s">
        <v>680</v>
      </c>
      <c r="Z4" s="63"/>
    </row>
    <row r="5" spans="1:29" ht="15" customHeight="1" x14ac:dyDescent="0.2">
      <c r="B5" s="63" t="s">
        <v>57</v>
      </c>
      <c r="C5" s="63" t="s">
        <v>353</v>
      </c>
      <c r="D5" s="268" t="s">
        <v>684</v>
      </c>
      <c r="E5" s="171"/>
      <c r="F5" s="78" t="s">
        <v>676</v>
      </c>
      <c r="G5" s="171" t="s">
        <v>677</v>
      </c>
      <c r="H5" s="171" t="s">
        <v>678</v>
      </c>
      <c r="I5" s="225" t="s">
        <v>207</v>
      </c>
      <c r="J5" s="250">
        <v>54.09</v>
      </c>
      <c r="K5" s="225" t="s">
        <v>269</v>
      </c>
      <c r="L5" s="230">
        <v>872.21</v>
      </c>
      <c r="M5" s="227">
        <f t="shared" si="0"/>
        <v>47177.838900000002</v>
      </c>
      <c r="N5" s="251">
        <v>0.35</v>
      </c>
      <c r="O5" s="227">
        <f t="shared" si="1"/>
        <v>16512.243614999999</v>
      </c>
      <c r="P5" s="251">
        <v>0</v>
      </c>
      <c r="Q5" s="227">
        <f t="shared" si="2"/>
        <v>0</v>
      </c>
      <c r="R5" s="227">
        <f t="shared" si="3"/>
        <v>63690.082515000002</v>
      </c>
      <c r="S5" s="229">
        <f>INDEX('Glosario Partidas'!$M$8:$M$10,MATCH(K5,'Glosario Partidas'!$L$8:$L$10,0))</f>
        <v>1</v>
      </c>
      <c r="T5" s="227">
        <f t="shared" si="4"/>
        <v>63690.082515000002</v>
      </c>
      <c r="U5" s="230" t="s">
        <v>679</v>
      </c>
      <c r="V5" s="249" t="s">
        <v>13</v>
      </c>
      <c r="W5" s="249" t="s">
        <v>491</v>
      </c>
      <c r="X5" s="249"/>
      <c r="Y5" t="s">
        <v>680</v>
      </c>
      <c r="Z5" s="63"/>
    </row>
    <row r="6" spans="1:29" ht="15" customHeight="1" x14ac:dyDescent="0.2">
      <c r="B6" s="63" t="s">
        <v>57</v>
      </c>
      <c r="C6" s="63" t="s">
        <v>348</v>
      </c>
      <c r="D6" s="268" t="s">
        <v>675</v>
      </c>
      <c r="E6" s="171"/>
      <c r="F6" s="78" t="s">
        <v>685</v>
      </c>
      <c r="G6" s="171" t="s">
        <v>686</v>
      </c>
      <c r="H6" s="171" t="s">
        <v>678</v>
      </c>
      <c r="I6" s="225" t="s">
        <v>207</v>
      </c>
      <c r="J6" s="250">
        <v>299.92599999999999</v>
      </c>
      <c r="K6" s="225" t="s">
        <v>269</v>
      </c>
      <c r="L6" s="230">
        <v>506.28</v>
      </c>
      <c r="M6" s="227">
        <f t="shared" si="0"/>
        <v>151846.53527999998</v>
      </c>
      <c r="N6" s="251">
        <v>0.35</v>
      </c>
      <c r="O6" s="227">
        <f t="shared" si="1"/>
        <v>53146.287347999991</v>
      </c>
      <c r="P6" s="251">
        <v>0</v>
      </c>
      <c r="Q6" s="227">
        <f t="shared" si="2"/>
        <v>0</v>
      </c>
      <c r="R6" s="227">
        <f t="shared" si="3"/>
        <v>204992.82262799997</v>
      </c>
      <c r="S6" s="229">
        <f>INDEX('Glosario Partidas'!$M$8:$M$10,MATCH(K6,'Glosario Partidas'!$L$8:$L$10,0))</f>
        <v>1</v>
      </c>
      <c r="T6" s="227">
        <f t="shared" si="4"/>
        <v>204992.82262799997</v>
      </c>
      <c r="U6" s="230" t="s">
        <v>687</v>
      </c>
      <c r="V6" s="249" t="s">
        <v>13</v>
      </c>
      <c r="W6" s="249" t="s">
        <v>491</v>
      </c>
      <c r="X6" s="249"/>
      <c r="Y6" t="s">
        <v>680</v>
      </c>
      <c r="Z6" s="63"/>
    </row>
    <row r="7" spans="1:29" ht="15" customHeight="1" x14ac:dyDescent="0.2">
      <c r="B7" s="63" t="s">
        <v>57</v>
      </c>
      <c r="C7" s="63" t="s">
        <v>351</v>
      </c>
      <c r="D7" s="268" t="s">
        <v>681</v>
      </c>
      <c r="E7" s="171"/>
      <c r="F7" s="78" t="s">
        <v>685</v>
      </c>
      <c r="G7" s="171" t="s">
        <v>686</v>
      </c>
      <c r="H7" s="171" t="s">
        <v>678</v>
      </c>
      <c r="I7" s="225" t="s">
        <v>207</v>
      </c>
      <c r="J7" s="250">
        <v>210.53299999999999</v>
      </c>
      <c r="K7" s="225" t="s">
        <v>269</v>
      </c>
      <c r="L7" s="230">
        <v>662.75</v>
      </c>
      <c r="M7" s="227">
        <f t="shared" si="0"/>
        <v>139530.74575</v>
      </c>
      <c r="N7" s="251">
        <v>0.35</v>
      </c>
      <c r="O7" s="227">
        <f t="shared" si="1"/>
        <v>48835.761012499999</v>
      </c>
      <c r="P7" s="251">
        <v>0</v>
      </c>
      <c r="Q7" s="227">
        <f t="shared" si="2"/>
        <v>0</v>
      </c>
      <c r="R7" s="227">
        <f t="shared" si="3"/>
        <v>188366.50676250001</v>
      </c>
      <c r="S7" s="229">
        <f>INDEX('Glosario Partidas'!$M$8:$M$10,MATCH(K7,'Glosario Partidas'!$L$8:$L$10,0))</f>
        <v>1</v>
      </c>
      <c r="T7" s="227">
        <f t="shared" si="4"/>
        <v>188366.50676250001</v>
      </c>
      <c r="U7" s="230" t="s">
        <v>687</v>
      </c>
      <c r="V7" s="249" t="s">
        <v>13</v>
      </c>
      <c r="W7" s="249" t="s">
        <v>491</v>
      </c>
      <c r="X7" s="249"/>
      <c r="Y7" t="s">
        <v>680</v>
      </c>
      <c r="Z7" s="63"/>
    </row>
    <row r="8" spans="1:29" ht="15" customHeight="1" x14ac:dyDescent="0.2">
      <c r="B8" s="63" t="s">
        <v>57</v>
      </c>
      <c r="C8" s="63" t="s">
        <v>682</v>
      </c>
      <c r="D8" s="268" t="s">
        <v>683</v>
      </c>
      <c r="E8" s="171"/>
      <c r="F8" s="78" t="s">
        <v>685</v>
      </c>
      <c r="G8" s="171" t="s">
        <v>686</v>
      </c>
      <c r="H8" s="171" t="s">
        <v>678</v>
      </c>
      <c r="I8" s="225" t="s">
        <v>207</v>
      </c>
      <c r="J8" s="250">
        <v>19.866</v>
      </c>
      <c r="K8" s="225" t="s">
        <v>269</v>
      </c>
      <c r="L8" s="230">
        <v>1159.49504950495</v>
      </c>
      <c r="M8" s="227">
        <f t="shared" si="0"/>
        <v>23034.528653465335</v>
      </c>
      <c r="N8" s="251">
        <v>0.35</v>
      </c>
      <c r="O8" s="227">
        <f t="shared" si="1"/>
        <v>8062.0850287128669</v>
      </c>
      <c r="P8" s="251">
        <v>0</v>
      </c>
      <c r="Q8" s="227">
        <f t="shared" si="2"/>
        <v>0</v>
      </c>
      <c r="R8" s="227">
        <f t="shared" si="3"/>
        <v>31096.613682178202</v>
      </c>
      <c r="S8" s="229">
        <f>INDEX('Glosario Partidas'!$M$8:$M$10,MATCH(K8,'Glosario Partidas'!$L$8:$L$10,0))</f>
        <v>1</v>
      </c>
      <c r="T8" s="227">
        <f t="shared" si="4"/>
        <v>31096.613682178202</v>
      </c>
      <c r="U8" s="230" t="s">
        <v>687</v>
      </c>
      <c r="V8" s="249" t="s">
        <v>13</v>
      </c>
      <c r="W8" s="249" t="s">
        <v>491</v>
      </c>
      <c r="X8" s="249"/>
      <c r="Y8" t="s">
        <v>680</v>
      </c>
      <c r="Z8" s="63"/>
    </row>
    <row r="9" spans="1:29" ht="15" customHeight="1" x14ac:dyDescent="0.2">
      <c r="B9" s="63" t="s">
        <v>57</v>
      </c>
      <c r="C9" s="63" t="s">
        <v>353</v>
      </c>
      <c r="D9" s="268" t="s">
        <v>684</v>
      </c>
      <c r="E9" s="171"/>
      <c r="F9" s="78" t="s">
        <v>685</v>
      </c>
      <c r="G9" s="171" t="s">
        <v>686</v>
      </c>
      <c r="H9" s="171" t="s">
        <v>678</v>
      </c>
      <c r="I9" s="225" t="s">
        <v>207</v>
      </c>
      <c r="J9" s="250">
        <v>54.09</v>
      </c>
      <c r="K9" s="225" t="s">
        <v>269</v>
      </c>
      <c r="L9" s="230">
        <v>872.21</v>
      </c>
      <c r="M9" s="227">
        <f t="shared" si="0"/>
        <v>47177.838900000002</v>
      </c>
      <c r="N9" s="251">
        <v>0.35</v>
      </c>
      <c r="O9" s="227">
        <f t="shared" si="1"/>
        <v>16512.243614999999</v>
      </c>
      <c r="P9" s="251">
        <v>0</v>
      </c>
      <c r="Q9" s="227">
        <f t="shared" si="2"/>
        <v>0</v>
      </c>
      <c r="R9" s="227">
        <f t="shared" si="3"/>
        <v>63690.082515000002</v>
      </c>
      <c r="S9" s="229">
        <f>INDEX('Glosario Partidas'!$M$8:$M$10,MATCH(K9,'Glosario Partidas'!$L$8:$L$10,0))</f>
        <v>1</v>
      </c>
      <c r="T9" s="227">
        <f t="shared" si="4"/>
        <v>63690.082515000002</v>
      </c>
      <c r="U9" s="230" t="s">
        <v>687</v>
      </c>
      <c r="V9" s="249" t="s">
        <v>13</v>
      </c>
      <c r="W9" s="249" t="s">
        <v>491</v>
      </c>
      <c r="X9" s="249"/>
      <c r="Y9" t="s">
        <v>680</v>
      </c>
      <c r="Z9" s="63"/>
    </row>
    <row r="10" spans="1:29" ht="15" customHeight="1" x14ac:dyDescent="0.2">
      <c r="B10" s="63" t="s">
        <v>57</v>
      </c>
      <c r="C10" s="63" t="s">
        <v>348</v>
      </c>
      <c r="D10" s="268" t="s">
        <v>675</v>
      </c>
      <c r="E10" s="171"/>
      <c r="F10" s="78" t="s">
        <v>676</v>
      </c>
      <c r="G10" s="171" t="s">
        <v>688</v>
      </c>
      <c r="H10" s="171" t="s">
        <v>678</v>
      </c>
      <c r="I10" s="225" t="s">
        <v>207</v>
      </c>
      <c r="J10" s="250">
        <v>289.70800000000003</v>
      </c>
      <c r="K10" s="225" t="s">
        <v>269</v>
      </c>
      <c r="L10" s="230">
        <v>506.28</v>
      </c>
      <c r="M10" s="227">
        <f t="shared" si="0"/>
        <v>146673.36624</v>
      </c>
      <c r="N10" s="251">
        <v>0.35</v>
      </c>
      <c r="O10" s="227">
        <f t="shared" si="1"/>
        <v>51335.678183999997</v>
      </c>
      <c r="P10" s="251">
        <v>0</v>
      </c>
      <c r="Q10" s="227">
        <f t="shared" si="2"/>
        <v>0</v>
      </c>
      <c r="R10" s="227">
        <f t="shared" si="3"/>
        <v>198009.04442399999</v>
      </c>
      <c r="S10" s="229">
        <f>INDEX('Glosario Partidas'!$M$8:$M$10,MATCH(K10,'Glosario Partidas'!$L$8:$L$10,0))</f>
        <v>1</v>
      </c>
      <c r="T10" s="227">
        <f t="shared" si="4"/>
        <v>198009.04442399999</v>
      </c>
      <c r="U10" s="230" t="s">
        <v>689</v>
      </c>
      <c r="V10" s="249" t="s">
        <v>13</v>
      </c>
      <c r="W10" s="249" t="s">
        <v>491</v>
      </c>
      <c r="X10" s="249"/>
      <c r="Y10" t="s">
        <v>680</v>
      </c>
      <c r="Z10" s="63"/>
    </row>
    <row r="11" spans="1:29" ht="15" customHeight="1" x14ac:dyDescent="0.2">
      <c r="B11" s="63" t="s">
        <v>57</v>
      </c>
      <c r="C11" s="63" t="s">
        <v>351</v>
      </c>
      <c r="D11" s="268" t="s">
        <v>681</v>
      </c>
      <c r="E11" s="171"/>
      <c r="F11" s="78" t="s">
        <v>676</v>
      </c>
      <c r="G11" s="171" t="s">
        <v>688</v>
      </c>
      <c r="H11" s="171" t="s">
        <v>678</v>
      </c>
      <c r="I11" s="225" t="s">
        <v>207</v>
      </c>
      <c r="J11" s="250">
        <v>62.305999999999997</v>
      </c>
      <c r="K11" s="225" t="s">
        <v>269</v>
      </c>
      <c r="L11" s="230">
        <v>662.75</v>
      </c>
      <c r="M11" s="227">
        <f t="shared" si="0"/>
        <v>41293.301500000001</v>
      </c>
      <c r="N11" s="251">
        <v>0.35</v>
      </c>
      <c r="O11" s="227">
        <f t="shared" si="1"/>
        <v>14452.655525</v>
      </c>
      <c r="P11" s="251">
        <v>0</v>
      </c>
      <c r="Q11" s="227">
        <f t="shared" si="2"/>
        <v>0</v>
      </c>
      <c r="R11" s="227">
        <f t="shared" si="3"/>
        <v>55745.957025000003</v>
      </c>
      <c r="S11" s="229">
        <f>INDEX('Glosario Partidas'!$M$8:$M$10,MATCH(K11,'Glosario Partidas'!$L$8:$L$10,0))</f>
        <v>1</v>
      </c>
      <c r="T11" s="227">
        <f t="shared" si="4"/>
        <v>55745.957025000003</v>
      </c>
      <c r="U11" s="230" t="s">
        <v>689</v>
      </c>
      <c r="V11" s="249" t="s">
        <v>13</v>
      </c>
      <c r="W11" s="249" t="s">
        <v>491</v>
      </c>
      <c r="X11" s="249"/>
      <c r="Y11" t="s">
        <v>680</v>
      </c>
      <c r="Z11" s="63"/>
    </row>
    <row r="12" spans="1:29" ht="15" customHeight="1" x14ac:dyDescent="0.2">
      <c r="B12" s="63" t="s">
        <v>57</v>
      </c>
      <c r="C12" s="63" t="s">
        <v>682</v>
      </c>
      <c r="D12" s="268" t="s">
        <v>683</v>
      </c>
      <c r="E12" s="171"/>
      <c r="F12" s="78" t="s">
        <v>676</v>
      </c>
      <c r="G12" s="171" t="s">
        <v>688</v>
      </c>
      <c r="H12" s="171" t="s">
        <v>678</v>
      </c>
      <c r="I12" s="225" t="s">
        <v>207</v>
      </c>
      <c r="J12" s="250">
        <v>19.893999999999998</v>
      </c>
      <c r="K12" s="225" t="s">
        <v>269</v>
      </c>
      <c r="L12" s="230">
        <v>1159.49504950495</v>
      </c>
      <c r="M12" s="227">
        <f t="shared" si="0"/>
        <v>23066.994514851474</v>
      </c>
      <c r="N12" s="251">
        <v>0.35</v>
      </c>
      <c r="O12" s="227">
        <f t="shared" si="1"/>
        <v>8073.4480801980153</v>
      </c>
      <c r="P12" s="251">
        <v>0</v>
      </c>
      <c r="Q12" s="227">
        <f t="shared" si="2"/>
        <v>0</v>
      </c>
      <c r="R12" s="227">
        <f t="shared" si="3"/>
        <v>31140.442595049492</v>
      </c>
      <c r="S12" s="229">
        <f>INDEX('Glosario Partidas'!$M$8:$M$10,MATCH(K12,'Glosario Partidas'!$L$8:$L$10,0))</f>
        <v>1</v>
      </c>
      <c r="T12" s="227">
        <f t="shared" si="4"/>
        <v>31140.442595049492</v>
      </c>
      <c r="U12" s="230" t="s">
        <v>689</v>
      </c>
      <c r="V12" s="249" t="s">
        <v>13</v>
      </c>
      <c r="W12" s="249" t="s">
        <v>491</v>
      </c>
      <c r="X12" s="249"/>
      <c r="Y12" t="s">
        <v>680</v>
      </c>
      <c r="Z12" s="63"/>
    </row>
    <row r="13" spans="1:29" ht="15" customHeight="1" x14ac:dyDescent="0.2">
      <c r="B13" s="63" t="s">
        <v>57</v>
      </c>
      <c r="C13" s="63" t="s">
        <v>353</v>
      </c>
      <c r="D13" s="268" t="s">
        <v>684</v>
      </c>
      <c r="E13" s="171"/>
      <c r="F13" s="78" t="s">
        <v>676</v>
      </c>
      <c r="G13" s="171" t="s">
        <v>688</v>
      </c>
      <c r="H13" s="171" t="s">
        <v>678</v>
      </c>
      <c r="I13" s="225" t="s">
        <v>207</v>
      </c>
      <c r="J13" s="250">
        <v>130.77760000000001</v>
      </c>
      <c r="K13" s="225" t="s">
        <v>269</v>
      </c>
      <c r="L13" s="230">
        <v>872.21</v>
      </c>
      <c r="M13" s="227">
        <f t="shared" si="0"/>
        <v>114065.53049600001</v>
      </c>
      <c r="N13" s="251">
        <v>0.35</v>
      </c>
      <c r="O13" s="227">
        <f t="shared" si="1"/>
        <v>39922.935673599997</v>
      </c>
      <c r="P13" s="251">
        <v>0</v>
      </c>
      <c r="Q13" s="227">
        <f t="shared" si="2"/>
        <v>0</v>
      </c>
      <c r="R13" s="227">
        <f t="shared" si="3"/>
        <v>153988.4661696</v>
      </c>
      <c r="S13" s="229">
        <f>INDEX('Glosario Partidas'!$M$8:$M$10,MATCH(K13,'Glosario Partidas'!$L$8:$L$10,0))</f>
        <v>1</v>
      </c>
      <c r="T13" s="227">
        <f t="shared" si="4"/>
        <v>153988.4661696</v>
      </c>
      <c r="U13" s="230" t="s">
        <v>689</v>
      </c>
      <c r="V13" s="249" t="s">
        <v>13</v>
      </c>
      <c r="W13" s="249" t="s">
        <v>491</v>
      </c>
      <c r="X13" s="249"/>
      <c r="Y13" t="s">
        <v>680</v>
      </c>
      <c r="Z13" s="63"/>
    </row>
    <row r="14" spans="1:29" ht="15" customHeight="1" x14ac:dyDescent="0.2">
      <c r="B14" s="63" t="s">
        <v>57</v>
      </c>
      <c r="C14" s="63" t="s">
        <v>348</v>
      </c>
      <c r="D14" s="268" t="s">
        <v>675</v>
      </c>
      <c r="E14" s="171"/>
      <c r="F14" s="78" t="s">
        <v>685</v>
      </c>
      <c r="G14" s="171" t="s">
        <v>690</v>
      </c>
      <c r="H14" s="171" t="s">
        <v>678</v>
      </c>
      <c r="I14" s="225" t="s">
        <v>207</v>
      </c>
      <c r="J14" s="250">
        <v>289.70800000000003</v>
      </c>
      <c r="K14" s="225" t="s">
        <v>269</v>
      </c>
      <c r="L14" s="230">
        <v>506.28</v>
      </c>
      <c r="M14" s="227">
        <f t="shared" si="0"/>
        <v>146673.36624</v>
      </c>
      <c r="N14" s="251">
        <v>0.35</v>
      </c>
      <c r="O14" s="227">
        <f t="shared" si="1"/>
        <v>51335.678183999997</v>
      </c>
      <c r="P14" s="251">
        <v>0</v>
      </c>
      <c r="Q14" s="227">
        <f t="shared" si="2"/>
        <v>0</v>
      </c>
      <c r="R14" s="227">
        <f t="shared" si="3"/>
        <v>198009.04442399999</v>
      </c>
      <c r="S14" s="229">
        <f>INDEX('Glosario Partidas'!$M$8:$M$10,MATCH(K14,'Glosario Partidas'!$L$8:$L$10,0))</f>
        <v>1</v>
      </c>
      <c r="T14" s="227">
        <f t="shared" si="4"/>
        <v>198009.04442399999</v>
      </c>
      <c r="U14" s="230" t="s">
        <v>691</v>
      </c>
      <c r="V14" s="249" t="s">
        <v>13</v>
      </c>
      <c r="W14" s="249" t="s">
        <v>491</v>
      </c>
      <c r="X14" s="249"/>
      <c r="Y14" t="s">
        <v>680</v>
      </c>
      <c r="Z14" s="63"/>
    </row>
    <row r="15" spans="1:29" ht="15" customHeight="1" x14ac:dyDescent="0.2">
      <c r="B15" s="63" t="s">
        <v>57</v>
      </c>
      <c r="C15" s="63" t="s">
        <v>351</v>
      </c>
      <c r="D15" s="268" t="s">
        <v>681</v>
      </c>
      <c r="E15" s="171"/>
      <c r="F15" s="78" t="s">
        <v>685</v>
      </c>
      <c r="G15" s="171" t="s">
        <v>690</v>
      </c>
      <c r="H15" s="171" t="s">
        <v>678</v>
      </c>
      <c r="I15" s="225" t="s">
        <v>207</v>
      </c>
      <c r="J15" s="250">
        <v>62.305999999999997</v>
      </c>
      <c r="K15" s="225" t="s">
        <v>269</v>
      </c>
      <c r="L15" s="230">
        <v>662.75</v>
      </c>
      <c r="M15" s="227">
        <f t="shared" si="0"/>
        <v>41293.301500000001</v>
      </c>
      <c r="N15" s="251">
        <v>0.35</v>
      </c>
      <c r="O15" s="227">
        <f t="shared" si="1"/>
        <v>14452.655525</v>
      </c>
      <c r="P15" s="251">
        <v>0</v>
      </c>
      <c r="Q15" s="227">
        <f t="shared" si="2"/>
        <v>0</v>
      </c>
      <c r="R15" s="227">
        <f t="shared" si="3"/>
        <v>55745.957025000003</v>
      </c>
      <c r="S15" s="229">
        <f>INDEX('Glosario Partidas'!$M$8:$M$10,MATCH(K15,'Glosario Partidas'!$L$8:$L$10,0))</f>
        <v>1</v>
      </c>
      <c r="T15" s="227">
        <f t="shared" si="4"/>
        <v>55745.957025000003</v>
      </c>
      <c r="U15" s="230" t="s">
        <v>691</v>
      </c>
      <c r="V15" s="249" t="s">
        <v>13</v>
      </c>
      <c r="W15" s="249" t="s">
        <v>491</v>
      </c>
      <c r="X15" s="249"/>
      <c r="Y15" t="s">
        <v>680</v>
      </c>
      <c r="Z15" s="63"/>
    </row>
    <row r="16" spans="1:29" ht="15" customHeight="1" x14ac:dyDescent="0.2">
      <c r="B16" s="63" t="s">
        <v>57</v>
      </c>
      <c r="C16" s="63" t="s">
        <v>682</v>
      </c>
      <c r="D16" s="268" t="s">
        <v>683</v>
      </c>
      <c r="E16" s="171"/>
      <c r="F16" s="78" t="s">
        <v>685</v>
      </c>
      <c r="G16" s="171" t="s">
        <v>690</v>
      </c>
      <c r="H16" s="171" t="s">
        <v>678</v>
      </c>
      <c r="I16" s="225" t="s">
        <v>207</v>
      </c>
      <c r="J16" s="250">
        <v>19.893999999999998</v>
      </c>
      <c r="K16" s="225" t="s">
        <v>269</v>
      </c>
      <c r="L16" s="230">
        <v>1159.49504950495</v>
      </c>
      <c r="M16" s="227">
        <f t="shared" si="0"/>
        <v>23066.994514851474</v>
      </c>
      <c r="N16" s="251">
        <v>0.35</v>
      </c>
      <c r="O16" s="227">
        <f t="shared" si="1"/>
        <v>8073.4480801980153</v>
      </c>
      <c r="P16" s="251">
        <v>0</v>
      </c>
      <c r="Q16" s="227">
        <f t="shared" si="2"/>
        <v>0</v>
      </c>
      <c r="R16" s="227">
        <f t="shared" si="3"/>
        <v>31140.442595049492</v>
      </c>
      <c r="S16" s="229">
        <f>INDEX('Glosario Partidas'!$M$8:$M$10,MATCH(K16,'Glosario Partidas'!$L$8:$L$10,0))</f>
        <v>1</v>
      </c>
      <c r="T16" s="227">
        <f t="shared" si="4"/>
        <v>31140.442595049492</v>
      </c>
      <c r="U16" s="230" t="s">
        <v>691</v>
      </c>
      <c r="V16" s="249" t="s">
        <v>13</v>
      </c>
      <c r="W16" s="249" t="s">
        <v>491</v>
      </c>
      <c r="X16" s="249"/>
      <c r="Y16" t="s">
        <v>680</v>
      </c>
      <c r="Z16" s="63"/>
    </row>
    <row r="17" spans="1:29" ht="15" customHeight="1" x14ac:dyDescent="0.2">
      <c r="B17" s="63" t="s">
        <v>57</v>
      </c>
      <c r="C17" s="63" t="s">
        <v>353</v>
      </c>
      <c r="D17" s="268" t="s">
        <v>684</v>
      </c>
      <c r="E17" s="171"/>
      <c r="F17" s="78" t="s">
        <v>685</v>
      </c>
      <c r="G17" s="171" t="s">
        <v>690</v>
      </c>
      <c r="H17" s="171" t="s">
        <v>678</v>
      </c>
      <c r="I17" s="225" t="s">
        <v>207</v>
      </c>
      <c r="J17" s="250">
        <v>130.77760000000001</v>
      </c>
      <c r="K17" s="225" t="s">
        <v>269</v>
      </c>
      <c r="L17" s="230">
        <v>872.21</v>
      </c>
      <c r="M17" s="227">
        <f t="shared" si="0"/>
        <v>114065.53049600001</v>
      </c>
      <c r="N17" s="251">
        <v>0.35</v>
      </c>
      <c r="O17" s="227">
        <f t="shared" si="1"/>
        <v>39922.935673599997</v>
      </c>
      <c r="P17" s="251">
        <v>0</v>
      </c>
      <c r="Q17" s="227">
        <f t="shared" si="2"/>
        <v>0</v>
      </c>
      <c r="R17" s="227">
        <f t="shared" si="3"/>
        <v>153988.4661696</v>
      </c>
      <c r="S17" s="229">
        <f>INDEX('Glosario Partidas'!$M$8:$M$10,MATCH(K17,'Glosario Partidas'!$L$8:$L$10,0))</f>
        <v>1</v>
      </c>
      <c r="T17" s="227">
        <f t="shared" si="4"/>
        <v>153988.4661696</v>
      </c>
      <c r="U17" s="230" t="s">
        <v>691</v>
      </c>
      <c r="V17" s="249" t="s">
        <v>13</v>
      </c>
      <c r="W17" s="249" t="s">
        <v>491</v>
      </c>
      <c r="X17" s="249"/>
      <c r="Y17" t="s">
        <v>680</v>
      </c>
      <c r="Z17" s="63"/>
    </row>
    <row r="18" spans="1:29" ht="15" customHeight="1" x14ac:dyDescent="0.2">
      <c r="B18" s="63" t="s">
        <v>57</v>
      </c>
      <c r="C18" s="63" t="s">
        <v>348</v>
      </c>
      <c r="D18" s="268" t="s">
        <v>675</v>
      </c>
      <c r="E18" s="171"/>
      <c r="F18" s="78" t="s">
        <v>692</v>
      </c>
      <c r="G18" s="171" t="s">
        <v>625</v>
      </c>
      <c r="H18" s="171" t="s">
        <v>678</v>
      </c>
      <c r="I18" s="225" t="s">
        <v>207</v>
      </c>
      <c r="J18" s="250">
        <v>100.339</v>
      </c>
      <c r="K18" s="225" t="s">
        <v>269</v>
      </c>
      <c r="L18" s="230">
        <v>506.28</v>
      </c>
      <c r="M18" s="227">
        <f t="shared" si="0"/>
        <v>50799.628919999996</v>
      </c>
      <c r="N18" s="251">
        <v>0.35</v>
      </c>
      <c r="O18" s="227">
        <f t="shared" si="1"/>
        <v>17779.870121999997</v>
      </c>
      <c r="P18" s="251">
        <v>0</v>
      </c>
      <c r="Q18" s="227">
        <f t="shared" si="2"/>
        <v>0</v>
      </c>
      <c r="R18" s="227">
        <f t="shared" si="3"/>
        <v>68579.499041999996</v>
      </c>
      <c r="S18" s="229">
        <f>INDEX('Glosario Partidas'!$M$8:$M$10,MATCH(K18,'Glosario Partidas'!$L$8:$L$10,0))</f>
        <v>1</v>
      </c>
      <c r="T18" s="227">
        <f t="shared" si="4"/>
        <v>68579.499041999996</v>
      </c>
      <c r="U18" s="230" t="s">
        <v>693</v>
      </c>
      <c r="V18" s="249" t="s">
        <v>13</v>
      </c>
      <c r="W18" s="249" t="s">
        <v>491</v>
      </c>
      <c r="X18" s="249"/>
      <c r="Y18" t="s">
        <v>680</v>
      </c>
      <c r="Z18" s="63"/>
    </row>
    <row r="19" spans="1:29" ht="15" customHeight="1" x14ac:dyDescent="0.2">
      <c r="B19" s="63" t="s">
        <v>57</v>
      </c>
      <c r="C19" s="63" t="s">
        <v>351</v>
      </c>
      <c r="D19" s="268" t="s">
        <v>681</v>
      </c>
      <c r="E19" s="171"/>
      <c r="F19" s="78" t="s">
        <v>692</v>
      </c>
      <c r="G19" s="171" t="s">
        <v>625</v>
      </c>
      <c r="H19" s="171" t="s">
        <v>678</v>
      </c>
      <c r="I19" s="225" t="s">
        <v>207</v>
      </c>
      <c r="J19" s="250">
        <v>552.03</v>
      </c>
      <c r="K19" s="225" t="s">
        <v>269</v>
      </c>
      <c r="L19" s="230">
        <v>662.75</v>
      </c>
      <c r="M19" s="227">
        <f t="shared" si="0"/>
        <v>365857.88250000001</v>
      </c>
      <c r="N19" s="251">
        <v>0.35</v>
      </c>
      <c r="O19" s="227">
        <f t="shared" si="1"/>
        <v>128050.258875</v>
      </c>
      <c r="P19" s="251">
        <v>0</v>
      </c>
      <c r="Q19" s="227">
        <f t="shared" si="2"/>
        <v>0</v>
      </c>
      <c r="R19" s="227">
        <f t="shared" si="3"/>
        <v>493908.14137500001</v>
      </c>
      <c r="S19" s="229">
        <f>INDEX('Glosario Partidas'!$M$8:$M$10,MATCH(K19,'Glosario Partidas'!$L$8:$L$10,0))</f>
        <v>1</v>
      </c>
      <c r="T19" s="227">
        <f t="shared" si="4"/>
        <v>493908.14137500001</v>
      </c>
      <c r="U19" s="230" t="s">
        <v>693</v>
      </c>
      <c r="V19" s="249" t="s">
        <v>13</v>
      </c>
      <c r="W19" s="249" t="s">
        <v>491</v>
      </c>
      <c r="X19" s="249"/>
      <c r="Y19" t="s">
        <v>680</v>
      </c>
      <c r="Z19" s="63"/>
    </row>
    <row r="20" spans="1:29" ht="15" customHeight="1" x14ac:dyDescent="0.2">
      <c r="B20" s="63" t="s">
        <v>57</v>
      </c>
      <c r="C20" s="63" t="s">
        <v>353</v>
      </c>
      <c r="D20" s="268" t="s">
        <v>684</v>
      </c>
      <c r="E20" s="171"/>
      <c r="F20" s="78" t="s">
        <v>692</v>
      </c>
      <c r="G20" s="171" t="s">
        <v>625</v>
      </c>
      <c r="H20" s="171" t="s">
        <v>678</v>
      </c>
      <c r="I20" s="225" t="s">
        <v>207</v>
      </c>
      <c r="J20" s="250">
        <v>55.183999999999997</v>
      </c>
      <c r="K20" s="225" t="s">
        <v>269</v>
      </c>
      <c r="L20" s="230">
        <v>872.21</v>
      </c>
      <c r="M20" s="227">
        <f t="shared" si="0"/>
        <v>48132.036639999998</v>
      </c>
      <c r="N20" s="251">
        <v>0.35</v>
      </c>
      <c r="O20" s="227">
        <f t="shared" si="1"/>
        <v>16846.212823999998</v>
      </c>
      <c r="P20" s="251">
        <v>0</v>
      </c>
      <c r="Q20" s="227">
        <f t="shared" si="2"/>
        <v>0</v>
      </c>
      <c r="R20" s="227">
        <f t="shared" si="3"/>
        <v>64978.249463999993</v>
      </c>
      <c r="S20" s="229">
        <f>INDEX('Glosario Partidas'!$M$8:$M$10,MATCH(K20,'Glosario Partidas'!$L$8:$L$10,0))</f>
        <v>1</v>
      </c>
      <c r="T20" s="227">
        <f t="shared" si="4"/>
        <v>64978.249463999993</v>
      </c>
      <c r="U20" s="230" t="s">
        <v>693</v>
      </c>
      <c r="V20" s="249" t="s">
        <v>13</v>
      </c>
      <c r="W20" s="249" t="s">
        <v>491</v>
      </c>
      <c r="X20" s="249"/>
      <c r="Y20" t="s">
        <v>680</v>
      </c>
      <c r="Z20" s="63"/>
    </row>
    <row r="21" spans="1:29" ht="15" customHeight="1" x14ac:dyDescent="0.2">
      <c r="B21" s="63" t="s">
        <v>57</v>
      </c>
      <c r="C21" s="63" t="s">
        <v>694</v>
      </c>
      <c r="D21" s="268" t="s">
        <v>683</v>
      </c>
      <c r="E21" s="171"/>
      <c r="F21" s="78" t="s">
        <v>692</v>
      </c>
      <c r="G21" s="171" t="s">
        <v>625</v>
      </c>
      <c r="H21" s="171" t="s">
        <v>678</v>
      </c>
      <c r="I21" s="225" t="s">
        <v>207</v>
      </c>
      <c r="J21" s="250">
        <v>28.835999999999999</v>
      </c>
      <c r="K21" s="225" t="s">
        <v>269</v>
      </c>
      <c r="L21" s="230">
        <v>1159.49504950495</v>
      </c>
      <c r="M21" s="227">
        <f t="shared" si="0"/>
        <v>33435.199247524739</v>
      </c>
      <c r="N21" s="251">
        <v>0.35</v>
      </c>
      <c r="O21" s="227">
        <f t="shared" si="1"/>
        <v>11702.319736633657</v>
      </c>
      <c r="P21" s="251">
        <v>0</v>
      </c>
      <c r="Q21" s="227">
        <f t="shared" si="2"/>
        <v>0</v>
      </c>
      <c r="R21" s="227">
        <f t="shared" si="3"/>
        <v>45137.518984158392</v>
      </c>
      <c r="S21" s="229">
        <f>INDEX('Glosario Partidas'!$M$8:$M$10,MATCH(K21,'Glosario Partidas'!$L$8:$L$10,0))</f>
        <v>1</v>
      </c>
      <c r="T21" s="227">
        <f t="shared" si="4"/>
        <v>45137.518984158392</v>
      </c>
      <c r="U21" s="230" t="s">
        <v>693</v>
      </c>
      <c r="V21" s="249" t="s">
        <v>13</v>
      </c>
      <c r="W21" s="249" t="s">
        <v>491</v>
      </c>
      <c r="X21" s="249"/>
      <c r="Y21" t="s">
        <v>680</v>
      </c>
      <c r="Z21" s="63"/>
    </row>
    <row r="22" spans="1:29" ht="15" customHeight="1" x14ac:dyDescent="0.2">
      <c r="B22" s="63" t="s">
        <v>57</v>
      </c>
      <c r="C22" s="63" t="s">
        <v>357</v>
      </c>
      <c r="D22" s="268" t="s">
        <v>695</v>
      </c>
      <c r="E22" s="171"/>
      <c r="F22" s="78" t="s">
        <v>357</v>
      </c>
      <c r="G22" s="171" t="s">
        <v>696</v>
      </c>
      <c r="H22" s="171" t="s">
        <v>678</v>
      </c>
      <c r="I22" s="225" t="s">
        <v>207</v>
      </c>
      <c r="J22" s="250">
        <v>311.84399999999999</v>
      </c>
      <c r="K22" s="225" t="s">
        <v>269</v>
      </c>
      <c r="L22" s="230">
        <v>621.28</v>
      </c>
      <c r="M22" s="227">
        <f t="shared" si="0"/>
        <v>193742.44031999999</v>
      </c>
      <c r="N22" s="251">
        <v>0.35</v>
      </c>
      <c r="O22" s="227">
        <f t="shared" si="1"/>
        <v>67809.854112000001</v>
      </c>
      <c r="P22" s="251">
        <v>0</v>
      </c>
      <c r="Q22" s="227">
        <f t="shared" si="2"/>
        <v>0</v>
      </c>
      <c r="R22" s="227">
        <f t="shared" si="3"/>
        <v>261552.294432</v>
      </c>
      <c r="S22" s="229">
        <f>INDEX('Glosario Partidas'!$M$8:$M$10,MATCH(K22,'Glosario Partidas'!$L$8:$L$10,0))</f>
        <v>1</v>
      </c>
      <c r="T22" s="227">
        <f t="shared" si="4"/>
        <v>261552.294432</v>
      </c>
      <c r="U22" s="230" t="s">
        <v>697</v>
      </c>
      <c r="V22" s="249" t="s">
        <v>13</v>
      </c>
      <c r="W22" s="249" t="s">
        <v>491</v>
      </c>
      <c r="X22" s="249"/>
      <c r="Y22" t="s">
        <v>680</v>
      </c>
      <c r="Z22" s="63"/>
    </row>
    <row r="23" spans="1:29" ht="15" customHeight="1" x14ac:dyDescent="0.2">
      <c r="A23" s="189"/>
      <c r="B23" s="189" t="s">
        <v>185</v>
      </c>
      <c r="C23" s="189"/>
      <c r="D23" s="189"/>
      <c r="E23" s="189"/>
      <c r="F23" s="189"/>
      <c r="G23" s="189"/>
      <c r="H23" s="189"/>
      <c r="I23" s="189"/>
      <c r="J23" s="189"/>
      <c r="K23" s="189"/>
      <c r="L23" s="303"/>
      <c r="M23" s="303"/>
      <c r="N23" s="304"/>
      <c r="O23" s="304"/>
      <c r="P23" s="304"/>
      <c r="Q23" s="303"/>
      <c r="R23" s="303"/>
      <c r="S23" s="303"/>
      <c r="T23" s="305">
        <f>SUM(T2:T22)</f>
        <v>2788215.5748998132</v>
      </c>
      <c r="U23" s="189"/>
      <c r="V23" s="189"/>
      <c r="Z23" s="63"/>
      <c r="AB23" s="254">
        <f>SUMIFS($T:$T,$W:$W,"Contratado")</f>
        <v>0</v>
      </c>
      <c r="AC23" s="254">
        <f>SUMIFS($T:$T,$W:$W,"No Contratado")</f>
        <v>2788215.5748998132</v>
      </c>
    </row>
    <row r="24" spans="1:29" ht="15" customHeight="1" x14ac:dyDescent="0.2">
      <c r="B24" s="63"/>
      <c r="C24" s="63"/>
      <c r="D24" s="268"/>
      <c r="E24" s="171"/>
      <c r="F24" s="78"/>
      <c r="G24" s="171"/>
      <c r="H24" s="171"/>
      <c r="I24" s="225"/>
      <c r="J24" s="250"/>
      <c r="K24" s="225"/>
      <c r="L24" s="230"/>
      <c r="M24" s="227"/>
      <c r="N24" s="251"/>
      <c r="O24" s="227"/>
      <c r="P24" s="251"/>
      <c r="Q24" s="227"/>
      <c r="R24" s="227"/>
      <c r="S24" s="229"/>
      <c r="T24" s="227"/>
      <c r="U24" s="230"/>
      <c r="V24" s="249"/>
      <c r="Z24" s="63"/>
    </row>
    <row r="25" spans="1:29" ht="15" customHeight="1" x14ac:dyDescent="0.2">
      <c r="B25" s="63"/>
      <c r="C25" s="63"/>
      <c r="D25" s="268"/>
      <c r="E25" s="171"/>
      <c r="F25" s="78"/>
      <c r="G25" s="171"/>
      <c r="H25" s="171"/>
      <c r="I25" s="225"/>
      <c r="J25" s="250"/>
      <c r="K25" s="225"/>
      <c r="L25" s="230"/>
      <c r="M25" s="227"/>
      <c r="N25" s="251"/>
      <c r="O25" s="227"/>
      <c r="P25" s="251"/>
      <c r="Q25" s="227"/>
      <c r="R25" s="227"/>
      <c r="S25" s="229"/>
      <c r="T25" s="227"/>
      <c r="U25" s="230"/>
      <c r="V25" s="249"/>
      <c r="Z25" s="63"/>
    </row>
    <row r="26" spans="1:29" ht="15" customHeight="1" x14ac:dyDescent="0.2">
      <c r="B26" s="63"/>
      <c r="C26" s="63"/>
      <c r="D26" s="268"/>
      <c r="E26" s="171"/>
      <c r="F26" s="78"/>
      <c r="G26" s="171"/>
      <c r="H26" s="171"/>
      <c r="I26" s="225"/>
      <c r="J26" s="250"/>
      <c r="K26" s="225"/>
      <c r="L26" s="230"/>
      <c r="M26" s="227"/>
      <c r="N26" s="251"/>
      <c r="O26" s="227"/>
      <c r="P26" s="251"/>
      <c r="Q26" s="227"/>
      <c r="R26" s="227"/>
      <c r="S26" s="229"/>
      <c r="T26" s="227"/>
      <c r="U26" s="230"/>
      <c r="V26" s="249"/>
      <c r="Z26" s="63"/>
    </row>
    <row r="27" spans="1:29" ht="15" customHeight="1" x14ac:dyDescent="0.2">
      <c r="B27" s="63"/>
      <c r="C27" s="63"/>
      <c r="D27" s="268"/>
      <c r="E27" s="171"/>
      <c r="F27" s="78"/>
      <c r="G27" s="171"/>
      <c r="H27" s="171"/>
      <c r="I27" s="225"/>
      <c r="J27" s="250"/>
      <c r="K27" s="225"/>
      <c r="L27" s="230"/>
      <c r="M27" s="227"/>
      <c r="N27" s="251"/>
      <c r="O27" s="227"/>
      <c r="P27" s="251"/>
      <c r="Q27" s="227"/>
      <c r="R27" s="227"/>
      <c r="S27" s="229"/>
      <c r="T27" s="227"/>
      <c r="U27" s="230"/>
      <c r="V27" s="249"/>
      <c r="Z27" s="63"/>
    </row>
    <row r="28" spans="1:29" ht="15" customHeight="1" x14ac:dyDescent="0.2">
      <c r="A28" s="189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303"/>
      <c r="M28" s="303"/>
      <c r="N28" s="304"/>
      <c r="O28" s="304"/>
      <c r="P28" s="304"/>
      <c r="Q28" s="303"/>
      <c r="R28" s="303"/>
      <c r="S28" s="303"/>
      <c r="T28" s="305"/>
      <c r="U28" s="189"/>
      <c r="V28" s="189"/>
    </row>
  </sheetData>
  <dataValidations count="2">
    <dataValidation type="list" allowBlank="1" errorTitle="Valor inválido" error="Selecciona Contratado o No Contratado" promptTitle="Contratado/No Contratado" prompt="Selecciona estado" sqref="W2:W22" xr:uid="{00000000-0002-0000-23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22" xr:uid="{00000000-0002-0000-2300-000001000000}">
      <formula1>"Sí,No"</formula1>
      <formula2>0</formula2>
    </dataValidation>
  </dataValidations>
  <hyperlinks>
    <hyperlink ref="A1" location="'BUY OUT'!A1" display="⬅ Resumen PU" xr:uid="{00000000-0004-0000-2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AC11"/>
  <sheetViews>
    <sheetView zoomScale="150" zoomScaleNormal="150" workbookViewId="0">
      <selection activeCell="C5" sqref="C5"/>
    </sheetView>
  </sheetViews>
  <sheetFormatPr baseColWidth="10" defaultColWidth="8.6640625" defaultRowHeight="15" customHeight="1" x14ac:dyDescent="0.2"/>
  <cols>
    <col min="3" max="3" width="43.8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198</v>
      </c>
      <c r="C2" s="211" t="s">
        <v>83</v>
      </c>
      <c r="D2" s="78" t="s">
        <v>313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314</v>
      </c>
      <c r="J2" s="315">
        <v>1</v>
      </c>
      <c r="K2" s="211" t="s">
        <v>269</v>
      </c>
      <c r="L2" s="316">
        <v>2000000</v>
      </c>
      <c r="M2" s="310">
        <f t="shared" ref="M2:M7" si="0">J2*L2</f>
        <v>2000000</v>
      </c>
      <c r="N2" s="317">
        <v>0</v>
      </c>
      <c r="O2" s="318">
        <f t="shared" ref="O2:O7" si="1">M2*N2</f>
        <v>0</v>
      </c>
      <c r="P2" s="317">
        <v>0.16</v>
      </c>
      <c r="Q2" s="310">
        <f t="shared" ref="Q2:Q7" si="2">(M2+O2)*P2</f>
        <v>320000</v>
      </c>
      <c r="R2" s="310">
        <f t="shared" ref="R2:R7" si="3">M2+O2+Q2</f>
        <v>2320000</v>
      </c>
      <c r="S2" s="310">
        <f>INDEX('Glosario Partidas'!$M$8:$M$10,MATCH(K2,'Glosario Partidas'!$L$8:$L$10,0))</f>
        <v>1</v>
      </c>
      <c r="T2" s="310">
        <f t="shared" ref="T2:T7" si="4">R2*S2</f>
        <v>2320000</v>
      </c>
      <c r="U2" s="307" t="s">
        <v>315</v>
      </c>
      <c r="V2" s="249" t="s">
        <v>13</v>
      </c>
      <c r="W2" s="249" t="s">
        <v>491</v>
      </c>
      <c r="X2" s="249"/>
    </row>
    <row r="3" spans="1:29" ht="15" customHeight="1" x14ac:dyDescent="0.2">
      <c r="A3" s="211"/>
      <c r="B3" s="211" t="s">
        <v>198</v>
      </c>
      <c r="C3" s="211" t="s">
        <v>84</v>
      </c>
      <c r="D3" s="78" t="s">
        <v>313</v>
      </c>
      <c r="E3" s="307" t="s">
        <v>220</v>
      </c>
      <c r="F3" s="78" t="s">
        <v>313</v>
      </c>
      <c r="G3" s="307" t="s">
        <v>313</v>
      </c>
      <c r="H3" s="315" t="s">
        <v>293</v>
      </c>
      <c r="I3" s="211" t="s">
        <v>314</v>
      </c>
      <c r="J3" s="315">
        <v>0</v>
      </c>
      <c r="K3" s="211" t="s">
        <v>269</v>
      </c>
      <c r="L3" s="316">
        <v>592338.60400000005</v>
      </c>
      <c r="M3" s="310">
        <f t="shared" si="0"/>
        <v>0</v>
      </c>
      <c r="N3" s="317">
        <v>0</v>
      </c>
      <c r="O3" s="318">
        <f t="shared" si="1"/>
        <v>0</v>
      </c>
      <c r="P3" s="317">
        <v>0.16</v>
      </c>
      <c r="Q3" s="310">
        <f t="shared" si="2"/>
        <v>0</v>
      </c>
      <c r="R3" s="310">
        <f t="shared" si="3"/>
        <v>0</v>
      </c>
      <c r="S3" s="310">
        <f>INDEX('Glosario Partidas'!$M$8:$M$10,MATCH(K3,'Glosario Partidas'!$L$8:$L$10,0))</f>
        <v>1</v>
      </c>
      <c r="T3" s="310">
        <f t="shared" si="4"/>
        <v>0</v>
      </c>
      <c r="U3" s="307" t="s">
        <v>315</v>
      </c>
      <c r="V3" s="249" t="s">
        <v>13</v>
      </c>
      <c r="W3" s="249" t="s">
        <v>491</v>
      </c>
      <c r="X3" s="249"/>
    </row>
    <row r="4" spans="1:29" ht="15" customHeight="1" x14ac:dyDescent="0.2">
      <c r="A4" s="211"/>
      <c r="B4" s="211" t="s">
        <v>198</v>
      </c>
      <c r="C4" s="211" t="s">
        <v>84</v>
      </c>
      <c r="D4" s="78" t="s">
        <v>313</v>
      </c>
      <c r="E4" s="307" t="s">
        <v>220</v>
      </c>
      <c r="F4" s="78" t="s">
        <v>313</v>
      </c>
      <c r="G4" s="307" t="s">
        <v>313</v>
      </c>
      <c r="H4" s="315" t="s">
        <v>293</v>
      </c>
      <c r="I4" s="211" t="s">
        <v>314</v>
      </c>
      <c r="J4" s="315">
        <v>0</v>
      </c>
      <c r="K4" s="211" t="s">
        <v>269</v>
      </c>
      <c r="L4" s="316">
        <v>592338.60400000005</v>
      </c>
      <c r="M4" s="310">
        <f t="shared" si="0"/>
        <v>0</v>
      </c>
      <c r="N4" s="317">
        <v>0</v>
      </c>
      <c r="O4" s="318">
        <f t="shared" si="1"/>
        <v>0</v>
      </c>
      <c r="P4" s="317">
        <v>0.16</v>
      </c>
      <c r="Q4" s="310">
        <f t="shared" si="2"/>
        <v>0</v>
      </c>
      <c r="R4" s="310">
        <f t="shared" si="3"/>
        <v>0</v>
      </c>
      <c r="S4" s="310">
        <f>INDEX('Glosario Partidas'!$M$8:$M$10,MATCH(K4,'Glosario Partidas'!$L$8:$L$10,0))</f>
        <v>1</v>
      </c>
      <c r="T4" s="310">
        <f t="shared" si="4"/>
        <v>0</v>
      </c>
      <c r="U4" s="307" t="s">
        <v>315</v>
      </c>
      <c r="V4" s="249" t="s">
        <v>13</v>
      </c>
      <c r="W4" s="249" t="s">
        <v>491</v>
      </c>
      <c r="X4" s="249"/>
    </row>
    <row r="5" spans="1:29" ht="15" customHeight="1" x14ac:dyDescent="0.2">
      <c r="A5" s="211"/>
      <c r="B5" s="211" t="s">
        <v>198</v>
      </c>
      <c r="C5" s="211" t="s">
        <v>83</v>
      </c>
      <c r="D5" s="78" t="s">
        <v>313</v>
      </c>
      <c r="E5" s="307" t="s">
        <v>220</v>
      </c>
      <c r="F5" s="78" t="s">
        <v>313</v>
      </c>
      <c r="G5" s="307" t="s">
        <v>313</v>
      </c>
      <c r="H5" s="315" t="s">
        <v>293</v>
      </c>
      <c r="I5" s="211" t="s">
        <v>314</v>
      </c>
      <c r="J5" s="315">
        <v>1</v>
      </c>
      <c r="K5" s="211" t="s">
        <v>269</v>
      </c>
      <c r="L5" s="316">
        <v>2000000</v>
      </c>
      <c r="M5" s="310">
        <f t="shared" si="0"/>
        <v>2000000</v>
      </c>
      <c r="N5" s="317">
        <v>0</v>
      </c>
      <c r="O5" s="318">
        <f t="shared" si="1"/>
        <v>0</v>
      </c>
      <c r="P5" s="317">
        <v>0.16</v>
      </c>
      <c r="Q5" s="310">
        <f t="shared" si="2"/>
        <v>320000</v>
      </c>
      <c r="R5" s="310">
        <f t="shared" si="3"/>
        <v>2320000</v>
      </c>
      <c r="S5" s="310">
        <f>INDEX('Glosario Partidas'!$M$8:$M$10,MATCH(K5,'Glosario Partidas'!$L$8:$L$10,0))</f>
        <v>1</v>
      </c>
      <c r="T5" s="310">
        <f t="shared" si="4"/>
        <v>2320000</v>
      </c>
      <c r="U5" s="307" t="s">
        <v>315</v>
      </c>
      <c r="V5" s="249" t="s">
        <v>13</v>
      </c>
      <c r="W5" s="249" t="s">
        <v>491</v>
      </c>
      <c r="X5" s="249"/>
    </row>
    <row r="6" spans="1:29" ht="15" customHeight="1" x14ac:dyDescent="0.2">
      <c r="A6" s="211"/>
      <c r="B6" s="211" t="s">
        <v>198</v>
      </c>
      <c r="C6" s="211" t="s">
        <v>84</v>
      </c>
      <c r="D6" s="78" t="s">
        <v>313</v>
      </c>
      <c r="E6" s="307" t="s">
        <v>220</v>
      </c>
      <c r="F6" s="78" t="s">
        <v>313</v>
      </c>
      <c r="G6" s="307" t="s">
        <v>313</v>
      </c>
      <c r="H6" s="315" t="s">
        <v>293</v>
      </c>
      <c r="I6" s="211" t="s">
        <v>314</v>
      </c>
      <c r="J6" s="315">
        <v>0</v>
      </c>
      <c r="K6" s="211" t="s">
        <v>269</v>
      </c>
      <c r="L6" s="316">
        <v>592338.60400000005</v>
      </c>
      <c r="M6" s="310">
        <f t="shared" si="0"/>
        <v>0</v>
      </c>
      <c r="N6" s="317">
        <v>0</v>
      </c>
      <c r="O6" s="318">
        <f t="shared" si="1"/>
        <v>0</v>
      </c>
      <c r="P6" s="317">
        <v>0.16</v>
      </c>
      <c r="Q6" s="310">
        <f t="shared" si="2"/>
        <v>0</v>
      </c>
      <c r="R6" s="310">
        <f t="shared" si="3"/>
        <v>0</v>
      </c>
      <c r="S6" s="310">
        <f>INDEX('Glosario Partidas'!$M$8:$M$10,MATCH(K6,'Glosario Partidas'!$L$8:$L$10,0))</f>
        <v>1</v>
      </c>
      <c r="T6" s="310">
        <f t="shared" si="4"/>
        <v>0</v>
      </c>
      <c r="U6" s="307" t="s">
        <v>315</v>
      </c>
      <c r="V6" s="249" t="s">
        <v>13</v>
      </c>
      <c r="W6" s="249" t="s">
        <v>491</v>
      </c>
      <c r="X6" s="249"/>
    </row>
    <row r="7" spans="1:29" ht="15" customHeight="1" x14ac:dyDescent="0.2">
      <c r="A7" s="211"/>
      <c r="B7" s="211" t="s">
        <v>198</v>
      </c>
      <c r="C7" s="211" t="s">
        <v>84</v>
      </c>
      <c r="D7" s="78" t="s">
        <v>313</v>
      </c>
      <c r="E7" s="307" t="s">
        <v>220</v>
      </c>
      <c r="F7" s="78" t="s">
        <v>313</v>
      </c>
      <c r="G7" s="307" t="s">
        <v>313</v>
      </c>
      <c r="H7" s="315" t="s">
        <v>293</v>
      </c>
      <c r="I7" s="211" t="s">
        <v>314</v>
      </c>
      <c r="J7" s="315">
        <v>0</v>
      </c>
      <c r="K7" s="211" t="s">
        <v>269</v>
      </c>
      <c r="L7" s="316">
        <v>592338.60400000005</v>
      </c>
      <c r="M7" s="310">
        <f t="shared" si="0"/>
        <v>0</v>
      </c>
      <c r="N7" s="317">
        <v>0</v>
      </c>
      <c r="O7" s="318">
        <f t="shared" si="1"/>
        <v>0</v>
      </c>
      <c r="P7" s="317">
        <v>0.16</v>
      </c>
      <c r="Q7" s="310">
        <f t="shared" si="2"/>
        <v>0</v>
      </c>
      <c r="R7" s="310">
        <f t="shared" si="3"/>
        <v>0</v>
      </c>
      <c r="S7" s="310">
        <f>INDEX('Glosario Partidas'!$M$8:$M$10,MATCH(K7,'Glosario Partidas'!$L$8:$L$10,0))</f>
        <v>1</v>
      </c>
      <c r="T7" s="310">
        <f t="shared" si="4"/>
        <v>0</v>
      </c>
      <c r="U7" s="307" t="s">
        <v>315</v>
      </c>
      <c r="V7" s="249" t="s">
        <v>13</v>
      </c>
      <c r="W7" s="249" t="s">
        <v>491</v>
      </c>
      <c r="X7" s="249"/>
    </row>
    <row r="8" spans="1:29" ht="15" customHeight="1" x14ac:dyDescent="0.2">
      <c r="A8" s="189"/>
      <c r="B8" s="189" t="s">
        <v>185</v>
      </c>
      <c r="C8" s="189"/>
      <c r="D8" s="189"/>
      <c r="E8" s="189"/>
      <c r="F8" s="189"/>
      <c r="G8" s="189"/>
      <c r="H8" s="189"/>
      <c r="I8" s="189"/>
      <c r="J8" s="189"/>
      <c r="K8" s="189"/>
      <c r="L8" s="303"/>
      <c r="M8" s="303"/>
      <c r="N8" s="304"/>
      <c r="O8" s="304"/>
      <c r="P8" s="304"/>
      <c r="Q8" s="303"/>
      <c r="R8" s="303"/>
      <c r="S8" s="303"/>
      <c r="T8" s="305">
        <f>SUM(T2:T7)</f>
        <v>4640000</v>
      </c>
      <c r="U8" s="189"/>
      <c r="V8" s="253"/>
      <c r="AB8" s="254">
        <f>SUMIFS($T:$T,$W:$W,"Contratado")</f>
        <v>0</v>
      </c>
      <c r="AC8" s="254">
        <f>SUMIFS($T:$T,$W:$W,"No Contratado")</f>
        <v>4640000</v>
      </c>
    </row>
    <row r="11" spans="1:29" ht="15" customHeight="1" x14ac:dyDescent="0.2">
      <c r="C11" t="s">
        <v>1149</v>
      </c>
    </row>
  </sheetData>
  <dataValidations count="2">
    <dataValidation type="list" allowBlank="1" errorTitle="Valor inválido" error="Selecciona Contratado o No Contratado" promptTitle="Contratado/No Contratado" prompt="Selecciona estado" sqref="W2:W7" xr:uid="{00000000-0002-0000-24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7" xr:uid="{00000000-0002-0000-2400-000001000000}">
      <formula1>"Sí,No"</formula1>
      <formula2>0</formula2>
    </dataValidation>
  </dataValidations>
  <hyperlinks>
    <hyperlink ref="A1" location="'BUY OUT'!A1" display="⬅ Resumen PU" xr:uid="{00000000-0004-0000-2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AC10"/>
  <sheetViews>
    <sheetView topLeftCell="E1" zoomScale="159" zoomScaleNormal="159" workbookViewId="0">
      <selection activeCell="W9" sqref="W9"/>
    </sheetView>
  </sheetViews>
  <sheetFormatPr baseColWidth="10" defaultColWidth="8.6640625" defaultRowHeight="15" customHeight="1" x14ac:dyDescent="0.2"/>
  <cols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189</v>
      </c>
      <c r="C2" s="211" t="s">
        <v>61</v>
      </c>
      <c r="D2" s="78" t="s">
        <v>313</v>
      </c>
      <c r="E2" s="307" t="s">
        <v>220</v>
      </c>
      <c r="F2" s="78" t="s">
        <v>221</v>
      </c>
      <c r="G2" s="307" t="s">
        <v>342</v>
      </c>
      <c r="H2" s="315" t="s">
        <v>293</v>
      </c>
      <c r="I2" s="211" t="s">
        <v>207</v>
      </c>
      <c r="J2" s="315">
        <v>356.21300000000002</v>
      </c>
      <c r="K2" s="211" t="s">
        <v>269</v>
      </c>
      <c r="L2" s="316">
        <v>8000</v>
      </c>
      <c r="M2" s="310">
        <f t="shared" ref="M2:M9" si="0">J2*L2</f>
        <v>2849704</v>
      </c>
      <c r="N2" s="317">
        <v>0</v>
      </c>
      <c r="O2" s="318">
        <f t="shared" ref="O2:O9" si="1">M2*N2</f>
        <v>0</v>
      </c>
      <c r="P2" s="317">
        <v>0.16</v>
      </c>
      <c r="Q2" s="310">
        <f t="shared" ref="Q2:Q9" si="2">(M2+O2)*P2</f>
        <v>455952.64000000001</v>
      </c>
      <c r="R2" s="310">
        <f t="shared" ref="R2:R9" si="3">M2+O2+Q2</f>
        <v>3305656.64</v>
      </c>
      <c r="S2" s="255">
        <f>INDEX('Glosario Partidas'!$M$8:$M$10,MATCH(K2,'Glosario Partidas'!$L$8:$L$10,0))</f>
        <v>1</v>
      </c>
      <c r="T2" s="310">
        <f t="shared" ref="T2:T9" si="4">R2*S2</f>
        <v>3305656.64</v>
      </c>
      <c r="U2" s="307" t="s">
        <v>315</v>
      </c>
      <c r="V2" s="249" t="s">
        <v>13</v>
      </c>
      <c r="W2" s="249" t="s">
        <v>491</v>
      </c>
      <c r="X2" s="249"/>
    </row>
    <row r="3" spans="1:29" ht="15" customHeight="1" x14ac:dyDescent="0.2">
      <c r="A3" s="211"/>
      <c r="B3" s="211" t="s">
        <v>189</v>
      </c>
      <c r="C3" s="211" t="s">
        <v>61</v>
      </c>
      <c r="D3" s="78" t="s">
        <v>313</v>
      </c>
      <c r="E3" s="307" t="s">
        <v>220</v>
      </c>
      <c r="F3" s="78" t="s">
        <v>367</v>
      </c>
      <c r="G3" s="307" t="s">
        <v>342</v>
      </c>
      <c r="H3" s="315" t="s">
        <v>293</v>
      </c>
      <c r="I3" s="211" t="s">
        <v>207</v>
      </c>
      <c r="J3" s="315">
        <v>444.80700000000002</v>
      </c>
      <c r="K3" s="211" t="s">
        <v>269</v>
      </c>
      <c r="L3" s="316">
        <v>8000</v>
      </c>
      <c r="M3" s="310">
        <f t="shared" si="0"/>
        <v>3558456</v>
      </c>
      <c r="N3" s="317">
        <v>0</v>
      </c>
      <c r="O3" s="318">
        <f t="shared" si="1"/>
        <v>0</v>
      </c>
      <c r="P3" s="317">
        <v>0.16</v>
      </c>
      <c r="Q3" s="310">
        <f t="shared" si="2"/>
        <v>569352.95999999996</v>
      </c>
      <c r="R3" s="310">
        <f t="shared" si="3"/>
        <v>4127808.96</v>
      </c>
      <c r="S3" s="255">
        <f>INDEX('Glosario Partidas'!$M$8:$M$10,MATCH(K3,'Glosario Partidas'!$L$8:$L$10,0))</f>
        <v>1</v>
      </c>
      <c r="T3" s="310">
        <f t="shared" si="4"/>
        <v>4127808.96</v>
      </c>
      <c r="U3" s="307" t="s">
        <v>315</v>
      </c>
      <c r="V3" s="249" t="s">
        <v>13</v>
      </c>
      <c r="W3" s="249" t="s">
        <v>491</v>
      </c>
      <c r="X3" s="249"/>
    </row>
    <row r="4" spans="1:29" ht="15" customHeight="1" x14ac:dyDescent="0.2">
      <c r="A4" s="211"/>
      <c r="B4" s="211" t="s">
        <v>189</v>
      </c>
      <c r="C4" s="211" t="s">
        <v>61</v>
      </c>
      <c r="D4" s="78" t="s">
        <v>313</v>
      </c>
      <c r="E4" s="307" t="s">
        <v>220</v>
      </c>
      <c r="F4" s="78" t="s">
        <v>221</v>
      </c>
      <c r="G4" s="307" t="s">
        <v>487</v>
      </c>
      <c r="H4" s="315" t="s">
        <v>293</v>
      </c>
      <c r="I4" s="211" t="s">
        <v>207</v>
      </c>
      <c r="J4" s="315">
        <v>356.21300000000002</v>
      </c>
      <c r="K4" s="211" t="s">
        <v>269</v>
      </c>
      <c r="L4" s="316">
        <v>8000</v>
      </c>
      <c r="M4" s="310">
        <f t="shared" si="0"/>
        <v>2849704</v>
      </c>
      <c r="N4" s="317">
        <v>0</v>
      </c>
      <c r="O4" s="318">
        <f t="shared" si="1"/>
        <v>0</v>
      </c>
      <c r="P4" s="317">
        <v>0.16</v>
      </c>
      <c r="Q4" s="310">
        <f t="shared" si="2"/>
        <v>455952.64000000001</v>
      </c>
      <c r="R4" s="310">
        <f t="shared" si="3"/>
        <v>3305656.64</v>
      </c>
      <c r="S4" s="255">
        <f>INDEX('Glosario Partidas'!$M$8:$M$10,MATCH(K4,'Glosario Partidas'!$L$8:$L$10,0))</f>
        <v>1</v>
      </c>
      <c r="T4" s="310">
        <f t="shared" si="4"/>
        <v>3305656.64</v>
      </c>
      <c r="U4" s="307" t="s">
        <v>315</v>
      </c>
      <c r="V4" s="249" t="s">
        <v>13</v>
      </c>
      <c r="W4" s="249" t="s">
        <v>491</v>
      </c>
      <c r="X4" s="249"/>
    </row>
    <row r="5" spans="1:29" ht="15" customHeight="1" x14ac:dyDescent="0.2">
      <c r="A5" s="211"/>
      <c r="B5" s="211" t="s">
        <v>189</v>
      </c>
      <c r="C5" s="211" t="s">
        <v>61</v>
      </c>
      <c r="D5" s="78" t="s">
        <v>313</v>
      </c>
      <c r="E5" s="307" t="s">
        <v>220</v>
      </c>
      <c r="F5" s="78" t="s">
        <v>367</v>
      </c>
      <c r="G5" s="307" t="s">
        <v>487</v>
      </c>
      <c r="H5" s="315" t="s">
        <v>293</v>
      </c>
      <c r="I5" s="211" t="s">
        <v>207</v>
      </c>
      <c r="J5" s="315">
        <v>444.80700000000002</v>
      </c>
      <c r="K5" s="211" t="s">
        <v>269</v>
      </c>
      <c r="L5" s="316">
        <v>8000</v>
      </c>
      <c r="M5" s="310">
        <f t="shared" si="0"/>
        <v>3558456</v>
      </c>
      <c r="N5" s="317">
        <v>0</v>
      </c>
      <c r="O5" s="318">
        <f t="shared" si="1"/>
        <v>0</v>
      </c>
      <c r="P5" s="317">
        <v>0.16</v>
      </c>
      <c r="Q5" s="310">
        <f t="shared" si="2"/>
        <v>569352.95999999996</v>
      </c>
      <c r="R5" s="310">
        <f t="shared" si="3"/>
        <v>4127808.96</v>
      </c>
      <c r="S5" s="255">
        <f>INDEX('Glosario Partidas'!$M$8:$M$10,MATCH(K5,'Glosario Partidas'!$L$8:$L$10,0))</f>
        <v>1</v>
      </c>
      <c r="T5" s="310">
        <f t="shared" si="4"/>
        <v>4127808.96</v>
      </c>
      <c r="U5" s="307" t="s">
        <v>315</v>
      </c>
      <c r="V5" s="249" t="s">
        <v>13</v>
      </c>
      <c r="W5" s="249" t="s">
        <v>491</v>
      </c>
      <c r="X5" s="249"/>
    </row>
    <row r="6" spans="1:29" ht="15" customHeight="1" x14ac:dyDescent="0.2">
      <c r="A6" s="211"/>
      <c r="B6" s="211" t="s">
        <v>189</v>
      </c>
      <c r="C6" s="211" t="s">
        <v>61</v>
      </c>
      <c r="D6" s="78" t="s">
        <v>313</v>
      </c>
      <c r="E6" s="307" t="s">
        <v>229</v>
      </c>
      <c r="F6" s="78" t="s">
        <v>221</v>
      </c>
      <c r="G6" s="307" t="s">
        <v>342</v>
      </c>
      <c r="H6" s="315" t="s">
        <v>293</v>
      </c>
      <c r="I6" s="211" t="s">
        <v>207</v>
      </c>
      <c r="J6" s="315">
        <v>356.21300000000002</v>
      </c>
      <c r="K6" s="211" t="s">
        <v>269</v>
      </c>
      <c r="L6" s="316">
        <v>8000</v>
      </c>
      <c r="M6" s="310">
        <f t="shared" si="0"/>
        <v>2849704</v>
      </c>
      <c r="N6" s="317">
        <v>0</v>
      </c>
      <c r="O6" s="318">
        <f t="shared" si="1"/>
        <v>0</v>
      </c>
      <c r="P6" s="317">
        <v>0.16</v>
      </c>
      <c r="Q6" s="310">
        <f t="shared" si="2"/>
        <v>455952.64000000001</v>
      </c>
      <c r="R6" s="310">
        <f t="shared" si="3"/>
        <v>3305656.64</v>
      </c>
      <c r="S6" s="255">
        <f>INDEX('Glosario Partidas'!$M$8:$M$10,MATCH(K6,'Glosario Partidas'!$L$8:$L$10,0))</f>
        <v>1</v>
      </c>
      <c r="T6" s="310">
        <f t="shared" si="4"/>
        <v>3305656.64</v>
      </c>
      <c r="U6" s="307" t="s">
        <v>315</v>
      </c>
      <c r="V6" s="249" t="s">
        <v>13</v>
      </c>
      <c r="W6" s="249" t="s">
        <v>491</v>
      </c>
      <c r="X6" s="249"/>
    </row>
    <row r="7" spans="1:29" ht="15" customHeight="1" x14ac:dyDescent="0.2">
      <c r="A7" s="211"/>
      <c r="B7" s="211" t="s">
        <v>189</v>
      </c>
      <c r="C7" s="211" t="s">
        <v>61</v>
      </c>
      <c r="D7" s="78" t="s">
        <v>313</v>
      </c>
      <c r="E7" s="307" t="s">
        <v>229</v>
      </c>
      <c r="F7" s="78" t="s">
        <v>367</v>
      </c>
      <c r="G7" s="307" t="s">
        <v>342</v>
      </c>
      <c r="H7" s="315" t="s">
        <v>293</v>
      </c>
      <c r="I7" s="211" t="s">
        <v>207</v>
      </c>
      <c r="J7" s="315">
        <v>444.80700000000002</v>
      </c>
      <c r="K7" s="211" t="s">
        <v>269</v>
      </c>
      <c r="L7" s="316">
        <v>8000</v>
      </c>
      <c r="M7" s="310">
        <f t="shared" si="0"/>
        <v>3558456</v>
      </c>
      <c r="N7" s="317">
        <v>0</v>
      </c>
      <c r="O7" s="318">
        <f t="shared" si="1"/>
        <v>0</v>
      </c>
      <c r="P7" s="317">
        <v>0.16</v>
      </c>
      <c r="Q7" s="310">
        <f t="shared" si="2"/>
        <v>569352.95999999996</v>
      </c>
      <c r="R7" s="310">
        <f t="shared" si="3"/>
        <v>4127808.96</v>
      </c>
      <c r="S7" s="255">
        <f>INDEX('Glosario Partidas'!$M$8:$M$10,MATCH(K7,'Glosario Partidas'!$L$8:$L$10,0))</f>
        <v>1</v>
      </c>
      <c r="T7" s="310">
        <f t="shared" si="4"/>
        <v>4127808.96</v>
      </c>
      <c r="U7" s="307" t="s">
        <v>315</v>
      </c>
      <c r="V7" s="249" t="s">
        <v>13</v>
      </c>
      <c r="W7" s="249" t="s">
        <v>491</v>
      </c>
      <c r="X7" s="249"/>
    </row>
    <row r="8" spans="1:29" ht="15" customHeight="1" x14ac:dyDescent="0.2">
      <c r="A8" s="211"/>
      <c r="B8" s="211" t="s">
        <v>189</v>
      </c>
      <c r="C8" s="211" t="s">
        <v>61</v>
      </c>
      <c r="D8" s="78" t="s">
        <v>313</v>
      </c>
      <c r="E8" s="307" t="s">
        <v>229</v>
      </c>
      <c r="F8" s="78" t="s">
        <v>221</v>
      </c>
      <c r="G8" s="307" t="s">
        <v>487</v>
      </c>
      <c r="H8" s="315" t="s">
        <v>293</v>
      </c>
      <c r="I8" s="211" t="s">
        <v>207</v>
      </c>
      <c r="J8" s="315">
        <v>356.21300000000002</v>
      </c>
      <c r="K8" s="211" t="s">
        <v>269</v>
      </c>
      <c r="L8" s="316">
        <v>8000</v>
      </c>
      <c r="M8" s="310">
        <f t="shared" si="0"/>
        <v>2849704</v>
      </c>
      <c r="N8" s="317">
        <v>0</v>
      </c>
      <c r="O8" s="318">
        <f t="shared" si="1"/>
        <v>0</v>
      </c>
      <c r="P8" s="317">
        <v>0.16</v>
      </c>
      <c r="Q8" s="310">
        <f t="shared" si="2"/>
        <v>455952.64000000001</v>
      </c>
      <c r="R8" s="310">
        <f t="shared" si="3"/>
        <v>3305656.64</v>
      </c>
      <c r="S8" s="255">
        <f>INDEX('Glosario Partidas'!$M$8:$M$10,MATCH(K8,'Glosario Partidas'!$L$8:$L$10,0))</f>
        <v>1</v>
      </c>
      <c r="T8" s="310">
        <f t="shared" si="4"/>
        <v>3305656.64</v>
      </c>
      <c r="U8" s="307" t="s">
        <v>315</v>
      </c>
      <c r="V8" s="249" t="s">
        <v>13</v>
      </c>
      <c r="W8" s="249" t="s">
        <v>491</v>
      </c>
      <c r="X8" s="249"/>
    </row>
    <row r="9" spans="1:29" ht="15" customHeight="1" x14ac:dyDescent="0.2">
      <c r="A9" s="211"/>
      <c r="B9" s="211" t="s">
        <v>189</v>
      </c>
      <c r="C9" s="211" t="s">
        <v>61</v>
      </c>
      <c r="D9" s="78" t="s">
        <v>313</v>
      </c>
      <c r="E9" s="307" t="s">
        <v>229</v>
      </c>
      <c r="F9" s="78" t="s">
        <v>367</v>
      </c>
      <c r="G9" s="307" t="s">
        <v>487</v>
      </c>
      <c r="H9" s="315" t="s">
        <v>293</v>
      </c>
      <c r="I9" s="211" t="s">
        <v>207</v>
      </c>
      <c r="J9" s="315">
        <v>444.80700000000002</v>
      </c>
      <c r="K9" s="211" t="s">
        <v>269</v>
      </c>
      <c r="L9" s="316">
        <v>8000</v>
      </c>
      <c r="M9" s="310">
        <f t="shared" si="0"/>
        <v>3558456</v>
      </c>
      <c r="N9" s="317">
        <v>0</v>
      </c>
      <c r="O9" s="318">
        <f t="shared" si="1"/>
        <v>0</v>
      </c>
      <c r="P9" s="317">
        <v>0.16</v>
      </c>
      <c r="Q9" s="310">
        <f t="shared" si="2"/>
        <v>569352.95999999996</v>
      </c>
      <c r="R9" s="310">
        <f t="shared" si="3"/>
        <v>4127808.96</v>
      </c>
      <c r="S9" s="255">
        <f>INDEX('Glosario Partidas'!$M$8:$M$10,MATCH(K9,'Glosario Partidas'!$L$8:$L$10,0))</f>
        <v>1</v>
      </c>
      <c r="T9" s="310">
        <f t="shared" si="4"/>
        <v>4127808.96</v>
      </c>
      <c r="U9" s="307" t="s">
        <v>315</v>
      </c>
      <c r="V9" s="249" t="s">
        <v>13</v>
      </c>
      <c r="W9" s="249" t="s">
        <v>491</v>
      </c>
      <c r="X9" s="249"/>
    </row>
    <row r="10" spans="1:29" ht="15" customHeight="1" x14ac:dyDescent="0.2">
      <c r="A10" s="189"/>
      <c r="B10" s="189" t="s">
        <v>185</v>
      </c>
      <c r="C10" s="189"/>
      <c r="D10" s="189"/>
      <c r="E10" s="189"/>
      <c r="F10" s="189"/>
      <c r="G10" s="189"/>
      <c r="H10" s="189"/>
      <c r="I10" s="189"/>
      <c r="J10" s="189"/>
      <c r="K10" s="189"/>
      <c r="L10" s="303"/>
      <c r="M10" s="303"/>
      <c r="N10" s="304"/>
      <c r="O10" s="304"/>
      <c r="P10" s="304"/>
      <c r="Q10" s="303"/>
      <c r="R10" s="303"/>
      <c r="S10" s="303"/>
      <c r="T10" s="305">
        <f>SUM(T2:T9)</f>
        <v>29733862.400000002</v>
      </c>
      <c r="U10" s="189"/>
      <c r="V10" s="253"/>
      <c r="AB10" s="254">
        <f>SUMIFS($T:$T,$W:$W,"Contratado")</f>
        <v>0</v>
      </c>
      <c r="AC10" s="254">
        <f>SUMIFS($T:$T,$W:$W,"No Contratado")</f>
        <v>29733862.400000002</v>
      </c>
    </row>
  </sheetData>
  <dataValidations count="2">
    <dataValidation type="list" allowBlank="1" errorTitle="Valor inválido" error="Selecciona Contratado o No Contratado" promptTitle="Contratado/No Contratado" prompt="Selecciona estado" sqref="W2:W9" xr:uid="{00000000-0002-0000-25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9" xr:uid="{00000000-0002-0000-2500-000001000000}">
      <formula1>"Sí,No"</formula1>
      <formula2>0</formula2>
    </dataValidation>
  </dataValidations>
  <hyperlinks>
    <hyperlink ref="A1" location="'BUY OUT'!A1" display="⬅ Resumen PU" xr:uid="{00000000-0004-0000-2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AC10"/>
  <sheetViews>
    <sheetView zoomScaleNormal="100" workbookViewId="0">
      <selection activeCell="W9" sqref="W9"/>
    </sheetView>
  </sheetViews>
  <sheetFormatPr baseColWidth="10" defaultColWidth="8.6640625" defaultRowHeight="15" customHeight="1" x14ac:dyDescent="0.2"/>
  <cols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194</v>
      </c>
      <c r="C2" s="211" t="s">
        <v>64</v>
      </c>
      <c r="D2" s="78" t="s">
        <v>313</v>
      </c>
      <c r="E2" s="307" t="s">
        <v>220</v>
      </c>
      <c r="F2" s="78" t="s">
        <v>221</v>
      </c>
      <c r="G2" s="307" t="s">
        <v>342</v>
      </c>
      <c r="H2" s="315" t="s">
        <v>293</v>
      </c>
      <c r="I2" s="211" t="s">
        <v>207</v>
      </c>
      <c r="J2" s="315">
        <v>356.21300000000002</v>
      </c>
      <c r="K2" s="211" t="s">
        <v>269</v>
      </c>
      <c r="L2" s="316">
        <v>4500</v>
      </c>
      <c r="M2" s="310">
        <f t="shared" ref="M2:M9" si="0">J2*L2</f>
        <v>1602958.5</v>
      </c>
      <c r="N2" s="317">
        <v>0</v>
      </c>
      <c r="O2" s="318">
        <f t="shared" ref="O2:O9" si="1">M2*N2</f>
        <v>0</v>
      </c>
      <c r="P2" s="317">
        <v>0.16</v>
      </c>
      <c r="Q2" s="310">
        <f t="shared" ref="Q2:Q9" si="2">(M2+O2)*P2</f>
        <v>256473.36000000002</v>
      </c>
      <c r="R2" s="310">
        <f t="shared" ref="R2:R9" si="3">M2+O2+Q2</f>
        <v>1859431.86</v>
      </c>
      <c r="S2" s="255">
        <f>INDEX('Glosario Partidas'!$M$8:$M$10,MATCH(K2,'Glosario Partidas'!$L$8:$L$10,0))</f>
        <v>1</v>
      </c>
      <c r="T2" s="310">
        <f t="shared" ref="T2:T9" si="4">R2*S2</f>
        <v>1859431.86</v>
      </c>
      <c r="U2" s="307" t="s">
        <v>315</v>
      </c>
      <c r="V2" s="249" t="s">
        <v>13</v>
      </c>
      <c r="W2" s="249" t="s">
        <v>491</v>
      </c>
      <c r="X2" s="249"/>
    </row>
    <row r="3" spans="1:29" ht="15" customHeight="1" x14ac:dyDescent="0.2">
      <c r="A3" s="211"/>
      <c r="B3" s="211" t="s">
        <v>194</v>
      </c>
      <c r="C3" s="211" t="s">
        <v>64</v>
      </c>
      <c r="D3" s="78" t="s">
        <v>313</v>
      </c>
      <c r="E3" s="307" t="s">
        <v>220</v>
      </c>
      <c r="F3" s="78" t="s">
        <v>367</v>
      </c>
      <c r="G3" s="307" t="s">
        <v>342</v>
      </c>
      <c r="H3" s="315" t="s">
        <v>293</v>
      </c>
      <c r="I3" s="211" t="s">
        <v>207</v>
      </c>
      <c r="J3" s="315">
        <v>444.80700000000002</v>
      </c>
      <c r="K3" s="211" t="s">
        <v>269</v>
      </c>
      <c r="L3" s="316">
        <v>4500</v>
      </c>
      <c r="M3" s="310">
        <f t="shared" si="0"/>
        <v>2001631.5</v>
      </c>
      <c r="N3" s="317">
        <v>0</v>
      </c>
      <c r="O3" s="318">
        <f t="shared" si="1"/>
        <v>0</v>
      </c>
      <c r="P3" s="317">
        <v>0.16</v>
      </c>
      <c r="Q3" s="310">
        <f t="shared" si="2"/>
        <v>320261.03999999998</v>
      </c>
      <c r="R3" s="310">
        <f t="shared" si="3"/>
        <v>2321892.54</v>
      </c>
      <c r="S3" s="255">
        <f>INDEX('Glosario Partidas'!$M$8:$M$10,MATCH(K3,'Glosario Partidas'!$L$8:$L$10,0))</f>
        <v>1</v>
      </c>
      <c r="T3" s="310">
        <f t="shared" si="4"/>
        <v>2321892.54</v>
      </c>
      <c r="U3" s="307" t="s">
        <v>315</v>
      </c>
      <c r="V3" s="249" t="s">
        <v>13</v>
      </c>
      <c r="W3" s="249" t="s">
        <v>491</v>
      </c>
      <c r="X3" s="249"/>
    </row>
    <row r="4" spans="1:29" ht="15" customHeight="1" x14ac:dyDescent="0.2">
      <c r="A4" s="211"/>
      <c r="B4" s="211" t="s">
        <v>194</v>
      </c>
      <c r="C4" s="211" t="s">
        <v>64</v>
      </c>
      <c r="D4" s="78" t="s">
        <v>313</v>
      </c>
      <c r="E4" s="307" t="s">
        <v>220</v>
      </c>
      <c r="F4" s="78" t="s">
        <v>221</v>
      </c>
      <c r="G4" s="307" t="s">
        <v>487</v>
      </c>
      <c r="H4" s="315" t="s">
        <v>293</v>
      </c>
      <c r="I4" s="211" t="s">
        <v>207</v>
      </c>
      <c r="J4" s="315">
        <v>356.21300000000002</v>
      </c>
      <c r="K4" s="211" t="s">
        <v>269</v>
      </c>
      <c r="L4" s="316">
        <v>4500</v>
      </c>
      <c r="M4" s="310">
        <f t="shared" si="0"/>
        <v>1602958.5</v>
      </c>
      <c r="N4" s="317">
        <v>0</v>
      </c>
      <c r="O4" s="318">
        <f t="shared" si="1"/>
        <v>0</v>
      </c>
      <c r="P4" s="317">
        <v>0.16</v>
      </c>
      <c r="Q4" s="310">
        <f t="shared" si="2"/>
        <v>256473.36000000002</v>
      </c>
      <c r="R4" s="310">
        <f t="shared" si="3"/>
        <v>1859431.86</v>
      </c>
      <c r="S4" s="255">
        <f>INDEX('Glosario Partidas'!$M$8:$M$10,MATCH(K4,'Glosario Partidas'!$L$8:$L$10,0))</f>
        <v>1</v>
      </c>
      <c r="T4" s="310">
        <f t="shared" si="4"/>
        <v>1859431.86</v>
      </c>
      <c r="U4" s="307" t="s">
        <v>315</v>
      </c>
      <c r="V4" s="249" t="s">
        <v>13</v>
      </c>
      <c r="W4" s="249" t="s">
        <v>491</v>
      </c>
      <c r="X4" s="249"/>
    </row>
    <row r="5" spans="1:29" ht="15" customHeight="1" x14ac:dyDescent="0.2">
      <c r="A5" s="211"/>
      <c r="B5" s="211" t="s">
        <v>194</v>
      </c>
      <c r="C5" s="211" t="s">
        <v>64</v>
      </c>
      <c r="D5" s="78" t="s">
        <v>313</v>
      </c>
      <c r="E5" s="307" t="s">
        <v>220</v>
      </c>
      <c r="F5" s="78" t="s">
        <v>367</v>
      </c>
      <c r="G5" s="307" t="s">
        <v>487</v>
      </c>
      <c r="H5" s="315" t="s">
        <v>293</v>
      </c>
      <c r="I5" s="211" t="s">
        <v>207</v>
      </c>
      <c r="J5" s="315">
        <v>444.80700000000002</v>
      </c>
      <c r="K5" s="211" t="s">
        <v>269</v>
      </c>
      <c r="L5" s="316">
        <v>4500</v>
      </c>
      <c r="M5" s="310">
        <f t="shared" si="0"/>
        <v>2001631.5</v>
      </c>
      <c r="N5" s="317">
        <v>0</v>
      </c>
      <c r="O5" s="318">
        <f t="shared" si="1"/>
        <v>0</v>
      </c>
      <c r="P5" s="317">
        <v>0.16</v>
      </c>
      <c r="Q5" s="310">
        <f t="shared" si="2"/>
        <v>320261.03999999998</v>
      </c>
      <c r="R5" s="310">
        <f t="shared" si="3"/>
        <v>2321892.54</v>
      </c>
      <c r="S5" s="255">
        <f>INDEX('Glosario Partidas'!$M$8:$M$10,MATCH(K5,'Glosario Partidas'!$L$8:$L$10,0))</f>
        <v>1</v>
      </c>
      <c r="T5" s="310">
        <f t="shared" si="4"/>
        <v>2321892.54</v>
      </c>
      <c r="U5" s="307" t="s">
        <v>315</v>
      </c>
      <c r="V5" s="249" t="s">
        <v>13</v>
      </c>
      <c r="W5" s="249" t="s">
        <v>491</v>
      </c>
      <c r="X5" s="249"/>
    </row>
    <row r="6" spans="1:29" ht="15" customHeight="1" x14ac:dyDescent="0.2">
      <c r="A6" s="211"/>
      <c r="B6" s="211" t="s">
        <v>194</v>
      </c>
      <c r="C6" s="211" t="s">
        <v>64</v>
      </c>
      <c r="D6" s="78" t="s">
        <v>313</v>
      </c>
      <c r="E6" s="307" t="s">
        <v>229</v>
      </c>
      <c r="F6" s="78" t="s">
        <v>221</v>
      </c>
      <c r="G6" s="307" t="s">
        <v>342</v>
      </c>
      <c r="H6" s="315" t="s">
        <v>293</v>
      </c>
      <c r="I6" s="211" t="s">
        <v>207</v>
      </c>
      <c r="J6" s="315">
        <v>356.21300000000002</v>
      </c>
      <c r="K6" s="211" t="s">
        <v>269</v>
      </c>
      <c r="L6" s="316">
        <v>4500</v>
      </c>
      <c r="M6" s="310">
        <f t="shared" si="0"/>
        <v>1602958.5</v>
      </c>
      <c r="N6" s="317">
        <v>0</v>
      </c>
      <c r="O6" s="318">
        <f t="shared" si="1"/>
        <v>0</v>
      </c>
      <c r="P6" s="317">
        <v>0.16</v>
      </c>
      <c r="Q6" s="310">
        <f t="shared" si="2"/>
        <v>256473.36000000002</v>
      </c>
      <c r="R6" s="310">
        <f t="shared" si="3"/>
        <v>1859431.86</v>
      </c>
      <c r="S6" s="255">
        <f>INDEX('Glosario Partidas'!$M$8:$M$10,MATCH(K6,'Glosario Partidas'!$L$8:$L$10,0))</f>
        <v>1</v>
      </c>
      <c r="T6" s="310">
        <f t="shared" si="4"/>
        <v>1859431.86</v>
      </c>
      <c r="U6" s="307"/>
      <c r="V6" s="249" t="s">
        <v>13</v>
      </c>
      <c r="W6" s="249" t="s">
        <v>491</v>
      </c>
      <c r="X6" s="249"/>
    </row>
    <row r="7" spans="1:29" ht="15" customHeight="1" x14ac:dyDescent="0.2">
      <c r="A7" s="211"/>
      <c r="B7" s="211" t="s">
        <v>194</v>
      </c>
      <c r="C7" s="211" t="s">
        <v>64</v>
      </c>
      <c r="D7" s="78" t="s">
        <v>313</v>
      </c>
      <c r="E7" s="307" t="s">
        <v>229</v>
      </c>
      <c r="F7" s="78" t="s">
        <v>367</v>
      </c>
      <c r="G7" s="307" t="s">
        <v>342</v>
      </c>
      <c r="H7" s="315" t="s">
        <v>293</v>
      </c>
      <c r="I7" s="211" t="s">
        <v>207</v>
      </c>
      <c r="J7" s="315">
        <v>444.80700000000002</v>
      </c>
      <c r="K7" s="211" t="s">
        <v>269</v>
      </c>
      <c r="L7" s="316">
        <v>4500</v>
      </c>
      <c r="M7" s="310">
        <f t="shared" si="0"/>
        <v>2001631.5</v>
      </c>
      <c r="N7" s="317">
        <v>0</v>
      </c>
      <c r="O7" s="318">
        <f t="shared" si="1"/>
        <v>0</v>
      </c>
      <c r="P7" s="317">
        <v>0.16</v>
      </c>
      <c r="Q7" s="310">
        <f t="shared" si="2"/>
        <v>320261.03999999998</v>
      </c>
      <c r="R7" s="310">
        <f t="shared" si="3"/>
        <v>2321892.54</v>
      </c>
      <c r="S7" s="255">
        <f>INDEX('Glosario Partidas'!$M$8:$M$10,MATCH(K7,'Glosario Partidas'!$L$8:$L$10,0))</f>
        <v>1</v>
      </c>
      <c r="T7" s="310">
        <f t="shared" si="4"/>
        <v>2321892.54</v>
      </c>
      <c r="U7" s="307"/>
      <c r="V7" s="249" t="s">
        <v>13</v>
      </c>
      <c r="W7" s="249" t="s">
        <v>491</v>
      </c>
      <c r="X7" s="249"/>
    </row>
    <row r="8" spans="1:29" ht="15" customHeight="1" x14ac:dyDescent="0.2">
      <c r="A8" s="211"/>
      <c r="B8" s="211" t="s">
        <v>194</v>
      </c>
      <c r="C8" s="211" t="s">
        <v>64</v>
      </c>
      <c r="D8" s="78" t="s">
        <v>313</v>
      </c>
      <c r="E8" s="307" t="s">
        <v>229</v>
      </c>
      <c r="F8" s="78" t="s">
        <v>221</v>
      </c>
      <c r="G8" s="307" t="s">
        <v>487</v>
      </c>
      <c r="H8" s="315" t="s">
        <v>293</v>
      </c>
      <c r="I8" s="211" t="s">
        <v>207</v>
      </c>
      <c r="J8" s="315">
        <v>356.21300000000002</v>
      </c>
      <c r="K8" s="211" t="s">
        <v>269</v>
      </c>
      <c r="L8" s="316">
        <v>4500</v>
      </c>
      <c r="M8" s="310">
        <f t="shared" si="0"/>
        <v>1602958.5</v>
      </c>
      <c r="N8" s="317">
        <v>0</v>
      </c>
      <c r="O8" s="318">
        <f t="shared" si="1"/>
        <v>0</v>
      </c>
      <c r="P8" s="317">
        <v>0.16</v>
      </c>
      <c r="Q8" s="310">
        <f t="shared" si="2"/>
        <v>256473.36000000002</v>
      </c>
      <c r="R8" s="310">
        <f t="shared" si="3"/>
        <v>1859431.86</v>
      </c>
      <c r="S8" s="255">
        <f>INDEX('Glosario Partidas'!$M$8:$M$10,MATCH(K8,'Glosario Partidas'!$L$8:$L$10,0))</f>
        <v>1</v>
      </c>
      <c r="T8" s="310">
        <f t="shared" si="4"/>
        <v>1859431.86</v>
      </c>
      <c r="U8" s="307"/>
      <c r="V8" s="249" t="s">
        <v>13</v>
      </c>
      <c r="W8" s="249" t="s">
        <v>491</v>
      </c>
      <c r="X8" s="249"/>
    </row>
    <row r="9" spans="1:29" ht="15" customHeight="1" x14ac:dyDescent="0.2">
      <c r="A9" s="211"/>
      <c r="B9" s="211" t="s">
        <v>194</v>
      </c>
      <c r="C9" s="211" t="s">
        <v>64</v>
      </c>
      <c r="D9" s="78" t="s">
        <v>313</v>
      </c>
      <c r="E9" s="307" t="s">
        <v>229</v>
      </c>
      <c r="F9" s="78" t="s">
        <v>367</v>
      </c>
      <c r="G9" s="307" t="s">
        <v>487</v>
      </c>
      <c r="H9" s="315" t="s">
        <v>293</v>
      </c>
      <c r="I9" s="211" t="s">
        <v>207</v>
      </c>
      <c r="J9" s="315">
        <v>444.80700000000002</v>
      </c>
      <c r="K9" s="211" t="s">
        <v>269</v>
      </c>
      <c r="L9" s="316">
        <v>4500</v>
      </c>
      <c r="M9" s="310">
        <f t="shared" si="0"/>
        <v>2001631.5</v>
      </c>
      <c r="N9" s="317">
        <v>0</v>
      </c>
      <c r="O9" s="318">
        <f t="shared" si="1"/>
        <v>0</v>
      </c>
      <c r="P9" s="317">
        <v>0.16</v>
      </c>
      <c r="Q9" s="310">
        <f t="shared" si="2"/>
        <v>320261.03999999998</v>
      </c>
      <c r="R9" s="310">
        <f t="shared" si="3"/>
        <v>2321892.54</v>
      </c>
      <c r="S9" s="255">
        <f>INDEX('Glosario Partidas'!$M$8:$M$10,MATCH(K9,'Glosario Partidas'!$L$8:$L$10,0))</f>
        <v>1</v>
      </c>
      <c r="T9" s="310">
        <f t="shared" si="4"/>
        <v>2321892.54</v>
      </c>
      <c r="U9" s="307"/>
      <c r="V9" s="249" t="s">
        <v>13</v>
      </c>
      <c r="W9" s="249" t="s">
        <v>491</v>
      </c>
      <c r="X9" s="249"/>
    </row>
    <row r="10" spans="1:29" ht="15" customHeight="1" x14ac:dyDescent="0.2">
      <c r="A10" s="189"/>
      <c r="B10" s="189" t="s">
        <v>185</v>
      </c>
      <c r="C10" s="189"/>
      <c r="D10" s="189"/>
      <c r="E10" s="189"/>
      <c r="F10" s="189"/>
      <c r="G10" s="189"/>
      <c r="H10" s="189"/>
      <c r="I10" s="189"/>
      <c r="J10" s="189"/>
      <c r="K10" s="189"/>
      <c r="L10" s="303"/>
      <c r="M10" s="303"/>
      <c r="N10" s="304"/>
      <c r="O10" s="304"/>
      <c r="P10" s="304"/>
      <c r="Q10" s="303"/>
      <c r="R10" s="303"/>
      <c r="S10" s="303"/>
      <c r="T10" s="305">
        <f>SUM(T2:T9)</f>
        <v>16725297.599999998</v>
      </c>
      <c r="U10" s="189"/>
      <c r="V10" s="253"/>
      <c r="AB10" s="254">
        <f>SUMIFS($T:$T,$W:$W,"Contratado")</f>
        <v>0</v>
      </c>
      <c r="AC10" s="254">
        <f>SUMIFS($T:$T,$W:$W,"No Contratado")</f>
        <v>16725297.599999998</v>
      </c>
    </row>
  </sheetData>
  <dataValidations count="2">
    <dataValidation type="list" allowBlank="1" errorTitle="Valor inválido" error="Selecciona Contratado o No Contratado" promptTitle="Contratado/No Contratado" prompt="Selecciona estado" sqref="W2:W9" xr:uid="{00000000-0002-0000-26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9" xr:uid="{00000000-0002-0000-2600-000001000000}">
      <formula1>"Sí,No"</formula1>
      <formula2>0</formula2>
    </dataValidation>
  </dataValidations>
  <hyperlinks>
    <hyperlink ref="A1" location="'BUY OUT'!A1" display="⬅ Resumen PU" xr:uid="{00000000-0004-0000-2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AC7"/>
  <sheetViews>
    <sheetView zoomScaleNormal="100" workbookViewId="0">
      <selection activeCell="W4" sqref="W4"/>
    </sheetView>
  </sheetViews>
  <sheetFormatPr baseColWidth="10" defaultColWidth="8.6640625" defaultRowHeight="15" customHeight="1" x14ac:dyDescent="0.2"/>
  <cols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200</v>
      </c>
      <c r="C2" s="211" t="s">
        <v>67</v>
      </c>
      <c r="D2" s="78" t="s">
        <v>313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314</v>
      </c>
      <c r="J2" s="315">
        <v>1</v>
      </c>
      <c r="K2" s="211" t="s">
        <v>269</v>
      </c>
      <c r="L2" s="316">
        <v>800000</v>
      </c>
      <c r="M2" s="310">
        <f>J2*L2</f>
        <v>800000</v>
      </c>
      <c r="N2" s="317">
        <v>0</v>
      </c>
      <c r="O2" s="318">
        <f>M2*N2</f>
        <v>0</v>
      </c>
      <c r="P2" s="317">
        <v>0.16</v>
      </c>
      <c r="Q2" s="310">
        <f>(M2+O2)*P2</f>
        <v>128000</v>
      </c>
      <c r="R2" s="310">
        <f>M2+O2+Q2</f>
        <v>928000</v>
      </c>
      <c r="S2" s="310">
        <f>INDEX('Glosario Partidas'!$M$8:$M$10,MATCH(K2,'Glosario Partidas'!$L$8:$L$10,0))</f>
        <v>1</v>
      </c>
      <c r="T2" s="310">
        <f>R2*S2</f>
        <v>928000</v>
      </c>
      <c r="U2" s="307" t="s">
        <v>315</v>
      </c>
      <c r="V2" s="249" t="s">
        <v>13</v>
      </c>
      <c r="W2" s="249" t="s">
        <v>491</v>
      </c>
      <c r="X2" s="249"/>
    </row>
    <row r="3" spans="1:29" ht="15" customHeight="1" x14ac:dyDescent="0.2">
      <c r="A3" s="211"/>
      <c r="B3" s="211" t="s">
        <v>200</v>
      </c>
      <c r="C3" s="211" t="s">
        <v>67</v>
      </c>
      <c r="D3" s="78" t="s">
        <v>313</v>
      </c>
      <c r="E3" s="307" t="s">
        <v>229</v>
      </c>
      <c r="F3" s="78" t="s">
        <v>313</v>
      </c>
      <c r="G3" s="307" t="s">
        <v>313</v>
      </c>
      <c r="H3" s="315" t="s">
        <v>293</v>
      </c>
      <c r="I3" s="211" t="s">
        <v>314</v>
      </c>
      <c r="J3" s="315">
        <v>1</v>
      </c>
      <c r="K3" s="211" t="s">
        <v>269</v>
      </c>
      <c r="L3" s="316">
        <v>800000</v>
      </c>
      <c r="M3" s="310">
        <f>J3*L3</f>
        <v>800000</v>
      </c>
      <c r="N3" s="317">
        <v>0</v>
      </c>
      <c r="O3" s="318">
        <f>M3*N3</f>
        <v>0</v>
      </c>
      <c r="P3" s="317">
        <v>0.16</v>
      </c>
      <c r="Q3" s="310">
        <f>(M3+O3)*P3</f>
        <v>128000</v>
      </c>
      <c r="R3" s="310">
        <f>M3+O3+Q3</f>
        <v>928000</v>
      </c>
      <c r="S3" s="310">
        <f>INDEX('Glosario Partidas'!$M$8:$M$10,MATCH(K3,'Glosario Partidas'!$L$8:$L$10,0))</f>
        <v>1</v>
      </c>
      <c r="T3" s="310">
        <f>R3*S3</f>
        <v>928000</v>
      </c>
      <c r="U3" s="307"/>
      <c r="V3" s="249" t="s">
        <v>13</v>
      </c>
      <c r="W3" s="249" t="s">
        <v>491</v>
      </c>
      <c r="X3" s="249"/>
    </row>
    <row r="4" spans="1:29" ht="15" customHeight="1" x14ac:dyDescent="0.2">
      <c r="A4" s="189"/>
      <c r="B4" s="189" t="s">
        <v>185</v>
      </c>
      <c r="C4" s="189"/>
      <c r="D4" s="189"/>
      <c r="E4" s="189"/>
      <c r="F4" s="189"/>
      <c r="G4" s="189"/>
      <c r="H4" s="189"/>
      <c r="I4" s="189"/>
      <c r="J4" s="189"/>
      <c r="K4" s="189"/>
      <c r="L4" s="303"/>
      <c r="M4" s="303"/>
      <c r="N4" s="304"/>
      <c r="O4" s="304"/>
      <c r="P4" s="304"/>
      <c r="Q4" s="303"/>
      <c r="R4" s="303"/>
      <c r="S4" s="303"/>
      <c r="T4" s="305">
        <f>SUM(T2:T3)</f>
        <v>1856000</v>
      </c>
      <c r="U4" s="189"/>
      <c r="V4" s="253"/>
      <c r="AB4" s="254">
        <f>SUMIFS($T:$T,$W:$W,"Contratado")</f>
        <v>0</v>
      </c>
      <c r="AC4" s="254">
        <f>SUMIFS($T:$T,$W:$W,"No Contratado")</f>
        <v>1856000</v>
      </c>
    </row>
    <row r="5" spans="1:29" ht="15" customHeight="1" x14ac:dyDescent="0.2">
      <c r="L5" s="340"/>
      <c r="M5" s="340"/>
      <c r="N5" s="341"/>
      <c r="O5" s="341"/>
      <c r="P5" s="341"/>
      <c r="Q5" s="340"/>
      <c r="R5" s="340"/>
      <c r="S5" s="340"/>
      <c r="T5" s="340"/>
    </row>
    <row r="6" spans="1:29" ht="15" customHeight="1" x14ac:dyDescent="0.2">
      <c r="L6" s="340"/>
      <c r="M6" s="340"/>
      <c r="N6" s="341"/>
      <c r="O6" s="341"/>
      <c r="P6" s="341"/>
      <c r="Q6" s="340"/>
      <c r="R6" s="340"/>
      <c r="S6" s="340"/>
      <c r="T6" s="340"/>
    </row>
    <row r="7" spans="1:29" ht="15" customHeight="1" x14ac:dyDescent="0.2">
      <c r="L7" s="340"/>
      <c r="M7" s="340"/>
      <c r="N7" s="341"/>
      <c r="O7" s="341"/>
      <c r="P7" s="341"/>
      <c r="Q7" s="340"/>
      <c r="R7" s="340"/>
      <c r="S7" s="340"/>
      <c r="T7" s="340"/>
    </row>
  </sheetData>
  <dataValidations count="2">
    <dataValidation type="list" allowBlank="1" errorTitle="Valor inválido" error="Selecciona Contratado o No Contratado" promptTitle="Contratado/No Contratado" prompt="Selecciona estado" sqref="W2:W3" xr:uid="{00000000-0002-0000-27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3" xr:uid="{00000000-0002-0000-2700-000001000000}">
      <formula1>"Sí,No"</formula1>
      <formula2>0</formula2>
    </dataValidation>
  </dataValidations>
  <hyperlinks>
    <hyperlink ref="A1" location="'BUY OUT'!A1" display="⬅ Resumen PU" xr:uid="{00000000-0004-0000-2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AC10"/>
  <sheetViews>
    <sheetView showGridLines="0" zoomScale="138" zoomScaleNormal="138" workbookViewId="0">
      <pane xSplit="4" ySplit="1" topLeftCell="Q2" activePane="bottomRight" state="frozen"/>
      <selection pane="topRight" activeCell="Q1" sqref="Q1"/>
      <selection pane="bottomLeft" activeCell="A2" sqref="A2"/>
      <selection pane="bottomRight" activeCell="W9" sqref="W9"/>
    </sheetView>
  </sheetViews>
  <sheetFormatPr baseColWidth="10" defaultColWidth="8.6640625" defaultRowHeight="15" x14ac:dyDescent="0.2"/>
  <cols>
    <col min="2" max="2" width="25.33203125" style="342" customWidth="1"/>
    <col min="3" max="3" width="27.33203125" customWidth="1"/>
    <col min="4" max="4" width="16.33203125" customWidth="1"/>
    <col min="5" max="5" width="6.1640625" customWidth="1"/>
    <col min="21" max="21" width="62.6640625" customWidth="1"/>
    <col min="22" max="22" width="18.66406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343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344"/>
      <c r="B2" s="320" t="s">
        <v>70</v>
      </c>
      <c r="C2" s="75" t="s">
        <v>698</v>
      </c>
      <c r="D2" s="320" t="s">
        <v>699</v>
      </c>
      <c r="E2" s="321" t="s">
        <v>220</v>
      </c>
      <c r="F2" s="320" t="s">
        <v>221</v>
      </c>
      <c r="G2" s="321" t="s">
        <v>700</v>
      </c>
      <c r="H2" s="322" t="s">
        <v>701</v>
      </c>
      <c r="I2" s="75" t="s">
        <v>314</v>
      </c>
      <c r="J2" s="322">
        <v>1</v>
      </c>
      <c r="K2" s="75" t="s">
        <v>153</v>
      </c>
      <c r="L2" s="345">
        <v>113680.4</v>
      </c>
      <c r="M2" s="323">
        <f t="shared" ref="M2:M9" si="0">J2*L2</f>
        <v>113680.4</v>
      </c>
      <c r="N2" s="324">
        <v>0</v>
      </c>
      <c r="O2" s="323">
        <f t="shared" ref="O2:O9" si="1">M2*N2</f>
        <v>0</v>
      </c>
      <c r="P2" s="324">
        <v>0.16</v>
      </c>
      <c r="Q2" s="323">
        <f t="shared" ref="Q2:Q9" si="2">(M2+O2)*P2</f>
        <v>18188.863999999998</v>
      </c>
      <c r="R2" s="323">
        <f t="shared" ref="R2:R9" si="3">M2+O2+Q2</f>
        <v>131869.264</v>
      </c>
      <c r="S2" s="346">
        <f>INDEX('Glosario Partidas'!$M$8:$M$10,MATCH(K2,'Glosario Partidas'!$L$8:$L$10,0))</f>
        <v>17.5</v>
      </c>
      <c r="T2" s="323">
        <f t="shared" ref="T2:T9" si="4">R2*S2</f>
        <v>2307712.12</v>
      </c>
      <c r="U2" s="321" t="s">
        <v>702</v>
      </c>
      <c r="V2" s="321" t="s">
        <v>12</v>
      </c>
      <c r="W2" s="321" t="s">
        <v>491</v>
      </c>
      <c r="X2" s="321"/>
    </row>
    <row r="3" spans="1:29" ht="15" customHeight="1" x14ac:dyDescent="0.2">
      <c r="A3" s="344"/>
      <c r="B3" s="320" t="s">
        <v>70</v>
      </c>
      <c r="C3" s="75" t="s">
        <v>698</v>
      </c>
      <c r="D3" s="320" t="s">
        <v>699</v>
      </c>
      <c r="E3" s="321" t="s">
        <v>220</v>
      </c>
      <c r="F3" s="320" t="s">
        <v>221</v>
      </c>
      <c r="G3" s="321" t="s">
        <v>703</v>
      </c>
      <c r="H3" s="322" t="s">
        <v>701</v>
      </c>
      <c r="I3" s="75" t="s">
        <v>314</v>
      </c>
      <c r="J3" s="322">
        <v>1</v>
      </c>
      <c r="K3" s="75" t="s">
        <v>153</v>
      </c>
      <c r="L3" s="345">
        <v>113680.4</v>
      </c>
      <c r="M3" s="323">
        <f t="shared" si="0"/>
        <v>113680.4</v>
      </c>
      <c r="N3" s="324">
        <v>0</v>
      </c>
      <c r="O3" s="323">
        <f t="shared" si="1"/>
        <v>0</v>
      </c>
      <c r="P3" s="324">
        <v>0.16</v>
      </c>
      <c r="Q3" s="323">
        <f t="shared" si="2"/>
        <v>18188.863999999998</v>
      </c>
      <c r="R3" s="323">
        <f t="shared" si="3"/>
        <v>131869.264</v>
      </c>
      <c r="S3" s="346">
        <f>INDEX('Glosario Partidas'!$M$8:$M$10,MATCH(K3,'Glosario Partidas'!$L$8:$L$10,0))</f>
        <v>17.5</v>
      </c>
      <c r="T3" s="323">
        <f t="shared" si="4"/>
        <v>2307712.12</v>
      </c>
      <c r="U3" s="321" t="s">
        <v>702</v>
      </c>
      <c r="V3" s="321" t="s">
        <v>12</v>
      </c>
      <c r="W3" s="321" t="s">
        <v>491</v>
      </c>
      <c r="X3" s="321"/>
    </row>
    <row r="4" spans="1:29" ht="15" customHeight="1" x14ac:dyDescent="0.2">
      <c r="A4" s="344"/>
      <c r="B4" s="320" t="s">
        <v>70</v>
      </c>
      <c r="C4" s="75" t="s">
        <v>698</v>
      </c>
      <c r="D4" s="320" t="s">
        <v>704</v>
      </c>
      <c r="E4" s="321" t="s">
        <v>220</v>
      </c>
      <c r="F4" s="320" t="s">
        <v>705</v>
      </c>
      <c r="G4" s="321" t="s">
        <v>706</v>
      </c>
      <c r="H4" s="322" t="s">
        <v>701</v>
      </c>
      <c r="I4" s="75" t="s">
        <v>314</v>
      </c>
      <c r="J4" s="322">
        <v>1</v>
      </c>
      <c r="K4" s="75" t="s">
        <v>153</v>
      </c>
      <c r="L4" s="345">
        <v>124474.51</v>
      </c>
      <c r="M4" s="323">
        <f t="shared" si="0"/>
        <v>124474.51</v>
      </c>
      <c r="N4" s="324">
        <v>0</v>
      </c>
      <c r="O4" s="323">
        <f t="shared" si="1"/>
        <v>0</v>
      </c>
      <c r="P4" s="324">
        <v>0.16</v>
      </c>
      <c r="Q4" s="323">
        <f t="shared" si="2"/>
        <v>19915.921599999998</v>
      </c>
      <c r="R4" s="323">
        <f t="shared" si="3"/>
        <v>144390.43159999998</v>
      </c>
      <c r="S4" s="346">
        <f>INDEX('Glosario Partidas'!$M$8:$M$10,MATCH(K4,'Glosario Partidas'!$L$8:$L$10,0))</f>
        <v>17.5</v>
      </c>
      <c r="T4" s="323">
        <f t="shared" si="4"/>
        <v>2526832.5529999998</v>
      </c>
      <c r="U4" s="321" t="s">
        <v>702</v>
      </c>
      <c r="V4" s="321" t="s">
        <v>12</v>
      </c>
      <c r="W4" s="321" t="s">
        <v>491</v>
      </c>
      <c r="X4" s="321"/>
    </row>
    <row r="5" spans="1:29" ht="15" customHeight="1" x14ac:dyDescent="0.2">
      <c r="A5" s="344"/>
      <c r="B5" s="320" t="s">
        <v>70</v>
      </c>
      <c r="C5" s="75" t="s">
        <v>698</v>
      </c>
      <c r="D5" s="320" t="s">
        <v>704</v>
      </c>
      <c r="E5" s="321" t="s">
        <v>220</v>
      </c>
      <c r="F5" s="320" t="s">
        <v>705</v>
      </c>
      <c r="G5" s="321" t="s">
        <v>707</v>
      </c>
      <c r="H5" s="322" t="s">
        <v>701</v>
      </c>
      <c r="I5" s="75" t="s">
        <v>314</v>
      </c>
      <c r="J5" s="322">
        <v>1</v>
      </c>
      <c r="K5" s="75" t="s">
        <v>153</v>
      </c>
      <c r="L5" s="345">
        <v>124474.51</v>
      </c>
      <c r="M5" s="323">
        <f t="shared" si="0"/>
        <v>124474.51</v>
      </c>
      <c r="N5" s="324">
        <v>0</v>
      </c>
      <c r="O5" s="323">
        <f t="shared" si="1"/>
        <v>0</v>
      </c>
      <c r="P5" s="324">
        <v>0.16</v>
      </c>
      <c r="Q5" s="323">
        <f t="shared" si="2"/>
        <v>19915.921599999998</v>
      </c>
      <c r="R5" s="323">
        <f t="shared" si="3"/>
        <v>144390.43159999998</v>
      </c>
      <c r="S5" s="346">
        <f>INDEX('Glosario Partidas'!$M$8:$M$10,MATCH(K5,'Glosario Partidas'!$L$8:$L$10,0))</f>
        <v>17.5</v>
      </c>
      <c r="T5" s="323">
        <f t="shared" si="4"/>
        <v>2526832.5529999998</v>
      </c>
      <c r="U5" s="321" t="s">
        <v>702</v>
      </c>
      <c r="V5" s="321" t="s">
        <v>12</v>
      </c>
      <c r="W5" s="321" t="s">
        <v>491</v>
      </c>
      <c r="X5" s="321"/>
    </row>
    <row r="6" spans="1:29" ht="15" customHeight="1" x14ac:dyDescent="0.2">
      <c r="A6" s="344"/>
      <c r="B6" s="320" t="s">
        <v>70</v>
      </c>
      <c r="C6" s="75" t="s">
        <v>698</v>
      </c>
      <c r="D6" s="320" t="s">
        <v>699</v>
      </c>
      <c r="E6" s="321" t="s">
        <v>229</v>
      </c>
      <c r="F6" s="320" t="s">
        <v>221</v>
      </c>
      <c r="G6" s="321" t="s">
        <v>708</v>
      </c>
      <c r="H6" s="322" t="s">
        <v>701</v>
      </c>
      <c r="I6" s="75" t="s">
        <v>314</v>
      </c>
      <c r="J6" s="322">
        <v>1</v>
      </c>
      <c r="K6" s="75" t="s">
        <v>153</v>
      </c>
      <c r="L6" s="345">
        <v>113680.4</v>
      </c>
      <c r="M6" s="323">
        <f t="shared" si="0"/>
        <v>113680.4</v>
      </c>
      <c r="N6" s="324">
        <v>0</v>
      </c>
      <c r="O6" s="323">
        <f t="shared" si="1"/>
        <v>0</v>
      </c>
      <c r="P6" s="324">
        <v>0.16</v>
      </c>
      <c r="Q6" s="323">
        <f t="shared" si="2"/>
        <v>18188.863999999998</v>
      </c>
      <c r="R6" s="323">
        <f t="shared" si="3"/>
        <v>131869.264</v>
      </c>
      <c r="S6" s="346">
        <f>INDEX('Glosario Partidas'!$M$8:$M$10,MATCH(K6,'Glosario Partidas'!$L$8:$L$10,0))</f>
        <v>17.5</v>
      </c>
      <c r="T6" s="323">
        <f t="shared" si="4"/>
        <v>2307712.12</v>
      </c>
      <c r="U6" s="321" t="s">
        <v>702</v>
      </c>
      <c r="V6" s="321" t="s">
        <v>12</v>
      </c>
      <c r="W6" s="321" t="s">
        <v>491</v>
      </c>
      <c r="X6" s="321"/>
    </row>
    <row r="7" spans="1:29" ht="15" customHeight="1" x14ac:dyDescent="0.2">
      <c r="A7" s="344"/>
      <c r="B7" s="320" t="s">
        <v>70</v>
      </c>
      <c r="C7" s="75" t="s">
        <v>698</v>
      </c>
      <c r="D7" s="320" t="s">
        <v>709</v>
      </c>
      <c r="E7" s="321" t="s">
        <v>229</v>
      </c>
      <c r="F7" s="320" t="s">
        <v>221</v>
      </c>
      <c r="G7" s="321" t="s">
        <v>710</v>
      </c>
      <c r="H7" s="322" t="s">
        <v>701</v>
      </c>
      <c r="I7" s="75" t="s">
        <v>314</v>
      </c>
      <c r="J7" s="322">
        <v>1</v>
      </c>
      <c r="K7" s="75" t="s">
        <v>153</v>
      </c>
      <c r="L7" s="345">
        <v>121316.56</v>
      </c>
      <c r="M7" s="323">
        <f t="shared" si="0"/>
        <v>121316.56</v>
      </c>
      <c r="N7" s="324">
        <v>0</v>
      </c>
      <c r="O7" s="323">
        <f t="shared" si="1"/>
        <v>0</v>
      </c>
      <c r="P7" s="324">
        <v>0.16</v>
      </c>
      <c r="Q7" s="323">
        <f t="shared" si="2"/>
        <v>19410.649600000001</v>
      </c>
      <c r="R7" s="323">
        <f t="shared" si="3"/>
        <v>140727.2096</v>
      </c>
      <c r="S7" s="346">
        <f>INDEX('Glosario Partidas'!$M$8:$M$10,MATCH(K7,'Glosario Partidas'!$L$8:$L$10,0))</f>
        <v>17.5</v>
      </c>
      <c r="T7" s="323">
        <f t="shared" si="4"/>
        <v>2462726.1680000001</v>
      </c>
      <c r="U7" s="321" t="s">
        <v>702</v>
      </c>
      <c r="V7" s="321" t="s">
        <v>12</v>
      </c>
      <c r="W7" s="321" t="s">
        <v>491</v>
      </c>
      <c r="X7" s="321"/>
    </row>
    <row r="8" spans="1:29" ht="15" customHeight="1" x14ac:dyDescent="0.2">
      <c r="A8" s="344"/>
      <c r="B8" s="320" t="s">
        <v>70</v>
      </c>
      <c r="C8" s="75" t="s">
        <v>698</v>
      </c>
      <c r="D8" s="320" t="s">
        <v>704</v>
      </c>
      <c r="E8" s="321" t="s">
        <v>229</v>
      </c>
      <c r="F8" s="320" t="s">
        <v>705</v>
      </c>
      <c r="G8" s="321" t="s">
        <v>711</v>
      </c>
      <c r="H8" s="322" t="s">
        <v>701</v>
      </c>
      <c r="I8" s="75" t="s">
        <v>314</v>
      </c>
      <c r="J8" s="322">
        <v>1</v>
      </c>
      <c r="K8" s="75" t="s">
        <v>153</v>
      </c>
      <c r="L8" s="345">
        <v>124474.51</v>
      </c>
      <c r="M8" s="323">
        <f t="shared" si="0"/>
        <v>124474.51</v>
      </c>
      <c r="N8" s="324">
        <v>0</v>
      </c>
      <c r="O8" s="323">
        <f t="shared" si="1"/>
        <v>0</v>
      </c>
      <c r="P8" s="324">
        <v>0.16</v>
      </c>
      <c r="Q8" s="323">
        <f t="shared" si="2"/>
        <v>19915.921599999998</v>
      </c>
      <c r="R8" s="323">
        <f t="shared" si="3"/>
        <v>144390.43159999998</v>
      </c>
      <c r="S8" s="346">
        <f>INDEX('Glosario Partidas'!$M$8:$M$10,MATCH(K8,'Glosario Partidas'!$L$8:$L$10,0))</f>
        <v>17.5</v>
      </c>
      <c r="T8" s="323">
        <f t="shared" si="4"/>
        <v>2526832.5529999998</v>
      </c>
      <c r="U8" s="321" t="s">
        <v>702</v>
      </c>
      <c r="V8" s="321" t="s">
        <v>12</v>
      </c>
      <c r="W8" s="321" t="s">
        <v>491</v>
      </c>
      <c r="X8" s="321"/>
    </row>
    <row r="9" spans="1:29" ht="15" customHeight="1" x14ac:dyDescent="0.2">
      <c r="A9" s="344"/>
      <c r="B9" s="320" t="s">
        <v>70</v>
      </c>
      <c r="C9" s="75" t="s">
        <v>698</v>
      </c>
      <c r="D9" s="320" t="s">
        <v>712</v>
      </c>
      <c r="E9" s="321" t="s">
        <v>229</v>
      </c>
      <c r="F9" s="320" t="s">
        <v>705</v>
      </c>
      <c r="G9" s="321" t="s">
        <v>713</v>
      </c>
      <c r="H9" s="322" t="s">
        <v>701</v>
      </c>
      <c r="I9" s="75" t="s">
        <v>314</v>
      </c>
      <c r="J9" s="322">
        <v>1</v>
      </c>
      <c r="K9" s="75" t="s">
        <v>153</v>
      </c>
      <c r="L9" s="345">
        <v>132733.37</v>
      </c>
      <c r="M9" s="323">
        <f t="shared" si="0"/>
        <v>132733.37</v>
      </c>
      <c r="N9" s="324">
        <v>0</v>
      </c>
      <c r="O9" s="323">
        <f t="shared" si="1"/>
        <v>0</v>
      </c>
      <c r="P9" s="324">
        <v>0.16</v>
      </c>
      <c r="Q9" s="323">
        <f t="shared" si="2"/>
        <v>21237.339199999999</v>
      </c>
      <c r="R9" s="323">
        <f t="shared" si="3"/>
        <v>153970.70919999998</v>
      </c>
      <c r="S9" s="346">
        <f>INDEX('Glosario Partidas'!$M$8:$M$10,MATCH(K9,'Glosario Partidas'!$L$8:$L$10,0))</f>
        <v>17.5</v>
      </c>
      <c r="T9" s="323">
        <f t="shared" si="4"/>
        <v>2694487.4109999998</v>
      </c>
      <c r="U9" s="321" t="s">
        <v>702</v>
      </c>
      <c r="V9" s="321" t="s">
        <v>12</v>
      </c>
      <c r="W9" s="321" t="s">
        <v>491</v>
      </c>
      <c r="X9" s="321"/>
    </row>
    <row r="10" spans="1:29" ht="15" customHeight="1" x14ac:dyDescent="0.2">
      <c r="B10" s="347" t="s">
        <v>185</v>
      </c>
      <c r="T10" s="348">
        <f>SUM(T2:T9)</f>
        <v>19660847.597999997</v>
      </c>
      <c r="AB10" s="254">
        <f>SUMIFS($T:$T,$W:$W,"Contratado")</f>
        <v>0</v>
      </c>
      <c r="AC10" s="254">
        <f>SUMIFS($T:$T,$W:$W,"No Contratado")</f>
        <v>19660847.597999997</v>
      </c>
    </row>
  </sheetData>
  <autoFilter ref="A1:V10" xr:uid="{00000000-0009-0000-0000-000028000000}"/>
  <dataValidations count="2">
    <dataValidation type="list" allowBlank="1" errorTitle="Valor inválido" error="Selecciona Contratado o No Contratado" promptTitle="Contratado/No Contratado" prompt="Selecciona estado" sqref="W2:W9" xr:uid="{00000000-0002-0000-28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9" xr:uid="{00000000-0002-0000-2800-000001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AC20"/>
  <sheetViews>
    <sheetView showGridLines="0" topLeftCell="F1" zoomScale="150" zoomScaleNormal="150" workbookViewId="0">
      <selection activeCell="W19" sqref="W19"/>
    </sheetView>
  </sheetViews>
  <sheetFormatPr baseColWidth="10" defaultColWidth="8.6640625" defaultRowHeight="15" customHeight="1" x14ac:dyDescent="0.2"/>
  <cols>
    <col min="2" max="2" width="23.1640625" customWidth="1"/>
    <col min="3" max="3" width="39.16406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B2" s="63" t="s">
        <v>73</v>
      </c>
      <c r="C2" s="63" t="s">
        <v>714</v>
      </c>
      <c r="D2" s="78" t="s">
        <v>313</v>
      </c>
      <c r="E2" s="171" t="s">
        <v>220</v>
      </c>
      <c r="F2" s="78"/>
      <c r="G2" s="349"/>
      <c r="H2" s="250" t="s">
        <v>372</v>
      </c>
      <c r="I2" s="225" t="s">
        <v>314</v>
      </c>
      <c r="J2" s="250">
        <v>1</v>
      </c>
      <c r="K2" s="225" t="s">
        <v>153</v>
      </c>
      <c r="L2" s="274">
        <v>168454.86</v>
      </c>
      <c r="M2" s="227">
        <f t="shared" ref="M2:M19" si="0">J2*L2</f>
        <v>168454.86</v>
      </c>
      <c r="N2" s="251">
        <v>0</v>
      </c>
      <c r="O2" s="227">
        <f t="shared" ref="O2:O19" si="1">M2*N2</f>
        <v>0</v>
      </c>
      <c r="P2" s="251">
        <v>0.16</v>
      </c>
      <c r="Q2" s="227">
        <f t="shared" ref="Q2:Q19" si="2">(M2+O2)*P2</f>
        <v>26952.777599999998</v>
      </c>
      <c r="R2" s="227">
        <f t="shared" ref="R2:R19" si="3">M2+O2+Q2</f>
        <v>195407.63759999999</v>
      </c>
      <c r="S2" s="229">
        <f>INDEX('Glosario Partidas'!$M$8:$M$10,MATCH(K2,'Glosario Partidas'!$L$8:$L$10,0))</f>
        <v>17.5</v>
      </c>
      <c r="T2" s="227">
        <f t="shared" ref="T2:T19" si="4">R2*S2</f>
        <v>3419633.6579999998</v>
      </c>
      <c r="U2" s="230"/>
      <c r="V2" s="249" t="s">
        <v>12</v>
      </c>
      <c r="W2" s="249" t="s">
        <v>491</v>
      </c>
      <c r="X2" s="249" t="s">
        <v>715</v>
      </c>
    </row>
    <row r="3" spans="1:29" ht="15" customHeight="1" x14ac:dyDescent="0.2">
      <c r="B3" s="63" t="s">
        <v>73</v>
      </c>
      <c r="C3" s="63" t="s">
        <v>716</v>
      </c>
      <c r="D3" s="78" t="s">
        <v>313</v>
      </c>
      <c r="E3" s="171" t="s">
        <v>220</v>
      </c>
      <c r="F3" s="78"/>
      <c r="G3" s="349"/>
      <c r="H3" s="250" t="s">
        <v>372</v>
      </c>
      <c r="I3" s="225" t="s">
        <v>314</v>
      </c>
      <c r="J3" s="250">
        <v>1</v>
      </c>
      <c r="K3" s="225" t="s">
        <v>269</v>
      </c>
      <c r="L3" s="274">
        <v>2913893.09</v>
      </c>
      <c r="M3" s="227">
        <f t="shared" si="0"/>
        <v>2913893.09</v>
      </c>
      <c r="N3" s="251">
        <v>0</v>
      </c>
      <c r="O3" s="227">
        <f t="shared" si="1"/>
        <v>0</v>
      </c>
      <c r="P3" s="251">
        <v>0.16</v>
      </c>
      <c r="Q3" s="227">
        <f t="shared" si="2"/>
        <v>466222.89439999999</v>
      </c>
      <c r="R3" s="227">
        <f t="shared" si="3"/>
        <v>3380115.9844</v>
      </c>
      <c r="S3" s="229">
        <f>INDEX('Glosario Partidas'!$M$8:$M$10,MATCH(K3,'Glosario Partidas'!$L$8:$L$10,0))</f>
        <v>1</v>
      </c>
      <c r="T3" s="227">
        <f t="shared" si="4"/>
        <v>3380115.9844</v>
      </c>
      <c r="U3" s="230"/>
      <c r="V3" s="249" t="s">
        <v>12</v>
      </c>
      <c r="W3" s="249" t="s">
        <v>491</v>
      </c>
      <c r="X3" s="249" t="s">
        <v>715</v>
      </c>
    </row>
    <row r="4" spans="1:29" ht="15" customHeight="1" x14ac:dyDescent="0.2">
      <c r="B4" s="63" t="s">
        <v>73</v>
      </c>
      <c r="C4" s="63" t="s">
        <v>717</v>
      </c>
      <c r="D4" s="78" t="s">
        <v>313</v>
      </c>
      <c r="E4" s="171" t="s">
        <v>220</v>
      </c>
      <c r="F4" s="78"/>
      <c r="G4" s="349"/>
      <c r="H4" s="250" t="s">
        <v>372</v>
      </c>
      <c r="I4" s="225" t="s">
        <v>314</v>
      </c>
      <c r="J4" s="250">
        <v>1</v>
      </c>
      <c r="K4" s="225" t="s">
        <v>153</v>
      </c>
      <c r="L4" s="274">
        <v>9121.44</v>
      </c>
      <c r="M4" s="227">
        <f t="shared" si="0"/>
        <v>9121.44</v>
      </c>
      <c r="N4" s="251">
        <v>0</v>
      </c>
      <c r="O4" s="227">
        <f t="shared" si="1"/>
        <v>0</v>
      </c>
      <c r="P4" s="251">
        <v>0.16</v>
      </c>
      <c r="Q4" s="227">
        <f t="shared" si="2"/>
        <v>1459.4304000000002</v>
      </c>
      <c r="R4" s="227">
        <f t="shared" si="3"/>
        <v>10580.8704</v>
      </c>
      <c r="S4" s="229">
        <f>INDEX('Glosario Partidas'!$M$8:$M$10,MATCH(K4,'Glosario Partidas'!$L$8:$L$10,0))</f>
        <v>17.5</v>
      </c>
      <c r="T4" s="227">
        <f t="shared" si="4"/>
        <v>185165.23199999999</v>
      </c>
      <c r="U4" s="230"/>
      <c r="V4" s="249" t="s">
        <v>12</v>
      </c>
      <c r="W4" s="249" t="s">
        <v>491</v>
      </c>
      <c r="X4" s="249" t="s">
        <v>715</v>
      </c>
    </row>
    <row r="5" spans="1:29" ht="15" customHeight="1" x14ac:dyDescent="0.2">
      <c r="B5" s="63" t="s">
        <v>73</v>
      </c>
      <c r="C5" s="63" t="s">
        <v>718</v>
      </c>
      <c r="D5" s="78" t="s">
        <v>313</v>
      </c>
      <c r="E5" s="171" t="s">
        <v>220</v>
      </c>
      <c r="F5" s="78"/>
      <c r="G5" s="349"/>
      <c r="H5" s="250" t="s">
        <v>372</v>
      </c>
      <c r="I5" s="225" t="s">
        <v>314</v>
      </c>
      <c r="J5" s="250">
        <v>1</v>
      </c>
      <c r="K5" s="225" t="s">
        <v>269</v>
      </c>
      <c r="L5" s="274">
        <v>218858.81</v>
      </c>
      <c r="M5" s="227">
        <f t="shared" si="0"/>
        <v>218858.81</v>
      </c>
      <c r="N5" s="251">
        <v>0</v>
      </c>
      <c r="O5" s="227">
        <f t="shared" si="1"/>
        <v>0</v>
      </c>
      <c r="P5" s="251">
        <v>0.16</v>
      </c>
      <c r="Q5" s="227">
        <f t="shared" si="2"/>
        <v>35017.409599999999</v>
      </c>
      <c r="R5" s="227">
        <f t="shared" si="3"/>
        <v>253876.21960000001</v>
      </c>
      <c r="S5" s="229">
        <f>INDEX('Glosario Partidas'!$M$8:$M$10,MATCH(K5,'Glosario Partidas'!$L$8:$L$10,0))</f>
        <v>1</v>
      </c>
      <c r="T5" s="227">
        <f t="shared" si="4"/>
        <v>253876.21960000001</v>
      </c>
      <c r="U5" s="230"/>
      <c r="V5" s="249" t="s">
        <v>12</v>
      </c>
      <c r="W5" s="249" t="s">
        <v>491</v>
      </c>
      <c r="X5" s="249" t="s">
        <v>715</v>
      </c>
    </row>
    <row r="6" spans="1:29" ht="15" customHeight="1" x14ac:dyDescent="0.2">
      <c r="B6" s="63" t="s">
        <v>73</v>
      </c>
      <c r="C6" s="63" t="s">
        <v>719</v>
      </c>
      <c r="D6" s="78" t="s">
        <v>313</v>
      </c>
      <c r="E6" s="171" t="s">
        <v>220</v>
      </c>
      <c r="F6" s="78"/>
      <c r="G6" s="349"/>
      <c r="H6" s="250" t="s">
        <v>372</v>
      </c>
      <c r="I6" s="225" t="s">
        <v>314</v>
      </c>
      <c r="J6" s="250">
        <v>1</v>
      </c>
      <c r="K6" s="225" t="s">
        <v>153</v>
      </c>
      <c r="L6" s="274">
        <v>3867.73</v>
      </c>
      <c r="M6" s="227">
        <f t="shared" si="0"/>
        <v>3867.73</v>
      </c>
      <c r="N6" s="251">
        <v>0</v>
      </c>
      <c r="O6" s="227">
        <f t="shared" si="1"/>
        <v>0</v>
      </c>
      <c r="P6" s="251">
        <v>0.16</v>
      </c>
      <c r="Q6" s="227">
        <f t="shared" si="2"/>
        <v>618.83680000000004</v>
      </c>
      <c r="R6" s="227">
        <f t="shared" si="3"/>
        <v>4486.5668000000005</v>
      </c>
      <c r="S6" s="229">
        <f>INDEX('Glosario Partidas'!$M$8:$M$10,MATCH(K6,'Glosario Partidas'!$L$8:$L$10,0))</f>
        <v>17.5</v>
      </c>
      <c r="T6" s="227">
        <f t="shared" si="4"/>
        <v>78514.919000000009</v>
      </c>
      <c r="U6" s="230"/>
      <c r="V6" s="249" t="s">
        <v>12</v>
      </c>
      <c r="W6" s="249" t="s">
        <v>491</v>
      </c>
      <c r="X6" s="249" t="s">
        <v>715</v>
      </c>
    </row>
    <row r="7" spans="1:29" ht="15" customHeight="1" x14ac:dyDescent="0.2">
      <c r="B7" s="63" t="s">
        <v>73</v>
      </c>
      <c r="C7" s="63" t="s">
        <v>720</v>
      </c>
      <c r="D7" s="78" t="s">
        <v>313</v>
      </c>
      <c r="E7" s="171" t="s">
        <v>220</v>
      </c>
      <c r="F7" s="78"/>
      <c r="G7" s="349"/>
      <c r="H7" s="250" t="s">
        <v>372</v>
      </c>
      <c r="I7" s="225" t="s">
        <v>314</v>
      </c>
      <c r="J7" s="250">
        <v>1</v>
      </c>
      <c r="K7" s="225" t="s">
        <v>269</v>
      </c>
      <c r="L7" s="274">
        <v>173796.22</v>
      </c>
      <c r="M7" s="227">
        <f t="shared" si="0"/>
        <v>173796.22</v>
      </c>
      <c r="N7" s="251">
        <v>0</v>
      </c>
      <c r="O7" s="227">
        <f t="shared" si="1"/>
        <v>0</v>
      </c>
      <c r="P7" s="251">
        <v>0.16</v>
      </c>
      <c r="Q7" s="227">
        <f t="shared" si="2"/>
        <v>27807.395199999999</v>
      </c>
      <c r="R7" s="227">
        <f t="shared" si="3"/>
        <v>201603.6152</v>
      </c>
      <c r="S7" s="229">
        <f>INDEX('Glosario Partidas'!$M$8:$M$10,MATCH(K7,'Glosario Partidas'!$L$8:$L$10,0))</f>
        <v>1</v>
      </c>
      <c r="T7" s="227">
        <f t="shared" si="4"/>
        <v>201603.6152</v>
      </c>
      <c r="U7" s="230"/>
      <c r="V7" s="249" t="s">
        <v>12</v>
      </c>
      <c r="W7" s="249" t="s">
        <v>491</v>
      </c>
      <c r="X7" s="249" t="s">
        <v>715</v>
      </c>
    </row>
    <row r="8" spans="1:29" ht="15" customHeight="1" x14ac:dyDescent="0.2">
      <c r="B8" s="63" t="s">
        <v>73</v>
      </c>
      <c r="C8" s="63" t="s">
        <v>721</v>
      </c>
      <c r="D8" s="78" t="s">
        <v>313</v>
      </c>
      <c r="E8" s="171" t="s">
        <v>220</v>
      </c>
      <c r="F8" s="78"/>
      <c r="G8" s="321"/>
      <c r="H8" s="250" t="s">
        <v>372</v>
      </c>
      <c r="I8" s="225" t="s">
        <v>314</v>
      </c>
      <c r="J8" s="250">
        <v>1</v>
      </c>
      <c r="K8" s="225" t="s">
        <v>153</v>
      </c>
      <c r="L8" s="274">
        <v>1543.28</v>
      </c>
      <c r="M8" s="227">
        <f t="shared" si="0"/>
        <v>1543.28</v>
      </c>
      <c r="N8" s="251">
        <v>0</v>
      </c>
      <c r="O8" s="227">
        <f t="shared" si="1"/>
        <v>0</v>
      </c>
      <c r="P8" s="251">
        <v>0.16</v>
      </c>
      <c r="Q8" s="227">
        <f t="shared" si="2"/>
        <v>246.9248</v>
      </c>
      <c r="R8" s="227">
        <f t="shared" si="3"/>
        <v>1790.2048</v>
      </c>
      <c r="S8" s="229">
        <f>INDEX('Glosario Partidas'!$M$8:$M$10,MATCH(K8,'Glosario Partidas'!$L$8:$L$10,0))</f>
        <v>17.5</v>
      </c>
      <c r="T8" s="227">
        <f t="shared" si="4"/>
        <v>31328.583999999999</v>
      </c>
      <c r="U8" s="230"/>
      <c r="V8" s="249" t="s">
        <v>12</v>
      </c>
      <c r="W8" s="249" t="s">
        <v>491</v>
      </c>
      <c r="X8" s="249" t="s">
        <v>715</v>
      </c>
    </row>
    <row r="9" spans="1:29" ht="15" customHeight="1" x14ac:dyDescent="0.2">
      <c r="B9" s="63" t="s">
        <v>73</v>
      </c>
      <c r="C9" s="63" t="s">
        <v>722</v>
      </c>
      <c r="D9" s="78" t="s">
        <v>313</v>
      </c>
      <c r="E9" s="171" t="s">
        <v>220</v>
      </c>
      <c r="F9" s="78"/>
      <c r="G9" s="321"/>
      <c r="H9" s="250" t="s">
        <v>372</v>
      </c>
      <c r="I9" s="225" t="s">
        <v>314</v>
      </c>
      <c r="J9" s="250">
        <v>1</v>
      </c>
      <c r="K9" s="225" t="s">
        <v>269</v>
      </c>
      <c r="L9" s="274">
        <v>59947</v>
      </c>
      <c r="M9" s="227">
        <f t="shared" si="0"/>
        <v>59947</v>
      </c>
      <c r="N9" s="251">
        <v>0</v>
      </c>
      <c r="O9" s="227">
        <f t="shared" si="1"/>
        <v>0</v>
      </c>
      <c r="P9" s="251">
        <v>0.16</v>
      </c>
      <c r="Q9" s="227">
        <f t="shared" si="2"/>
        <v>9591.52</v>
      </c>
      <c r="R9" s="227">
        <f t="shared" si="3"/>
        <v>69538.52</v>
      </c>
      <c r="S9" s="229">
        <f>INDEX('Glosario Partidas'!$M$8:$M$10,MATCH(K9,'Glosario Partidas'!$L$8:$L$10,0))</f>
        <v>1</v>
      </c>
      <c r="T9" s="227">
        <f t="shared" si="4"/>
        <v>69538.52</v>
      </c>
      <c r="U9" s="230"/>
      <c r="V9" s="249" t="s">
        <v>12</v>
      </c>
      <c r="W9" s="249" t="s">
        <v>491</v>
      </c>
      <c r="X9" s="249" t="s">
        <v>715</v>
      </c>
    </row>
    <row r="10" spans="1:29" ht="15" customHeight="1" x14ac:dyDescent="0.2">
      <c r="B10" s="63" t="s">
        <v>73</v>
      </c>
      <c r="C10" s="63" t="s">
        <v>714</v>
      </c>
      <c r="D10" s="78" t="s">
        <v>313</v>
      </c>
      <c r="E10" s="171" t="s">
        <v>229</v>
      </c>
      <c r="F10" s="78"/>
      <c r="G10" s="349"/>
      <c r="H10" s="250" t="s">
        <v>372</v>
      </c>
      <c r="I10" s="225" t="s">
        <v>314</v>
      </c>
      <c r="J10" s="250">
        <v>1</v>
      </c>
      <c r="K10" s="225" t="s">
        <v>153</v>
      </c>
      <c r="L10" s="274">
        <v>177398.01</v>
      </c>
      <c r="M10" s="227">
        <f t="shared" si="0"/>
        <v>177398.01</v>
      </c>
      <c r="N10" s="251">
        <v>0</v>
      </c>
      <c r="O10" s="227">
        <f t="shared" si="1"/>
        <v>0</v>
      </c>
      <c r="P10" s="251">
        <v>0.16</v>
      </c>
      <c r="Q10" s="227">
        <f t="shared" si="2"/>
        <v>28383.681600000004</v>
      </c>
      <c r="R10" s="227">
        <f t="shared" si="3"/>
        <v>205781.69160000002</v>
      </c>
      <c r="S10" s="229">
        <f>INDEX('Glosario Partidas'!$M$8:$M$10,MATCH(K10,'Glosario Partidas'!$L$8:$L$10,0))</f>
        <v>17.5</v>
      </c>
      <c r="T10" s="227">
        <f t="shared" si="4"/>
        <v>3601179.6030000001</v>
      </c>
      <c r="U10" s="230"/>
      <c r="V10" s="249" t="s">
        <v>12</v>
      </c>
      <c r="W10" s="249" t="s">
        <v>491</v>
      </c>
      <c r="X10" s="249" t="s">
        <v>715</v>
      </c>
    </row>
    <row r="11" spans="1:29" ht="15" customHeight="1" x14ac:dyDescent="0.2">
      <c r="B11" s="63" t="s">
        <v>73</v>
      </c>
      <c r="C11" s="63" t="s">
        <v>716</v>
      </c>
      <c r="D11" s="78" t="s">
        <v>313</v>
      </c>
      <c r="E11" s="171" t="s">
        <v>229</v>
      </c>
      <c r="F11" s="78"/>
      <c r="G11" s="349"/>
      <c r="H11" s="250" t="s">
        <v>372</v>
      </c>
      <c r="I11" s="225" t="s">
        <v>314</v>
      </c>
      <c r="J11" s="250">
        <v>1</v>
      </c>
      <c r="K11" s="225" t="s">
        <v>269</v>
      </c>
      <c r="L11" s="274">
        <v>3063640.68</v>
      </c>
      <c r="M11" s="227">
        <f t="shared" si="0"/>
        <v>3063640.68</v>
      </c>
      <c r="N11" s="251">
        <v>0</v>
      </c>
      <c r="O11" s="227">
        <f t="shared" si="1"/>
        <v>0</v>
      </c>
      <c r="P11" s="251">
        <v>0.16</v>
      </c>
      <c r="Q11" s="227">
        <f t="shared" si="2"/>
        <v>490182.50880000001</v>
      </c>
      <c r="R11" s="227">
        <f t="shared" si="3"/>
        <v>3553823.1888000001</v>
      </c>
      <c r="S11" s="229">
        <f>INDEX('Glosario Partidas'!$M$8:$M$10,MATCH(K11,'Glosario Partidas'!$L$8:$L$10,0))</f>
        <v>1</v>
      </c>
      <c r="T11" s="227">
        <f t="shared" si="4"/>
        <v>3553823.1888000001</v>
      </c>
      <c r="U11" s="230"/>
      <c r="V11" s="249" t="s">
        <v>12</v>
      </c>
      <c r="W11" s="249" t="s">
        <v>491</v>
      </c>
      <c r="X11" s="249" t="s">
        <v>715</v>
      </c>
    </row>
    <row r="12" spans="1:29" ht="15" customHeight="1" x14ac:dyDescent="0.2">
      <c r="B12" s="63" t="s">
        <v>73</v>
      </c>
      <c r="C12" s="63" t="s">
        <v>717</v>
      </c>
      <c r="D12" s="78" t="s">
        <v>313</v>
      </c>
      <c r="E12" s="171" t="s">
        <v>229</v>
      </c>
      <c r="F12" s="78"/>
      <c r="G12" s="321"/>
      <c r="H12" s="250" t="s">
        <v>372</v>
      </c>
      <c r="I12" s="225" t="s">
        <v>314</v>
      </c>
      <c r="J12" s="250">
        <v>1</v>
      </c>
      <c r="K12" s="225" t="s">
        <v>153</v>
      </c>
      <c r="L12" s="274">
        <v>9121.44</v>
      </c>
      <c r="M12" s="227">
        <f t="shared" si="0"/>
        <v>9121.44</v>
      </c>
      <c r="N12" s="251">
        <v>0</v>
      </c>
      <c r="O12" s="227">
        <f t="shared" si="1"/>
        <v>0</v>
      </c>
      <c r="P12" s="251">
        <v>0.16</v>
      </c>
      <c r="Q12" s="227">
        <f t="shared" si="2"/>
        <v>1459.4304000000002</v>
      </c>
      <c r="R12" s="227">
        <f t="shared" si="3"/>
        <v>10580.8704</v>
      </c>
      <c r="S12" s="229">
        <f>INDEX('Glosario Partidas'!$M$8:$M$10,MATCH(K12,'Glosario Partidas'!$L$8:$L$10,0))</f>
        <v>17.5</v>
      </c>
      <c r="T12" s="227">
        <f t="shared" si="4"/>
        <v>185165.23199999999</v>
      </c>
      <c r="U12" s="230"/>
      <c r="V12" s="249" t="s">
        <v>12</v>
      </c>
      <c r="W12" s="249" t="s">
        <v>491</v>
      </c>
      <c r="X12" s="249" t="s">
        <v>715</v>
      </c>
    </row>
    <row r="13" spans="1:29" ht="15" customHeight="1" x14ac:dyDescent="0.2">
      <c r="B13" s="63" t="s">
        <v>73</v>
      </c>
      <c r="C13" s="63" t="s">
        <v>718</v>
      </c>
      <c r="D13" s="78" t="s">
        <v>313</v>
      </c>
      <c r="E13" s="171" t="s">
        <v>229</v>
      </c>
      <c r="F13" s="78"/>
      <c r="G13" s="321"/>
      <c r="H13" s="250" t="s">
        <v>372</v>
      </c>
      <c r="I13" s="225" t="s">
        <v>314</v>
      </c>
      <c r="J13" s="250">
        <v>1</v>
      </c>
      <c r="K13" s="225" t="s">
        <v>269</v>
      </c>
      <c r="L13" s="274">
        <v>212672.33</v>
      </c>
      <c r="M13" s="227">
        <f t="shared" si="0"/>
        <v>212672.33</v>
      </c>
      <c r="N13" s="251">
        <v>0</v>
      </c>
      <c r="O13" s="227">
        <f t="shared" si="1"/>
        <v>0</v>
      </c>
      <c r="P13" s="251">
        <v>0.16</v>
      </c>
      <c r="Q13" s="227">
        <f t="shared" si="2"/>
        <v>34027.572800000002</v>
      </c>
      <c r="R13" s="227">
        <f t="shared" si="3"/>
        <v>246699.90279999998</v>
      </c>
      <c r="S13" s="229">
        <f>INDEX('Glosario Partidas'!$M$8:$M$10,MATCH(K13,'Glosario Partidas'!$L$8:$L$10,0))</f>
        <v>1</v>
      </c>
      <c r="T13" s="227">
        <f t="shared" si="4"/>
        <v>246699.90279999998</v>
      </c>
      <c r="U13" s="230"/>
      <c r="V13" s="249" t="s">
        <v>12</v>
      </c>
      <c r="W13" s="249" t="s">
        <v>491</v>
      </c>
      <c r="X13" s="249" t="s">
        <v>715</v>
      </c>
    </row>
    <row r="14" spans="1:29" ht="15" customHeight="1" x14ac:dyDescent="0.2">
      <c r="B14" s="63" t="s">
        <v>73</v>
      </c>
      <c r="C14" s="63" t="s">
        <v>719</v>
      </c>
      <c r="D14" s="78" t="s">
        <v>313</v>
      </c>
      <c r="E14" s="171" t="s">
        <v>229</v>
      </c>
      <c r="F14" s="78"/>
      <c r="G14" s="349"/>
      <c r="H14" s="250" t="s">
        <v>372</v>
      </c>
      <c r="I14" s="225" t="s">
        <v>314</v>
      </c>
      <c r="J14" s="250">
        <v>1</v>
      </c>
      <c r="K14" s="225" t="s">
        <v>153</v>
      </c>
      <c r="L14" s="274">
        <v>3867.73</v>
      </c>
      <c r="M14" s="227">
        <f t="shared" si="0"/>
        <v>3867.73</v>
      </c>
      <c r="N14" s="251">
        <v>0</v>
      </c>
      <c r="O14" s="227">
        <f t="shared" si="1"/>
        <v>0</v>
      </c>
      <c r="P14" s="251">
        <v>0.16</v>
      </c>
      <c r="Q14" s="227">
        <f t="shared" si="2"/>
        <v>618.83680000000004</v>
      </c>
      <c r="R14" s="227">
        <f t="shared" si="3"/>
        <v>4486.5668000000005</v>
      </c>
      <c r="S14" s="229">
        <f>INDEX('Glosario Partidas'!$M$8:$M$10,MATCH(K14,'Glosario Partidas'!$L$8:$L$10,0))</f>
        <v>17.5</v>
      </c>
      <c r="T14" s="227">
        <f t="shared" si="4"/>
        <v>78514.919000000009</v>
      </c>
      <c r="U14" s="230"/>
      <c r="V14" s="249" t="s">
        <v>12</v>
      </c>
      <c r="W14" s="249" t="s">
        <v>491</v>
      </c>
      <c r="X14" s="249" t="s">
        <v>715</v>
      </c>
    </row>
    <row r="15" spans="1:29" ht="15" customHeight="1" x14ac:dyDescent="0.2">
      <c r="B15" s="63" t="s">
        <v>73</v>
      </c>
      <c r="C15" s="63" t="s">
        <v>720</v>
      </c>
      <c r="D15" s="78" t="s">
        <v>313</v>
      </c>
      <c r="E15" s="171" t="s">
        <v>229</v>
      </c>
      <c r="F15" s="78"/>
      <c r="G15" s="349"/>
      <c r="H15" s="250" t="s">
        <v>372</v>
      </c>
      <c r="I15" s="225" t="s">
        <v>314</v>
      </c>
      <c r="J15" s="250">
        <v>1</v>
      </c>
      <c r="K15" s="225" t="s">
        <v>269</v>
      </c>
      <c r="L15" s="274">
        <v>173458.46</v>
      </c>
      <c r="M15" s="227">
        <f t="shared" si="0"/>
        <v>173458.46</v>
      </c>
      <c r="N15" s="251">
        <v>0</v>
      </c>
      <c r="O15" s="227">
        <f t="shared" si="1"/>
        <v>0</v>
      </c>
      <c r="P15" s="251">
        <v>0.16</v>
      </c>
      <c r="Q15" s="227">
        <f t="shared" si="2"/>
        <v>27753.353599999999</v>
      </c>
      <c r="R15" s="227">
        <f t="shared" si="3"/>
        <v>201211.81359999999</v>
      </c>
      <c r="S15" s="229">
        <f>INDEX('Glosario Partidas'!$M$8:$M$10,MATCH(K15,'Glosario Partidas'!$L$8:$L$10,0))</f>
        <v>1</v>
      </c>
      <c r="T15" s="227">
        <f t="shared" si="4"/>
        <v>201211.81359999999</v>
      </c>
      <c r="U15" s="230"/>
      <c r="V15" s="249" t="s">
        <v>12</v>
      </c>
      <c r="W15" s="249" t="s">
        <v>491</v>
      </c>
      <c r="X15" s="249" t="s">
        <v>715</v>
      </c>
    </row>
    <row r="16" spans="1:29" ht="15" customHeight="1" x14ac:dyDescent="0.2">
      <c r="B16" s="63" t="s">
        <v>73</v>
      </c>
      <c r="C16" s="63" t="s">
        <v>721</v>
      </c>
      <c r="D16" s="78" t="s">
        <v>313</v>
      </c>
      <c r="E16" s="171" t="s">
        <v>229</v>
      </c>
      <c r="F16" s="78"/>
      <c r="G16" s="321"/>
      <c r="H16" s="250" t="s">
        <v>372</v>
      </c>
      <c r="I16" s="225" t="s">
        <v>314</v>
      </c>
      <c r="J16" s="250">
        <v>1</v>
      </c>
      <c r="K16" s="225" t="s">
        <v>153</v>
      </c>
      <c r="L16" s="274">
        <v>1543.28</v>
      </c>
      <c r="M16" s="227">
        <f t="shared" si="0"/>
        <v>1543.28</v>
      </c>
      <c r="N16" s="251">
        <v>0</v>
      </c>
      <c r="O16" s="227">
        <f t="shared" si="1"/>
        <v>0</v>
      </c>
      <c r="P16" s="251">
        <v>0.16</v>
      </c>
      <c r="Q16" s="227">
        <f t="shared" si="2"/>
        <v>246.9248</v>
      </c>
      <c r="R16" s="227">
        <f t="shared" si="3"/>
        <v>1790.2048</v>
      </c>
      <c r="S16" s="229">
        <f>INDEX('Glosario Partidas'!$M$8:$M$10,MATCH(K16,'Glosario Partidas'!$L$8:$L$10,0))</f>
        <v>17.5</v>
      </c>
      <c r="T16" s="227">
        <f t="shared" si="4"/>
        <v>31328.583999999999</v>
      </c>
      <c r="U16" s="230"/>
      <c r="V16" s="249" t="s">
        <v>12</v>
      </c>
      <c r="W16" s="249" t="s">
        <v>491</v>
      </c>
      <c r="X16" s="249" t="s">
        <v>715</v>
      </c>
    </row>
    <row r="17" spans="1:29" ht="15" customHeight="1" x14ac:dyDescent="0.2">
      <c r="B17" s="63" t="s">
        <v>73</v>
      </c>
      <c r="C17" s="63" t="s">
        <v>722</v>
      </c>
      <c r="D17" s="78" t="s">
        <v>313</v>
      </c>
      <c r="E17" s="171" t="s">
        <v>229</v>
      </c>
      <c r="F17" s="78"/>
      <c r="G17" s="321"/>
      <c r="H17" s="250" t="s">
        <v>372</v>
      </c>
      <c r="I17" s="225" t="s">
        <v>314</v>
      </c>
      <c r="J17" s="250">
        <v>1</v>
      </c>
      <c r="K17" s="225" t="s">
        <v>269</v>
      </c>
      <c r="L17" s="274">
        <v>69010.64</v>
      </c>
      <c r="M17" s="227">
        <f t="shared" si="0"/>
        <v>69010.64</v>
      </c>
      <c r="N17" s="251">
        <v>0</v>
      </c>
      <c r="O17" s="227">
        <f t="shared" si="1"/>
        <v>0</v>
      </c>
      <c r="P17" s="251">
        <v>0.16</v>
      </c>
      <c r="Q17" s="227">
        <f t="shared" si="2"/>
        <v>11041.7024</v>
      </c>
      <c r="R17" s="227">
        <f t="shared" si="3"/>
        <v>80052.342399999994</v>
      </c>
      <c r="S17" s="229">
        <f>INDEX('Glosario Partidas'!$M$8:$M$10,MATCH(K17,'Glosario Partidas'!$L$8:$L$10,0))</f>
        <v>1</v>
      </c>
      <c r="T17" s="227">
        <f t="shared" si="4"/>
        <v>80052.342399999994</v>
      </c>
      <c r="U17" s="230"/>
      <c r="V17" s="249" t="s">
        <v>12</v>
      </c>
      <c r="W17" s="249" t="s">
        <v>491</v>
      </c>
      <c r="X17" s="249" t="s">
        <v>715</v>
      </c>
    </row>
    <row r="18" spans="1:29" ht="15" customHeight="1" x14ac:dyDescent="0.2">
      <c r="B18" s="63" t="s">
        <v>73</v>
      </c>
      <c r="C18" s="63" t="s">
        <v>723</v>
      </c>
      <c r="D18" s="78" t="s">
        <v>313</v>
      </c>
      <c r="E18" s="171" t="s">
        <v>724</v>
      </c>
      <c r="F18" s="78"/>
      <c r="G18" s="349"/>
      <c r="H18" s="250" t="s">
        <v>372</v>
      </c>
      <c r="I18" s="225" t="s">
        <v>314</v>
      </c>
      <c r="J18" s="250">
        <v>1</v>
      </c>
      <c r="K18" s="225" t="s">
        <v>153</v>
      </c>
      <c r="L18" s="274">
        <v>0</v>
      </c>
      <c r="M18" s="227">
        <f t="shared" si="0"/>
        <v>0</v>
      </c>
      <c r="N18" s="251">
        <v>0</v>
      </c>
      <c r="O18" s="227">
        <f t="shared" si="1"/>
        <v>0</v>
      </c>
      <c r="P18" s="251">
        <v>0.16</v>
      </c>
      <c r="Q18" s="227">
        <f t="shared" si="2"/>
        <v>0</v>
      </c>
      <c r="R18" s="227">
        <f t="shared" si="3"/>
        <v>0</v>
      </c>
      <c r="S18" s="229">
        <f>INDEX('Glosario Partidas'!$M$8:$M$10,MATCH(K18,'Glosario Partidas'!$L$8:$L$10,0))</f>
        <v>17.5</v>
      </c>
      <c r="T18" s="227">
        <f t="shared" si="4"/>
        <v>0</v>
      </c>
      <c r="U18" s="230"/>
      <c r="V18" s="249" t="s">
        <v>12</v>
      </c>
      <c r="W18" s="249" t="s">
        <v>491</v>
      </c>
      <c r="X18" s="249" t="s">
        <v>715</v>
      </c>
    </row>
    <row r="19" spans="1:29" ht="15" customHeight="1" x14ac:dyDescent="0.2">
      <c r="B19" s="63" t="s">
        <v>73</v>
      </c>
      <c r="C19" s="63" t="s">
        <v>725</v>
      </c>
      <c r="D19" s="78" t="s">
        <v>313</v>
      </c>
      <c r="E19" s="171" t="s">
        <v>724</v>
      </c>
      <c r="F19" s="78"/>
      <c r="G19" s="349"/>
      <c r="H19" s="250" t="s">
        <v>372</v>
      </c>
      <c r="I19" s="225" t="s">
        <v>314</v>
      </c>
      <c r="J19" s="250">
        <v>1</v>
      </c>
      <c r="K19" s="225" t="s">
        <v>269</v>
      </c>
      <c r="L19" s="274">
        <v>139600</v>
      </c>
      <c r="M19" s="227">
        <f t="shared" si="0"/>
        <v>139600</v>
      </c>
      <c r="N19" s="251">
        <v>0</v>
      </c>
      <c r="O19" s="227">
        <f t="shared" si="1"/>
        <v>0</v>
      </c>
      <c r="P19" s="251">
        <v>0.16</v>
      </c>
      <c r="Q19" s="227">
        <f t="shared" si="2"/>
        <v>22336</v>
      </c>
      <c r="R19" s="227">
        <f t="shared" si="3"/>
        <v>161936</v>
      </c>
      <c r="S19" s="229">
        <f>INDEX('Glosario Partidas'!$M$8:$M$10,MATCH(K19,'Glosario Partidas'!$L$8:$L$10,0))</f>
        <v>1</v>
      </c>
      <c r="T19" s="227">
        <f t="shared" si="4"/>
        <v>161936</v>
      </c>
      <c r="U19" s="230"/>
      <c r="V19" s="249" t="s">
        <v>12</v>
      </c>
      <c r="W19" s="249" t="s">
        <v>491</v>
      </c>
      <c r="X19" s="249" t="s">
        <v>715</v>
      </c>
    </row>
    <row r="20" spans="1:29" ht="15" customHeight="1" x14ac:dyDescent="0.2">
      <c r="A20" s="350"/>
      <c r="B20" s="351" t="s">
        <v>185</v>
      </c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2">
        <f>SUM(T2:T19)</f>
        <v>15759688.3178</v>
      </c>
      <c r="U20" s="350"/>
      <c r="V20" s="129"/>
      <c r="AB20" s="254">
        <f>SUMIFS($T:$T,$W:$W,"Contratado")</f>
        <v>0</v>
      </c>
      <c r="AC20" s="254">
        <f>SUMIFS($T:$T,$W:$W,"No Contratado")</f>
        <v>15759688.3178</v>
      </c>
    </row>
  </sheetData>
  <dataValidations count="2">
    <dataValidation type="list" allowBlank="1" errorTitle="Valor inválido" error="Selecciona Contratado o No Contratado" promptTitle="Contratado/No Contratado" prompt="Selecciona estado" sqref="W2:W19" xr:uid="{00000000-0002-0000-29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19" xr:uid="{00000000-0002-0000-2900-000001000000}">
      <formula1>"Sí,No"</formula1>
      <formula2>0</formula2>
    </dataValidation>
  </dataValidations>
  <hyperlinks>
    <hyperlink ref="A1" location="'BUY OUT'!A1" display="⬅ Resumen PU" xr:uid="{00000000-0004-0000-2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AC208"/>
  <sheetViews>
    <sheetView showGridLines="0" topLeftCell="F2" zoomScale="160" zoomScaleNormal="160" workbookViewId="0">
      <selection activeCell="W207" sqref="W207"/>
    </sheetView>
  </sheetViews>
  <sheetFormatPr baseColWidth="10" defaultColWidth="8.6640625" defaultRowHeight="15" customHeight="1" x14ac:dyDescent="0.2"/>
  <cols>
    <col min="2" max="2" width="13.5" customWidth="1"/>
    <col min="3" max="3" width="20" customWidth="1"/>
    <col min="4" max="4" width="13.83203125" customWidth="1"/>
    <col min="8" max="8" width="13.8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76</v>
      </c>
      <c r="C2" s="75" t="s">
        <v>726</v>
      </c>
      <c r="D2" s="320" t="s">
        <v>727</v>
      </c>
      <c r="E2" s="321" t="s">
        <v>220</v>
      </c>
      <c r="F2" s="320" t="s">
        <v>221</v>
      </c>
      <c r="G2" s="321" t="s">
        <v>700</v>
      </c>
      <c r="H2" s="322" t="s">
        <v>728</v>
      </c>
      <c r="I2" s="75" t="s">
        <v>204</v>
      </c>
      <c r="J2" s="322">
        <v>16.010000000000002</v>
      </c>
      <c r="K2" s="75" t="s">
        <v>153</v>
      </c>
      <c r="L2" s="345">
        <v>55</v>
      </c>
      <c r="M2" s="323">
        <f t="shared" ref="M2:M65" si="0">J2*L2</f>
        <v>880.55000000000007</v>
      </c>
      <c r="N2" s="324">
        <v>0</v>
      </c>
      <c r="O2" s="325">
        <f t="shared" ref="O2:O65" si="1">M2*N2</f>
        <v>0</v>
      </c>
      <c r="P2" s="324">
        <v>0.16</v>
      </c>
      <c r="Q2" s="227">
        <f t="shared" ref="Q2:Q65" si="2">(M2+O2)*P2</f>
        <v>140.88800000000001</v>
      </c>
      <c r="R2" s="227">
        <f t="shared" ref="R2:R65" si="3">M2+O2+Q2</f>
        <v>1021.4380000000001</v>
      </c>
      <c r="S2" s="229">
        <f>INDEX('Glosario Partidas'!$M$8:$M$10,MATCH(K2,'Glosario Partidas'!$L$8:$L$10,0))</f>
        <v>17.5</v>
      </c>
      <c r="T2" s="227">
        <f t="shared" ref="T2:T65" si="4">R2*S2</f>
        <v>17875.165000000001</v>
      </c>
      <c r="U2" s="321" t="s">
        <v>729</v>
      </c>
      <c r="V2" s="321" t="s">
        <v>12</v>
      </c>
      <c r="W2" s="321" t="s">
        <v>491</v>
      </c>
      <c r="X2" s="321"/>
    </row>
    <row r="3" spans="1:29" ht="15" customHeight="1" x14ac:dyDescent="0.2">
      <c r="A3" s="211"/>
      <c r="B3" s="211" t="s">
        <v>76</v>
      </c>
      <c r="C3" s="75" t="s">
        <v>730</v>
      </c>
      <c r="D3" s="320" t="s">
        <v>727</v>
      </c>
      <c r="E3" s="321" t="s">
        <v>220</v>
      </c>
      <c r="F3" s="320" t="s">
        <v>221</v>
      </c>
      <c r="G3" s="321" t="s">
        <v>700</v>
      </c>
      <c r="H3" s="322" t="s">
        <v>728</v>
      </c>
      <c r="I3" s="75" t="s">
        <v>204</v>
      </c>
      <c r="J3" s="322">
        <v>31.62</v>
      </c>
      <c r="K3" s="75" t="s">
        <v>153</v>
      </c>
      <c r="L3" s="345">
        <v>55</v>
      </c>
      <c r="M3" s="323">
        <f t="shared" si="0"/>
        <v>1739.1000000000001</v>
      </c>
      <c r="N3" s="324">
        <v>0</v>
      </c>
      <c r="O3" s="325">
        <f t="shared" si="1"/>
        <v>0</v>
      </c>
      <c r="P3" s="324">
        <v>0.16</v>
      </c>
      <c r="Q3" s="227">
        <f t="shared" si="2"/>
        <v>278.25600000000003</v>
      </c>
      <c r="R3" s="227">
        <f t="shared" si="3"/>
        <v>2017.3560000000002</v>
      </c>
      <c r="S3" s="229">
        <f>INDEX('Glosario Partidas'!$M$8:$M$10,MATCH(K3,'Glosario Partidas'!$L$8:$L$10,0))</f>
        <v>17.5</v>
      </c>
      <c r="T3" s="227">
        <f t="shared" si="4"/>
        <v>35303.730000000003</v>
      </c>
      <c r="U3" s="321" t="s">
        <v>729</v>
      </c>
      <c r="V3" s="321" t="s">
        <v>12</v>
      </c>
      <c r="W3" s="321" t="s">
        <v>491</v>
      </c>
      <c r="X3" s="321"/>
    </row>
    <row r="4" spans="1:29" ht="15" customHeight="1" x14ac:dyDescent="0.2">
      <c r="A4" s="211"/>
      <c r="B4" s="211" t="s">
        <v>76</v>
      </c>
      <c r="C4" s="75" t="s">
        <v>731</v>
      </c>
      <c r="D4" s="320" t="s">
        <v>727</v>
      </c>
      <c r="E4" s="321" t="s">
        <v>220</v>
      </c>
      <c r="F4" s="320" t="s">
        <v>221</v>
      </c>
      <c r="G4" s="321" t="s">
        <v>700</v>
      </c>
      <c r="H4" s="322" t="s">
        <v>728</v>
      </c>
      <c r="I4" s="75" t="s">
        <v>204</v>
      </c>
      <c r="J4" s="322">
        <v>2.2799999999999998</v>
      </c>
      <c r="K4" s="75" t="s">
        <v>153</v>
      </c>
      <c r="L4" s="345">
        <v>40</v>
      </c>
      <c r="M4" s="323">
        <f t="shared" si="0"/>
        <v>91.199999999999989</v>
      </c>
      <c r="N4" s="324">
        <v>0</v>
      </c>
      <c r="O4" s="325">
        <f t="shared" si="1"/>
        <v>0</v>
      </c>
      <c r="P4" s="324">
        <v>0.16</v>
      </c>
      <c r="Q4" s="227">
        <f t="shared" si="2"/>
        <v>14.591999999999999</v>
      </c>
      <c r="R4" s="227">
        <f t="shared" si="3"/>
        <v>105.79199999999999</v>
      </c>
      <c r="S4" s="229">
        <f>INDEX('Glosario Partidas'!$M$8:$M$10,MATCH(K4,'Glosario Partidas'!$L$8:$L$10,0))</f>
        <v>17.5</v>
      </c>
      <c r="T4" s="227">
        <f t="shared" si="4"/>
        <v>1851.3599999999997</v>
      </c>
      <c r="U4" s="321" t="s">
        <v>729</v>
      </c>
      <c r="V4" s="321" t="s">
        <v>12</v>
      </c>
      <c r="W4" s="321" t="s">
        <v>491</v>
      </c>
      <c r="X4" s="321"/>
    </row>
    <row r="5" spans="1:29" ht="15" customHeight="1" x14ac:dyDescent="0.2">
      <c r="A5" s="211"/>
      <c r="B5" s="211" t="s">
        <v>76</v>
      </c>
      <c r="C5" s="75" t="s">
        <v>732</v>
      </c>
      <c r="D5" s="320" t="s">
        <v>727</v>
      </c>
      <c r="E5" s="321" t="s">
        <v>220</v>
      </c>
      <c r="F5" s="320" t="s">
        <v>221</v>
      </c>
      <c r="G5" s="321" t="s">
        <v>700</v>
      </c>
      <c r="H5" s="322" t="s">
        <v>728</v>
      </c>
      <c r="I5" s="75" t="s">
        <v>204</v>
      </c>
      <c r="J5" s="322">
        <v>3.62</v>
      </c>
      <c r="K5" s="75" t="s">
        <v>153</v>
      </c>
      <c r="L5" s="345">
        <v>55</v>
      </c>
      <c r="M5" s="323">
        <f t="shared" si="0"/>
        <v>199.1</v>
      </c>
      <c r="N5" s="324">
        <v>0</v>
      </c>
      <c r="O5" s="325">
        <f t="shared" si="1"/>
        <v>0</v>
      </c>
      <c r="P5" s="324">
        <v>0.16</v>
      </c>
      <c r="Q5" s="227">
        <f t="shared" si="2"/>
        <v>31.855999999999998</v>
      </c>
      <c r="R5" s="227">
        <f t="shared" si="3"/>
        <v>230.95599999999999</v>
      </c>
      <c r="S5" s="229">
        <f>INDEX('Glosario Partidas'!$M$8:$M$10,MATCH(K5,'Glosario Partidas'!$L$8:$L$10,0))</f>
        <v>17.5</v>
      </c>
      <c r="T5" s="227">
        <f t="shared" si="4"/>
        <v>4041.73</v>
      </c>
      <c r="U5" s="321" t="s">
        <v>729</v>
      </c>
      <c r="V5" s="321" t="s">
        <v>12</v>
      </c>
      <c r="W5" s="321" t="s">
        <v>491</v>
      </c>
      <c r="X5" s="321"/>
    </row>
    <row r="6" spans="1:29" ht="15" customHeight="1" x14ac:dyDescent="0.2">
      <c r="A6" s="211"/>
      <c r="B6" s="211" t="s">
        <v>76</v>
      </c>
      <c r="C6" s="75" t="s">
        <v>733</v>
      </c>
      <c r="D6" s="320" t="s">
        <v>727</v>
      </c>
      <c r="E6" s="321" t="s">
        <v>220</v>
      </c>
      <c r="F6" s="320" t="s">
        <v>221</v>
      </c>
      <c r="G6" s="321" t="s">
        <v>700</v>
      </c>
      <c r="H6" s="322" t="s">
        <v>728</v>
      </c>
      <c r="I6" s="75" t="s">
        <v>204</v>
      </c>
      <c r="J6" s="322">
        <v>2.54</v>
      </c>
      <c r="K6" s="75" t="s">
        <v>153</v>
      </c>
      <c r="L6" s="345">
        <v>5</v>
      </c>
      <c r="M6" s="323">
        <f t="shared" si="0"/>
        <v>12.7</v>
      </c>
      <c r="N6" s="324">
        <v>0</v>
      </c>
      <c r="O6" s="325">
        <f t="shared" si="1"/>
        <v>0</v>
      </c>
      <c r="P6" s="324">
        <v>0.16</v>
      </c>
      <c r="Q6" s="227">
        <f t="shared" si="2"/>
        <v>2.032</v>
      </c>
      <c r="R6" s="227">
        <f t="shared" si="3"/>
        <v>14.731999999999999</v>
      </c>
      <c r="S6" s="229">
        <f>INDEX('Glosario Partidas'!$M$8:$M$10,MATCH(K6,'Glosario Partidas'!$L$8:$L$10,0))</f>
        <v>17.5</v>
      </c>
      <c r="T6" s="227">
        <f t="shared" si="4"/>
        <v>257.81</v>
      </c>
      <c r="U6" s="321" t="s">
        <v>729</v>
      </c>
      <c r="V6" s="321" t="s">
        <v>12</v>
      </c>
      <c r="W6" s="321" t="s">
        <v>491</v>
      </c>
      <c r="X6" s="321"/>
    </row>
    <row r="7" spans="1:29" ht="15" customHeight="1" x14ac:dyDescent="0.2">
      <c r="A7" s="211"/>
      <c r="B7" s="211" t="s">
        <v>76</v>
      </c>
      <c r="C7" s="75" t="s">
        <v>734</v>
      </c>
      <c r="D7" s="320" t="s">
        <v>727</v>
      </c>
      <c r="E7" s="321" t="s">
        <v>220</v>
      </c>
      <c r="F7" s="320" t="s">
        <v>221</v>
      </c>
      <c r="G7" s="321" t="s">
        <v>700</v>
      </c>
      <c r="H7" s="322" t="s">
        <v>728</v>
      </c>
      <c r="I7" s="75" t="s">
        <v>204</v>
      </c>
      <c r="J7" s="322">
        <v>9.35</v>
      </c>
      <c r="K7" s="75" t="s">
        <v>153</v>
      </c>
      <c r="L7" s="345">
        <v>5</v>
      </c>
      <c r="M7" s="323">
        <f t="shared" si="0"/>
        <v>46.75</v>
      </c>
      <c r="N7" s="324">
        <v>0</v>
      </c>
      <c r="O7" s="325">
        <f t="shared" si="1"/>
        <v>0</v>
      </c>
      <c r="P7" s="324">
        <v>0.16</v>
      </c>
      <c r="Q7" s="227">
        <f t="shared" si="2"/>
        <v>7.48</v>
      </c>
      <c r="R7" s="227">
        <f t="shared" si="3"/>
        <v>54.230000000000004</v>
      </c>
      <c r="S7" s="229">
        <f>INDEX('Glosario Partidas'!$M$8:$M$10,MATCH(K7,'Glosario Partidas'!$L$8:$L$10,0))</f>
        <v>17.5</v>
      </c>
      <c r="T7" s="227">
        <f t="shared" si="4"/>
        <v>949.02500000000009</v>
      </c>
      <c r="U7" s="321" t="s">
        <v>729</v>
      </c>
      <c r="V7" s="321" t="s">
        <v>12</v>
      </c>
      <c r="W7" s="321" t="s">
        <v>491</v>
      </c>
      <c r="X7" s="321"/>
    </row>
    <row r="8" spans="1:29" ht="15" customHeight="1" x14ac:dyDescent="0.2">
      <c r="A8" s="211"/>
      <c r="B8" s="211" t="s">
        <v>76</v>
      </c>
      <c r="C8" s="75" t="s">
        <v>735</v>
      </c>
      <c r="D8" s="320" t="s">
        <v>727</v>
      </c>
      <c r="E8" s="321" t="s">
        <v>220</v>
      </c>
      <c r="F8" s="320" t="s">
        <v>221</v>
      </c>
      <c r="G8" s="321" t="s">
        <v>700</v>
      </c>
      <c r="H8" s="322" t="s">
        <v>728</v>
      </c>
      <c r="I8" s="75" t="s">
        <v>204</v>
      </c>
      <c r="J8" s="322">
        <v>26.66</v>
      </c>
      <c r="K8" s="75" t="s">
        <v>153</v>
      </c>
      <c r="L8" s="345">
        <v>75</v>
      </c>
      <c r="M8" s="323">
        <f t="shared" si="0"/>
        <v>1999.5</v>
      </c>
      <c r="N8" s="324">
        <v>0</v>
      </c>
      <c r="O8" s="325">
        <f t="shared" si="1"/>
        <v>0</v>
      </c>
      <c r="P8" s="324">
        <v>0.16</v>
      </c>
      <c r="Q8" s="227">
        <f t="shared" si="2"/>
        <v>319.92</v>
      </c>
      <c r="R8" s="227">
        <f t="shared" si="3"/>
        <v>2319.42</v>
      </c>
      <c r="S8" s="229">
        <f>INDEX('Glosario Partidas'!$M$8:$M$10,MATCH(K8,'Glosario Partidas'!$L$8:$L$10,0))</f>
        <v>17.5</v>
      </c>
      <c r="T8" s="227">
        <f t="shared" si="4"/>
        <v>40589.85</v>
      </c>
      <c r="U8" s="321" t="s">
        <v>729</v>
      </c>
      <c r="V8" s="321" t="s">
        <v>12</v>
      </c>
      <c r="W8" s="321" t="s">
        <v>491</v>
      </c>
      <c r="X8" s="321"/>
    </row>
    <row r="9" spans="1:29" ht="15" customHeight="1" x14ac:dyDescent="0.2">
      <c r="A9" s="211"/>
      <c r="B9" s="211" t="s">
        <v>76</v>
      </c>
      <c r="C9" s="75" t="s">
        <v>736</v>
      </c>
      <c r="D9" s="320" t="s">
        <v>727</v>
      </c>
      <c r="E9" s="321" t="s">
        <v>220</v>
      </c>
      <c r="F9" s="320" t="s">
        <v>221</v>
      </c>
      <c r="G9" s="321" t="s">
        <v>700</v>
      </c>
      <c r="H9" s="322" t="s">
        <v>728</v>
      </c>
      <c r="I9" s="75" t="s">
        <v>204</v>
      </c>
      <c r="J9" s="322">
        <v>51.12</v>
      </c>
      <c r="K9" s="75" t="s">
        <v>153</v>
      </c>
      <c r="L9" s="345">
        <v>85</v>
      </c>
      <c r="M9" s="323">
        <f t="shared" si="0"/>
        <v>4345.2</v>
      </c>
      <c r="N9" s="324">
        <v>0</v>
      </c>
      <c r="O9" s="325">
        <f t="shared" si="1"/>
        <v>0</v>
      </c>
      <c r="P9" s="324">
        <v>0.16</v>
      </c>
      <c r="Q9" s="227">
        <f t="shared" si="2"/>
        <v>695.23199999999997</v>
      </c>
      <c r="R9" s="227">
        <f t="shared" si="3"/>
        <v>5040.4319999999998</v>
      </c>
      <c r="S9" s="229">
        <f>INDEX('Glosario Partidas'!$M$8:$M$10,MATCH(K9,'Glosario Partidas'!$L$8:$L$10,0))</f>
        <v>17.5</v>
      </c>
      <c r="T9" s="227">
        <f t="shared" si="4"/>
        <v>88207.56</v>
      </c>
      <c r="U9" s="321" t="s">
        <v>729</v>
      </c>
      <c r="V9" s="321" t="s">
        <v>12</v>
      </c>
      <c r="W9" s="321" t="s">
        <v>491</v>
      </c>
      <c r="X9" s="321"/>
    </row>
    <row r="10" spans="1:29" ht="15" customHeight="1" x14ac:dyDescent="0.2">
      <c r="A10" s="211"/>
      <c r="B10" s="211" t="s">
        <v>76</v>
      </c>
      <c r="C10" s="75" t="s">
        <v>737</v>
      </c>
      <c r="D10" s="320" t="s">
        <v>727</v>
      </c>
      <c r="E10" s="321" t="s">
        <v>220</v>
      </c>
      <c r="F10" s="320" t="s">
        <v>221</v>
      </c>
      <c r="G10" s="321" t="s">
        <v>700</v>
      </c>
      <c r="H10" s="322" t="s">
        <v>728</v>
      </c>
      <c r="I10" s="75" t="s">
        <v>204</v>
      </c>
      <c r="J10" s="322">
        <v>33.07</v>
      </c>
      <c r="K10" s="75" t="s">
        <v>153</v>
      </c>
      <c r="L10" s="345">
        <v>75</v>
      </c>
      <c r="M10" s="323">
        <f t="shared" si="0"/>
        <v>2480.25</v>
      </c>
      <c r="N10" s="324">
        <v>0</v>
      </c>
      <c r="O10" s="325">
        <f t="shared" si="1"/>
        <v>0</v>
      </c>
      <c r="P10" s="324">
        <v>0.16</v>
      </c>
      <c r="Q10" s="227">
        <f t="shared" si="2"/>
        <v>396.84000000000003</v>
      </c>
      <c r="R10" s="227">
        <f t="shared" si="3"/>
        <v>2877.09</v>
      </c>
      <c r="S10" s="229">
        <f>INDEX('Glosario Partidas'!$M$8:$M$10,MATCH(K10,'Glosario Partidas'!$L$8:$L$10,0))</f>
        <v>17.5</v>
      </c>
      <c r="T10" s="227">
        <f t="shared" si="4"/>
        <v>50349.075000000004</v>
      </c>
      <c r="U10" s="321" t="s">
        <v>729</v>
      </c>
      <c r="V10" s="321" t="s">
        <v>12</v>
      </c>
      <c r="W10" s="321" t="s">
        <v>491</v>
      </c>
      <c r="X10" s="321"/>
    </row>
    <row r="11" spans="1:29" ht="15" customHeight="1" x14ac:dyDescent="0.2">
      <c r="A11" s="211"/>
      <c r="B11" s="211" t="s">
        <v>76</v>
      </c>
      <c r="C11" s="75" t="s">
        <v>738</v>
      </c>
      <c r="D11" s="320" t="s">
        <v>727</v>
      </c>
      <c r="E11" s="321" t="s">
        <v>220</v>
      </c>
      <c r="F11" s="320" t="s">
        <v>221</v>
      </c>
      <c r="G11" s="321" t="s">
        <v>700</v>
      </c>
      <c r="H11" s="322" t="s">
        <v>728</v>
      </c>
      <c r="I11" s="75" t="s">
        <v>204</v>
      </c>
      <c r="J11" s="322">
        <v>16.47</v>
      </c>
      <c r="K11" s="75" t="s">
        <v>153</v>
      </c>
      <c r="L11" s="345">
        <v>65</v>
      </c>
      <c r="M11" s="323">
        <f t="shared" si="0"/>
        <v>1070.55</v>
      </c>
      <c r="N11" s="324">
        <v>0</v>
      </c>
      <c r="O11" s="325">
        <f t="shared" si="1"/>
        <v>0</v>
      </c>
      <c r="P11" s="324">
        <v>0.16</v>
      </c>
      <c r="Q11" s="227">
        <f t="shared" si="2"/>
        <v>171.28799999999998</v>
      </c>
      <c r="R11" s="227">
        <f t="shared" si="3"/>
        <v>1241.838</v>
      </c>
      <c r="S11" s="229">
        <f>INDEX('Glosario Partidas'!$M$8:$M$10,MATCH(K11,'Glosario Partidas'!$L$8:$L$10,0))</f>
        <v>17.5</v>
      </c>
      <c r="T11" s="227">
        <f t="shared" si="4"/>
        <v>21732.165000000001</v>
      </c>
      <c r="U11" s="321" t="s">
        <v>729</v>
      </c>
      <c r="V11" s="321" t="s">
        <v>12</v>
      </c>
      <c r="W11" s="321" t="s">
        <v>491</v>
      </c>
      <c r="X11" s="321"/>
    </row>
    <row r="12" spans="1:29" ht="15" customHeight="1" x14ac:dyDescent="0.2">
      <c r="A12" s="211"/>
      <c r="B12" s="211" t="s">
        <v>76</v>
      </c>
      <c r="C12" s="75" t="s">
        <v>739</v>
      </c>
      <c r="D12" s="320" t="s">
        <v>727</v>
      </c>
      <c r="E12" s="321" t="s">
        <v>220</v>
      </c>
      <c r="F12" s="320" t="s">
        <v>221</v>
      </c>
      <c r="G12" s="321" t="s">
        <v>700</v>
      </c>
      <c r="H12" s="322" t="s">
        <v>728</v>
      </c>
      <c r="I12" s="75" t="s">
        <v>204</v>
      </c>
      <c r="J12" s="322">
        <v>6.85</v>
      </c>
      <c r="K12" s="75" t="s">
        <v>153</v>
      </c>
      <c r="L12" s="345">
        <v>70</v>
      </c>
      <c r="M12" s="323">
        <f t="shared" si="0"/>
        <v>479.5</v>
      </c>
      <c r="N12" s="324">
        <v>0</v>
      </c>
      <c r="O12" s="325">
        <f t="shared" si="1"/>
        <v>0</v>
      </c>
      <c r="P12" s="324">
        <v>0.16</v>
      </c>
      <c r="Q12" s="227">
        <f t="shared" si="2"/>
        <v>76.72</v>
      </c>
      <c r="R12" s="227">
        <f t="shared" si="3"/>
        <v>556.22</v>
      </c>
      <c r="S12" s="229">
        <f>INDEX('Glosario Partidas'!$M$8:$M$10,MATCH(K12,'Glosario Partidas'!$L$8:$L$10,0))</f>
        <v>17.5</v>
      </c>
      <c r="T12" s="227">
        <f t="shared" si="4"/>
        <v>9733.85</v>
      </c>
      <c r="U12" s="321" t="s">
        <v>729</v>
      </c>
      <c r="V12" s="321" t="s">
        <v>12</v>
      </c>
      <c r="W12" s="321" t="s">
        <v>491</v>
      </c>
      <c r="X12" s="321"/>
    </row>
    <row r="13" spans="1:29" ht="15" customHeight="1" x14ac:dyDescent="0.2">
      <c r="A13" s="211"/>
      <c r="B13" s="211" t="s">
        <v>76</v>
      </c>
      <c r="C13" s="75" t="s">
        <v>740</v>
      </c>
      <c r="D13" s="320" t="s">
        <v>727</v>
      </c>
      <c r="E13" s="321" t="s">
        <v>220</v>
      </c>
      <c r="F13" s="320" t="s">
        <v>221</v>
      </c>
      <c r="G13" s="321" t="s">
        <v>700</v>
      </c>
      <c r="H13" s="322" t="s">
        <v>728</v>
      </c>
      <c r="I13" s="75" t="s">
        <v>204</v>
      </c>
      <c r="J13" s="322">
        <v>35.22</v>
      </c>
      <c r="K13" s="75" t="s">
        <v>153</v>
      </c>
      <c r="L13" s="345">
        <v>75</v>
      </c>
      <c r="M13" s="323">
        <f t="shared" si="0"/>
        <v>2641.5</v>
      </c>
      <c r="N13" s="324">
        <v>0</v>
      </c>
      <c r="O13" s="325">
        <f t="shared" si="1"/>
        <v>0</v>
      </c>
      <c r="P13" s="324">
        <v>0.16</v>
      </c>
      <c r="Q13" s="227">
        <f t="shared" si="2"/>
        <v>422.64</v>
      </c>
      <c r="R13" s="227">
        <f t="shared" si="3"/>
        <v>3064.14</v>
      </c>
      <c r="S13" s="229">
        <f>INDEX('Glosario Partidas'!$M$8:$M$10,MATCH(K13,'Glosario Partidas'!$L$8:$L$10,0))</f>
        <v>17.5</v>
      </c>
      <c r="T13" s="227">
        <f t="shared" si="4"/>
        <v>53622.45</v>
      </c>
      <c r="U13" s="321" t="s">
        <v>729</v>
      </c>
      <c r="V13" s="321" t="s">
        <v>12</v>
      </c>
      <c r="W13" s="321" t="s">
        <v>491</v>
      </c>
      <c r="X13" s="321"/>
    </row>
    <row r="14" spans="1:29" ht="15" customHeight="1" x14ac:dyDescent="0.2">
      <c r="A14" s="211"/>
      <c r="B14" s="211" t="s">
        <v>76</v>
      </c>
      <c r="C14" s="75" t="s">
        <v>741</v>
      </c>
      <c r="D14" s="320" t="s">
        <v>727</v>
      </c>
      <c r="E14" s="321" t="s">
        <v>220</v>
      </c>
      <c r="F14" s="320" t="s">
        <v>221</v>
      </c>
      <c r="G14" s="321" t="s">
        <v>700</v>
      </c>
      <c r="H14" s="322" t="s">
        <v>728</v>
      </c>
      <c r="I14" s="75" t="s">
        <v>204</v>
      </c>
      <c r="J14" s="322">
        <v>16.53</v>
      </c>
      <c r="K14" s="75" t="s">
        <v>153</v>
      </c>
      <c r="L14" s="345">
        <v>65</v>
      </c>
      <c r="M14" s="323">
        <f t="shared" si="0"/>
        <v>1074.45</v>
      </c>
      <c r="N14" s="324">
        <v>0</v>
      </c>
      <c r="O14" s="325">
        <f t="shared" si="1"/>
        <v>0</v>
      </c>
      <c r="P14" s="324">
        <v>0.16</v>
      </c>
      <c r="Q14" s="227">
        <f t="shared" si="2"/>
        <v>171.91200000000001</v>
      </c>
      <c r="R14" s="227">
        <f t="shared" si="3"/>
        <v>1246.3620000000001</v>
      </c>
      <c r="S14" s="229">
        <f>INDEX('Glosario Partidas'!$M$8:$M$10,MATCH(K14,'Glosario Partidas'!$L$8:$L$10,0))</f>
        <v>17.5</v>
      </c>
      <c r="T14" s="227">
        <f t="shared" si="4"/>
        <v>21811.335000000003</v>
      </c>
      <c r="U14" s="321" t="s">
        <v>729</v>
      </c>
      <c r="V14" s="321" t="s">
        <v>12</v>
      </c>
      <c r="W14" s="321" t="s">
        <v>491</v>
      </c>
      <c r="X14" s="321"/>
    </row>
    <row r="15" spans="1:29" ht="15" customHeight="1" x14ac:dyDescent="0.2">
      <c r="A15" s="211"/>
      <c r="B15" s="211" t="s">
        <v>76</v>
      </c>
      <c r="C15" s="75" t="s">
        <v>742</v>
      </c>
      <c r="D15" s="320" t="s">
        <v>727</v>
      </c>
      <c r="E15" s="321" t="s">
        <v>220</v>
      </c>
      <c r="F15" s="320" t="s">
        <v>221</v>
      </c>
      <c r="G15" s="321" t="s">
        <v>700</v>
      </c>
      <c r="H15" s="322" t="s">
        <v>728</v>
      </c>
      <c r="I15" s="75" t="s">
        <v>204</v>
      </c>
      <c r="J15" s="322">
        <v>5.05</v>
      </c>
      <c r="K15" s="75" t="s">
        <v>153</v>
      </c>
      <c r="L15" s="345">
        <v>70</v>
      </c>
      <c r="M15" s="323">
        <f t="shared" si="0"/>
        <v>353.5</v>
      </c>
      <c r="N15" s="324">
        <v>0</v>
      </c>
      <c r="O15" s="325">
        <f t="shared" si="1"/>
        <v>0</v>
      </c>
      <c r="P15" s="324">
        <v>0.16</v>
      </c>
      <c r="Q15" s="227">
        <f t="shared" si="2"/>
        <v>56.56</v>
      </c>
      <c r="R15" s="227">
        <f t="shared" si="3"/>
        <v>410.06</v>
      </c>
      <c r="S15" s="229">
        <f>INDEX('Glosario Partidas'!$M$8:$M$10,MATCH(K15,'Glosario Partidas'!$L$8:$L$10,0))</f>
        <v>17.5</v>
      </c>
      <c r="T15" s="227">
        <f t="shared" si="4"/>
        <v>7176.05</v>
      </c>
      <c r="U15" s="321" t="s">
        <v>729</v>
      </c>
      <c r="V15" s="321" t="s">
        <v>12</v>
      </c>
      <c r="W15" s="321" t="s">
        <v>491</v>
      </c>
      <c r="X15" s="321"/>
    </row>
    <row r="16" spans="1:29" ht="15" customHeight="1" x14ac:dyDescent="0.2">
      <c r="A16" s="211"/>
      <c r="B16" s="211" t="s">
        <v>76</v>
      </c>
      <c r="C16" s="75" t="s">
        <v>743</v>
      </c>
      <c r="D16" s="320" t="s">
        <v>727</v>
      </c>
      <c r="E16" s="321" t="s">
        <v>220</v>
      </c>
      <c r="F16" s="320" t="s">
        <v>221</v>
      </c>
      <c r="G16" s="321" t="s">
        <v>700</v>
      </c>
      <c r="H16" s="322" t="s">
        <v>728</v>
      </c>
      <c r="I16" s="75" t="s">
        <v>204</v>
      </c>
      <c r="J16" s="322">
        <v>27.84</v>
      </c>
      <c r="K16" s="75" t="s">
        <v>153</v>
      </c>
      <c r="L16" s="345">
        <v>75</v>
      </c>
      <c r="M16" s="323">
        <f t="shared" si="0"/>
        <v>2088</v>
      </c>
      <c r="N16" s="324">
        <v>0</v>
      </c>
      <c r="O16" s="325">
        <f t="shared" si="1"/>
        <v>0</v>
      </c>
      <c r="P16" s="324">
        <v>0.16</v>
      </c>
      <c r="Q16" s="227">
        <f t="shared" si="2"/>
        <v>334.08</v>
      </c>
      <c r="R16" s="227">
        <f t="shared" si="3"/>
        <v>2422.08</v>
      </c>
      <c r="S16" s="229">
        <f>INDEX('Glosario Partidas'!$M$8:$M$10,MATCH(K16,'Glosario Partidas'!$L$8:$L$10,0))</f>
        <v>17.5</v>
      </c>
      <c r="T16" s="227">
        <f t="shared" si="4"/>
        <v>42386.400000000001</v>
      </c>
      <c r="U16" s="321" t="s">
        <v>729</v>
      </c>
      <c r="V16" s="321" t="s">
        <v>12</v>
      </c>
      <c r="W16" s="321" t="s">
        <v>491</v>
      </c>
      <c r="X16" s="321"/>
    </row>
    <row r="17" spans="1:24" ht="15" customHeight="1" x14ac:dyDescent="0.2">
      <c r="A17" s="211"/>
      <c r="B17" s="211" t="s">
        <v>76</v>
      </c>
      <c r="C17" s="75" t="s">
        <v>744</v>
      </c>
      <c r="D17" s="320" t="s">
        <v>727</v>
      </c>
      <c r="E17" s="321" t="s">
        <v>220</v>
      </c>
      <c r="F17" s="320" t="s">
        <v>221</v>
      </c>
      <c r="G17" s="321" t="s">
        <v>700</v>
      </c>
      <c r="H17" s="322" t="s">
        <v>728</v>
      </c>
      <c r="I17" s="75" t="s">
        <v>204</v>
      </c>
      <c r="J17" s="322">
        <v>13.82</v>
      </c>
      <c r="K17" s="75" t="s">
        <v>153</v>
      </c>
      <c r="L17" s="345">
        <v>60</v>
      </c>
      <c r="M17" s="323">
        <f t="shared" si="0"/>
        <v>829.2</v>
      </c>
      <c r="N17" s="324">
        <v>0</v>
      </c>
      <c r="O17" s="325">
        <f t="shared" si="1"/>
        <v>0</v>
      </c>
      <c r="P17" s="324">
        <v>0.16</v>
      </c>
      <c r="Q17" s="227">
        <f t="shared" si="2"/>
        <v>132.672</v>
      </c>
      <c r="R17" s="227">
        <f t="shared" si="3"/>
        <v>961.87200000000007</v>
      </c>
      <c r="S17" s="229">
        <f>INDEX('Glosario Partidas'!$M$8:$M$10,MATCH(K17,'Glosario Partidas'!$L$8:$L$10,0))</f>
        <v>17.5</v>
      </c>
      <c r="T17" s="227">
        <f t="shared" si="4"/>
        <v>16832.760000000002</v>
      </c>
      <c r="U17" s="321" t="s">
        <v>729</v>
      </c>
      <c r="V17" s="321" t="s">
        <v>12</v>
      </c>
      <c r="W17" s="321" t="s">
        <v>491</v>
      </c>
      <c r="X17" s="321"/>
    </row>
    <row r="18" spans="1:24" ht="15" customHeight="1" x14ac:dyDescent="0.2">
      <c r="A18" s="189"/>
      <c r="B18" s="211" t="s">
        <v>76</v>
      </c>
      <c r="C18" s="75" t="s">
        <v>745</v>
      </c>
      <c r="D18" s="320" t="s">
        <v>727</v>
      </c>
      <c r="E18" s="321" t="s">
        <v>220</v>
      </c>
      <c r="F18" s="320" t="s">
        <v>221</v>
      </c>
      <c r="G18" s="321" t="s">
        <v>700</v>
      </c>
      <c r="H18" s="322" t="s">
        <v>728</v>
      </c>
      <c r="I18" s="75" t="s">
        <v>204</v>
      </c>
      <c r="J18" s="322">
        <v>27.84</v>
      </c>
      <c r="K18" s="75" t="s">
        <v>153</v>
      </c>
      <c r="L18" s="345">
        <v>75</v>
      </c>
      <c r="M18" s="323">
        <f t="shared" si="0"/>
        <v>2088</v>
      </c>
      <c r="N18" s="324">
        <v>0</v>
      </c>
      <c r="O18" s="325">
        <f t="shared" si="1"/>
        <v>0</v>
      </c>
      <c r="P18" s="324">
        <v>0.16</v>
      </c>
      <c r="Q18" s="227">
        <f t="shared" si="2"/>
        <v>334.08</v>
      </c>
      <c r="R18" s="227">
        <f t="shared" si="3"/>
        <v>2422.08</v>
      </c>
      <c r="S18" s="229">
        <f>INDEX('Glosario Partidas'!$M$8:$M$10,MATCH(K18,'Glosario Partidas'!$L$8:$L$10,0))</f>
        <v>17.5</v>
      </c>
      <c r="T18" s="227">
        <f t="shared" si="4"/>
        <v>42386.400000000001</v>
      </c>
      <c r="U18" s="321" t="s">
        <v>729</v>
      </c>
      <c r="V18" s="321" t="s">
        <v>12</v>
      </c>
      <c r="W18" s="321" t="s">
        <v>491</v>
      </c>
      <c r="X18" s="321"/>
    </row>
    <row r="19" spans="1:24" ht="15" customHeight="1" x14ac:dyDescent="0.2">
      <c r="B19" s="211" t="s">
        <v>76</v>
      </c>
      <c r="C19" s="75" t="s">
        <v>746</v>
      </c>
      <c r="D19" s="320" t="s">
        <v>727</v>
      </c>
      <c r="E19" s="321" t="s">
        <v>220</v>
      </c>
      <c r="F19" s="320" t="s">
        <v>221</v>
      </c>
      <c r="G19" s="321" t="s">
        <v>700</v>
      </c>
      <c r="H19" s="322" t="s">
        <v>728</v>
      </c>
      <c r="I19" s="75" t="s">
        <v>204</v>
      </c>
      <c r="J19" s="322">
        <v>13.82</v>
      </c>
      <c r="K19" s="75" t="s">
        <v>153</v>
      </c>
      <c r="L19" s="345">
        <v>60</v>
      </c>
      <c r="M19" s="323">
        <f t="shared" si="0"/>
        <v>829.2</v>
      </c>
      <c r="N19" s="324">
        <v>0</v>
      </c>
      <c r="O19" s="325">
        <f t="shared" si="1"/>
        <v>0</v>
      </c>
      <c r="P19" s="324">
        <v>0.16</v>
      </c>
      <c r="Q19" s="227">
        <f t="shared" si="2"/>
        <v>132.672</v>
      </c>
      <c r="R19" s="227">
        <f t="shared" si="3"/>
        <v>961.87200000000007</v>
      </c>
      <c r="S19" s="229">
        <f>INDEX('Glosario Partidas'!$M$8:$M$10,MATCH(K19,'Glosario Partidas'!$L$8:$L$10,0))</f>
        <v>17.5</v>
      </c>
      <c r="T19" s="227">
        <f t="shared" si="4"/>
        <v>16832.760000000002</v>
      </c>
      <c r="U19" s="321" t="s">
        <v>729</v>
      </c>
      <c r="V19" s="321" t="s">
        <v>12</v>
      </c>
      <c r="W19" s="321" t="s">
        <v>491</v>
      </c>
      <c r="X19" s="321"/>
    </row>
    <row r="20" spans="1:24" ht="15" customHeight="1" x14ac:dyDescent="0.2">
      <c r="B20" s="211" t="s">
        <v>76</v>
      </c>
      <c r="C20" s="75" t="s">
        <v>747</v>
      </c>
      <c r="D20" s="320" t="s">
        <v>727</v>
      </c>
      <c r="E20" s="321" t="s">
        <v>220</v>
      </c>
      <c r="F20" s="320" t="s">
        <v>221</v>
      </c>
      <c r="G20" s="321" t="s">
        <v>700</v>
      </c>
      <c r="H20" s="322" t="s">
        <v>728</v>
      </c>
      <c r="I20" s="75" t="s">
        <v>204</v>
      </c>
      <c r="J20" s="322">
        <v>11.1</v>
      </c>
      <c r="K20" s="75" t="s">
        <v>153</v>
      </c>
      <c r="L20" s="345">
        <v>5</v>
      </c>
      <c r="M20" s="323">
        <f t="shared" si="0"/>
        <v>55.5</v>
      </c>
      <c r="N20" s="324">
        <v>0</v>
      </c>
      <c r="O20" s="325">
        <f t="shared" si="1"/>
        <v>0</v>
      </c>
      <c r="P20" s="324">
        <v>0.16</v>
      </c>
      <c r="Q20" s="227">
        <f t="shared" si="2"/>
        <v>8.8800000000000008</v>
      </c>
      <c r="R20" s="227">
        <f t="shared" si="3"/>
        <v>64.38</v>
      </c>
      <c r="S20" s="229">
        <f>INDEX('Glosario Partidas'!$M$8:$M$10,MATCH(K20,'Glosario Partidas'!$L$8:$L$10,0))</f>
        <v>17.5</v>
      </c>
      <c r="T20" s="227">
        <f t="shared" si="4"/>
        <v>1126.6499999999999</v>
      </c>
      <c r="U20" s="321" t="s">
        <v>729</v>
      </c>
      <c r="V20" s="321" t="s">
        <v>12</v>
      </c>
      <c r="W20" s="321" t="s">
        <v>491</v>
      </c>
      <c r="X20" s="321"/>
    </row>
    <row r="21" spans="1:24" ht="15" customHeight="1" x14ac:dyDescent="0.2">
      <c r="B21" s="211" t="s">
        <v>76</v>
      </c>
      <c r="C21" s="75" t="s">
        <v>748</v>
      </c>
      <c r="D21" s="320" t="s">
        <v>749</v>
      </c>
      <c r="E21" s="321" t="s">
        <v>220</v>
      </c>
      <c r="F21" s="320" t="s">
        <v>221</v>
      </c>
      <c r="G21" s="321" t="s">
        <v>700</v>
      </c>
      <c r="H21" s="322" t="s">
        <v>728</v>
      </c>
      <c r="I21" s="75" t="s">
        <v>204</v>
      </c>
      <c r="J21" s="322">
        <v>54.96</v>
      </c>
      <c r="K21" s="75" t="s">
        <v>153</v>
      </c>
      <c r="L21" s="345">
        <v>40</v>
      </c>
      <c r="M21" s="323">
        <f t="shared" si="0"/>
        <v>2198.4</v>
      </c>
      <c r="N21" s="324">
        <v>0</v>
      </c>
      <c r="O21" s="325">
        <f t="shared" si="1"/>
        <v>0</v>
      </c>
      <c r="P21" s="324">
        <v>0.16</v>
      </c>
      <c r="Q21" s="227">
        <f t="shared" si="2"/>
        <v>351.74400000000003</v>
      </c>
      <c r="R21" s="227">
        <f t="shared" si="3"/>
        <v>2550.1440000000002</v>
      </c>
      <c r="S21" s="229">
        <f>INDEX('Glosario Partidas'!$M$8:$M$10,MATCH(K21,'Glosario Partidas'!$L$8:$L$10,0))</f>
        <v>17.5</v>
      </c>
      <c r="T21" s="227">
        <f t="shared" si="4"/>
        <v>44627.520000000004</v>
      </c>
      <c r="U21" s="321" t="s">
        <v>729</v>
      </c>
      <c r="V21" s="321" t="s">
        <v>12</v>
      </c>
      <c r="W21" s="321" t="s">
        <v>491</v>
      </c>
      <c r="X21" s="321"/>
    </row>
    <row r="22" spans="1:24" ht="15" customHeight="1" x14ac:dyDescent="0.2">
      <c r="B22" s="211" t="s">
        <v>76</v>
      </c>
      <c r="C22" s="75" t="s">
        <v>750</v>
      </c>
      <c r="D22" s="320" t="s">
        <v>749</v>
      </c>
      <c r="E22" s="321" t="s">
        <v>220</v>
      </c>
      <c r="F22" s="320" t="s">
        <v>221</v>
      </c>
      <c r="G22" s="321" t="s">
        <v>700</v>
      </c>
      <c r="H22" s="322" t="s">
        <v>728</v>
      </c>
      <c r="I22" s="75" t="s">
        <v>204</v>
      </c>
      <c r="J22" s="322">
        <v>99.72</v>
      </c>
      <c r="K22" s="75" t="s">
        <v>153</v>
      </c>
      <c r="L22" s="345">
        <v>45</v>
      </c>
      <c r="M22" s="323">
        <f t="shared" si="0"/>
        <v>4487.3999999999996</v>
      </c>
      <c r="N22" s="324">
        <v>0</v>
      </c>
      <c r="O22" s="325">
        <f t="shared" si="1"/>
        <v>0</v>
      </c>
      <c r="P22" s="324">
        <v>0.16</v>
      </c>
      <c r="Q22" s="227">
        <f t="shared" si="2"/>
        <v>717.98399999999992</v>
      </c>
      <c r="R22" s="227">
        <f t="shared" si="3"/>
        <v>5205.384</v>
      </c>
      <c r="S22" s="229">
        <f>INDEX('Glosario Partidas'!$M$8:$M$10,MATCH(K22,'Glosario Partidas'!$L$8:$L$10,0))</f>
        <v>17.5</v>
      </c>
      <c r="T22" s="227">
        <f t="shared" si="4"/>
        <v>91094.22</v>
      </c>
      <c r="U22" s="321" t="s">
        <v>729</v>
      </c>
      <c r="V22" s="321" t="s">
        <v>12</v>
      </c>
      <c r="W22" s="321" t="s">
        <v>491</v>
      </c>
      <c r="X22" s="321"/>
    </row>
    <row r="23" spans="1:24" ht="15" customHeight="1" x14ac:dyDescent="0.2">
      <c r="B23" s="211" t="s">
        <v>76</v>
      </c>
      <c r="C23" s="75" t="s">
        <v>751</v>
      </c>
      <c r="D23" s="320" t="s">
        <v>749</v>
      </c>
      <c r="E23" s="321" t="s">
        <v>220</v>
      </c>
      <c r="F23" s="320" t="s">
        <v>221</v>
      </c>
      <c r="G23" s="321" t="s">
        <v>700</v>
      </c>
      <c r="H23" s="322" t="s">
        <v>728</v>
      </c>
      <c r="I23" s="75" t="s">
        <v>204</v>
      </c>
      <c r="J23" s="322">
        <v>135.49</v>
      </c>
      <c r="K23" s="75" t="s">
        <v>153</v>
      </c>
      <c r="L23" s="345">
        <v>40</v>
      </c>
      <c r="M23" s="323">
        <f t="shared" si="0"/>
        <v>5419.6</v>
      </c>
      <c r="N23" s="324">
        <v>0</v>
      </c>
      <c r="O23" s="325">
        <f t="shared" si="1"/>
        <v>0</v>
      </c>
      <c r="P23" s="324">
        <v>0.16</v>
      </c>
      <c r="Q23" s="227">
        <f t="shared" si="2"/>
        <v>867.13600000000008</v>
      </c>
      <c r="R23" s="227">
        <f t="shared" si="3"/>
        <v>6286.7360000000008</v>
      </c>
      <c r="S23" s="229">
        <f>INDEX('Glosario Partidas'!$M$8:$M$10,MATCH(K23,'Glosario Partidas'!$L$8:$L$10,0))</f>
        <v>17.5</v>
      </c>
      <c r="T23" s="227">
        <f t="shared" si="4"/>
        <v>110017.88000000002</v>
      </c>
      <c r="U23" s="321" t="s">
        <v>729</v>
      </c>
      <c r="V23" s="321" t="s">
        <v>12</v>
      </c>
      <c r="W23" s="321" t="s">
        <v>491</v>
      </c>
      <c r="X23" s="321"/>
    </row>
    <row r="24" spans="1:24" ht="15" customHeight="1" x14ac:dyDescent="0.2">
      <c r="B24" s="211" t="s">
        <v>76</v>
      </c>
      <c r="C24" s="75" t="s">
        <v>752</v>
      </c>
      <c r="D24" s="320" t="s">
        <v>749</v>
      </c>
      <c r="E24" s="321" t="s">
        <v>220</v>
      </c>
      <c r="F24" s="320" t="s">
        <v>221</v>
      </c>
      <c r="G24" s="321" t="s">
        <v>700</v>
      </c>
      <c r="H24" s="322" t="s">
        <v>728</v>
      </c>
      <c r="I24" s="75" t="s">
        <v>204</v>
      </c>
      <c r="J24" s="322">
        <v>60.6</v>
      </c>
      <c r="K24" s="75" t="s">
        <v>153</v>
      </c>
      <c r="L24" s="345">
        <v>55</v>
      </c>
      <c r="M24" s="323">
        <f t="shared" si="0"/>
        <v>3333</v>
      </c>
      <c r="N24" s="324">
        <v>0</v>
      </c>
      <c r="O24" s="325">
        <f t="shared" si="1"/>
        <v>0</v>
      </c>
      <c r="P24" s="324">
        <v>0.16</v>
      </c>
      <c r="Q24" s="227">
        <f t="shared" si="2"/>
        <v>533.28</v>
      </c>
      <c r="R24" s="227">
        <f t="shared" si="3"/>
        <v>3866.2799999999997</v>
      </c>
      <c r="S24" s="229">
        <f>INDEX('Glosario Partidas'!$M$8:$M$10,MATCH(K24,'Glosario Partidas'!$L$8:$L$10,0))</f>
        <v>17.5</v>
      </c>
      <c r="T24" s="227">
        <f t="shared" si="4"/>
        <v>67659.899999999994</v>
      </c>
      <c r="U24" s="321" t="s">
        <v>729</v>
      </c>
      <c r="V24" s="321" t="s">
        <v>12</v>
      </c>
      <c r="W24" s="321" t="s">
        <v>491</v>
      </c>
      <c r="X24" s="321"/>
    </row>
    <row r="25" spans="1:24" ht="15" customHeight="1" x14ac:dyDescent="0.2">
      <c r="B25" s="211" t="s">
        <v>76</v>
      </c>
      <c r="C25" s="75" t="s">
        <v>726</v>
      </c>
      <c r="D25" s="320" t="s">
        <v>727</v>
      </c>
      <c r="E25" s="321" t="s">
        <v>220</v>
      </c>
      <c r="F25" s="320" t="s">
        <v>221</v>
      </c>
      <c r="G25" s="321" t="s">
        <v>703</v>
      </c>
      <c r="H25" s="322" t="s">
        <v>728</v>
      </c>
      <c r="I25" s="75" t="s">
        <v>204</v>
      </c>
      <c r="J25" s="322">
        <v>16.010000000000002</v>
      </c>
      <c r="K25" s="75" t="s">
        <v>153</v>
      </c>
      <c r="L25" s="345">
        <v>55</v>
      </c>
      <c r="M25" s="323">
        <f t="shared" si="0"/>
        <v>880.55000000000007</v>
      </c>
      <c r="N25" s="324">
        <v>0</v>
      </c>
      <c r="O25" s="325">
        <f t="shared" si="1"/>
        <v>0</v>
      </c>
      <c r="P25" s="324">
        <v>0.16</v>
      </c>
      <c r="Q25" s="227">
        <f t="shared" si="2"/>
        <v>140.88800000000001</v>
      </c>
      <c r="R25" s="227">
        <f t="shared" si="3"/>
        <v>1021.4380000000001</v>
      </c>
      <c r="S25" s="229">
        <f>INDEX('Glosario Partidas'!$M$8:$M$10,MATCH(K25,'Glosario Partidas'!$L$8:$L$10,0))</f>
        <v>17.5</v>
      </c>
      <c r="T25" s="227">
        <f t="shared" si="4"/>
        <v>17875.165000000001</v>
      </c>
      <c r="U25" s="321" t="s">
        <v>729</v>
      </c>
      <c r="V25" s="321" t="s">
        <v>12</v>
      </c>
      <c r="W25" s="321" t="s">
        <v>491</v>
      </c>
      <c r="X25" s="321"/>
    </row>
    <row r="26" spans="1:24" ht="15" customHeight="1" x14ac:dyDescent="0.2">
      <c r="B26" s="211" t="s">
        <v>76</v>
      </c>
      <c r="C26" s="75" t="s">
        <v>730</v>
      </c>
      <c r="D26" s="320" t="s">
        <v>727</v>
      </c>
      <c r="E26" s="321" t="s">
        <v>220</v>
      </c>
      <c r="F26" s="320" t="s">
        <v>221</v>
      </c>
      <c r="G26" s="321" t="s">
        <v>703</v>
      </c>
      <c r="H26" s="322" t="s">
        <v>728</v>
      </c>
      <c r="I26" s="75" t="s">
        <v>204</v>
      </c>
      <c r="J26" s="322">
        <v>31.62</v>
      </c>
      <c r="K26" s="75" t="s">
        <v>153</v>
      </c>
      <c r="L26" s="345">
        <v>55</v>
      </c>
      <c r="M26" s="323">
        <f t="shared" si="0"/>
        <v>1739.1000000000001</v>
      </c>
      <c r="N26" s="324">
        <v>0</v>
      </c>
      <c r="O26" s="325">
        <f t="shared" si="1"/>
        <v>0</v>
      </c>
      <c r="P26" s="324">
        <v>0.16</v>
      </c>
      <c r="Q26" s="227">
        <f t="shared" si="2"/>
        <v>278.25600000000003</v>
      </c>
      <c r="R26" s="227">
        <f t="shared" si="3"/>
        <v>2017.3560000000002</v>
      </c>
      <c r="S26" s="229">
        <f>INDEX('Glosario Partidas'!$M$8:$M$10,MATCH(K26,'Glosario Partidas'!$L$8:$L$10,0))</f>
        <v>17.5</v>
      </c>
      <c r="T26" s="227">
        <f t="shared" si="4"/>
        <v>35303.730000000003</v>
      </c>
      <c r="U26" s="321" t="s">
        <v>729</v>
      </c>
      <c r="V26" s="321" t="s">
        <v>12</v>
      </c>
      <c r="W26" s="321" t="s">
        <v>491</v>
      </c>
      <c r="X26" s="321"/>
    </row>
    <row r="27" spans="1:24" ht="15" customHeight="1" x14ac:dyDescent="0.2">
      <c r="B27" s="211" t="s">
        <v>76</v>
      </c>
      <c r="C27" s="75" t="s">
        <v>731</v>
      </c>
      <c r="D27" s="320" t="s">
        <v>727</v>
      </c>
      <c r="E27" s="321" t="s">
        <v>220</v>
      </c>
      <c r="F27" s="320" t="s">
        <v>221</v>
      </c>
      <c r="G27" s="321" t="s">
        <v>703</v>
      </c>
      <c r="H27" s="322" t="s">
        <v>728</v>
      </c>
      <c r="I27" s="75" t="s">
        <v>204</v>
      </c>
      <c r="J27" s="322">
        <v>2.2799999999999998</v>
      </c>
      <c r="K27" s="75" t="s">
        <v>153</v>
      </c>
      <c r="L27" s="345">
        <v>40</v>
      </c>
      <c r="M27" s="323">
        <f t="shared" si="0"/>
        <v>91.199999999999989</v>
      </c>
      <c r="N27" s="324">
        <v>0</v>
      </c>
      <c r="O27" s="325">
        <f t="shared" si="1"/>
        <v>0</v>
      </c>
      <c r="P27" s="324">
        <v>0.16</v>
      </c>
      <c r="Q27" s="227">
        <f t="shared" si="2"/>
        <v>14.591999999999999</v>
      </c>
      <c r="R27" s="227">
        <f t="shared" si="3"/>
        <v>105.79199999999999</v>
      </c>
      <c r="S27" s="229">
        <f>INDEX('Glosario Partidas'!$M$8:$M$10,MATCH(K27,'Glosario Partidas'!$L$8:$L$10,0))</f>
        <v>17.5</v>
      </c>
      <c r="T27" s="227">
        <f t="shared" si="4"/>
        <v>1851.3599999999997</v>
      </c>
      <c r="U27" s="321" t="s">
        <v>729</v>
      </c>
      <c r="V27" s="321" t="s">
        <v>12</v>
      </c>
      <c r="W27" s="321" t="s">
        <v>491</v>
      </c>
      <c r="X27" s="321"/>
    </row>
    <row r="28" spans="1:24" ht="15" customHeight="1" x14ac:dyDescent="0.2">
      <c r="B28" s="211" t="s">
        <v>76</v>
      </c>
      <c r="C28" s="75" t="s">
        <v>732</v>
      </c>
      <c r="D28" s="320" t="s">
        <v>727</v>
      </c>
      <c r="E28" s="321" t="s">
        <v>220</v>
      </c>
      <c r="F28" s="320" t="s">
        <v>221</v>
      </c>
      <c r="G28" s="321" t="s">
        <v>703</v>
      </c>
      <c r="H28" s="322" t="s">
        <v>728</v>
      </c>
      <c r="I28" s="75" t="s">
        <v>204</v>
      </c>
      <c r="J28" s="322">
        <v>3.62</v>
      </c>
      <c r="K28" s="75" t="s">
        <v>153</v>
      </c>
      <c r="L28" s="345">
        <v>55</v>
      </c>
      <c r="M28" s="323">
        <f t="shared" si="0"/>
        <v>199.1</v>
      </c>
      <c r="N28" s="324">
        <v>0</v>
      </c>
      <c r="O28" s="325">
        <f t="shared" si="1"/>
        <v>0</v>
      </c>
      <c r="P28" s="324">
        <v>0.16</v>
      </c>
      <c r="Q28" s="227">
        <f t="shared" si="2"/>
        <v>31.855999999999998</v>
      </c>
      <c r="R28" s="227">
        <f t="shared" si="3"/>
        <v>230.95599999999999</v>
      </c>
      <c r="S28" s="229">
        <f>INDEX('Glosario Partidas'!$M$8:$M$10,MATCH(K28,'Glosario Partidas'!$L$8:$L$10,0))</f>
        <v>17.5</v>
      </c>
      <c r="T28" s="227">
        <f t="shared" si="4"/>
        <v>4041.73</v>
      </c>
      <c r="U28" s="321" t="s">
        <v>729</v>
      </c>
      <c r="V28" s="321" t="s">
        <v>12</v>
      </c>
      <c r="W28" s="321" t="s">
        <v>491</v>
      </c>
      <c r="X28" s="321"/>
    </row>
    <row r="29" spans="1:24" ht="15" customHeight="1" x14ac:dyDescent="0.2">
      <c r="B29" s="211" t="s">
        <v>76</v>
      </c>
      <c r="C29" s="75" t="s">
        <v>733</v>
      </c>
      <c r="D29" s="320" t="s">
        <v>727</v>
      </c>
      <c r="E29" s="321" t="s">
        <v>220</v>
      </c>
      <c r="F29" s="320" t="s">
        <v>221</v>
      </c>
      <c r="G29" s="321" t="s">
        <v>703</v>
      </c>
      <c r="H29" s="322" t="s">
        <v>728</v>
      </c>
      <c r="I29" s="75" t="s">
        <v>204</v>
      </c>
      <c r="J29" s="322">
        <v>2.54</v>
      </c>
      <c r="K29" s="75" t="s">
        <v>153</v>
      </c>
      <c r="L29" s="345">
        <v>5</v>
      </c>
      <c r="M29" s="323">
        <f t="shared" si="0"/>
        <v>12.7</v>
      </c>
      <c r="N29" s="324">
        <v>0</v>
      </c>
      <c r="O29" s="325">
        <f t="shared" si="1"/>
        <v>0</v>
      </c>
      <c r="P29" s="324">
        <v>0.16</v>
      </c>
      <c r="Q29" s="227">
        <f t="shared" si="2"/>
        <v>2.032</v>
      </c>
      <c r="R29" s="227">
        <f t="shared" si="3"/>
        <v>14.731999999999999</v>
      </c>
      <c r="S29" s="229">
        <f>INDEX('Glosario Partidas'!$M$8:$M$10,MATCH(K29,'Glosario Partidas'!$L$8:$L$10,0))</f>
        <v>17.5</v>
      </c>
      <c r="T29" s="227">
        <f t="shared" si="4"/>
        <v>257.81</v>
      </c>
      <c r="U29" s="321" t="s">
        <v>729</v>
      </c>
      <c r="V29" s="321" t="s">
        <v>12</v>
      </c>
      <c r="W29" s="321" t="s">
        <v>491</v>
      </c>
      <c r="X29" s="321"/>
    </row>
    <row r="30" spans="1:24" ht="15" customHeight="1" x14ac:dyDescent="0.2">
      <c r="B30" s="211" t="s">
        <v>76</v>
      </c>
      <c r="C30" s="75" t="s">
        <v>734</v>
      </c>
      <c r="D30" s="320" t="s">
        <v>727</v>
      </c>
      <c r="E30" s="321" t="s">
        <v>220</v>
      </c>
      <c r="F30" s="320" t="s">
        <v>221</v>
      </c>
      <c r="G30" s="321" t="s">
        <v>703</v>
      </c>
      <c r="H30" s="322" t="s">
        <v>728</v>
      </c>
      <c r="I30" s="75" t="s">
        <v>204</v>
      </c>
      <c r="J30" s="322">
        <v>9.35</v>
      </c>
      <c r="K30" s="75" t="s">
        <v>153</v>
      </c>
      <c r="L30" s="345">
        <v>5</v>
      </c>
      <c r="M30" s="323">
        <f t="shared" si="0"/>
        <v>46.75</v>
      </c>
      <c r="N30" s="324">
        <v>0</v>
      </c>
      <c r="O30" s="325">
        <f t="shared" si="1"/>
        <v>0</v>
      </c>
      <c r="P30" s="324">
        <v>0.16</v>
      </c>
      <c r="Q30" s="227">
        <f t="shared" si="2"/>
        <v>7.48</v>
      </c>
      <c r="R30" s="227">
        <f t="shared" si="3"/>
        <v>54.230000000000004</v>
      </c>
      <c r="S30" s="229">
        <f>INDEX('Glosario Partidas'!$M$8:$M$10,MATCH(K30,'Glosario Partidas'!$L$8:$L$10,0))</f>
        <v>17.5</v>
      </c>
      <c r="T30" s="227">
        <f t="shared" si="4"/>
        <v>949.02500000000009</v>
      </c>
      <c r="U30" s="321" t="s">
        <v>729</v>
      </c>
      <c r="V30" s="321" t="s">
        <v>12</v>
      </c>
      <c r="W30" s="321" t="s">
        <v>491</v>
      </c>
      <c r="X30" s="321"/>
    </row>
    <row r="31" spans="1:24" ht="15" customHeight="1" x14ac:dyDescent="0.2">
      <c r="B31" s="211" t="s">
        <v>76</v>
      </c>
      <c r="C31" s="75" t="s">
        <v>735</v>
      </c>
      <c r="D31" s="320" t="s">
        <v>727</v>
      </c>
      <c r="E31" s="321" t="s">
        <v>220</v>
      </c>
      <c r="F31" s="320" t="s">
        <v>221</v>
      </c>
      <c r="G31" s="321" t="s">
        <v>703</v>
      </c>
      <c r="H31" s="322" t="s">
        <v>728</v>
      </c>
      <c r="I31" s="75" t="s">
        <v>204</v>
      </c>
      <c r="J31" s="322">
        <v>26.66</v>
      </c>
      <c r="K31" s="75" t="s">
        <v>153</v>
      </c>
      <c r="L31" s="345">
        <v>75</v>
      </c>
      <c r="M31" s="323">
        <f t="shared" si="0"/>
        <v>1999.5</v>
      </c>
      <c r="N31" s="324">
        <v>0</v>
      </c>
      <c r="O31" s="325">
        <f t="shared" si="1"/>
        <v>0</v>
      </c>
      <c r="P31" s="324">
        <v>0.16</v>
      </c>
      <c r="Q31" s="227">
        <f t="shared" si="2"/>
        <v>319.92</v>
      </c>
      <c r="R31" s="227">
        <f t="shared" si="3"/>
        <v>2319.42</v>
      </c>
      <c r="S31" s="229">
        <f>INDEX('Glosario Partidas'!$M$8:$M$10,MATCH(K31,'Glosario Partidas'!$L$8:$L$10,0))</f>
        <v>17.5</v>
      </c>
      <c r="T31" s="227">
        <f t="shared" si="4"/>
        <v>40589.85</v>
      </c>
      <c r="U31" s="321" t="s">
        <v>729</v>
      </c>
      <c r="V31" s="321" t="s">
        <v>12</v>
      </c>
      <c r="W31" s="321" t="s">
        <v>491</v>
      </c>
      <c r="X31" s="321"/>
    </row>
    <row r="32" spans="1:24" ht="15" customHeight="1" x14ac:dyDescent="0.2">
      <c r="B32" s="211" t="s">
        <v>76</v>
      </c>
      <c r="C32" s="75" t="s">
        <v>736</v>
      </c>
      <c r="D32" s="320" t="s">
        <v>727</v>
      </c>
      <c r="E32" s="321" t="s">
        <v>220</v>
      </c>
      <c r="F32" s="320" t="s">
        <v>221</v>
      </c>
      <c r="G32" s="321" t="s">
        <v>703</v>
      </c>
      <c r="H32" s="322" t="s">
        <v>728</v>
      </c>
      <c r="I32" s="75" t="s">
        <v>204</v>
      </c>
      <c r="J32" s="322">
        <v>51.12</v>
      </c>
      <c r="K32" s="75" t="s">
        <v>153</v>
      </c>
      <c r="L32" s="345">
        <v>85</v>
      </c>
      <c r="M32" s="323">
        <f t="shared" si="0"/>
        <v>4345.2</v>
      </c>
      <c r="N32" s="324">
        <v>0</v>
      </c>
      <c r="O32" s="325">
        <f t="shared" si="1"/>
        <v>0</v>
      </c>
      <c r="P32" s="324">
        <v>0.16</v>
      </c>
      <c r="Q32" s="227">
        <f t="shared" si="2"/>
        <v>695.23199999999997</v>
      </c>
      <c r="R32" s="227">
        <f t="shared" si="3"/>
        <v>5040.4319999999998</v>
      </c>
      <c r="S32" s="229">
        <f>INDEX('Glosario Partidas'!$M$8:$M$10,MATCH(K32,'Glosario Partidas'!$L$8:$L$10,0))</f>
        <v>17.5</v>
      </c>
      <c r="T32" s="227">
        <f t="shared" si="4"/>
        <v>88207.56</v>
      </c>
      <c r="U32" s="321" t="s">
        <v>729</v>
      </c>
      <c r="V32" s="321" t="s">
        <v>12</v>
      </c>
      <c r="W32" s="321" t="s">
        <v>491</v>
      </c>
      <c r="X32" s="321"/>
    </row>
    <row r="33" spans="2:24" ht="15" customHeight="1" x14ac:dyDescent="0.2">
      <c r="B33" s="211" t="s">
        <v>76</v>
      </c>
      <c r="C33" s="75" t="s">
        <v>737</v>
      </c>
      <c r="D33" s="320" t="s">
        <v>727</v>
      </c>
      <c r="E33" s="321" t="s">
        <v>220</v>
      </c>
      <c r="F33" s="320" t="s">
        <v>221</v>
      </c>
      <c r="G33" s="321" t="s">
        <v>703</v>
      </c>
      <c r="H33" s="322" t="s">
        <v>728</v>
      </c>
      <c r="I33" s="75" t="s">
        <v>204</v>
      </c>
      <c r="J33" s="322">
        <v>33.07</v>
      </c>
      <c r="K33" s="75" t="s">
        <v>153</v>
      </c>
      <c r="L33" s="345">
        <v>75</v>
      </c>
      <c r="M33" s="323">
        <f t="shared" si="0"/>
        <v>2480.25</v>
      </c>
      <c r="N33" s="324">
        <v>0</v>
      </c>
      <c r="O33" s="325">
        <f t="shared" si="1"/>
        <v>0</v>
      </c>
      <c r="P33" s="324">
        <v>0.16</v>
      </c>
      <c r="Q33" s="227">
        <f t="shared" si="2"/>
        <v>396.84000000000003</v>
      </c>
      <c r="R33" s="227">
        <f t="shared" si="3"/>
        <v>2877.09</v>
      </c>
      <c r="S33" s="229">
        <f>INDEX('Glosario Partidas'!$M$8:$M$10,MATCH(K33,'Glosario Partidas'!$L$8:$L$10,0))</f>
        <v>17.5</v>
      </c>
      <c r="T33" s="227">
        <f t="shared" si="4"/>
        <v>50349.075000000004</v>
      </c>
      <c r="U33" s="321" t="s">
        <v>729</v>
      </c>
      <c r="V33" s="321" t="s">
        <v>12</v>
      </c>
      <c r="W33" s="321" t="s">
        <v>491</v>
      </c>
      <c r="X33" s="321"/>
    </row>
    <row r="34" spans="2:24" ht="15" customHeight="1" x14ac:dyDescent="0.2">
      <c r="B34" s="211" t="s">
        <v>76</v>
      </c>
      <c r="C34" s="75" t="s">
        <v>738</v>
      </c>
      <c r="D34" s="320" t="s">
        <v>727</v>
      </c>
      <c r="E34" s="321" t="s">
        <v>220</v>
      </c>
      <c r="F34" s="320" t="s">
        <v>221</v>
      </c>
      <c r="G34" s="321" t="s">
        <v>703</v>
      </c>
      <c r="H34" s="322" t="s">
        <v>728</v>
      </c>
      <c r="I34" s="75" t="s">
        <v>204</v>
      </c>
      <c r="J34" s="322">
        <v>16.47</v>
      </c>
      <c r="K34" s="75" t="s">
        <v>153</v>
      </c>
      <c r="L34" s="345">
        <v>65</v>
      </c>
      <c r="M34" s="323">
        <f t="shared" si="0"/>
        <v>1070.55</v>
      </c>
      <c r="N34" s="324">
        <v>0</v>
      </c>
      <c r="O34" s="325">
        <f t="shared" si="1"/>
        <v>0</v>
      </c>
      <c r="P34" s="324">
        <v>0.16</v>
      </c>
      <c r="Q34" s="227">
        <f t="shared" si="2"/>
        <v>171.28799999999998</v>
      </c>
      <c r="R34" s="227">
        <f t="shared" si="3"/>
        <v>1241.838</v>
      </c>
      <c r="S34" s="229">
        <f>INDEX('Glosario Partidas'!$M$8:$M$10,MATCH(K34,'Glosario Partidas'!$L$8:$L$10,0))</f>
        <v>17.5</v>
      </c>
      <c r="T34" s="227">
        <f t="shared" si="4"/>
        <v>21732.165000000001</v>
      </c>
      <c r="U34" s="321" t="s">
        <v>729</v>
      </c>
      <c r="V34" s="321" t="s">
        <v>12</v>
      </c>
      <c r="W34" s="321" t="s">
        <v>491</v>
      </c>
      <c r="X34" s="321"/>
    </row>
    <row r="35" spans="2:24" ht="15" customHeight="1" x14ac:dyDescent="0.2">
      <c r="B35" s="211" t="s">
        <v>76</v>
      </c>
      <c r="C35" s="75" t="s">
        <v>739</v>
      </c>
      <c r="D35" s="320" t="s">
        <v>727</v>
      </c>
      <c r="E35" s="321" t="s">
        <v>220</v>
      </c>
      <c r="F35" s="320" t="s">
        <v>221</v>
      </c>
      <c r="G35" s="321" t="s">
        <v>703</v>
      </c>
      <c r="H35" s="322" t="s">
        <v>728</v>
      </c>
      <c r="I35" s="75" t="s">
        <v>204</v>
      </c>
      <c r="J35" s="322">
        <v>6.85</v>
      </c>
      <c r="K35" s="75" t="s">
        <v>153</v>
      </c>
      <c r="L35" s="345">
        <v>70</v>
      </c>
      <c r="M35" s="323">
        <f t="shared" si="0"/>
        <v>479.5</v>
      </c>
      <c r="N35" s="324">
        <v>0</v>
      </c>
      <c r="O35" s="325">
        <f t="shared" si="1"/>
        <v>0</v>
      </c>
      <c r="P35" s="324">
        <v>0.16</v>
      </c>
      <c r="Q35" s="227">
        <f t="shared" si="2"/>
        <v>76.72</v>
      </c>
      <c r="R35" s="227">
        <f t="shared" si="3"/>
        <v>556.22</v>
      </c>
      <c r="S35" s="229">
        <f>INDEX('Glosario Partidas'!$M$8:$M$10,MATCH(K35,'Glosario Partidas'!$L$8:$L$10,0))</f>
        <v>17.5</v>
      </c>
      <c r="T35" s="227">
        <f t="shared" si="4"/>
        <v>9733.85</v>
      </c>
      <c r="U35" s="321" t="s">
        <v>729</v>
      </c>
      <c r="V35" s="321" t="s">
        <v>12</v>
      </c>
      <c r="W35" s="321" t="s">
        <v>491</v>
      </c>
      <c r="X35" s="321"/>
    </row>
    <row r="36" spans="2:24" ht="15" customHeight="1" x14ac:dyDescent="0.2">
      <c r="B36" s="211" t="s">
        <v>76</v>
      </c>
      <c r="C36" s="75" t="s">
        <v>740</v>
      </c>
      <c r="D36" s="320" t="s">
        <v>727</v>
      </c>
      <c r="E36" s="321" t="s">
        <v>220</v>
      </c>
      <c r="F36" s="320" t="s">
        <v>221</v>
      </c>
      <c r="G36" s="321" t="s">
        <v>703</v>
      </c>
      <c r="H36" s="322" t="s">
        <v>728</v>
      </c>
      <c r="I36" s="75" t="s">
        <v>204</v>
      </c>
      <c r="J36" s="322">
        <v>35.22</v>
      </c>
      <c r="K36" s="75" t="s">
        <v>153</v>
      </c>
      <c r="L36" s="345">
        <v>75</v>
      </c>
      <c r="M36" s="323">
        <f t="shared" si="0"/>
        <v>2641.5</v>
      </c>
      <c r="N36" s="324">
        <v>0</v>
      </c>
      <c r="O36" s="325">
        <f t="shared" si="1"/>
        <v>0</v>
      </c>
      <c r="P36" s="324">
        <v>0.16</v>
      </c>
      <c r="Q36" s="227">
        <f t="shared" si="2"/>
        <v>422.64</v>
      </c>
      <c r="R36" s="227">
        <f t="shared" si="3"/>
        <v>3064.14</v>
      </c>
      <c r="S36" s="229">
        <f>INDEX('Glosario Partidas'!$M$8:$M$10,MATCH(K36,'Glosario Partidas'!$L$8:$L$10,0))</f>
        <v>17.5</v>
      </c>
      <c r="T36" s="227">
        <f t="shared" si="4"/>
        <v>53622.45</v>
      </c>
      <c r="U36" s="321" t="s">
        <v>729</v>
      </c>
      <c r="V36" s="321" t="s">
        <v>12</v>
      </c>
      <c r="W36" s="321" t="s">
        <v>491</v>
      </c>
      <c r="X36" s="321"/>
    </row>
    <row r="37" spans="2:24" ht="15" customHeight="1" x14ac:dyDescent="0.2">
      <c r="B37" s="211" t="s">
        <v>76</v>
      </c>
      <c r="C37" s="75" t="s">
        <v>741</v>
      </c>
      <c r="D37" s="320" t="s">
        <v>727</v>
      </c>
      <c r="E37" s="321" t="s">
        <v>220</v>
      </c>
      <c r="F37" s="320" t="s">
        <v>221</v>
      </c>
      <c r="G37" s="321" t="s">
        <v>703</v>
      </c>
      <c r="H37" s="322" t="s">
        <v>728</v>
      </c>
      <c r="I37" s="75" t="s">
        <v>204</v>
      </c>
      <c r="J37" s="322">
        <v>16.53</v>
      </c>
      <c r="K37" s="75" t="s">
        <v>153</v>
      </c>
      <c r="L37" s="345">
        <v>65</v>
      </c>
      <c r="M37" s="323">
        <f t="shared" si="0"/>
        <v>1074.45</v>
      </c>
      <c r="N37" s="324">
        <v>0</v>
      </c>
      <c r="O37" s="325">
        <f t="shared" si="1"/>
        <v>0</v>
      </c>
      <c r="P37" s="324">
        <v>0.16</v>
      </c>
      <c r="Q37" s="227">
        <f t="shared" si="2"/>
        <v>171.91200000000001</v>
      </c>
      <c r="R37" s="227">
        <f t="shared" si="3"/>
        <v>1246.3620000000001</v>
      </c>
      <c r="S37" s="229">
        <f>INDEX('Glosario Partidas'!$M$8:$M$10,MATCH(K37,'Glosario Partidas'!$L$8:$L$10,0))</f>
        <v>17.5</v>
      </c>
      <c r="T37" s="227">
        <f t="shared" si="4"/>
        <v>21811.335000000003</v>
      </c>
      <c r="U37" s="321" t="s">
        <v>729</v>
      </c>
      <c r="V37" s="321" t="s">
        <v>12</v>
      </c>
      <c r="W37" s="321" t="s">
        <v>491</v>
      </c>
      <c r="X37" s="321"/>
    </row>
    <row r="38" spans="2:24" ht="15" customHeight="1" x14ac:dyDescent="0.2">
      <c r="B38" s="211" t="s">
        <v>76</v>
      </c>
      <c r="C38" s="75" t="s">
        <v>742</v>
      </c>
      <c r="D38" s="320" t="s">
        <v>727</v>
      </c>
      <c r="E38" s="321" t="s">
        <v>220</v>
      </c>
      <c r="F38" s="320" t="s">
        <v>221</v>
      </c>
      <c r="G38" s="321" t="s">
        <v>703</v>
      </c>
      <c r="H38" s="322" t="s">
        <v>728</v>
      </c>
      <c r="I38" s="75" t="s">
        <v>204</v>
      </c>
      <c r="J38" s="322">
        <v>5.05</v>
      </c>
      <c r="K38" s="75" t="s">
        <v>153</v>
      </c>
      <c r="L38" s="345">
        <v>70</v>
      </c>
      <c r="M38" s="323">
        <f t="shared" si="0"/>
        <v>353.5</v>
      </c>
      <c r="N38" s="324">
        <v>0</v>
      </c>
      <c r="O38" s="325">
        <f t="shared" si="1"/>
        <v>0</v>
      </c>
      <c r="P38" s="324">
        <v>0.16</v>
      </c>
      <c r="Q38" s="227">
        <f t="shared" si="2"/>
        <v>56.56</v>
      </c>
      <c r="R38" s="227">
        <f t="shared" si="3"/>
        <v>410.06</v>
      </c>
      <c r="S38" s="229">
        <f>INDEX('Glosario Partidas'!$M$8:$M$10,MATCH(K38,'Glosario Partidas'!$L$8:$L$10,0))</f>
        <v>17.5</v>
      </c>
      <c r="T38" s="227">
        <f t="shared" si="4"/>
        <v>7176.05</v>
      </c>
      <c r="U38" s="321" t="s">
        <v>729</v>
      </c>
      <c r="V38" s="321" t="s">
        <v>12</v>
      </c>
      <c r="W38" s="321" t="s">
        <v>491</v>
      </c>
      <c r="X38" s="321"/>
    </row>
    <row r="39" spans="2:24" ht="15" customHeight="1" x14ac:dyDescent="0.2">
      <c r="B39" s="211" t="s">
        <v>76</v>
      </c>
      <c r="C39" s="75" t="s">
        <v>743</v>
      </c>
      <c r="D39" s="320" t="s">
        <v>727</v>
      </c>
      <c r="E39" s="321" t="s">
        <v>220</v>
      </c>
      <c r="F39" s="320" t="s">
        <v>221</v>
      </c>
      <c r="G39" s="321" t="s">
        <v>703</v>
      </c>
      <c r="H39" s="322" t="s">
        <v>728</v>
      </c>
      <c r="I39" s="75" t="s">
        <v>204</v>
      </c>
      <c r="J39" s="322">
        <v>27.84</v>
      </c>
      <c r="K39" s="75" t="s">
        <v>153</v>
      </c>
      <c r="L39" s="345">
        <v>75</v>
      </c>
      <c r="M39" s="323">
        <f t="shared" si="0"/>
        <v>2088</v>
      </c>
      <c r="N39" s="324">
        <v>0</v>
      </c>
      <c r="O39" s="325">
        <f t="shared" si="1"/>
        <v>0</v>
      </c>
      <c r="P39" s="324">
        <v>0.16</v>
      </c>
      <c r="Q39" s="227">
        <f t="shared" si="2"/>
        <v>334.08</v>
      </c>
      <c r="R39" s="227">
        <f t="shared" si="3"/>
        <v>2422.08</v>
      </c>
      <c r="S39" s="229">
        <f>INDEX('Glosario Partidas'!$M$8:$M$10,MATCH(K39,'Glosario Partidas'!$L$8:$L$10,0))</f>
        <v>17.5</v>
      </c>
      <c r="T39" s="227">
        <f t="shared" si="4"/>
        <v>42386.400000000001</v>
      </c>
      <c r="U39" s="321" t="s">
        <v>729</v>
      </c>
      <c r="V39" s="321" t="s">
        <v>12</v>
      </c>
      <c r="W39" s="321" t="s">
        <v>491</v>
      </c>
      <c r="X39" s="321"/>
    </row>
    <row r="40" spans="2:24" ht="15" customHeight="1" x14ac:dyDescent="0.2">
      <c r="B40" s="211" t="s">
        <v>76</v>
      </c>
      <c r="C40" s="75" t="s">
        <v>744</v>
      </c>
      <c r="D40" s="320" t="s">
        <v>727</v>
      </c>
      <c r="E40" s="321" t="s">
        <v>220</v>
      </c>
      <c r="F40" s="320" t="s">
        <v>221</v>
      </c>
      <c r="G40" s="321" t="s">
        <v>703</v>
      </c>
      <c r="H40" s="322" t="s">
        <v>728</v>
      </c>
      <c r="I40" s="75" t="s">
        <v>204</v>
      </c>
      <c r="J40" s="322">
        <v>13.82</v>
      </c>
      <c r="K40" s="75" t="s">
        <v>153</v>
      </c>
      <c r="L40" s="345">
        <v>60</v>
      </c>
      <c r="M40" s="323">
        <f t="shared" si="0"/>
        <v>829.2</v>
      </c>
      <c r="N40" s="324">
        <v>0</v>
      </c>
      <c r="O40" s="325">
        <f t="shared" si="1"/>
        <v>0</v>
      </c>
      <c r="P40" s="324">
        <v>0.16</v>
      </c>
      <c r="Q40" s="227">
        <f t="shared" si="2"/>
        <v>132.672</v>
      </c>
      <c r="R40" s="227">
        <f t="shared" si="3"/>
        <v>961.87200000000007</v>
      </c>
      <c r="S40" s="229">
        <f>INDEX('Glosario Partidas'!$M$8:$M$10,MATCH(K40,'Glosario Partidas'!$L$8:$L$10,0))</f>
        <v>17.5</v>
      </c>
      <c r="T40" s="227">
        <f t="shared" si="4"/>
        <v>16832.760000000002</v>
      </c>
      <c r="U40" s="321" t="s">
        <v>729</v>
      </c>
      <c r="V40" s="321" t="s">
        <v>12</v>
      </c>
      <c r="W40" s="321" t="s">
        <v>491</v>
      </c>
      <c r="X40" s="321"/>
    </row>
    <row r="41" spans="2:24" ht="15" customHeight="1" x14ac:dyDescent="0.2">
      <c r="B41" s="211" t="s">
        <v>76</v>
      </c>
      <c r="C41" s="75" t="s">
        <v>745</v>
      </c>
      <c r="D41" s="320" t="s">
        <v>727</v>
      </c>
      <c r="E41" s="321" t="s">
        <v>220</v>
      </c>
      <c r="F41" s="320" t="s">
        <v>221</v>
      </c>
      <c r="G41" s="321" t="s">
        <v>703</v>
      </c>
      <c r="H41" s="322" t="s">
        <v>728</v>
      </c>
      <c r="I41" s="75" t="s">
        <v>204</v>
      </c>
      <c r="J41" s="322">
        <v>27.84</v>
      </c>
      <c r="K41" s="75" t="s">
        <v>153</v>
      </c>
      <c r="L41" s="345">
        <v>75</v>
      </c>
      <c r="M41" s="323">
        <f t="shared" si="0"/>
        <v>2088</v>
      </c>
      <c r="N41" s="324">
        <v>0</v>
      </c>
      <c r="O41" s="325">
        <f t="shared" si="1"/>
        <v>0</v>
      </c>
      <c r="P41" s="324">
        <v>0.16</v>
      </c>
      <c r="Q41" s="227">
        <f t="shared" si="2"/>
        <v>334.08</v>
      </c>
      <c r="R41" s="227">
        <f t="shared" si="3"/>
        <v>2422.08</v>
      </c>
      <c r="S41" s="229">
        <f>INDEX('Glosario Partidas'!$M$8:$M$10,MATCH(K41,'Glosario Partidas'!$L$8:$L$10,0))</f>
        <v>17.5</v>
      </c>
      <c r="T41" s="227">
        <f t="shared" si="4"/>
        <v>42386.400000000001</v>
      </c>
      <c r="U41" s="321" t="s">
        <v>729</v>
      </c>
      <c r="V41" s="321" t="s">
        <v>12</v>
      </c>
      <c r="W41" s="321" t="s">
        <v>491</v>
      </c>
      <c r="X41" s="321"/>
    </row>
    <row r="42" spans="2:24" ht="15" customHeight="1" x14ac:dyDescent="0.2">
      <c r="B42" s="211" t="s">
        <v>76</v>
      </c>
      <c r="C42" s="75" t="s">
        <v>746</v>
      </c>
      <c r="D42" s="320" t="s">
        <v>727</v>
      </c>
      <c r="E42" s="321" t="s">
        <v>220</v>
      </c>
      <c r="F42" s="320" t="s">
        <v>221</v>
      </c>
      <c r="G42" s="321" t="s">
        <v>703</v>
      </c>
      <c r="H42" s="322" t="s">
        <v>728</v>
      </c>
      <c r="I42" s="75" t="s">
        <v>204</v>
      </c>
      <c r="J42" s="322">
        <v>13.82</v>
      </c>
      <c r="K42" s="75" t="s">
        <v>153</v>
      </c>
      <c r="L42" s="345">
        <v>60</v>
      </c>
      <c r="M42" s="323">
        <f t="shared" si="0"/>
        <v>829.2</v>
      </c>
      <c r="N42" s="324">
        <v>0</v>
      </c>
      <c r="O42" s="325">
        <f t="shared" si="1"/>
        <v>0</v>
      </c>
      <c r="P42" s="324">
        <v>0.16</v>
      </c>
      <c r="Q42" s="227">
        <f t="shared" si="2"/>
        <v>132.672</v>
      </c>
      <c r="R42" s="227">
        <f t="shared" si="3"/>
        <v>961.87200000000007</v>
      </c>
      <c r="S42" s="229">
        <f>INDEX('Glosario Partidas'!$M$8:$M$10,MATCH(K42,'Glosario Partidas'!$L$8:$L$10,0))</f>
        <v>17.5</v>
      </c>
      <c r="T42" s="227">
        <f t="shared" si="4"/>
        <v>16832.760000000002</v>
      </c>
      <c r="U42" s="321" t="s">
        <v>729</v>
      </c>
      <c r="V42" s="321" t="s">
        <v>12</v>
      </c>
      <c r="W42" s="321" t="s">
        <v>491</v>
      </c>
      <c r="X42" s="321"/>
    </row>
    <row r="43" spans="2:24" ht="15" customHeight="1" x14ac:dyDescent="0.2">
      <c r="B43" s="211" t="s">
        <v>76</v>
      </c>
      <c r="C43" s="75" t="s">
        <v>747</v>
      </c>
      <c r="D43" s="320" t="s">
        <v>727</v>
      </c>
      <c r="E43" s="321" t="s">
        <v>220</v>
      </c>
      <c r="F43" s="320" t="s">
        <v>221</v>
      </c>
      <c r="G43" s="321" t="s">
        <v>703</v>
      </c>
      <c r="H43" s="322" t="s">
        <v>728</v>
      </c>
      <c r="I43" s="75" t="s">
        <v>204</v>
      </c>
      <c r="J43" s="322">
        <v>11.1</v>
      </c>
      <c r="K43" s="75" t="s">
        <v>153</v>
      </c>
      <c r="L43" s="345">
        <v>5</v>
      </c>
      <c r="M43" s="323">
        <f t="shared" si="0"/>
        <v>55.5</v>
      </c>
      <c r="N43" s="324">
        <v>0</v>
      </c>
      <c r="O43" s="325">
        <f t="shared" si="1"/>
        <v>0</v>
      </c>
      <c r="P43" s="324">
        <v>0.16</v>
      </c>
      <c r="Q43" s="227">
        <f t="shared" si="2"/>
        <v>8.8800000000000008</v>
      </c>
      <c r="R43" s="227">
        <f t="shared" si="3"/>
        <v>64.38</v>
      </c>
      <c r="S43" s="229">
        <f>INDEX('Glosario Partidas'!$M$8:$M$10,MATCH(K43,'Glosario Partidas'!$L$8:$L$10,0))</f>
        <v>17.5</v>
      </c>
      <c r="T43" s="227">
        <f t="shared" si="4"/>
        <v>1126.6499999999999</v>
      </c>
      <c r="U43" s="321" t="s">
        <v>729</v>
      </c>
      <c r="V43" s="321" t="s">
        <v>12</v>
      </c>
      <c r="W43" s="321" t="s">
        <v>491</v>
      </c>
      <c r="X43" s="321"/>
    </row>
    <row r="44" spans="2:24" ht="15" customHeight="1" x14ac:dyDescent="0.2">
      <c r="B44" s="211" t="s">
        <v>76</v>
      </c>
      <c r="C44" s="75" t="s">
        <v>748</v>
      </c>
      <c r="D44" s="320" t="s">
        <v>749</v>
      </c>
      <c r="E44" s="321" t="s">
        <v>220</v>
      </c>
      <c r="F44" s="320" t="s">
        <v>221</v>
      </c>
      <c r="G44" s="321" t="s">
        <v>703</v>
      </c>
      <c r="H44" s="322" t="s">
        <v>728</v>
      </c>
      <c r="I44" s="75" t="s">
        <v>204</v>
      </c>
      <c r="J44" s="322">
        <v>54.96</v>
      </c>
      <c r="K44" s="75" t="s">
        <v>153</v>
      </c>
      <c r="L44" s="345">
        <v>40</v>
      </c>
      <c r="M44" s="323">
        <f t="shared" si="0"/>
        <v>2198.4</v>
      </c>
      <c r="N44" s="324">
        <v>0</v>
      </c>
      <c r="O44" s="325">
        <f t="shared" si="1"/>
        <v>0</v>
      </c>
      <c r="P44" s="324">
        <v>0.16</v>
      </c>
      <c r="Q44" s="227">
        <f t="shared" si="2"/>
        <v>351.74400000000003</v>
      </c>
      <c r="R44" s="227">
        <f t="shared" si="3"/>
        <v>2550.1440000000002</v>
      </c>
      <c r="S44" s="229">
        <f>INDEX('Glosario Partidas'!$M$8:$M$10,MATCH(K44,'Glosario Partidas'!$L$8:$L$10,0))</f>
        <v>17.5</v>
      </c>
      <c r="T44" s="227">
        <f t="shared" si="4"/>
        <v>44627.520000000004</v>
      </c>
      <c r="U44" s="321" t="s">
        <v>729</v>
      </c>
      <c r="V44" s="321" t="s">
        <v>12</v>
      </c>
      <c r="W44" s="321" t="s">
        <v>491</v>
      </c>
      <c r="X44" s="321"/>
    </row>
    <row r="45" spans="2:24" ht="15" customHeight="1" x14ac:dyDescent="0.2">
      <c r="B45" s="211" t="s">
        <v>76</v>
      </c>
      <c r="C45" s="75" t="s">
        <v>750</v>
      </c>
      <c r="D45" s="320" t="s">
        <v>749</v>
      </c>
      <c r="E45" s="321" t="s">
        <v>220</v>
      </c>
      <c r="F45" s="320" t="s">
        <v>221</v>
      </c>
      <c r="G45" s="321" t="s">
        <v>703</v>
      </c>
      <c r="H45" s="322" t="s">
        <v>728</v>
      </c>
      <c r="I45" s="75" t="s">
        <v>204</v>
      </c>
      <c r="J45" s="322">
        <v>99.72</v>
      </c>
      <c r="K45" s="75" t="s">
        <v>153</v>
      </c>
      <c r="L45" s="345">
        <v>45</v>
      </c>
      <c r="M45" s="323">
        <f t="shared" si="0"/>
        <v>4487.3999999999996</v>
      </c>
      <c r="N45" s="324">
        <v>0</v>
      </c>
      <c r="O45" s="325">
        <f t="shared" si="1"/>
        <v>0</v>
      </c>
      <c r="P45" s="324">
        <v>0.16</v>
      </c>
      <c r="Q45" s="227">
        <f t="shared" si="2"/>
        <v>717.98399999999992</v>
      </c>
      <c r="R45" s="227">
        <f t="shared" si="3"/>
        <v>5205.384</v>
      </c>
      <c r="S45" s="229">
        <f>INDEX('Glosario Partidas'!$M$8:$M$10,MATCH(K45,'Glosario Partidas'!$L$8:$L$10,0))</f>
        <v>17.5</v>
      </c>
      <c r="T45" s="227">
        <f t="shared" si="4"/>
        <v>91094.22</v>
      </c>
      <c r="U45" s="321" t="s">
        <v>729</v>
      </c>
      <c r="V45" s="321" t="s">
        <v>12</v>
      </c>
      <c r="W45" s="321" t="s">
        <v>491</v>
      </c>
      <c r="X45" s="321"/>
    </row>
    <row r="46" spans="2:24" ht="15" customHeight="1" x14ac:dyDescent="0.2">
      <c r="B46" s="211" t="s">
        <v>76</v>
      </c>
      <c r="C46" s="75" t="s">
        <v>751</v>
      </c>
      <c r="D46" s="320" t="s">
        <v>749</v>
      </c>
      <c r="E46" s="321" t="s">
        <v>220</v>
      </c>
      <c r="F46" s="320" t="s">
        <v>221</v>
      </c>
      <c r="G46" s="321" t="s">
        <v>703</v>
      </c>
      <c r="H46" s="322" t="s">
        <v>728</v>
      </c>
      <c r="I46" s="75" t="s">
        <v>204</v>
      </c>
      <c r="J46" s="322">
        <v>135.49</v>
      </c>
      <c r="K46" s="75" t="s">
        <v>153</v>
      </c>
      <c r="L46" s="345">
        <v>40</v>
      </c>
      <c r="M46" s="323">
        <f t="shared" si="0"/>
        <v>5419.6</v>
      </c>
      <c r="N46" s="324">
        <v>0</v>
      </c>
      <c r="O46" s="325">
        <f t="shared" si="1"/>
        <v>0</v>
      </c>
      <c r="P46" s="324">
        <v>0.16</v>
      </c>
      <c r="Q46" s="227">
        <f t="shared" si="2"/>
        <v>867.13600000000008</v>
      </c>
      <c r="R46" s="227">
        <f t="shared" si="3"/>
        <v>6286.7360000000008</v>
      </c>
      <c r="S46" s="229">
        <f>INDEX('Glosario Partidas'!$M$8:$M$10,MATCH(K46,'Glosario Partidas'!$L$8:$L$10,0))</f>
        <v>17.5</v>
      </c>
      <c r="T46" s="227">
        <f t="shared" si="4"/>
        <v>110017.88000000002</v>
      </c>
      <c r="U46" s="321" t="s">
        <v>729</v>
      </c>
      <c r="V46" s="321" t="s">
        <v>12</v>
      </c>
      <c r="W46" s="321" t="s">
        <v>491</v>
      </c>
      <c r="X46" s="321"/>
    </row>
    <row r="47" spans="2:24" ht="15" customHeight="1" x14ac:dyDescent="0.2">
      <c r="B47" s="211" t="s">
        <v>76</v>
      </c>
      <c r="C47" s="75" t="s">
        <v>752</v>
      </c>
      <c r="D47" s="320" t="s">
        <v>749</v>
      </c>
      <c r="E47" s="321" t="s">
        <v>220</v>
      </c>
      <c r="F47" s="320" t="s">
        <v>221</v>
      </c>
      <c r="G47" s="321" t="s">
        <v>703</v>
      </c>
      <c r="H47" s="322" t="s">
        <v>728</v>
      </c>
      <c r="I47" s="75" t="s">
        <v>204</v>
      </c>
      <c r="J47" s="322">
        <v>60.6</v>
      </c>
      <c r="K47" s="75" t="s">
        <v>153</v>
      </c>
      <c r="L47" s="345">
        <v>55</v>
      </c>
      <c r="M47" s="323">
        <f t="shared" si="0"/>
        <v>3333</v>
      </c>
      <c r="N47" s="324">
        <v>0</v>
      </c>
      <c r="O47" s="325">
        <f t="shared" si="1"/>
        <v>0</v>
      </c>
      <c r="P47" s="324">
        <v>0.16</v>
      </c>
      <c r="Q47" s="227">
        <f t="shared" si="2"/>
        <v>533.28</v>
      </c>
      <c r="R47" s="227">
        <f t="shared" si="3"/>
        <v>3866.2799999999997</v>
      </c>
      <c r="S47" s="229">
        <f>INDEX('Glosario Partidas'!$M$8:$M$10,MATCH(K47,'Glosario Partidas'!$L$8:$L$10,0))</f>
        <v>17.5</v>
      </c>
      <c r="T47" s="227">
        <f t="shared" si="4"/>
        <v>67659.899999999994</v>
      </c>
      <c r="U47" s="321" t="s">
        <v>729</v>
      </c>
      <c r="V47" s="321" t="s">
        <v>12</v>
      </c>
      <c r="W47" s="321" t="s">
        <v>491</v>
      </c>
      <c r="X47" s="321"/>
    </row>
    <row r="48" spans="2:24" ht="15" customHeight="1" x14ac:dyDescent="0.2">
      <c r="B48" s="211" t="s">
        <v>76</v>
      </c>
      <c r="C48" s="75" t="s">
        <v>726</v>
      </c>
      <c r="D48" s="320" t="s">
        <v>753</v>
      </c>
      <c r="E48" s="321" t="s">
        <v>220</v>
      </c>
      <c r="F48" s="320" t="s">
        <v>354</v>
      </c>
      <c r="G48" s="321" t="s">
        <v>706</v>
      </c>
      <c r="H48" s="322" t="s">
        <v>728</v>
      </c>
      <c r="I48" s="75" t="s">
        <v>204</v>
      </c>
      <c r="J48" s="322">
        <v>25.96</v>
      </c>
      <c r="K48" s="75" t="s">
        <v>153</v>
      </c>
      <c r="L48" s="345">
        <v>55</v>
      </c>
      <c r="M48" s="323">
        <f t="shared" si="0"/>
        <v>1427.8</v>
      </c>
      <c r="N48" s="324">
        <v>0</v>
      </c>
      <c r="O48" s="325">
        <f t="shared" si="1"/>
        <v>0</v>
      </c>
      <c r="P48" s="324">
        <v>0.16</v>
      </c>
      <c r="Q48" s="227">
        <f t="shared" si="2"/>
        <v>228.44800000000001</v>
      </c>
      <c r="R48" s="227">
        <f t="shared" si="3"/>
        <v>1656.248</v>
      </c>
      <c r="S48" s="229">
        <f>INDEX('Glosario Partidas'!$M$8:$M$10,MATCH(K48,'Glosario Partidas'!$L$8:$L$10,0))</f>
        <v>17.5</v>
      </c>
      <c r="T48" s="227">
        <f t="shared" si="4"/>
        <v>28984.34</v>
      </c>
      <c r="U48" s="321" t="s">
        <v>754</v>
      </c>
      <c r="V48" s="321" t="s">
        <v>12</v>
      </c>
      <c r="W48" s="321" t="s">
        <v>491</v>
      </c>
      <c r="X48" s="321"/>
    </row>
    <row r="49" spans="2:24" ht="15" customHeight="1" x14ac:dyDescent="0.2">
      <c r="B49" s="211" t="s">
        <v>76</v>
      </c>
      <c r="C49" s="75" t="s">
        <v>730</v>
      </c>
      <c r="D49" s="320" t="s">
        <v>753</v>
      </c>
      <c r="E49" s="321" t="s">
        <v>220</v>
      </c>
      <c r="F49" s="320" t="s">
        <v>354</v>
      </c>
      <c r="G49" s="321" t="s">
        <v>706</v>
      </c>
      <c r="H49" s="322" t="s">
        <v>728</v>
      </c>
      <c r="I49" s="75" t="s">
        <v>204</v>
      </c>
      <c r="J49" s="322">
        <v>31.7</v>
      </c>
      <c r="K49" s="75" t="s">
        <v>153</v>
      </c>
      <c r="L49" s="345">
        <v>55</v>
      </c>
      <c r="M49" s="323">
        <f t="shared" si="0"/>
        <v>1743.5</v>
      </c>
      <c r="N49" s="324">
        <v>0</v>
      </c>
      <c r="O49" s="325">
        <f t="shared" si="1"/>
        <v>0</v>
      </c>
      <c r="P49" s="324">
        <v>0.16</v>
      </c>
      <c r="Q49" s="227">
        <f t="shared" si="2"/>
        <v>278.95999999999998</v>
      </c>
      <c r="R49" s="227">
        <f t="shared" si="3"/>
        <v>2022.46</v>
      </c>
      <c r="S49" s="229">
        <f>INDEX('Glosario Partidas'!$M$8:$M$10,MATCH(K49,'Glosario Partidas'!$L$8:$L$10,0))</f>
        <v>17.5</v>
      </c>
      <c r="T49" s="227">
        <f t="shared" si="4"/>
        <v>35393.050000000003</v>
      </c>
      <c r="U49" s="321" t="s">
        <v>754</v>
      </c>
      <c r="V49" s="321" t="s">
        <v>12</v>
      </c>
      <c r="W49" s="321" t="s">
        <v>491</v>
      </c>
      <c r="X49" s="321"/>
    </row>
    <row r="50" spans="2:24" ht="15" customHeight="1" x14ac:dyDescent="0.2">
      <c r="B50" s="211" t="s">
        <v>76</v>
      </c>
      <c r="C50" s="75" t="s">
        <v>731</v>
      </c>
      <c r="D50" s="320" t="s">
        <v>753</v>
      </c>
      <c r="E50" s="321" t="s">
        <v>220</v>
      </c>
      <c r="F50" s="320" t="s">
        <v>354</v>
      </c>
      <c r="G50" s="321" t="s">
        <v>706</v>
      </c>
      <c r="H50" s="322" t="s">
        <v>728</v>
      </c>
      <c r="I50" s="75" t="s">
        <v>204</v>
      </c>
      <c r="J50" s="322">
        <v>2.2799999999999998</v>
      </c>
      <c r="K50" s="75" t="s">
        <v>153</v>
      </c>
      <c r="L50" s="345">
        <v>40</v>
      </c>
      <c r="M50" s="323">
        <f t="shared" si="0"/>
        <v>91.199999999999989</v>
      </c>
      <c r="N50" s="324">
        <v>0</v>
      </c>
      <c r="O50" s="325">
        <f t="shared" si="1"/>
        <v>0</v>
      </c>
      <c r="P50" s="324">
        <v>0.16</v>
      </c>
      <c r="Q50" s="227">
        <f t="shared" si="2"/>
        <v>14.591999999999999</v>
      </c>
      <c r="R50" s="227">
        <f t="shared" si="3"/>
        <v>105.79199999999999</v>
      </c>
      <c r="S50" s="229">
        <f>INDEX('Glosario Partidas'!$M$8:$M$10,MATCH(K50,'Glosario Partidas'!$L$8:$L$10,0))</f>
        <v>17.5</v>
      </c>
      <c r="T50" s="227">
        <f t="shared" si="4"/>
        <v>1851.3599999999997</v>
      </c>
      <c r="U50" s="321" t="s">
        <v>754</v>
      </c>
      <c r="V50" s="321" t="s">
        <v>12</v>
      </c>
      <c r="W50" s="321" t="s">
        <v>491</v>
      </c>
      <c r="X50" s="321"/>
    </row>
    <row r="51" spans="2:24" ht="15" customHeight="1" x14ac:dyDescent="0.2">
      <c r="B51" s="211" t="s">
        <v>76</v>
      </c>
      <c r="C51" s="75" t="s">
        <v>732</v>
      </c>
      <c r="D51" s="320" t="s">
        <v>753</v>
      </c>
      <c r="E51" s="321" t="s">
        <v>220</v>
      </c>
      <c r="F51" s="320" t="s">
        <v>354</v>
      </c>
      <c r="G51" s="321" t="s">
        <v>706</v>
      </c>
      <c r="H51" s="322" t="s">
        <v>728</v>
      </c>
      <c r="I51" s="75" t="s">
        <v>204</v>
      </c>
      <c r="J51" s="322">
        <v>3.62</v>
      </c>
      <c r="K51" s="75" t="s">
        <v>153</v>
      </c>
      <c r="L51" s="345">
        <v>55</v>
      </c>
      <c r="M51" s="323">
        <f t="shared" si="0"/>
        <v>199.1</v>
      </c>
      <c r="N51" s="324">
        <v>0</v>
      </c>
      <c r="O51" s="325">
        <f t="shared" si="1"/>
        <v>0</v>
      </c>
      <c r="P51" s="324">
        <v>0.16</v>
      </c>
      <c r="Q51" s="227">
        <f t="shared" si="2"/>
        <v>31.855999999999998</v>
      </c>
      <c r="R51" s="227">
        <f t="shared" si="3"/>
        <v>230.95599999999999</v>
      </c>
      <c r="S51" s="229">
        <f>INDEX('Glosario Partidas'!$M$8:$M$10,MATCH(K51,'Glosario Partidas'!$L$8:$L$10,0))</f>
        <v>17.5</v>
      </c>
      <c r="T51" s="227">
        <f t="shared" si="4"/>
        <v>4041.73</v>
      </c>
      <c r="U51" s="321" t="s">
        <v>754</v>
      </c>
      <c r="V51" s="321" t="s">
        <v>12</v>
      </c>
      <c r="W51" s="321" t="s">
        <v>491</v>
      </c>
      <c r="X51" s="321"/>
    </row>
    <row r="52" spans="2:24" ht="15" customHeight="1" x14ac:dyDescent="0.2">
      <c r="B52" s="211" t="s">
        <v>76</v>
      </c>
      <c r="C52" s="75" t="s">
        <v>733</v>
      </c>
      <c r="D52" s="320" t="s">
        <v>753</v>
      </c>
      <c r="E52" s="321" t="s">
        <v>220</v>
      </c>
      <c r="F52" s="320" t="s">
        <v>354</v>
      </c>
      <c r="G52" s="321" t="s">
        <v>706</v>
      </c>
      <c r="H52" s="322" t="s">
        <v>728</v>
      </c>
      <c r="I52" s="75" t="s">
        <v>204</v>
      </c>
      <c r="J52" s="322">
        <v>2.54</v>
      </c>
      <c r="K52" s="75" t="s">
        <v>153</v>
      </c>
      <c r="L52" s="345">
        <v>5</v>
      </c>
      <c r="M52" s="323">
        <f t="shared" si="0"/>
        <v>12.7</v>
      </c>
      <c r="N52" s="324">
        <v>0</v>
      </c>
      <c r="O52" s="325">
        <f t="shared" si="1"/>
        <v>0</v>
      </c>
      <c r="P52" s="324">
        <v>0.16</v>
      </c>
      <c r="Q52" s="227">
        <f t="shared" si="2"/>
        <v>2.032</v>
      </c>
      <c r="R52" s="227">
        <f t="shared" si="3"/>
        <v>14.731999999999999</v>
      </c>
      <c r="S52" s="229">
        <f>INDEX('Glosario Partidas'!$M$8:$M$10,MATCH(K52,'Glosario Partidas'!$L$8:$L$10,0))</f>
        <v>17.5</v>
      </c>
      <c r="T52" s="227">
        <f t="shared" si="4"/>
        <v>257.81</v>
      </c>
      <c r="U52" s="321" t="s">
        <v>754</v>
      </c>
      <c r="V52" s="321" t="s">
        <v>12</v>
      </c>
      <c r="W52" s="321" t="s">
        <v>491</v>
      </c>
      <c r="X52" s="321"/>
    </row>
    <row r="53" spans="2:24" ht="15" customHeight="1" x14ac:dyDescent="0.2">
      <c r="B53" s="211" t="s">
        <v>76</v>
      </c>
      <c r="C53" s="75" t="s">
        <v>735</v>
      </c>
      <c r="D53" s="320" t="s">
        <v>753</v>
      </c>
      <c r="E53" s="321" t="s">
        <v>220</v>
      </c>
      <c r="F53" s="320" t="s">
        <v>354</v>
      </c>
      <c r="G53" s="321" t="s">
        <v>706</v>
      </c>
      <c r="H53" s="322" t="s">
        <v>728</v>
      </c>
      <c r="I53" s="75" t="s">
        <v>204</v>
      </c>
      <c r="J53" s="322">
        <v>26.61</v>
      </c>
      <c r="K53" s="75" t="s">
        <v>153</v>
      </c>
      <c r="L53" s="345">
        <v>75</v>
      </c>
      <c r="M53" s="323">
        <f t="shared" si="0"/>
        <v>1995.75</v>
      </c>
      <c r="N53" s="324">
        <v>0</v>
      </c>
      <c r="O53" s="325">
        <f t="shared" si="1"/>
        <v>0</v>
      </c>
      <c r="P53" s="324">
        <v>0.16</v>
      </c>
      <c r="Q53" s="227">
        <f t="shared" si="2"/>
        <v>319.32</v>
      </c>
      <c r="R53" s="227">
        <f t="shared" si="3"/>
        <v>2315.0700000000002</v>
      </c>
      <c r="S53" s="229">
        <f>INDEX('Glosario Partidas'!$M$8:$M$10,MATCH(K53,'Glosario Partidas'!$L$8:$L$10,0))</f>
        <v>17.5</v>
      </c>
      <c r="T53" s="227">
        <f t="shared" si="4"/>
        <v>40513.725000000006</v>
      </c>
      <c r="U53" s="321" t="s">
        <v>754</v>
      </c>
      <c r="V53" s="321" t="s">
        <v>12</v>
      </c>
      <c r="W53" s="321" t="s">
        <v>491</v>
      </c>
      <c r="X53" s="321"/>
    </row>
    <row r="54" spans="2:24" ht="15" customHeight="1" x14ac:dyDescent="0.2">
      <c r="B54" s="211" t="s">
        <v>76</v>
      </c>
      <c r="C54" s="75" t="s">
        <v>736</v>
      </c>
      <c r="D54" s="320" t="s">
        <v>753</v>
      </c>
      <c r="E54" s="321" t="s">
        <v>220</v>
      </c>
      <c r="F54" s="320" t="s">
        <v>354</v>
      </c>
      <c r="G54" s="321" t="s">
        <v>706</v>
      </c>
      <c r="H54" s="322" t="s">
        <v>728</v>
      </c>
      <c r="I54" s="75" t="s">
        <v>204</v>
      </c>
      <c r="J54" s="322">
        <v>52.09</v>
      </c>
      <c r="K54" s="75" t="s">
        <v>153</v>
      </c>
      <c r="L54" s="345">
        <v>85</v>
      </c>
      <c r="M54" s="323">
        <f t="shared" si="0"/>
        <v>4427.6500000000005</v>
      </c>
      <c r="N54" s="324">
        <v>0</v>
      </c>
      <c r="O54" s="325">
        <f t="shared" si="1"/>
        <v>0</v>
      </c>
      <c r="P54" s="324">
        <v>0.16</v>
      </c>
      <c r="Q54" s="227">
        <f t="shared" si="2"/>
        <v>708.42400000000009</v>
      </c>
      <c r="R54" s="227">
        <f t="shared" si="3"/>
        <v>5136.0740000000005</v>
      </c>
      <c r="S54" s="229">
        <f>INDEX('Glosario Partidas'!$M$8:$M$10,MATCH(K54,'Glosario Partidas'!$L$8:$L$10,0))</f>
        <v>17.5</v>
      </c>
      <c r="T54" s="227">
        <f t="shared" si="4"/>
        <v>89881.295000000013</v>
      </c>
      <c r="U54" s="321" t="s">
        <v>754</v>
      </c>
      <c r="V54" s="321" t="s">
        <v>12</v>
      </c>
      <c r="W54" s="321" t="s">
        <v>491</v>
      </c>
      <c r="X54" s="321"/>
    </row>
    <row r="55" spans="2:24" ht="15" customHeight="1" x14ac:dyDescent="0.2">
      <c r="B55" s="211" t="s">
        <v>76</v>
      </c>
      <c r="C55" s="75" t="s">
        <v>737</v>
      </c>
      <c r="D55" s="320" t="s">
        <v>753</v>
      </c>
      <c r="E55" s="321" t="s">
        <v>220</v>
      </c>
      <c r="F55" s="320" t="s">
        <v>354</v>
      </c>
      <c r="G55" s="321" t="s">
        <v>706</v>
      </c>
      <c r="H55" s="322" t="s">
        <v>728</v>
      </c>
      <c r="I55" s="75" t="s">
        <v>204</v>
      </c>
      <c r="J55" s="322">
        <v>31.64</v>
      </c>
      <c r="K55" s="75" t="s">
        <v>153</v>
      </c>
      <c r="L55" s="345">
        <v>75</v>
      </c>
      <c r="M55" s="323">
        <f t="shared" si="0"/>
        <v>2373</v>
      </c>
      <c r="N55" s="324">
        <v>0</v>
      </c>
      <c r="O55" s="325">
        <f t="shared" si="1"/>
        <v>0</v>
      </c>
      <c r="P55" s="324">
        <v>0.16</v>
      </c>
      <c r="Q55" s="227">
        <f t="shared" si="2"/>
        <v>379.68</v>
      </c>
      <c r="R55" s="227">
        <f t="shared" si="3"/>
        <v>2752.68</v>
      </c>
      <c r="S55" s="229">
        <f>INDEX('Glosario Partidas'!$M$8:$M$10,MATCH(K55,'Glosario Partidas'!$L$8:$L$10,0))</f>
        <v>17.5</v>
      </c>
      <c r="T55" s="227">
        <f t="shared" si="4"/>
        <v>48171.899999999994</v>
      </c>
      <c r="U55" s="321" t="s">
        <v>754</v>
      </c>
      <c r="V55" s="321" t="s">
        <v>12</v>
      </c>
      <c r="W55" s="321" t="s">
        <v>491</v>
      </c>
      <c r="X55" s="321"/>
    </row>
    <row r="56" spans="2:24" ht="15" customHeight="1" x14ac:dyDescent="0.2">
      <c r="B56" s="211" t="s">
        <v>76</v>
      </c>
      <c r="C56" s="75" t="s">
        <v>738</v>
      </c>
      <c r="D56" s="320" t="s">
        <v>753</v>
      </c>
      <c r="E56" s="321" t="s">
        <v>220</v>
      </c>
      <c r="F56" s="320" t="s">
        <v>354</v>
      </c>
      <c r="G56" s="321" t="s">
        <v>706</v>
      </c>
      <c r="H56" s="322" t="s">
        <v>728</v>
      </c>
      <c r="I56" s="75" t="s">
        <v>204</v>
      </c>
      <c r="J56" s="322">
        <v>16.47</v>
      </c>
      <c r="K56" s="75" t="s">
        <v>153</v>
      </c>
      <c r="L56" s="345">
        <v>65</v>
      </c>
      <c r="M56" s="323">
        <f t="shared" si="0"/>
        <v>1070.55</v>
      </c>
      <c r="N56" s="324">
        <v>0</v>
      </c>
      <c r="O56" s="325">
        <f t="shared" si="1"/>
        <v>0</v>
      </c>
      <c r="P56" s="324">
        <v>0.16</v>
      </c>
      <c r="Q56" s="227">
        <f t="shared" si="2"/>
        <v>171.28799999999998</v>
      </c>
      <c r="R56" s="227">
        <f t="shared" si="3"/>
        <v>1241.838</v>
      </c>
      <c r="S56" s="229">
        <f>INDEX('Glosario Partidas'!$M$8:$M$10,MATCH(K56,'Glosario Partidas'!$L$8:$L$10,0))</f>
        <v>17.5</v>
      </c>
      <c r="T56" s="227">
        <f t="shared" si="4"/>
        <v>21732.165000000001</v>
      </c>
      <c r="U56" s="321" t="s">
        <v>754</v>
      </c>
      <c r="V56" s="321" t="s">
        <v>12</v>
      </c>
      <c r="W56" s="321" t="s">
        <v>491</v>
      </c>
      <c r="X56" s="321"/>
    </row>
    <row r="57" spans="2:24" ht="15" customHeight="1" x14ac:dyDescent="0.2">
      <c r="B57" s="211" t="s">
        <v>76</v>
      </c>
      <c r="C57" s="75" t="s">
        <v>739</v>
      </c>
      <c r="D57" s="320" t="s">
        <v>753</v>
      </c>
      <c r="E57" s="321" t="s">
        <v>220</v>
      </c>
      <c r="F57" s="320" t="s">
        <v>354</v>
      </c>
      <c r="G57" s="321" t="s">
        <v>706</v>
      </c>
      <c r="H57" s="322" t="s">
        <v>728</v>
      </c>
      <c r="I57" s="75" t="s">
        <v>204</v>
      </c>
      <c r="J57" s="322">
        <v>6.85</v>
      </c>
      <c r="K57" s="75" t="s">
        <v>153</v>
      </c>
      <c r="L57" s="345">
        <v>70</v>
      </c>
      <c r="M57" s="323">
        <f t="shared" si="0"/>
        <v>479.5</v>
      </c>
      <c r="N57" s="324">
        <v>0</v>
      </c>
      <c r="O57" s="325">
        <f t="shared" si="1"/>
        <v>0</v>
      </c>
      <c r="P57" s="324">
        <v>0.16</v>
      </c>
      <c r="Q57" s="227">
        <f t="shared" si="2"/>
        <v>76.72</v>
      </c>
      <c r="R57" s="227">
        <f t="shared" si="3"/>
        <v>556.22</v>
      </c>
      <c r="S57" s="229">
        <f>INDEX('Glosario Partidas'!$M$8:$M$10,MATCH(K57,'Glosario Partidas'!$L$8:$L$10,0))</f>
        <v>17.5</v>
      </c>
      <c r="T57" s="227">
        <f t="shared" si="4"/>
        <v>9733.85</v>
      </c>
      <c r="U57" s="321" t="s">
        <v>754</v>
      </c>
      <c r="V57" s="321" t="s">
        <v>12</v>
      </c>
      <c r="W57" s="321" t="s">
        <v>491</v>
      </c>
      <c r="X57" s="321"/>
    </row>
    <row r="58" spans="2:24" ht="15" customHeight="1" x14ac:dyDescent="0.2">
      <c r="B58" s="211" t="s">
        <v>76</v>
      </c>
      <c r="C58" s="75" t="s">
        <v>740</v>
      </c>
      <c r="D58" s="320" t="s">
        <v>753</v>
      </c>
      <c r="E58" s="321" t="s">
        <v>220</v>
      </c>
      <c r="F58" s="320" t="s">
        <v>354</v>
      </c>
      <c r="G58" s="321" t="s">
        <v>706</v>
      </c>
      <c r="H58" s="322" t="s">
        <v>728</v>
      </c>
      <c r="I58" s="75" t="s">
        <v>204</v>
      </c>
      <c r="J58" s="322">
        <v>31.77</v>
      </c>
      <c r="K58" s="75" t="s">
        <v>153</v>
      </c>
      <c r="L58" s="345">
        <v>75</v>
      </c>
      <c r="M58" s="323">
        <f t="shared" si="0"/>
        <v>2382.75</v>
      </c>
      <c r="N58" s="324">
        <v>0</v>
      </c>
      <c r="O58" s="325">
        <f t="shared" si="1"/>
        <v>0</v>
      </c>
      <c r="P58" s="324">
        <v>0.16</v>
      </c>
      <c r="Q58" s="227">
        <f t="shared" si="2"/>
        <v>381.24</v>
      </c>
      <c r="R58" s="227">
        <f t="shared" si="3"/>
        <v>2763.99</v>
      </c>
      <c r="S58" s="229">
        <f>INDEX('Glosario Partidas'!$M$8:$M$10,MATCH(K58,'Glosario Partidas'!$L$8:$L$10,0))</f>
        <v>17.5</v>
      </c>
      <c r="T58" s="227">
        <f t="shared" si="4"/>
        <v>48369.824999999997</v>
      </c>
      <c r="U58" s="321" t="s">
        <v>754</v>
      </c>
      <c r="V58" s="321" t="s">
        <v>12</v>
      </c>
      <c r="W58" s="321" t="s">
        <v>491</v>
      </c>
      <c r="X58" s="321"/>
    </row>
    <row r="59" spans="2:24" ht="15" customHeight="1" x14ac:dyDescent="0.2">
      <c r="B59" s="211" t="s">
        <v>76</v>
      </c>
      <c r="C59" s="75" t="s">
        <v>741</v>
      </c>
      <c r="D59" s="320" t="s">
        <v>753</v>
      </c>
      <c r="E59" s="321" t="s">
        <v>220</v>
      </c>
      <c r="F59" s="320" t="s">
        <v>354</v>
      </c>
      <c r="G59" s="321" t="s">
        <v>706</v>
      </c>
      <c r="H59" s="322" t="s">
        <v>728</v>
      </c>
      <c r="I59" s="75" t="s">
        <v>204</v>
      </c>
      <c r="J59" s="322">
        <v>16.53</v>
      </c>
      <c r="K59" s="75" t="s">
        <v>153</v>
      </c>
      <c r="L59" s="345">
        <v>65</v>
      </c>
      <c r="M59" s="323">
        <f t="shared" si="0"/>
        <v>1074.45</v>
      </c>
      <c r="N59" s="324">
        <v>0</v>
      </c>
      <c r="O59" s="325">
        <f t="shared" si="1"/>
        <v>0</v>
      </c>
      <c r="P59" s="324">
        <v>0.16</v>
      </c>
      <c r="Q59" s="227">
        <f t="shared" si="2"/>
        <v>171.91200000000001</v>
      </c>
      <c r="R59" s="227">
        <f t="shared" si="3"/>
        <v>1246.3620000000001</v>
      </c>
      <c r="S59" s="229">
        <f>INDEX('Glosario Partidas'!$M$8:$M$10,MATCH(K59,'Glosario Partidas'!$L$8:$L$10,0))</f>
        <v>17.5</v>
      </c>
      <c r="T59" s="227">
        <f t="shared" si="4"/>
        <v>21811.335000000003</v>
      </c>
      <c r="U59" s="321" t="s">
        <v>754</v>
      </c>
      <c r="V59" s="321" t="s">
        <v>12</v>
      </c>
      <c r="W59" s="321" t="s">
        <v>491</v>
      </c>
      <c r="X59" s="321"/>
    </row>
    <row r="60" spans="2:24" ht="15" customHeight="1" x14ac:dyDescent="0.2">
      <c r="B60" s="211" t="s">
        <v>76</v>
      </c>
      <c r="C60" s="75" t="s">
        <v>742</v>
      </c>
      <c r="D60" s="320" t="s">
        <v>753</v>
      </c>
      <c r="E60" s="321" t="s">
        <v>220</v>
      </c>
      <c r="F60" s="320" t="s">
        <v>354</v>
      </c>
      <c r="G60" s="321" t="s">
        <v>706</v>
      </c>
      <c r="H60" s="322" t="s">
        <v>728</v>
      </c>
      <c r="I60" s="75" t="s">
        <v>204</v>
      </c>
      <c r="J60" s="322">
        <v>5.0599999999999996</v>
      </c>
      <c r="K60" s="75" t="s">
        <v>153</v>
      </c>
      <c r="L60" s="345">
        <v>70</v>
      </c>
      <c r="M60" s="323">
        <f t="shared" si="0"/>
        <v>354.2</v>
      </c>
      <c r="N60" s="324">
        <v>0</v>
      </c>
      <c r="O60" s="325">
        <f t="shared" si="1"/>
        <v>0</v>
      </c>
      <c r="P60" s="324">
        <v>0.16</v>
      </c>
      <c r="Q60" s="227">
        <f t="shared" si="2"/>
        <v>56.671999999999997</v>
      </c>
      <c r="R60" s="227">
        <f t="shared" si="3"/>
        <v>410.87199999999996</v>
      </c>
      <c r="S60" s="229">
        <f>INDEX('Glosario Partidas'!$M$8:$M$10,MATCH(K60,'Glosario Partidas'!$L$8:$L$10,0))</f>
        <v>17.5</v>
      </c>
      <c r="T60" s="227">
        <f t="shared" si="4"/>
        <v>7190.2599999999993</v>
      </c>
      <c r="U60" s="321" t="s">
        <v>754</v>
      </c>
      <c r="V60" s="321" t="s">
        <v>12</v>
      </c>
      <c r="W60" s="321" t="s">
        <v>491</v>
      </c>
      <c r="X60" s="321"/>
    </row>
    <row r="61" spans="2:24" ht="15" customHeight="1" x14ac:dyDescent="0.2">
      <c r="B61" s="211" t="s">
        <v>76</v>
      </c>
      <c r="C61" s="75" t="s">
        <v>743</v>
      </c>
      <c r="D61" s="320" t="s">
        <v>753</v>
      </c>
      <c r="E61" s="321" t="s">
        <v>220</v>
      </c>
      <c r="F61" s="320" t="s">
        <v>354</v>
      </c>
      <c r="G61" s="321" t="s">
        <v>706</v>
      </c>
      <c r="H61" s="322" t="s">
        <v>728</v>
      </c>
      <c r="I61" s="75" t="s">
        <v>204</v>
      </c>
      <c r="J61" s="322">
        <v>27.84</v>
      </c>
      <c r="K61" s="75" t="s">
        <v>153</v>
      </c>
      <c r="L61" s="345">
        <v>75</v>
      </c>
      <c r="M61" s="323">
        <f t="shared" si="0"/>
        <v>2088</v>
      </c>
      <c r="N61" s="324">
        <v>0</v>
      </c>
      <c r="O61" s="325">
        <f t="shared" si="1"/>
        <v>0</v>
      </c>
      <c r="P61" s="324">
        <v>0.16</v>
      </c>
      <c r="Q61" s="227">
        <f t="shared" si="2"/>
        <v>334.08</v>
      </c>
      <c r="R61" s="227">
        <f t="shared" si="3"/>
        <v>2422.08</v>
      </c>
      <c r="S61" s="229">
        <f>INDEX('Glosario Partidas'!$M$8:$M$10,MATCH(K61,'Glosario Partidas'!$L$8:$L$10,0))</f>
        <v>17.5</v>
      </c>
      <c r="T61" s="227">
        <f t="shared" si="4"/>
        <v>42386.400000000001</v>
      </c>
      <c r="U61" s="321" t="s">
        <v>754</v>
      </c>
      <c r="V61" s="321" t="s">
        <v>12</v>
      </c>
      <c r="W61" s="321" t="s">
        <v>491</v>
      </c>
      <c r="X61" s="321"/>
    </row>
    <row r="62" spans="2:24" ht="15" customHeight="1" x14ac:dyDescent="0.2">
      <c r="B62" s="211" t="s">
        <v>76</v>
      </c>
      <c r="C62" s="75" t="s">
        <v>744</v>
      </c>
      <c r="D62" s="320" t="s">
        <v>753</v>
      </c>
      <c r="E62" s="321" t="s">
        <v>220</v>
      </c>
      <c r="F62" s="320" t="s">
        <v>354</v>
      </c>
      <c r="G62" s="321" t="s">
        <v>706</v>
      </c>
      <c r="H62" s="322" t="s">
        <v>728</v>
      </c>
      <c r="I62" s="75" t="s">
        <v>204</v>
      </c>
      <c r="J62" s="322">
        <v>13.82</v>
      </c>
      <c r="K62" s="75" t="s">
        <v>153</v>
      </c>
      <c r="L62" s="345">
        <v>60</v>
      </c>
      <c r="M62" s="323">
        <f t="shared" si="0"/>
        <v>829.2</v>
      </c>
      <c r="N62" s="324">
        <v>0</v>
      </c>
      <c r="O62" s="325">
        <f t="shared" si="1"/>
        <v>0</v>
      </c>
      <c r="P62" s="324">
        <v>0.16</v>
      </c>
      <c r="Q62" s="227">
        <f t="shared" si="2"/>
        <v>132.672</v>
      </c>
      <c r="R62" s="227">
        <f t="shared" si="3"/>
        <v>961.87200000000007</v>
      </c>
      <c r="S62" s="229">
        <f>INDEX('Glosario Partidas'!$M$8:$M$10,MATCH(K62,'Glosario Partidas'!$L$8:$L$10,0))</f>
        <v>17.5</v>
      </c>
      <c r="T62" s="227">
        <f t="shared" si="4"/>
        <v>16832.760000000002</v>
      </c>
      <c r="U62" s="321" t="s">
        <v>754</v>
      </c>
      <c r="V62" s="321" t="s">
        <v>12</v>
      </c>
      <c r="W62" s="321" t="s">
        <v>491</v>
      </c>
      <c r="X62" s="321"/>
    </row>
    <row r="63" spans="2:24" ht="15" customHeight="1" x14ac:dyDescent="0.2">
      <c r="B63" s="211" t="s">
        <v>76</v>
      </c>
      <c r="C63" s="75" t="s">
        <v>745</v>
      </c>
      <c r="D63" s="320" t="s">
        <v>753</v>
      </c>
      <c r="E63" s="321" t="s">
        <v>220</v>
      </c>
      <c r="F63" s="320" t="s">
        <v>354</v>
      </c>
      <c r="G63" s="321" t="s">
        <v>706</v>
      </c>
      <c r="H63" s="322" t="s">
        <v>728</v>
      </c>
      <c r="I63" s="75" t="s">
        <v>204</v>
      </c>
      <c r="J63" s="322">
        <v>29.31</v>
      </c>
      <c r="K63" s="75" t="s">
        <v>153</v>
      </c>
      <c r="L63" s="345">
        <v>75</v>
      </c>
      <c r="M63" s="323">
        <f t="shared" si="0"/>
        <v>2198.25</v>
      </c>
      <c r="N63" s="324">
        <v>0</v>
      </c>
      <c r="O63" s="325">
        <f t="shared" si="1"/>
        <v>0</v>
      </c>
      <c r="P63" s="324">
        <v>0.16</v>
      </c>
      <c r="Q63" s="227">
        <f t="shared" si="2"/>
        <v>351.72</v>
      </c>
      <c r="R63" s="227">
        <f t="shared" si="3"/>
        <v>2549.9700000000003</v>
      </c>
      <c r="S63" s="229">
        <f>INDEX('Glosario Partidas'!$M$8:$M$10,MATCH(K63,'Glosario Partidas'!$L$8:$L$10,0))</f>
        <v>17.5</v>
      </c>
      <c r="T63" s="227">
        <f t="shared" si="4"/>
        <v>44624.475000000006</v>
      </c>
      <c r="U63" s="321" t="s">
        <v>754</v>
      </c>
      <c r="V63" s="321" t="s">
        <v>12</v>
      </c>
      <c r="W63" s="321" t="s">
        <v>491</v>
      </c>
      <c r="X63" s="321"/>
    </row>
    <row r="64" spans="2:24" ht="15" customHeight="1" x14ac:dyDescent="0.2">
      <c r="B64" s="211" t="s">
        <v>76</v>
      </c>
      <c r="C64" s="75" t="s">
        <v>746</v>
      </c>
      <c r="D64" s="320" t="s">
        <v>753</v>
      </c>
      <c r="E64" s="321" t="s">
        <v>220</v>
      </c>
      <c r="F64" s="320" t="s">
        <v>354</v>
      </c>
      <c r="G64" s="321" t="s">
        <v>706</v>
      </c>
      <c r="H64" s="322" t="s">
        <v>728</v>
      </c>
      <c r="I64" s="75" t="s">
        <v>204</v>
      </c>
      <c r="J64" s="322">
        <v>13.81</v>
      </c>
      <c r="K64" s="75" t="s">
        <v>153</v>
      </c>
      <c r="L64" s="345">
        <v>60</v>
      </c>
      <c r="M64" s="323">
        <f t="shared" si="0"/>
        <v>828.6</v>
      </c>
      <c r="N64" s="324">
        <v>0</v>
      </c>
      <c r="O64" s="325">
        <f t="shared" si="1"/>
        <v>0</v>
      </c>
      <c r="P64" s="324">
        <v>0.16</v>
      </c>
      <c r="Q64" s="227">
        <f t="shared" si="2"/>
        <v>132.57599999999999</v>
      </c>
      <c r="R64" s="227">
        <f t="shared" si="3"/>
        <v>961.17600000000004</v>
      </c>
      <c r="S64" s="229">
        <f>INDEX('Glosario Partidas'!$M$8:$M$10,MATCH(K64,'Glosario Partidas'!$L$8:$L$10,0))</f>
        <v>17.5</v>
      </c>
      <c r="T64" s="227">
        <f t="shared" si="4"/>
        <v>16820.580000000002</v>
      </c>
      <c r="U64" s="321" t="s">
        <v>754</v>
      </c>
      <c r="V64" s="321" t="s">
        <v>12</v>
      </c>
      <c r="W64" s="321" t="s">
        <v>491</v>
      </c>
      <c r="X64" s="321"/>
    </row>
    <row r="65" spans="2:24" ht="15" customHeight="1" x14ac:dyDescent="0.2">
      <c r="B65" s="211" t="s">
        <v>76</v>
      </c>
      <c r="C65" s="75" t="s">
        <v>750</v>
      </c>
      <c r="D65" s="320" t="s">
        <v>755</v>
      </c>
      <c r="E65" s="321" t="s">
        <v>220</v>
      </c>
      <c r="F65" s="320" t="s">
        <v>354</v>
      </c>
      <c r="G65" s="321" t="s">
        <v>706</v>
      </c>
      <c r="H65" s="322" t="s">
        <v>728</v>
      </c>
      <c r="I65" s="75" t="s">
        <v>204</v>
      </c>
      <c r="J65" s="322">
        <v>52.9</v>
      </c>
      <c r="K65" s="75" t="s">
        <v>153</v>
      </c>
      <c r="L65" s="345">
        <v>45</v>
      </c>
      <c r="M65" s="323">
        <f t="shared" si="0"/>
        <v>2380.5</v>
      </c>
      <c r="N65" s="324">
        <v>0</v>
      </c>
      <c r="O65" s="325">
        <f t="shared" si="1"/>
        <v>0</v>
      </c>
      <c r="P65" s="324">
        <v>0.16</v>
      </c>
      <c r="Q65" s="227">
        <f t="shared" si="2"/>
        <v>380.88</v>
      </c>
      <c r="R65" s="227">
        <f t="shared" si="3"/>
        <v>2761.38</v>
      </c>
      <c r="S65" s="229">
        <f>INDEX('Glosario Partidas'!$M$8:$M$10,MATCH(K65,'Glosario Partidas'!$L$8:$L$10,0))</f>
        <v>17.5</v>
      </c>
      <c r="T65" s="227">
        <f t="shared" si="4"/>
        <v>48324.15</v>
      </c>
      <c r="U65" s="321" t="s">
        <v>754</v>
      </c>
      <c r="V65" s="321" t="s">
        <v>12</v>
      </c>
      <c r="W65" s="321" t="s">
        <v>491</v>
      </c>
      <c r="X65" s="321"/>
    </row>
    <row r="66" spans="2:24" ht="15" customHeight="1" x14ac:dyDescent="0.2">
      <c r="B66" s="211" t="s">
        <v>76</v>
      </c>
      <c r="C66" s="75" t="s">
        <v>726</v>
      </c>
      <c r="D66" s="320" t="s">
        <v>756</v>
      </c>
      <c r="E66" s="321" t="s">
        <v>220</v>
      </c>
      <c r="F66" s="320" t="s">
        <v>355</v>
      </c>
      <c r="G66" s="321" t="s">
        <v>757</v>
      </c>
      <c r="H66" s="322" t="s">
        <v>728</v>
      </c>
      <c r="I66" s="75" t="s">
        <v>204</v>
      </c>
      <c r="J66" s="322">
        <v>25.47</v>
      </c>
      <c r="K66" s="75" t="s">
        <v>153</v>
      </c>
      <c r="L66" s="345">
        <v>55</v>
      </c>
      <c r="M66" s="323">
        <f t="shared" ref="M66:M129" si="5">J66*L66</f>
        <v>1400.85</v>
      </c>
      <c r="N66" s="324">
        <v>0</v>
      </c>
      <c r="O66" s="325">
        <f t="shared" ref="O66:O129" si="6">M66*N66</f>
        <v>0</v>
      </c>
      <c r="P66" s="324">
        <v>0.16</v>
      </c>
      <c r="Q66" s="227">
        <f t="shared" ref="Q66:Q129" si="7">(M66+O66)*P66</f>
        <v>224.136</v>
      </c>
      <c r="R66" s="227">
        <f t="shared" ref="R66:R129" si="8">M66+O66+Q66</f>
        <v>1624.9859999999999</v>
      </c>
      <c r="S66" s="229">
        <f>INDEX('Glosario Partidas'!$M$8:$M$10,MATCH(K66,'Glosario Partidas'!$L$8:$L$10,0))</f>
        <v>17.5</v>
      </c>
      <c r="T66" s="227">
        <f t="shared" ref="T66:T129" si="9">R66*S66</f>
        <v>28437.254999999997</v>
      </c>
      <c r="U66" s="321" t="s">
        <v>758</v>
      </c>
      <c r="V66" s="321" t="s">
        <v>12</v>
      </c>
      <c r="W66" s="321" t="s">
        <v>491</v>
      </c>
      <c r="X66" s="321"/>
    </row>
    <row r="67" spans="2:24" ht="15" customHeight="1" x14ac:dyDescent="0.2">
      <c r="B67" s="211" t="s">
        <v>76</v>
      </c>
      <c r="C67" s="75" t="s">
        <v>759</v>
      </c>
      <c r="D67" s="320" t="s">
        <v>756</v>
      </c>
      <c r="E67" s="321" t="s">
        <v>220</v>
      </c>
      <c r="F67" s="320" t="s">
        <v>355</v>
      </c>
      <c r="G67" s="321" t="s">
        <v>757</v>
      </c>
      <c r="H67" s="322" t="s">
        <v>728</v>
      </c>
      <c r="I67" s="75" t="s">
        <v>204</v>
      </c>
      <c r="J67" s="322">
        <v>5.34</v>
      </c>
      <c r="K67" s="75" t="s">
        <v>153</v>
      </c>
      <c r="L67" s="345">
        <v>55</v>
      </c>
      <c r="M67" s="323">
        <f t="shared" si="5"/>
        <v>293.7</v>
      </c>
      <c r="N67" s="324">
        <v>0</v>
      </c>
      <c r="O67" s="325">
        <f t="shared" si="6"/>
        <v>0</v>
      </c>
      <c r="P67" s="324">
        <v>0.16</v>
      </c>
      <c r="Q67" s="227">
        <f t="shared" si="7"/>
        <v>46.991999999999997</v>
      </c>
      <c r="R67" s="227">
        <f t="shared" si="8"/>
        <v>340.69200000000001</v>
      </c>
      <c r="S67" s="229">
        <f>INDEX('Glosario Partidas'!$M$8:$M$10,MATCH(K67,'Glosario Partidas'!$L$8:$L$10,0))</f>
        <v>17.5</v>
      </c>
      <c r="T67" s="227">
        <f t="shared" si="9"/>
        <v>5962.1100000000006</v>
      </c>
      <c r="U67" s="321" t="s">
        <v>758</v>
      </c>
      <c r="V67" s="321" t="s">
        <v>12</v>
      </c>
      <c r="W67" s="321" t="s">
        <v>491</v>
      </c>
      <c r="X67" s="321"/>
    </row>
    <row r="68" spans="2:24" ht="15" customHeight="1" x14ac:dyDescent="0.2">
      <c r="B68" s="211" t="s">
        <v>76</v>
      </c>
      <c r="C68" s="75" t="s">
        <v>760</v>
      </c>
      <c r="D68" s="320" t="s">
        <v>756</v>
      </c>
      <c r="E68" s="321" t="s">
        <v>220</v>
      </c>
      <c r="F68" s="320" t="s">
        <v>355</v>
      </c>
      <c r="G68" s="321" t="s">
        <v>757</v>
      </c>
      <c r="H68" s="322" t="s">
        <v>728</v>
      </c>
      <c r="I68" s="75" t="s">
        <v>204</v>
      </c>
      <c r="J68" s="322">
        <v>6.66</v>
      </c>
      <c r="K68" s="75" t="s">
        <v>153</v>
      </c>
      <c r="L68" s="345">
        <v>5</v>
      </c>
      <c r="M68" s="323">
        <f t="shared" si="5"/>
        <v>33.299999999999997</v>
      </c>
      <c r="N68" s="324">
        <v>0</v>
      </c>
      <c r="O68" s="325">
        <f t="shared" si="6"/>
        <v>0</v>
      </c>
      <c r="P68" s="324">
        <v>0.16</v>
      </c>
      <c r="Q68" s="227">
        <f t="shared" si="7"/>
        <v>5.3279999999999994</v>
      </c>
      <c r="R68" s="227">
        <f t="shared" si="8"/>
        <v>38.628</v>
      </c>
      <c r="S68" s="229">
        <f>INDEX('Glosario Partidas'!$M$8:$M$10,MATCH(K68,'Glosario Partidas'!$L$8:$L$10,0))</f>
        <v>17.5</v>
      </c>
      <c r="T68" s="227">
        <f t="shared" si="9"/>
        <v>675.99</v>
      </c>
      <c r="U68" s="321" t="s">
        <v>758</v>
      </c>
      <c r="V68" s="321" t="s">
        <v>12</v>
      </c>
      <c r="W68" s="321" t="s">
        <v>491</v>
      </c>
      <c r="X68" s="321"/>
    </row>
    <row r="69" spans="2:24" ht="15" customHeight="1" x14ac:dyDescent="0.2">
      <c r="B69" s="211" t="s">
        <v>76</v>
      </c>
      <c r="C69" s="75" t="s">
        <v>761</v>
      </c>
      <c r="D69" s="320" t="s">
        <v>756</v>
      </c>
      <c r="E69" s="321" t="s">
        <v>220</v>
      </c>
      <c r="F69" s="320" t="s">
        <v>355</v>
      </c>
      <c r="G69" s="321" t="s">
        <v>757</v>
      </c>
      <c r="H69" s="322" t="s">
        <v>728</v>
      </c>
      <c r="I69" s="75" t="s">
        <v>204</v>
      </c>
      <c r="J69" s="322">
        <v>15.46</v>
      </c>
      <c r="K69" s="75" t="s">
        <v>153</v>
      </c>
      <c r="L69" s="345">
        <v>5</v>
      </c>
      <c r="M69" s="323">
        <f t="shared" si="5"/>
        <v>77.300000000000011</v>
      </c>
      <c r="N69" s="324">
        <v>0</v>
      </c>
      <c r="O69" s="325">
        <f t="shared" si="6"/>
        <v>0</v>
      </c>
      <c r="P69" s="324">
        <v>0.16</v>
      </c>
      <c r="Q69" s="227">
        <f t="shared" si="7"/>
        <v>12.368000000000002</v>
      </c>
      <c r="R69" s="227">
        <f t="shared" si="8"/>
        <v>89.668000000000006</v>
      </c>
      <c r="S69" s="229">
        <f>INDEX('Glosario Partidas'!$M$8:$M$10,MATCH(K69,'Glosario Partidas'!$L$8:$L$10,0))</f>
        <v>17.5</v>
      </c>
      <c r="T69" s="227">
        <f t="shared" si="9"/>
        <v>1569.19</v>
      </c>
      <c r="U69" s="321" t="s">
        <v>758</v>
      </c>
      <c r="V69" s="321" t="s">
        <v>12</v>
      </c>
      <c r="W69" s="321" t="s">
        <v>491</v>
      </c>
      <c r="X69" s="321"/>
    </row>
    <row r="70" spans="2:24" ht="15" customHeight="1" x14ac:dyDescent="0.2">
      <c r="B70" s="211" t="s">
        <v>76</v>
      </c>
      <c r="C70" s="75" t="s">
        <v>747</v>
      </c>
      <c r="D70" s="320" t="s">
        <v>756</v>
      </c>
      <c r="E70" s="321" t="s">
        <v>220</v>
      </c>
      <c r="F70" s="320" t="s">
        <v>355</v>
      </c>
      <c r="G70" s="321" t="s">
        <v>757</v>
      </c>
      <c r="H70" s="322" t="s">
        <v>728</v>
      </c>
      <c r="I70" s="75" t="s">
        <v>204</v>
      </c>
      <c r="J70" s="322">
        <v>24.89</v>
      </c>
      <c r="K70" s="75" t="s">
        <v>153</v>
      </c>
      <c r="L70" s="345">
        <v>5</v>
      </c>
      <c r="M70" s="323">
        <f t="shared" si="5"/>
        <v>124.45</v>
      </c>
      <c r="N70" s="324">
        <v>0</v>
      </c>
      <c r="O70" s="325">
        <f t="shared" si="6"/>
        <v>0</v>
      </c>
      <c r="P70" s="324">
        <v>0.16</v>
      </c>
      <c r="Q70" s="227">
        <f t="shared" si="7"/>
        <v>19.912000000000003</v>
      </c>
      <c r="R70" s="227">
        <f t="shared" si="8"/>
        <v>144.36199999999999</v>
      </c>
      <c r="S70" s="229">
        <f>INDEX('Glosario Partidas'!$M$8:$M$10,MATCH(K70,'Glosario Partidas'!$L$8:$L$10,0))</f>
        <v>17.5</v>
      </c>
      <c r="T70" s="227">
        <f t="shared" si="9"/>
        <v>2526.335</v>
      </c>
      <c r="U70" s="321" t="s">
        <v>758</v>
      </c>
      <c r="V70" s="321" t="s">
        <v>12</v>
      </c>
      <c r="W70" s="321" t="s">
        <v>491</v>
      </c>
      <c r="X70" s="321"/>
    </row>
    <row r="71" spans="2:24" ht="15" customHeight="1" x14ac:dyDescent="0.2">
      <c r="B71" s="211" t="s">
        <v>76</v>
      </c>
      <c r="C71" s="75" t="s">
        <v>762</v>
      </c>
      <c r="D71" s="320" t="s">
        <v>763</v>
      </c>
      <c r="E71" s="321" t="s">
        <v>220</v>
      </c>
      <c r="F71" s="320" t="s">
        <v>355</v>
      </c>
      <c r="G71" s="321" t="s">
        <v>757</v>
      </c>
      <c r="H71" s="322" t="s">
        <v>728</v>
      </c>
      <c r="I71" s="75" t="s">
        <v>204</v>
      </c>
      <c r="J71" s="322">
        <v>61.91</v>
      </c>
      <c r="K71" s="75" t="s">
        <v>153</v>
      </c>
      <c r="L71" s="345">
        <v>45</v>
      </c>
      <c r="M71" s="323">
        <f t="shared" si="5"/>
        <v>2785.95</v>
      </c>
      <c r="N71" s="324">
        <v>0</v>
      </c>
      <c r="O71" s="325">
        <f t="shared" si="6"/>
        <v>0</v>
      </c>
      <c r="P71" s="324">
        <v>0.16</v>
      </c>
      <c r="Q71" s="227">
        <f t="shared" si="7"/>
        <v>445.75199999999995</v>
      </c>
      <c r="R71" s="227">
        <f t="shared" si="8"/>
        <v>3231.7019999999998</v>
      </c>
      <c r="S71" s="229">
        <f>INDEX('Glosario Partidas'!$M$8:$M$10,MATCH(K71,'Glosario Partidas'!$L$8:$L$10,0))</f>
        <v>17.5</v>
      </c>
      <c r="T71" s="227">
        <f t="shared" si="9"/>
        <v>56554.784999999996</v>
      </c>
      <c r="U71" s="321" t="s">
        <v>758</v>
      </c>
      <c r="V71" s="321" t="s">
        <v>12</v>
      </c>
      <c r="W71" s="321" t="s">
        <v>491</v>
      </c>
      <c r="X71" s="321"/>
    </row>
    <row r="72" spans="2:24" ht="15" customHeight="1" x14ac:dyDescent="0.2">
      <c r="B72" s="211" t="s">
        <v>76</v>
      </c>
      <c r="C72" s="75" t="s">
        <v>751</v>
      </c>
      <c r="D72" s="320" t="s">
        <v>763</v>
      </c>
      <c r="E72" s="321" t="s">
        <v>220</v>
      </c>
      <c r="F72" s="320" t="s">
        <v>355</v>
      </c>
      <c r="G72" s="321" t="s">
        <v>757</v>
      </c>
      <c r="H72" s="322" t="s">
        <v>728</v>
      </c>
      <c r="I72" s="75" t="s">
        <v>204</v>
      </c>
      <c r="J72" s="322">
        <v>65.94</v>
      </c>
      <c r="K72" s="75" t="s">
        <v>153</v>
      </c>
      <c r="L72" s="345">
        <v>40</v>
      </c>
      <c r="M72" s="323">
        <f t="shared" si="5"/>
        <v>2637.6</v>
      </c>
      <c r="N72" s="324">
        <v>0</v>
      </c>
      <c r="O72" s="325">
        <f t="shared" si="6"/>
        <v>0</v>
      </c>
      <c r="P72" s="324">
        <v>0.16</v>
      </c>
      <c r="Q72" s="227">
        <f t="shared" si="7"/>
        <v>422.01600000000002</v>
      </c>
      <c r="R72" s="227">
        <f t="shared" si="8"/>
        <v>3059.616</v>
      </c>
      <c r="S72" s="229">
        <f>INDEX('Glosario Partidas'!$M$8:$M$10,MATCH(K72,'Glosario Partidas'!$L$8:$L$10,0))</f>
        <v>17.5</v>
      </c>
      <c r="T72" s="227">
        <f t="shared" si="9"/>
        <v>53543.28</v>
      </c>
      <c r="U72" s="321" t="s">
        <v>758</v>
      </c>
      <c r="V72" s="321" t="s">
        <v>12</v>
      </c>
      <c r="W72" s="321" t="s">
        <v>491</v>
      </c>
      <c r="X72" s="321"/>
    </row>
    <row r="73" spans="2:24" ht="15" customHeight="1" x14ac:dyDescent="0.2">
      <c r="B73" s="211" t="s">
        <v>76</v>
      </c>
      <c r="C73" s="75" t="s">
        <v>752</v>
      </c>
      <c r="D73" s="320" t="s">
        <v>763</v>
      </c>
      <c r="E73" s="321" t="s">
        <v>220</v>
      </c>
      <c r="F73" s="320" t="s">
        <v>355</v>
      </c>
      <c r="G73" s="321" t="s">
        <v>757</v>
      </c>
      <c r="H73" s="322" t="s">
        <v>728</v>
      </c>
      <c r="I73" s="75" t="s">
        <v>204</v>
      </c>
      <c r="J73" s="322">
        <v>70.38</v>
      </c>
      <c r="K73" s="75" t="s">
        <v>153</v>
      </c>
      <c r="L73" s="345">
        <v>55</v>
      </c>
      <c r="M73" s="323">
        <f t="shared" si="5"/>
        <v>3870.8999999999996</v>
      </c>
      <c r="N73" s="324">
        <v>0</v>
      </c>
      <c r="O73" s="325">
        <f t="shared" si="6"/>
        <v>0</v>
      </c>
      <c r="P73" s="324">
        <v>0.16</v>
      </c>
      <c r="Q73" s="227">
        <f t="shared" si="7"/>
        <v>619.34399999999994</v>
      </c>
      <c r="R73" s="227">
        <f t="shared" si="8"/>
        <v>4490.2439999999997</v>
      </c>
      <c r="S73" s="229">
        <f>INDEX('Glosario Partidas'!$M$8:$M$10,MATCH(K73,'Glosario Partidas'!$L$8:$L$10,0))</f>
        <v>17.5</v>
      </c>
      <c r="T73" s="227">
        <f t="shared" si="9"/>
        <v>78579.26999999999</v>
      </c>
      <c r="U73" s="321" t="s">
        <v>758</v>
      </c>
      <c r="V73" s="321" t="s">
        <v>12</v>
      </c>
      <c r="W73" s="321" t="s">
        <v>491</v>
      </c>
      <c r="X73" s="321"/>
    </row>
    <row r="74" spans="2:24" ht="15" customHeight="1" x14ac:dyDescent="0.2">
      <c r="B74" s="211" t="s">
        <v>76</v>
      </c>
      <c r="C74" s="75" t="s">
        <v>632</v>
      </c>
      <c r="D74" s="320" t="s">
        <v>763</v>
      </c>
      <c r="E74" s="321" t="s">
        <v>220</v>
      </c>
      <c r="F74" s="320" t="s">
        <v>355</v>
      </c>
      <c r="G74" s="321" t="s">
        <v>757</v>
      </c>
      <c r="H74" s="322" t="s">
        <v>728</v>
      </c>
      <c r="I74" s="75" t="s">
        <v>204</v>
      </c>
      <c r="J74" s="322">
        <v>64.239999999999995</v>
      </c>
      <c r="K74" s="75" t="s">
        <v>153</v>
      </c>
      <c r="L74" s="345">
        <v>5</v>
      </c>
      <c r="M74" s="323">
        <f t="shared" si="5"/>
        <v>321.2</v>
      </c>
      <c r="N74" s="324">
        <v>0</v>
      </c>
      <c r="O74" s="325">
        <f t="shared" si="6"/>
        <v>0</v>
      </c>
      <c r="P74" s="324">
        <v>0.16</v>
      </c>
      <c r="Q74" s="227">
        <f t="shared" si="7"/>
        <v>51.391999999999996</v>
      </c>
      <c r="R74" s="227">
        <f t="shared" si="8"/>
        <v>372.59199999999998</v>
      </c>
      <c r="S74" s="229">
        <f>INDEX('Glosario Partidas'!$M$8:$M$10,MATCH(K74,'Glosario Partidas'!$L$8:$L$10,0))</f>
        <v>17.5</v>
      </c>
      <c r="T74" s="227">
        <f t="shared" si="9"/>
        <v>6520.36</v>
      </c>
      <c r="U74" s="321" t="s">
        <v>758</v>
      </c>
      <c r="V74" s="321" t="s">
        <v>12</v>
      </c>
      <c r="W74" s="321" t="s">
        <v>491</v>
      </c>
      <c r="X74" s="321"/>
    </row>
    <row r="75" spans="2:24" ht="15" customHeight="1" x14ac:dyDescent="0.2">
      <c r="B75" s="211" t="s">
        <v>76</v>
      </c>
      <c r="C75" s="75" t="s">
        <v>764</v>
      </c>
      <c r="D75" s="320" t="s">
        <v>763</v>
      </c>
      <c r="E75" s="321" t="s">
        <v>220</v>
      </c>
      <c r="F75" s="320" t="s">
        <v>355</v>
      </c>
      <c r="G75" s="321" t="s">
        <v>757</v>
      </c>
      <c r="H75" s="322" t="s">
        <v>728</v>
      </c>
      <c r="I75" s="75" t="s">
        <v>204</v>
      </c>
      <c r="J75" s="322">
        <v>6.07</v>
      </c>
      <c r="K75" s="75" t="s">
        <v>153</v>
      </c>
      <c r="L75" s="345">
        <v>40</v>
      </c>
      <c r="M75" s="323">
        <f t="shared" si="5"/>
        <v>242.8</v>
      </c>
      <c r="N75" s="324">
        <v>0</v>
      </c>
      <c r="O75" s="325">
        <f t="shared" si="6"/>
        <v>0</v>
      </c>
      <c r="P75" s="324">
        <v>0.16</v>
      </c>
      <c r="Q75" s="227">
        <f t="shared" si="7"/>
        <v>38.848000000000006</v>
      </c>
      <c r="R75" s="227">
        <f t="shared" si="8"/>
        <v>281.64800000000002</v>
      </c>
      <c r="S75" s="229">
        <f>INDEX('Glosario Partidas'!$M$8:$M$10,MATCH(K75,'Glosario Partidas'!$L$8:$L$10,0))</f>
        <v>17.5</v>
      </c>
      <c r="T75" s="227">
        <f t="shared" si="9"/>
        <v>4928.84</v>
      </c>
      <c r="U75" s="321" t="s">
        <v>758</v>
      </c>
      <c r="V75" s="321" t="s">
        <v>12</v>
      </c>
      <c r="W75" s="321" t="s">
        <v>491</v>
      </c>
      <c r="X75" s="321"/>
    </row>
    <row r="76" spans="2:24" ht="15" customHeight="1" x14ac:dyDescent="0.2">
      <c r="B76" s="211" t="s">
        <v>76</v>
      </c>
      <c r="C76" s="75" t="s">
        <v>726</v>
      </c>
      <c r="D76" s="320" t="s">
        <v>753</v>
      </c>
      <c r="E76" s="321" t="s">
        <v>220</v>
      </c>
      <c r="F76" s="320" t="s">
        <v>354</v>
      </c>
      <c r="G76" s="321" t="s">
        <v>707</v>
      </c>
      <c r="H76" s="322" t="s">
        <v>728</v>
      </c>
      <c r="I76" s="75" t="s">
        <v>204</v>
      </c>
      <c r="J76" s="322">
        <v>25.96</v>
      </c>
      <c r="K76" s="75" t="s">
        <v>153</v>
      </c>
      <c r="L76" s="345">
        <v>55</v>
      </c>
      <c r="M76" s="323">
        <f t="shared" si="5"/>
        <v>1427.8</v>
      </c>
      <c r="N76" s="324">
        <v>0</v>
      </c>
      <c r="O76" s="325">
        <f t="shared" si="6"/>
        <v>0</v>
      </c>
      <c r="P76" s="324">
        <v>0.16</v>
      </c>
      <c r="Q76" s="227">
        <f t="shared" si="7"/>
        <v>228.44800000000001</v>
      </c>
      <c r="R76" s="227">
        <f t="shared" si="8"/>
        <v>1656.248</v>
      </c>
      <c r="S76" s="229">
        <f>INDEX('Glosario Partidas'!$M$8:$M$10,MATCH(K76,'Glosario Partidas'!$L$8:$L$10,0))</f>
        <v>17.5</v>
      </c>
      <c r="T76" s="227">
        <f t="shared" si="9"/>
        <v>28984.34</v>
      </c>
      <c r="U76" s="321" t="s">
        <v>754</v>
      </c>
      <c r="V76" s="321" t="s">
        <v>12</v>
      </c>
      <c r="W76" s="321" t="s">
        <v>491</v>
      </c>
      <c r="X76" s="321"/>
    </row>
    <row r="77" spans="2:24" ht="15" customHeight="1" x14ac:dyDescent="0.2">
      <c r="B77" s="211" t="s">
        <v>76</v>
      </c>
      <c r="C77" s="75" t="s">
        <v>730</v>
      </c>
      <c r="D77" s="320" t="s">
        <v>753</v>
      </c>
      <c r="E77" s="321" t="s">
        <v>220</v>
      </c>
      <c r="F77" s="320" t="s">
        <v>354</v>
      </c>
      <c r="G77" s="321" t="s">
        <v>707</v>
      </c>
      <c r="H77" s="322" t="s">
        <v>728</v>
      </c>
      <c r="I77" s="75" t="s">
        <v>204</v>
      </c>
      <c r="J77" s="322">
        <v>31.7</v>
      </c>
      <c r="K77" s="75" t="s">
        <v>153</v>
      </c>
      <c r="L77" s="345">
        <v>55</v>
      </c>
      <c r="M77" s="323">
        <f t="shared" si="5"/>
        <v>1743.5</v>
      </c>
      <c r="N77" s="324">
        <v>0</v>
      </c>
      <c r="O77" s="325">
        <f t="shared" si="6"/>
        <v>0</v>
      </c>
      <c r="P77" s="324">
        <v>0.16</v>
      </c>
      <c r="Q77" s="227">
        <f t="shared" si="7"/>
        <v>278.95999999999998</v>
      </c>
      <c r="R77" s="227">
        <f t="shared" si="8"/>
        <v>2022.46</v>
      </c>
      <c r="S77" s="229">
        <f>INDEX('Glosario Partidas'!$M$8:$M$10,MATCH(K77,'Glosario Partidas'!$L$8:$L$10,0))</f>
        <v>17.5</v>
      </c>
      <c r="T77" s="227">
        <f t="shared" si="9"/>
        <v>35393.050000000003</v>
      </c>
      <c r="U77" s="321" t="s">
        <v>754</v>
      </c>
      <c r="V77" s="321" t="s">
        <v>12</v>
      </c>
      <c r="W77" s="321" t="s">
        <v>491</v>
      </c>
      <c r="X77" s="321"/>
    </row>
    <row r="78" spans="2:24" ht="15" customHeight="1" x14ac:dyDescent="0.2">
      <c r="B78" s="211" t="s">
        <v>76</v>
      </c>
      <c r="C78" s="75" t="s">
        <v>731</v>
      </c>
      <c r="D78" s="320" t="s">
        <v>753</v>
      </c>
      <c r="E78" s="321" t="s">
        <v>220</v>
      </c>
      <c r="F78" s="320" t="s">
        <v>354</v>
      </c>
      <c r="G78" s="321" t="s">
        <v>707</v>
      </c>
      <c r="H78" s="322" t="s">
        <v>728</v>
      </c>
      <c r="I78" s="75" t="s">
        <v>204</v>
      </c>
      <c r="J78" s="322">
        <v>2.2799999999999998</v>
      </c>
      <c r="K78" s="75" t="s">
        <v>153</v>
      </c>
      <c r="L78" s="345">
        <v>40</v>
      </c>
      <c r="M78" s="323">
        <f t="shared" si="5"/>
        <v>91.199999999999989</v>
      </c>
      <c r="N78" s="324">
        <v>0</v>
      </c>
      <c r="O78" s="325">
        <f t="shared" si="6"/>
        <v>0</v>
      </c>
      <c r="P78" s="324">
        <v>0.16</v>
      </c>
      <c r="Q78" s="227">
        <f t="shared" si="7"/>
        <v>14.591999999999999</v>
      </c>
      <c r="R78" s="227">
        <f t="shared" si="8"/>
        <v>105.79199999999999</v>
      </c>
      <c r="S78" s="229">
        <f>INDEX('Glosario Partidas'!$M$8:$M$10,MATCH(K78,'Glosario Partidas'!$L$8:$L$10,0))</f>
        <v>17.5</v>
      </c>
      <c r="T78" s="227">
        <f t="shared" si="9"/>
        <v>1851.3599999999997</v>
      </c>
      <c r="U78" s="321" t="s">
        <v>754</v>
      </c>
      <c r="V78" s="321" t="s">
        <v>12</v>
      </c>
      <c r="W78" s="321" t="s">
        <v>491</v>
      </c>
      <c r="X78" s="321"/>
    </row>
    <row r="79" spans="2:24" ht="15" customHeight="1" x14ac:dyDescent="0.2">
      <c r="B79" s="211" t="s">
        <v>76</v>
      </c>
      <c r="C79" s="75" t="s">
        <v>732</v>
      </c>
      <c r="D79" s="320" t="s">
        <v>753</v>
      </c>
      <c r="E79" s="321" t="s">
        <v>220</v>
      </c>
      <c r="F79" s="320" t="s">
        <v>354</v>
      </c>
      <c r="G79" s="321" t="s">
        <v>707</v>
      </c>
      <c r="H79" s="322" t="s">
        <v>728</v>
      </c>
      <c r="I79" s="75" t="s">
        <v>204</v>
      </c>
      <c r="J79" s="322">
        <v>3.62</v>
      </c>
      <c r="K79" s="75" t="s">
        <v>153</v>
      </c>
      <c r="L79" s="345">
        <v>55</v>
      </c>
      <c r="M79" s="323">
        <f t="shared" si="5"/>
        <v>199.1</v>
      </c>
      <c r="N79" s="324">
        <v>0</v>
      </c>
      <c r="O79" s="325">
        <f t="shared" si="6"/>
        <v>0</v>
      </c>
      <c r="P79" s="324">
        <v>0.16</v>
      </c>
      <c r="Q79" s="227">
        <f t="shared" si="7"/>
        <v>31.855999999999998</v>
      </c>
      <c r="R79" s="227">
        <f t="shared" si="8"/>
        <v>230.95599999999999</v>
      </c>
      <c r="S79" s="229">
        <f>INDEX('Glosario Partidas'!$M$8:$M$10,MATCH(K79,'Glosario Partidas'!$L$8:$L$10,0))</f>
        <v>17.5</v>
      </c>
      <c r="T79" s="227">
        <f t="shared" si="9"/>
        <v>4041.73</v>
      </c>
      <c r="U79" s="321" t="s">
        <v>754</v>
      </c>
      <c r="V79" s="321" t="s">
        <v>12</v>
      </c>
      <c r="W79" s="321" t="s">
        <v>491</v>
      </c>
      <c r="X79" s="321"/>
    </row>
    <row r="80" spans="2:24" ht="15" customHeight="1" x14ac:dyDescent="0.2">
      <c r="B80" s="211" t="s">
        <v>76</v>
      </c>
      <c r="C80" s="75" t="s">
        <v>733</v>
      </c>
      <c r="D80" s="320" t="s">
        <v>753</v>
      </c>
      <c r="E80" s="321" t="s">
        <v>220</v>
      </c>
      <c r="F80" s="320" t="s">
        <v>354</v>
      </c>
      <c r="G80" s="321" t="s">
        <v>707</v>
      </c>
      <c r="H80" s="322" t="s">
        <v>728</v>
      </c>
      <c r="I80" s="75" t="s">
        <v>204</v>
      </c>
      <c r="J80" s="322">
        <v>2.54</v>
      </c>
      <c r="K80" s="75" t="s">
        <v>153</v>
      </c>
      <c r="L80" s="345">
        <v>5</v>
      </c>
      <c r="M80" s="323">
        <f t="shared" si="5"/>
        <v>12.7</v>
      </c>
      <c r="N80" s="324">
        <v>0</v>
      </c>
      <c r="O80" s="325">
        <f t="shared" si="6"/>
        <v>0</v>
      </c>
      <c r="P80" s="324">
        <v>0.16</v>
      </c>
      <c r="Q80" s="227">
        <f t="shared" si="7"/>
        <v>2.032</v>
      </c>
      <c r="R80" s="227">
        <f t="shared" si="8"/>
        <v>14.731999999999999</v>
      </c>
      <c r="S80" s="229">
        <f>INDEX('Glosario Partidas'!$M$8:$M$10,MATCH(K80,'Glosario Partidas'!$L$8:$L$10,0))</f>
        <v>17.5</v>
      </c>
      <c r="T80" s="227">
        <f t="shared" si="9"/>
        <v>257.81</v>
      </c>
      <c r="U80" s="321" t="s">
        <v>754</v>
      </c>
      <c r="V80" s="321" t="s">
        <v>12</v>
      </c>
      <c r="W80" s="321" t="s">
        <v>491</v>
      </c>
      <c r="X80" s="321"/>
    </row>
    <row r="81" spans="2:24" ht="15" customHeight="1" x14ac:dyDescent="0.2">
      <c r="B81" s="211" t="s">
        <v>76</v>
      </c>
      <c r="C81" s="75" t="s">
        <v>735</v>
      </c>
      <c r="D81" s="320" t="s">
        <v>753</v>
      </c>
      <c r="E81" s="321" t="s">
        <v>220</v>
      </c>
      <c r="F81" s="320" t="s">
        <v>354</v>
      </c>
      <c r="G81" s="321" t="s">
        <v>707</v>
      </c>
      <c r="H81" s="322" t="s">
        <v>728</v>
      </c>
      <c r="I81" s="75" t="s">
        <v>204</v>
      </c>
      <c r="J81" s="322">
        <v>26.61</v>
      </c>
      <c r="K81" s="75" t="s">
        <v>153</v>
      </c>
      <c r="L81" s="345">
        <v>75</v>
      </c>
      <c r="M81" s="323">
        <f t="shared" si="5"/>
        <v>1995.75</v>
      </c>
      <c r="N81" s="324">
        <v>0</v>
      </c>
      <c r="O81" s="325">
        <f t="shared" si="6"/>
        <v>0</v>
      </c>
      <c r="P81" s="324">
        <v>0.16</v>
      </c>
      <c r="Q81" s="227">
        <f t="shared" si="7"/>
        <v>319.32</v>
      </c>
      <c r="R81" s="227">
        <f t="shared" si="8"/>
        <v>2315.0700000000002</v>
      </c>
      <c r="S81" s="229">
        <f>INDEX('Glosario Partidas'!$M$8:$M$10,MATCH(K81,'Glosario Partidas'!$L$8:$L$10,0))</f>
        <v>17.5</v>
      </c>
      <c r="T81" s="227">
        <f t="shared" si="9"/>
        <v>40513.725000000006</v>
      </c>
      <c r="U81" s="321" t="s">
        <v>754</v>
      </c>
      <c r="V81" s="321" t="s">
        <v>12</v>
      </c>
      <c r="W81" s="321" t="s">
        <v>491</v>
      </c>
      <c r="X81" s="321"/>
    </row>
    <row r="82" spans="2:24" ht="15" customHeight="1" x14ac:dyDescent="0.2">
      <c r="B82" s="211" t="s">
        <v>76</v>
      </c>
      <c r="C82" s="75" t="s">
        <v>736</v>
      </c>
      <c r="D82" s="320" t="s">
        <v>753</v>
      </c>
      <c r="E82" s="321" t="s">
        <v>220</v>
      </c>
      <c r="F82" s="320" t="s">
        <v>354</v>
      </c>
      <c r="G82" s="321" t="s">
        <v>707</v>
      </c>
      <c r="H82" s="322" t="s">
        <v>728</v>
      </c>
      <c r="I82" s="75" t="s">
        <v>204</v>
      </c>
      <c r="J82" s="322">
        <v>52.09</v>
      </c>
      <c r="K82" s="75" t="s">
        <v>153</v>
      </c>
      <c r="L82" s="345">
        <v>85</v>
      </c>
      <c r="M82" s="323">
        <f t="shared" si="5"/>
        <v>4427.6500000000005</v>
      </c>
      <c r="N82" s="324">
        <v>0</v>
      </c>
      <c r="O82" s="325">
        <f t="shared" si="6"/>
        <v>0</v>
      </c>
      <c r="P82" s="324">
        <v>0.16</v>
      </c>
      <c r="Q82" s="227">
        <f t="shared" si="7"/>
        <v>708.42400000000009</v>
      </c>
      <c r="R82" s="227">
        <f t="shared" si="8"/>
        <v>5136.0740000000005</v>
      </c>
      <c r="S82" s="229">
        <f>INDEX('Glosario Partidas'!$M$8:$M$10,MATCH(K82,'Glosario Partidas'!$L$8:$L$10,0))</f>
        <v>17.5</v>
      </c>
      <c r="T82" s="227">
        <f t="shared" si="9"/>
        <v>89881.295000000013</v>
      </c>
      <c r="U82" s="321" t="s">
        <v>754</v>
      </c>
      <c r="V82" s="321" t="s">
        <v>12</v>
      </c>
      <c r="W82" s="321" t="s">
        <v>491</v>
      </c>
      <c r="X82" s="321"/>
    </row>
    <row r="83" spans="2:24" ht="15" customHeight="1" x14ac:dyDescent="0.2">
      <c r="B83" s="211" t="s">
        <v>76</v>
      </c>
      <c r="C83" s="75" t="s">
        <v>737</v>
      </c>
      <c r="D83" s="320" t="s">
        <v>753</v>
      </c>
      <c r="E83" s="321" t="s">
        <v>220</v>
      </c>
      <c r="F83" s="320" t="s">
        <v>354</v>
      </c>
      <c r="G83" s="321" t="s">
        <v>707</v>
      </c>
      <c r="H83" s="322" t="s">
        <v>728</v>
      </c>
      <c r="I83" s="75" t="s">
        <v>204</v>
      </c>
      <c r="J83" s="322">
        <v>31.64</v>
      </c>
      <c r="K83" s="75" t="s">
        <v>153</v>
      </c>
      <c r="L83" s="345">
        <v>75</v>
      </c>
      <c r="M83" s="323">
        <f t="shared" si="5"/>
        <v>2373</v>
      </c>
      <c r="N83" s="324">
        <v>0</v>
      </c>
      <c r="O83" s="325">
        <f t="shared" si="6"/>
        <v>0</v>
      </c>
      <c r="P83" s="324">
        <v>0.16</v>
      </c>
      <c r="Q83" s="227">
        <f t="shared" si="7"/>
        <v>379.68</v>
      </c>
      <c r="R83" s="227">
        <f t="shared" si="8"/>
        <v>2752.68</v>
      </c>
      <c r="S83" s="229">
        <f>INDEX('Glosario Partidas'!$M$8:$M$10,MATCH(K83,'Glosario Partidas'!$L$8:$L$10,0))</f>
        <v>17.5</v>
      </c>
      <c r="T83" s="227">
        <f t="shared" si="9"/>
        <v>48171.899999999994</v>
      </c>
      <c r="U83" s="321" t="s">
        <v>754</v>
      </c>
      <c r="V83" s="321" t="s">
        <v>12</v>
      </c>
      <c r="W83" s="321" t="s">
        <v>491</v>
      </c>
      <c r="X83" s="321"/>
    </row>
    <row r="84" spans="2:24" ht="15" customHeight="1" x14ac:dyDescent="0.2">
      <c r="B84" s="211" t="s">
        <v>76</v>
      </c>
      <c r="C84" s="75" t="s">
        <v>738</v>
      </c>
      <c r="D84" s="320" t="s">
        <v>753</v>
      </c>
      <c r="E84" s="321" t="s">
        <v>220</v>
      </c>
      <c r="F84" s="320" t="s">
        <v>354</v>
      </c>
      <c r="G84" s="321" t="s">
        <v>707</v>
      </c>
      <c r="H84" s="322" t="s">
        <v>728</v>
      </c>
      <c r="I84" s="75" t="s">
        <v>204</v>
      </c>
      <c r="J84" s="322">
        <v>16.47</v>
      </c>
      <c r="K84" s="75" t="s">
        <v>153</v>
      </c>
      <c r="L84" s="345">
        <v>65</v>
      </c>
      <c r="M84" s="323">
        <f t="shared" si="5"/>
        <v>1070.55</v>
      </c>
      <c r="N84" s="324">
        <v>0</v>
      </c>
      <c r="O84" s="325">
        <f t="shared" si="6"/>
        <v>0</v>
      </c>
      <c r="P84" s="324">
        <v>0.16</v>
      </c>
      <c r="Q84" s="227">
        <f t="shared" si="7"/>
        <v>171.28799999999998</v>
      </c>
      <c r="R84" s="227">
        <f t="shared" si="8"/>
        <v>1241.838</v>
      </c>
      <c r="S84" s="229">
        <f>INDEX('Glosario Partidas'!$M$8:$M$10,MATCH(K84,'Glosario Partidas'!$L$8:$L$10,0))</f>
        <v>17.5</v>
      </c>
      <c r="T84" s="227">
        <f t="shared" si="9"/>
        <v>21732.165000000001</v>
      </c>
      <c r="U84" s="321" t="s">
        <v>754</v>
      </c>
      <c r="V84" s="321" t="s">
        <v>12</v>
      </c>
      <c r="W84" s="321" t="s">
        <v>491</v>
      </c>
      <c r="X84" s="321"/>
    </row>
    <row r="85" spans="2:24" ht="15" customHeight="1" x14ac:dyDescent="0.2">
      <c r="B85" s="211" t="s">
        <v>76</v>
      </c>
      <c r="C85" s="75" t="s">
        <v>739</v>
      </c>
      <c r="D85" s="320" t="s">
        <v>753</v>
      </c>
      <c r="E85" s="321" t="s">
        <v>220</v>
      </c>
      <c r="F85" s="320" t="s">
        <v>354</v>
      </c>
      <c r="G85" s="321" t="s">
        <v>707</v>
      </c>
      <c r="H85" s="322" t="s">
        <v>728</v>
      </c>
      <c r="I85" s="75" t="s">
        <v>204</v>
      </c>
      <c r="J85" s="322">
        <v>6.85</v>
      </c>
      <c r="K85" s="75" t="s">
        <v>153</v>
      </c>
      <c r="L85" s="345">
        <v>70</v>
      </c>
      <c r="M85" s="323">
        <f t="shared" si="5"/>
        <v>479.5</v>
      </c>
      <c r="N85" s="324">
        <v>0</v>
      </c>
      <c r="O85" s="325">
        <f t="shared" si="6"/>
        <v>0</v>
      </c>
      <c r="P85" s="324">
        <v>0.16</v>
      </c>
      <c r="Q85" s="227">
        <f t="shared" si="7"/>
        <v>76.72</v>
      </c>
      <c r="R85" s="227">
        <f t="shared" si="8"/>
        <v>556.22</v>
      </c>
      <c r="S85" s="229">
        <f>INDEX('Glosario Partidas'!$M$8:$M$10,MATCH(K85,'Glosario Partidas'!$L$8:$L$10,0))</f>
        <v>17.5</v>
      </c>
      <c r="T85" s="227">
        <f t="shared" si="9"/>
        <v>9733.85</v>
      </c>
      <c r="U85" s="321" t="s">
        <v>754</v>
      </c>
      <c r="V85" s="321" t="s">
        <v>12</v>
      </c>
      <c r="W85" s="321" t="s">
        <v>491</v>
      </c>
      <c r="X85" s="321"/>
    </row>
    <row r="86" spans="2:24" ht="15" customHeight="1" x14ac:dyDescent="0.2">
      <c r="B86" s="211" t="s">
        <v>76</v>
      </c>
      <c r="C86" s="75" t="s">
        <v>740</v>
      </c>
      <c r="D86" s="320" t="s">
        <v>753</v>
      </c>
      <c r="E86" s="321" t="s">
        <v>220</v>
      </c>
      <c r="F86" s="320" t="s">
        <v>354</v>
      </c>
      <c r="G86" s="321" t="s">
        <v>707</v>
      </c>
      <c r="H86" s="322" t="s">
        <v>728</v>
      </c>
      <c r="I86" s="75" t="s">
        <v>204</v>
      </c>
      <c r="J86" s="322">
        <v>31.77</v>
      </c>
      <c r="K86" s="75" t="s">
        <v>153</v>
      </c>
      <c r="L86" s="345">
        <v>75</v>
      </c>
      <c r="M86" s="323">
        <f t="shared" si="5"/>
        <v>2382.75</v>
      </c>
      <c r="N86" s="324">
        <v>0</v>
      </c>
      <c r="O86" s="325">
        <f t="shared" si="6"/>
        <v>0</v>
      </c>
      <c r="P86" s="324">
        <v>0.16</v>
      </c>
      <c r="Q86" s="227">
        <f t="shared" si="7"/>
        <v>381.24</v>
      </c>
      <c r="R86" s="227">
        <f t="shared" si="8"/>
        <v>2763.99</v>
      </c>
      <c r="S86" s="229">
        <f>INDEX('Glosario Partidas'!$M$8:$M$10,MATCH(K86,'Glosario Partidas'!$L$8:$L$10,0))</f>
        <v>17.5</v>
      </c>
      <c r="T86" s="227">
        <f t="shared" si="9"/>
        <v>48369.824999999997</v>
      </c>
      <c r="U86" s="321" t="s">
        <v>754</v>
      </c>
      <c r="V86" s="321" t="s">
        <v>12</v>
      </c>
      <c r="W86" s="321" t="s">
        <v>491</v>
      </c>
      <c r="X86" s="321"/>
    </row>
    <row r="87" spans="2:24" ht="15" customHeight="1" x14ac:dyDescent="0.2">
      <c r="B87" s="211" t="s">
        <v>76</v>
      </c>
      <c r="C87" s="75" t="s">
        <v>741</v>
      </c>
      <c r="D87" s="320" t="s">
        <v>753</v>
      </c>
      <c r="E87" s="321" t="s">
        <v>220</v>
      </c>
      <c r="F87" s="320" t="s">
        <v>354</v>
      </c>
      <c r="G87" s="321" t="s">
        <v>707</v>
      </c>
      <c r="H87" s="322" t="s">
        <v>728</v>
      </c>
      <c r="I87" s="75" t="s">
        <v>204</v>
      </c>
      <c r="J87" s="322">
        <v>16.53</v>
      </c>
      <c r="K87" s="75" t="s">
        <v>153</v>
      </c>
      <c r="L87" s="345">
        <v>65</v>
      </c>
      <c r="M87" s="323">
        <f t="shared" si="5"/>
        <v>1074.45</v>
      </c>
      <c r="N87" s="324">
        <v>0</v>
      </c>
      <c r="O87" s="325">
        <f t="shared" si="6"/>
        <v>0</v>
      </c>
      <c r="P87" s="324">
        <v>0.16</v>
      </c>
      <c r="Q87" s="227">
        <f t="shared" si="7"/>
        <v>171.91200000000001</v>
      </c>
      <c r="R87" s="227">
        <f t="shared" si="8"/>
        <v>1246.3620000000001</v>
      </c>
      <c r="S87" s="229">
        <f>INDEX('Glosario Partidas'!$M$8:$M$10,MATCH(K87,'Glosario Partidas'!$L$8:$L$10,0))</f>
        <v>17.5</v>
      </c>
      <c r="T87" s="227">
        <f t="shared" si="9"/>
        <v>21811.335000000003</v>
      </c>
      <c r="U87" s="321" t="s">
        <v>754</v>
      </c>
      <c r="V87" s="321" t="s">
        <v>12</v>
      </c>
      <c r="W87" s="321" t="s">
        <v>491</v>
      </c>
      <c r="X87" s="321"/>
    </row>
    <row r="88" spans="2:24" ht="15" customHeight="1" x14ac:dyDescent="0.2">
      <c r="B88" s="211" t="s">
        <v>76</v>
      </c>
      <c r="C88" s="75" t="s">
        <v>742</v>
      </c>
      <c r="D88" s="320" t="s">
        <v>753</v>
      </c>
      <c r="E88" s="321" t="s">
        <v>220</v>
      </c>
      <c r="F88" s="320" t="s">
        <v>354</v>
      </c>
      <c r="G88" s="321" t="s">
        <v>707</v>
      </c>
      <c r="H88" s="322" t="s">
        <v>728</v>
      </c>
      <c r="I88" s="75" t="s">
        <v>204</v>
      </c>
      <c r="J88" s="322">
        <v>5.0599999999999996</v>
      </c>
      <c r="K88" s="75" t="s">
        <v>153</v>
      </c>
      <c r="L88" s="345">
        <v>70</v>
      </c>
      <c r="M88" s="323">
        <f t="shared" si="5"/>
        <v>354.2</v>
      </c>
      <c r="N88" s="324">
        <v>0</v>
      </c>
      <c r="O88" s="325">
        <f t="shared" si="6"/>
        <v>0</v>
      </c>
      <c r="P88" s="324">
        <v>0.16</v>
      </c>
      <c r="Q88" s="227">
        <f t="shared" si="7"/>
        <v>56.671999999999997</v>
      </c>
      <c r="R88" s="227">
        <f t="shared" si="8"/>
        <v>410.87199999999996</v>
      </c>
      <c r="S88" s="229">
        <f>INDEX('Glosario Partidas'!$M$8:$M$10,MATCH(K88,'Glosario Partidas'!$L$8:$L$10,0))</f>
        <v>17.5</v>
      </c>
      <c r="T88" s="227">
        <f t="shared" si="9"/>
        <v>7190.2599999999993</v>
      </c>
      <c r="U88" s="321" t="s">
        <v>754</v>
      </c>
      <c r="V88" s="321" t="s">
        <v>12</v>
      </c>
      <c r="W88" s="321" t="s">
        <v>491</v>
      </c>
      <c r="X88" s="321"/>
    </row>
    <row r="89" spans="2:24" ht="15" customHeight="1" x14ac:dyDescent="0.2">
      <c r="B89" s="211" t="s">
        <v>76</v>
      </c>
      <c r="C89" s="75" t="s">
        <v>743</v>
      </c>
      <c r="D89" s="320" t="s">
        <v>753</v>
      </c>
      <c r="E89" s="321" t="s">
        <v>220</v>
      </c>
      <c r="F89" s="320" t="s">
        <v>354</v>
      </c>
      <c r="G89" s="321" t="s">
        <v>707</v>
      </c>
      <c r="H89" s="322" t="s">
        <v>728</v>
      </c>
      <c r="I89" s="75" t="s">
        <v>204</v>
      </c>
      <c r="J89" s="322">
        <v>27.84</v>
      </c>
      <c r="K89" s="75" t="s">
        <v>153</v>
      </c>
      <c r="L89" s="345">
        <v>75</v>
      </c>
      <c r="M89" s="323">
        <f t="shared" si="5"/>
        <v>2088</v>
      </c>
      <c r="N89" s="324">
        <v>0</v>
      </c>
      <c r="O89" s="325">
        <f t="shared" si="6"/>
        <v>0</v>
      </c>
      <c r="P89" s="324">
        <v>0.16</v>
      </c>
      <c r="Q89" s="227">
        <f t="shared" si="7"/>
        <v>334.08</v>
      </c>
      <c r="R89" s="227">
        <f t="shared" si="8"/>
        <v>2422.08</v>
      </c>
      <c r="S89" s="229">
        <f>INDEX('Glosario Partidas'!$M$8:$M$10,MATCH(K89,'Glosario Partidas'!$L$8:$L$10,0))</f>
        <v>17.5</v>
      </c>
      <c r="T89" s="227">
        <f t="shared" si="9"/>
        <v>42386.400000000001</v>
      </c>
      <c r="U89" s="321" t="s">
        <v>754</v>
      </c>
      <c r="V89" s="321" t="s">
        <v>12</v>
      </c>
      <c r="W89" s="321" t="s">
        <v>491</v>
      </c>
      <c r="X89" s="321"/>
    </row>
    <row r="90" spans="2:24" ht="15" customHeight="1" x14ac:dyDescent="0.2">
      <c r="B90" s="211" t="s">
        <v>76</v>
      </c>
      <c r="C90" s="75" t="s">
        <v>744</v>
      </c>
      <c r="D90" s="320" t="s">
        <v>753</v>
      </c>
      <c r="E90" s="321" t="s">
        <v>220</v>
      </c>
      <c r="F90" s="320" t="s">
        <v>354</v>
      </c>
      <c r="G90" s="321" t="s">
        <v>707</v>
      </c>
      <c r="H90" s="322" t="s">
        <v>728</v>
      </c>
      <c r="I90" s="75" t="s">
        <v>204</v>
      </c>
      <c r="J90" s="322">
        <v>13.82</v>
      </c>
      <c r="K90" s="75" t="s">
        <v>153</v>
      </c>
      <c r="L90" s="345">
        <v>60</v>
      </c>
      <c r="M90" s="323">
        <f t="shared" si="5"/>
        <v>829.2</v>
      </c>
      <c r="N90" s="324">
        <v>0</v>
      </c>
      <c r="O90" s="325">
        <f t="shared" si="6"/>
        <v>0</v>
      </c>
      <c r="P90" s="324">
        <v>0.16</v>
      </c>
      <c r="Q90" s="227">
        <f t="shared" si="7"/>
        <v>132.672</v>
      </c>
      <c r="R90" s="227">
        <f t="shared" si="8"/>
        <v>961.87200000000007</v>
      </c>
      <c r="S90" s="229">
        <f>INDEX('Glosario Partidas'!$M$8:$M$10,MATCH(K90,'Glosario Partidas'!$L$8:$L$10,0))</f>
        <v>17.5</v>
      </c>
      <c r="T90" s="227">
        <f t="shared" si="9"/>
        <v>16832.760000000002</v>
      </c>
      <c r="U90" s="321" t="s">
        <v>754</v>
      </c>
      <c r="V90" s="321" t="s">
        <v>12</v>
      </c>
      <c r="W90" s="321" t="s">
        <v>491</v>
      </c>
      <c r="X90" s="321"/>
    </row>
    <row r="91" spans="2:24" ht="15" customHeight="1" x14ac:dyDescent="0.2">
      <c r="B91" s="211" t="s">
        <v>76</v>
      </c>
      <c r="C91" s="75" t="s">
        <v>745</v>
      </c>
      <c r="D91" s="320" t="s">
        <v>753</v>
      </c>
      <c r="E91" s="321" t="s">
        <v>220</v>
      </c>
      <c r="F91" s="320" t="s">
        <v>354</v>
      </c>
      <c r="G91" s="321" t="s">
        <v>707</v>
      </c>
      <c r="H91" s="322" t="s">
        <v>728</v>
      </c>
      <c r="I91" s="75" t="s">
        <v>204</v>
      </c>
      <c r="J91" s="322">
        <v>29.31</v>
      </c>
      <c r="K91" s="75" t="s">
        <v>153</v>
      </c>
      <c r="L91" s="345">
        <v>75</v>
      </c>
      <c r="M91" s="323">
        <f t="shared" si="5"/>
        <v>2198.25</v>
      </c>
      <c r="N91" s="324">
        <v>0</v>
      </c>
      <c r="O91" s="325">
        <f t="shared" si="6"/>
        <v>0</v>
      </c>
      <c r="P91" s="324">
        <v>0.16</v>
      </c>
      <c r="Q91" s="227">
        <f t="shared" si="7"/>
        <v>351.72</v>
      </c>
      <c r="R91" s="227">
        <f t="shared" si="8"/>
        <v>2549.9700000000003</v>
      </c>
      <c r="S91" s="229">
        <f>INDEX('Glosario Partidas'!$M$8:$M$10,MATCH(K91,'Glosario Partidas'!$L$8:$L$10,0))</f>
        <v>17.5</v>
      </c>
      <c r="T91" s="227">
        <f t="shared" si="9"/>
        <v>44624.475000000006</v>
      </c>
      <c r="U91" s="321" t="s">
        <v>754</v>
      </c>
      <c r="V91" s="321" t="s">
        <v>12</v>
      </c>
      <c r="W91" s="321" t="s">
        <v>491</v>
      </c>
      <c r="X91" s="321"/>
    </row>
    <row r="92" spans="2:24" ht="15" customHeight="1" x14ac:dyDescent="0.2">
      <c r="B92" s="211" t="s">
        <v>76</v>
      </c>
      <c r="C92" s="75" t="s">
        <v>746</v>
      </c>
      <c r="D92" s="320" t="s">
        <v>753</v>
      </c>
      <c r="E92" s="321" t="s">
        <v>220</v>
      </c>
      <c r="F92" s="320" t="s">
        <v>354</v>
      </c>
      <c r="G92" s="321" t="s">
        <v>707</v>
      </c>
      <c r="H92" s="322" t="s">
        <v>728</v>
      </c>
      <c r="I92" s="75" t="s">
        <v>204</v>
      </c>
      <c r="J92" s="322">
        <v>13.81</v>
      </c>
      <c r="K92" s="75" t="s">
        <v>153</v>
      </c>
      <c r="L92" s="345">
        <v>60</v>
      </c>
      <c r="M92" s="323">
        <f t="shared" si="5"/>
        <v>828.6</v>
      </c>
      <c r="N92" s="324">
        <v>0</v>
      </c>
      <c r="O92" s="325">
        <f t="shared" si="6"/>
        <v>0</v>
      </c>
      <c r="P92" s="324">
        <v>0.16</v>
      </c>
      <c r="Q92" s="227">
        <f t="shared" si="7"/>
        <v>132.57599999999999</v>
      </c>
      <c r="R92" s="227">
        <f t="shared" si="8"/>
        <v>961.17600000000004</v>
      </c>
      <c r="S92" s="229">
        <f>INDEX('Glosario Partidas'!$M$8:$M$10,MATCH(K92,'Glosario Partidas'!$L$8:$L$10,0))</f>
        <v>17.5</v>
      </c>
      <c r="T92" s="227">
        <f t="shared" si="9"/>
        <v>16820.580000000002</v>
      </c>
      <c r="U92" s="321" t="s">
        <v>754</v>
      </c>
      <c r="V92" s="321" t="s">
        <v>12</v>
      </c>
      <c r="W92" s="321" t="s">
        <v>491</v>
      </c>
      <c r="X92" s="321"/>
    </row>
    <row r="93" spans="2:24" ht="15" customHeight="1" x14ac:dyDescent="0.2">
      <c r="B93" s="211" t="s">
        <v>76</v>
      </c>
      <c r="C93" s="75" t="s">
        <v>750</v>
      </c>
      <c r="D93" s="320" t="s">
        <v>755</v>
      </c>
      <c r="E93" s="321" t="s">
        <v>220</v>
      </c>
      <c r="F93" s="320" t="s">
        <v>354</v>
      </c>
      <c r="G93" s="321" t="s">
        <v>707</v>
      </c>
      <c r="H93" s="322" t="s">
        <v>728</v>
      </c>
      <c r="I93" s="75" t="s">
        <v>204</v>
      </c>
      <c r="J93" s="322">
        <v>52.9</v>
      </c>
      <c r="K93" s="75" t="s">
        <v>153</v>
      </c>
      <c r="L93" s="345">
        <v>45</v>
      </c>
      <c r="M93" s="323">
        <f t="shared" si="5"/>
        <v>2380.5</v>
      </c>
      <c r="N93" s="324">
        <v>0</v>
      </c>
      <c r="O93" s="325">
        <f t="shared" si="6"/>
        <v>0</v>
      </c>
      <c r="P93" s="324">
        <v>0.16</v>
      </c>
      <c r="Q93" s="227">
        <f t="shared" si="7"/>
        <v>380.88</v>
      </c>
      <c r="R93" s="227">
        <f t="shared" si="8"/>
        <v>2761.38</v>
      </c>
      <c r="S93" s="229">
        <f>INDEX('Glosario Partidas'!$M$8:$M$10,MATCH(K93,'Glosario Partidas'!$L$8:$L$10,0))</f>
        <v>17.5</v>
      </c>
      <c r="T93" s="227">
        <f t="shared" si="9"/>
        <v>48324.15</v>
      </c>
      <c r="U93" s="321" t="s">
        <v>754</v>
      </c>
      <c r="V93" s="321" t="s">
        <v>12</v>
      </c>
      <c r="W93" s="321" t="s">
        <v>491</v>
      </c>
      <c r="X93" s="321"/>
    </row>
    <row r="94" spans="2:24" ht="15" customHeight="1" x14ac:dyDescent="0.2">
      <c r="B94" s="211" t="s">
        <v>76</v>
      </c>
      <c r="C94" s="75" t="s">
        <v>726</v>
      </c>
      <c r="D94" s="320" t="s">
        <v>756</v>
      </c>
      <c r="E94" s="321" t="s">
        <v>220</v>
      </c>
      <c r="F94" s="320" t="s">
        <v>355</v>
      </c>
      <c r="G94" s="321" t="s">
        <v>765</v>
      </c>
      <c r="H94" s="322" t="s">
        <v>728</v>
      </c>
      <c r="I94" s="75" t="s">
        <v>204</v>
      </c>
      <c r="J94" s="322">
        <v>25.47</v>
      </c>
      <c r="K94" s="75" t="s">
        <v>153</v>
      </c>
      <c r="L94" s="345">
        <v>55</v>
      </c>
      <c r="M94" s="323">
        <f t="shared" si="5"/>
        <v>1400.85</v>
      </c>
      <c r="N94" s="324">
        <v>0</v>
      </c>
      <c r="O94" s="325">
        <f t="shared" si="6"/>
        <v>0</v>
      </c>
      <c r="P94" s="324">
        <v>0.16</v>
      </c>
      <c r="Q94" s="227">
        <f t="shared" si="7"/>
        <v>224.136</v>
      </c>
      <c r="R94" s="227">
        <f t="shared" si="8"/>
        <v>1624.9859999999999</v>
      </c>
      <c r="S94" s="229">
        <f>INDEX('Glosario Partidas'!$M$8:$M$10,MATCH(K94,'Glosario Partidas'!$L$8:$L$10,0))</f>
        <v>17.5</v>
      </c>
      <c r="T94" s="227">
        <f t="shared" si="9"/>
        <v>28437.254999999997</v>
      </c>
      <c r="U94" s="321" t="s">
        <v>758</v>
      </c>
      <c r="V94" s="321" t="s">
        <v>12</v>
      </c>
      <c r="W94" s="321" t="s">
        <v>491</v>
      </c>
      <c r="X94" s="321"/>
    </row>
    <row r="95" spans="2:24" ht="15" customHeight="1" x14ac:dyDescent="0.2">
      <c r="B95" s="211" t="s">
        <v>76</v>
      </c>
      <c r="C95" s="75" t="s">
        <v>759</v>
      </c>
      <c r="D95" s="320" t="s">
        <v>756</v>
      </c>
      <c r="E95" s="321" t="s">
        <v>220</v>
      </c>
      <c r="F95" s="320" t="s">
        <v>355</v>
      </c>
      <c r="G95" s="321" t="s">
        <v>765</v>
      </c>
      <c r="H95" s="322" t="s">
        <v>728</v>
      </c>
      <c r="I95" s="75" t="s">
        <v>204</v>
      </c>
      <c r="J95" s="322">
        <v>5.34</v>
      </c>
      <c r="K95" s="75" t="s">
        <v>153</v>
      </c>
      <c r="L95" s="345">
        <v>55</v>
      </c>
      <c r="M95" s="323">
        <f t="shared" si="5"/>
        <v>293.7</v>
      </c>
      <c r="N95" s="324">
        <v>0</v>
      </c>
      <c r="O95" s="325">
        <f t="shared" si="6"/>
        <v>0</v>
      </c>
      <c r="P95" s="324">
        <v>0.16</v>
      </c>
      <c r="Q95" s="227">
        <f t="shared" si="7"/>
        <v>46.991999999999997</v>
      </c>
      <c r="R95" s="227">
        <f t="shared" si="8"/>
        <v>340.69200000000001</v>
      </c>
      <c r="S95" s="229">
        <f>INDEX('Glosario Partidas'!$M$8:$M$10,MATCH(K95,'Glosario Partidas'!$L$8:$L$10,0))</f>
        <v>17.5</v>
      </c>
      <c r="T95" s="227">
        <f t="shared" si="9"/>
        <v>5962.1100000000006</v>
      </c>
      <c r="U95" s="321" t="s">
        <v>758</v>
      </c>
      <c r="V95" s="321" t="s">
        <v>12</v>
      </c>
      <c r="W95" s="321" t="s">
        <v>491</v>
      </c>
      <c r="X95" s="321"/>
    </row>
    <row r="96" spans="2:24" ht="15" customHeight="1" x14ac:dyDescent="0.2">
      <c r="B96" s="211" t="s">
        <v>76</v>
      </c>
      <c r="C96" s="75" t="s">
        <v>760</v>
      </c>
      <c r="D96" s="320" t="s">
        <v>756</v>
      </c>
      <c r="E96" s="321" t="s">
        <v>220</v>
      </c>
      <c r="F96" s="320" t="s">
        <v>355</v>
      </c>
      <c r="G96" s="321" t="s">
        <v>765</v>
      </c>
      <c r="H96" s="322" t="s">
        <v>728</v>
      </c>
      <c r="I96" s="75" t="s">
        <v>204</v>
      </c>
      <c r="J96" s="322">
        <v>6.66</v>
      </c>
      <c r="K96" s="75" t="s">
        <v>153</v>
      </c>
      <c r="L96" s="345">
        <v>5</v>
      </c>
      <c r="M96" s="323">
        <f t="shared" si="5"/>
        <v>33.299999999999997</v>
      </c>
      <c r="N96" s="324">
        <v>0</v>
      </c>
      <c r="O96" s="325">
        <f t="shared" si="6"/>
        <v>0</v>
      </c>
      <c r="P96" s="324">
        <v>0.16</v>
      </c>
      <c r="Q96" s="227">
        <f t="shared" si="7"/>
        <v>5.3279999999999994</v>
      </c>
      <c r="R96" s="227">
        <f t="shared" si="8"/>
        <v>38.628</v>
      </c>
      <c r="S96" s="229">
        <f>INDEX('Glosario Partidas'!$M$8:$M$10,MATCH(K96,'Glosario Partidas'!$L$8:$L$10,0))</f>
        <v>17.5</v>
      </c>
      <c r="T96" s="227">
        <f t="shared" si="9"/>
        <v>675.99</v>
      </c>
      <c r="U96" s="321" t="s">
        <v>758</v>
      </c>
      <c r="V96" s="321" t="s">
        <v>12</v>
      </c>
      <c r="W96" s="321" t="s">
        <v>491</v>
      </c>
      <c r="X96" s="321"/>
    </row>
    <row r="97" spans="2:24" ht="15" customHeight="1" x14ac:dyDescent="0.2">
      <c r="B97" s="211" t="s">
        <v>76</v>
      </c>
      <c r="C97" s="75" t="s">
        <v>761</v>
      </c>
      <c r="D97" s="320" t="s">
        <v>756</v>
      </c>
      <c r="E97" s="321" t="s">
        <v>220</v>
      </c>
      <c r="F97" s="320" t="s">
        <v>355</v>
      </c>
      <c r="G97" s="321" t="s">
        <v>765</v>
      </c>
      <c r="H97" s="322" t="s">
        <v>728</v>
      </c>
      <c r="I97" s="75" t="s">
        <v>204</v>
      </c>
      <c r="J97" s="322">
        <v>15.46</v>
      </c>
      <c r="K97" s="75" t="s">
        <v>153</v>
      </c>
      <c r="L97" s="345">
        <v>5</v>
      </c>
      <c r="M97" s="323">
        <f t="shared" si="5"/>
        <v>77.300000000000011</v>
      </c>
      <c r="N97" s="324">
        <v>0</v>
      </c>
      <c r="O97" s="325">
        <f t="shared" si="6"/>
        <v>0</v>
      </c>
      <c r="P97" s="324">
        <v>0.16</v>
      </c>
      <c r="Q97" s="227">
        <f t="shared" si="7"/>
        <v>12.368000000000002</v>
      </c>
      <c r="R97" s="227">
        <f t="shared" si="8"/>
        <v>89.668000000000006</v>
      </c>
      <c r="S97" s="229">
        <f>INDEX('Glosario Partidas'!$M$8:$M$10,MATCH(K97,'Glosario Partidas'!$L$8:$L$10,0))</f>
        <v>17.5</v>
      </c>
      <c r="T97" s="227">
        <f t="shared" si="9"/>
        <v>1569.19</v>
      </c>
      <c r="U97" s="321" t="s">
        <v>758</v>
      </c>
      <c r="V97" s="321" t="s">
        <v>12</v>
      </c>
      <c r="W97" s="321" t="s">
        <v>491</v>
      </c>
      <c r="X97" s="321"/>
    </row>
    <row r="98" spans="2:24" ht="15" customHeight="1" x14ac:dyDescent="0.2">
      <c r="B98" s="211" t="s">
        <v>76</v>
      </c>
      <c r="C98" s="75" t="s">
        <v>747</v>
      </c>
      <c r="D98" s="320" t="s">
        <v>756</v>
      </c>
      <c r="E98" s="321" t="s">
        <v>220</v>
      </c>
      <c r="F98" s="320" t="s">
        <v>355</v>
      </c>
      <c r="G98" s="321" t="s">
        <v>765</v>
      </c>
      <c r="H98" s="322" t="s">
        <v>728</v>
      </c>
      <c r="I98" s="75" t="s">
        <v>204</v>
      </c>
      <c r="J98" s="322">
        <v>24.89</v>
      </c>
      <c r="K98" s="75" t="s">
        <v>153</v>
      </c>
      <c r="L98" s="345">
        <v>5</v>
      </c>
      <c r="M98" s="323">
        <f t="shared" si="5"/>
        <v>124.45</v>
      </c>
      <c r="N98" s="324">
        <v>0</v>
      </c>
      <c r="O98" s="325">
        <f t="shared" si="6"/>
        <v>0</v>
      </c>
      <c r="P98" s="324">
        <v>0.16</v>
      </c>
      <c r="Q98" s="227">
        <f t="shared" si="7"/>
        <v>19.912000000000003</v>
      </c>
      <c r="R98" s="227">
        <f t="shared" si="8"/>
        <v>144.36199999999999</v>
      </c>
      <c r="S98" s="229">
        <f>INDEX('Glosario Partidas'!$M$8:$M$10,MATCH(K98,'Glosario Partidas'!$L$8:$L$10,0))</f>
        <v>17.5</v>
      </c>
      <c r="T98" s="227">
        <f t="shared" si="9"/>
        <v>2526.335</v>
      </c>
      <c r="U98" s="321" t="s">
        <v>758</v>
      </c>
      <c r="V98" s="321" t="s">
        <v>12</v>
      </c>
      <c r="W98" s="321" t="s">
        <v>491</v>
      </c>
      <c r="X98" s="321"/>
    </row>
    <row r="99" spans="2:24" ht="15" customHeight="1" x14ac:dyDescent="0.2">
      <c r="B99" s="211" t="s">
        <v>76</v>
      </c>
      <c r="C99" s="75" t="s">
        <v>762</v>
      </c>
      <c r="D99" s="320" t="s">
        <v>763</v>
      </c>
      <c r="E99" s="321" t="s">
        <v>220</v>
      </c>
      <c r="F99" s="320" t="s">
        <v>355</v>
      </c>
      <c r="G99" s="321" t="s">
        <v>765</v>
      </c>
      <c r="H99" s="322" t="s">
        <v>728</v>
      </c>
      <c r="I99" s="75" t="s">
        <v>204</v>
      </c>
      <c r="J99" s="322">
        <v>61.91</v>
      </c>
      <c r="K99" s="75" t="s">
        <v>153</v>
      </c>
      <c r="L99" s="345">
        <v>45</v>
      </c>
      <c r="M99" s="323">
        <f t="shared" si="5"/>
        <v>2785.95</v>
      </c>
      <c r="N99" s="324">
        <v>0</v>
      </c>
      <c r="O99" s="325">
        <f t="shared" si="6"/>
        <v>0</v>
      </c>
      <c r="P99" s="324">
        <v>0.16</v>
      </c>
      <c r="Q99" s="227">
        <f t="shared" si="7"/>
        <v>445.75199999999995</v>
      </c>
      <c r="R99" s="227">
        <f t="shared" si="8"/>
        <v>3231.7019999999998</v>
      </c>
      <c r="S99" s="229">
        <f>INDEX('Glosario Partidas'!$M$8:$M$10,MATCH(K99,'Glosario Partidas'!$L$8:$L$10,0))</f>
        <v>17.5</v>
      </c>
      <c r="T99" s="227">
        <f t="shared" si="9"/>
        <v>56554.784999999996</v>
      </c>
      <c r="U99" s="321" t="s">
        <v>758</v>
      </c>
      <c r="V99" s="321" t="s">
        <v>12</v>
      </c>
      <c r="W99" s="321" t="s">
        <v>491</v>
      </c>
      <c r="X99" s="321"/>
    </row>
    <row r="100" spans="2:24" ht="15" customHeight="1" x14ac:dyDescent="0.2">
      <c r="B100" s="211" t="s">
        <v>76</v>
      </c>
      <c r="C100" s="75" t="s">
        <v>751</v>
      </c>
      <c r="D100" s="320" t="s">
        <v>763</v>
      </c>
      <c r="E100" s="321" t="s">
        <v>220</v>
      </c>
      <c r="F100" s="320" t="s">
        <v>355</v>
      </c>
      <c r="G100" s="321" t="s">
        <v>765</v>
      </c>
      <c r="H100" s="322" t="s">
        <v>728</v>
      </c>
      <c r="I100" s="75" t="s">
        <v>204</v>
      </c>
      <c r="J100" s="322">
        <v>65.94</v>
      </c>
      <c r="K100" s="75" t="s">
        <v>153</v>
      </c>
      <c r="L100" s="345">
        <v>40</v>
      </c>
      <c r="M100" s="323">
        <f t="shared" si="5"/>
        <v>2637.6</v>
      </c>
      <c r="N100" s="324">
        <v>0</v>
      </c>
      <c r="O100" s="325">
        <f t="shared" si="6"/>
        <v>0</v>
      </c>
      <c r="P100" s="324">
        <v>0.16</v>
      </c>
      <c r="Q100" s="227">
        <f t="shared" si="7"/>
        <v>422.01600000000002</v>
      </c>
      <c r="R100" s="227">
        <f t="shared" si="8"/>
        <v>3059.616</v>
      </c>
      <c r="S100" s="229">
        <f>INDEX('Glosario Partidas'!$M$8:$M$10,MATCH(K100,'Glosario Partidas'!$L$8:$L$10,0))</f>
        <v>17.5</v>
      </c>
      <c r="T100" s="227">
        <f t="shared" si="9"/>
        <v>53543.28</v>
      </c>
      <c r="U100" s="321" t="s">
        <v>758</v>
      </c>
      <c r="V100" s="321" t="s">
        <v>12</v>
      </c>
      <c r="W100" s="321" t="s">
        <v>491</v>
      </c>
      <c r="X100" s="321"/>
    </row>
    <row r="101" spans="2:24" ht="15" customHeight="1" x14ac:dyDescent="0.2">
      <c r="B101" s="211" t="s">
        <v>76</v>
      </c>
      <c r="C101" s="75" t="s">
        <v>752</v>
      </c>
      <c r="D101" s="320" t="s">
        <v>763</v>
      </c>
      <c r="E101" s="321" t="s">
        <v>220</v>
      </c>
      <c r="F101" s="320" t="s">
        <v>355</v>
      </c>
      <c r="G101" s="321" t="s">
        <v>765</v>
      </c>
      <c r="H101" s="322" t="s">
        <v>728</v>
      </c>
      <c r="I101" s="75" t="s">
        <v>204</v>
      </c>
      <c r="J101" s="322">
        <v>70.38</v>
      </c>
      <c r="K101" s="75" t="s">
        <v>153</v>
      </c>
      <c r="L101" s="345">
        <v>55</v>
      </c>
      <c r="M101" s="323">
        <f t="shared" si="5"/>
        <v>3870.8999999999996</v>
      </c>
      <c r="N101" s="324">
        <v>0</v>
      </c>
      <c r="O101" s="325">
        <f t="shared" si="6"/>
        <v>0</v>
      </c>
      <c r="P101" s="324">
        <v>0.16</v>
      </c>
      <c r="Q101" s="227">
        <f t="shared" si="7"/>
        <v>619.34399999999994</v>
      </c>
      <c r="R101" s="227">
        <f t="shared" si="8"/>
        <v>4490.2439999999997</v>
      </c>
      <c r="S101" s="229">
        <f>INDEX('Glosario Partidas'!$M$8:$M$10,MATCH(K101,'Glosario Partidas'!$L$8:$L$10,0))</f>
        <v>17.5</v>
      </c>
      <c r="T101" s="227">
        <f t="shared" si="9"/>
        <v>78579.26999999999</v>
      </c>
      <c r="U101" s="321" t="s">
        <v>758</v>
      </c>
      <c r="V101" s="321" t="s">
        <v>12</v>
      </c>
      <c r="W101" s="321" t="s">
        <v>491</v>
      </c>
      <c r="X101" s="321"/>
    </row>
    <row r="102" spans="2:24" ht="15" customHeight="1" x14ac:dyDescent="0.2">
      <c r="B102" s="211" t="s">
        <v>76</v>
      </c>
      <c r="C102" s="75" t="s">
        <v>632</v>
      </c>
      <c r="D102" s="320" t="s">
        <v>763</v>
      </c>
      <c r="E102" s="321" t="s">
        <v>220</v>
      </c>
      <c r="F102" s="320" t="s">
        <v>355</v>
      </c>
      <c r="G102" s="321" t="s">
        <v>765</v>
      </c>
      <c r="H102" s="322" t="s">
        <v>728</v>
      </c>
      <c r="I102" s="75" t="s">
        <v>204</v>
      </c>
      <c r="J102" s="322">
        <v>64.239999999999995</v>
      </c>
      <c r="K102" s="75" t="s">
        <v>153</v>
      </c>
      <c r="L102" s="345">
        <v>5</v>
      </c>
      <c r="M102" s="323">
        <f t="shared" si="5"/>
        <v>321.2</v>
      </c>
      <c r="N102" s="324">
        <v>0</v>
      </c>
      <c r="O102" s="325">
        <f t="shared" si="6"/>
        <v>0</v>
      </c>
      <c r="P102" s="324">
        <v>0.16</v>
      </c>
      <c r="Q102" s="227">
        <f t="shared" si="7"/>
        <v>51.391999999999996</v>
      </c>
      <c r="R102" s="227">
        <f t="shared" si="8"/>
        <v>372.59199999999998</v>
      </c>
      <c r="S102" s="229">
        <f>INDEX('Glosario Partidas'!$M$8:$M$10,MATCH(K102,'Glosario Partidas'!$L$8:$L$10,0))</f>
        <v>17.5</v>
      </c>
      <c r="T102" s="227">
        <f t="shared" si="9"/>
        <v>6520.36</v>
      </c>
      <c r="U102" s="321" t="s">
        <v>758</v>
      </c>
      <c r="V102" s="321" t="s">
        <v>12</v>
      </c>
      <c r="W102" s="321" t="s">
        <v>491</v>
      </c>
      <c r="X102" s="321"/>
    </row>
    <row r="103" spans="2:24" ht="15" customHeight="1" x14ac:dyDescent="0.2">
      <c r="B103" s="211" t="s">
        <v>76</v>
      </c>
      <c r="C103" s="75" t="s">
        <v>764</v>
      </c>
      <c r="D103" s="320" t="s">
        <v>763</v>
      </c>
      <c r="E103" s="321" t="s">
        <v>220</v>
      </c>
      <c r="F103" s="320" t="s">
        <v>355</v>
      </c>
      <c r="G103" s="321" t="s">
        <v>765</v>
      </c>
      <c r="H103" s="322" t="s">
        <v>728</v>
      </c>
      <c r="I103" s="75" t="s">
        <v>204</v>
      </c>
      <c r="J103" s="322">
        <v>6.07</v>
      </c>
      <c r="K103" s="75" t="s">
        <v>153</v>
      </c>
      <c r="L103" s="345">
        <v>40</v>
      </c>
      <c r="M103" s="323">
        <f t="shared" si="5"/>
        <v>242.8</v>
      </c>
      <c r="N103" s="324">
        <v>0</v>
      </c>
      <c r="O103" s="325">
        <f t="shared" si="6"/>
        <v>0</v>
      </c>
      <c r="P103" s="324">
        <v>0.16</v>
      </c>
      <c r="Q103" s="227">
        <f t="shared" si="7"/>
        <v>38.848000000000006</v>
      </c>
      <c r="R103" s="227">
        <f t="shared" si="8"/>
        <v>281.64800000000002</v>
      </c>
      <c r="S103" s="229">
        <f>INDEX('Glosario Partidas'!$M$8:$M$10,MATCH(K103,'Glosario Partidas'!$L$8:$L$10,0))</f>
        <v>17.5</v>
      </c>
      <c r="T103" s="227">
        <f t="shared" si="9"/>
        <v>4928.84</v>
      </c>
      <c r="U103" s="321" t="s">
        <v>758</v>
      </c>
      <c r="V103" s="321" t="s">
        <v>12</v>
      </c>
      <c r="W103" s="321" t="s">
        <v>491</v>
      </c>
      <c r="X103" s="321"/>
    </row>
    <row r="104" spans="2:24" ht="15" customHeight="1" x14ac:dyDescent="0.2">
      <c r="B104" s="211" t="s">
        <v>76</v>
      </c>
      <c r="C104" s="75" t="s">
        <v>464</v>
      </c>
      <c r="D104" s="320" t="s">
        <v>464</v>
      </c>
      <c r="E104" s="321" t="s">
        <v>220</v>
      </c>
      <c r="F104" s="320"/>
      <c r="G104" s="321" t="s">
        <v>765</v>
      </c>
      <c r="H104" s="322" t="s">
        <v>728</v>
      </c>
      <c r="I104" s="75" t="s">
        <v>204</v>
      </c>
      <c r="J104" s="322">
        <v>1000</v>
      </c>
      <c r="K104" s="75" t="s">
        <v>153</v>
      </c>
      <c r="L104" s="345">
        <v>30</v>
      </c>
      <c r="M104" s="323">
        <f t="shared" si="5"/>
        <v>30000</v>
      </c>
      <c r="N104" s="324">
        <v>0</v>
      </c>
      <c r="O104" s="325">
        <f t="shared" si="6"/>
        <v>0</v>
      </c>
      <c r="P104" s="324">
        <v>0.16</v>
      </c>
      <c r="Q104" s="227">
        <f t="shared" si="7"/>
        <v>4800</v>
      </c>
      <c r="R104" s="227">
        <f t="shared" si="8"/>
        <v>34800</v>
      </c>
      <c r="S104" s="229">
        <f>INDEX('Glosario Partidas'!$M$8:$M$10,MATCH(K104,'Glosario Partidas'!$L$8:$L$10,0))</f>
        <v>17.5</v>
      </c>
      <c r="T104" s="227">
        <f t="shared" si="9"/>
        <v>609000</v>
      </c>
      <c r="U104" s="321"/>
      <c r="V104" s="321" t="s">
        <v>13</v>
      </c>
      <c r="W104" s="321" t="s">
        <v>491</v>
      </c>
      <c r="X104" s="321"/>
    </row>
    <row r="105" spans="2:24" ht="15" customHeight="1" x14ac:dyDescent="0.2">
      <c r="B105" s="211" t="s">
        <v>76</v>
      </c>
      <c r="C105" s="75" t="s">
        <v>726</v>
      </c>
      <c r="D105" s="320" t="s">
        <v>727</v>
      </c>
      <c r="E105" s="321" t="s">
        <v>229</v>
      </c>
      <c r="F105" s="320" t="s">
        <v>221</v>
      </c>
      <c r="G105" s="321" t="s">
        <v>708</v>
      </c>
      <c r="H105" s="322" t="s">
        <v>728</v>
      </c>
      <c r="I105" s="75" t="s">
        <v>204</v>
      </c>
      <c r="J105" s="322">
        <v>16.010000000000002</v>
      </c>
      <c r="K105" s="75" t="s">
        <v>153</v>
      </c>
      <c r="L105" s="345">
        <v>55</v>
      </c>
      <c r="M105" s="323">
        <f t="shared" si="5"/>
        <v>880.55000000000007</v>
      </c>
      <c r="N105" s="324">
        <v>0</v>
      </c>
      <c r="O105" s="325">
        <f t="shared" si="6"/>
        <v>0</v>
      </c>
      <c r="P105" s="324">
        <v>0.16</v>
      </c>
      <c r="Q105" s="227">
        <f t="shared" si="7"/>
        <v>140.88800000000001</v>
      </c>
      <c r="R105" s="227">
        <f t="shared" si="8"/>
        <v>1021.4380000000001</v>
      </c>
      <c r="S105" s="229">
        <f>INDEX('Glosario Partidas'!$M$8:$M$10,MATCH(K105,'Glosario Partidas'!$L$8:$L$10,0))</f>
        <v>17.5</v>
      </c>
      <c r="T105" s="227">
        <f t="shared" si="9"/>
        <v>17875.165000000001</v>
      </c>
      <c r="U105" s="321" t="s">
        <v>729</v>
      </c>
      <c r="V105" s="321" t="s">
        <v>12</v>
      </c>
      <c r="W105" s="321" t="s">
        <v>491</v>
      </c>
      <c r="X105" s="321"/>
    </row>
    <row r="106" spans="2:24" ht="15" customHeight="1" x14ac:dyDescent="0.2">
      <c r="B106" s="211" t="s">
        <v>76</v>
      </c>
      <c r="C106" s="75" t="s">
        <v>730</v>
      </c>
      <c r="D106" s="320" t="s">
        <v>727</v>
      </c>
      <c r="E106" s="321" t="s">
        <v>229</v>
      </c>
      <c r="F106" s="320" t="s">
        <v>221</v>
      </c>
      <c r="G106" s="321" t="s">
        <v>708</v>
      </c>
      <c r="H106" s="322" t="s">
        <v>728</v>
      </c>
      <c r="I106" s="75" t="s">
        <v>204</v>
      </c>
      <c r="J106" s="322">
        <v>31.62</v>
      </c>
      <c r="K106" s="75" t="s">
        <v>153</v>
      </c>
      <c r="L106" s="345">
        <v>55</v>
      </c>
      <c r="M106" s="323">
        <f t="shared" si="5"/>
        <v>1739.1000000000001</v>
      </c>
      <c r="N106" s="324">
        <v>0</v>
      </c>
      <c r="O106" s="325">
        <f t="shared" si="6"/>
        <v>0</v>
      </c>
      <c r="P106" s="324">
        <v>0.16</v>
      </c>
      <c r="Q106" s="227">
        <f t="shared" si="7"/>
        <v>278.25600000000003</v>
      </c>
      <c r="R106" s="227">
        <f t="shared" si="8"/>
        <v>2017.3560000000002</v>
      </c>
      <c r="S106" s="229">
        <f>INDEX('Glosario Partidas'!$M$8:$M$10,MATCH(K106,'Glosario Partidas'!$L$8:$L$10,0))</f>
        <v>17.5</v>
      </c>
      <c r="T106" s="227">
        <f t="shared" si="9"/>
        <v>35303.730000000003</v>
      </c>
      <c r="U106" s="321" t="s">
        <v>729</v>
      </c>
      <c r="V106" s="321" t="s">
        <v>12</v>
      </c>
      <c r="W106" s="321" t="s">
        <v>491</v>
      </c>
      <c r="X106" s="321"/>
    </row>
    <row r="107" spans="2:24" ht="15" customHeight="1" x14ac:dyDescent="0.2">
      <c r="B107" s="211" t="s">
        <v>76</v>
      </c>
      <c r="C107" s="75" t="s">
        <v>731</v>
      </c>
      <c r="D107" s="320" t="s">
        <v>727</v>
      </c>
      <c r="E107" s="321" t="s">
        <v>229</v>
      </c>
      <c r="F107" s="320" t="s">
        <v>221</v>
      </c>
      <c r="G107" s="321" t="s">
        <v>708</v>
      </c>
      <c r="H107" s="322" t="s">
        <v>728</v>
      </c>
      <c r="I107" s="75" t="s">
        <v>204</v>
      </c>
      <c r="J107" s="322">
        <v>2.2799999999999998</v>
      </c>
      <c r="K107" s="75" t="s">
        <v>153</v>
      </c>
      <c r="L107" s="345">
        <v>40</v>
      </c>
      <c r="M107" s="323">
        <f t="shared" si="5"/>
        <v>91.199999999999989</v>
      </c>
      <c r="N107" s="324">
        <v>0</v>
      </c>
      <c r="O107" s="325">
        <f t="shared" si="6"/>
        <v>0</v>
      </c>
      <c r="P107" s="324">
        <v>0.16</v>
      </c>
      <c r="Q107" s="227">
        <f t="shared" si="7"/>
        <v>14.591999999999999</v>
      </c>
      <c r="R107" s="227">
        <f t="shared" si="8"/>
        <v>105.79199999999999</v>
      </c>
      <c r="S107" s="229">
        <f>INDEX('Glosario Partidas'!$M$8:$M$10,MATCH(K107,'Glosario Partidas'!$L$8:$L$10,0))</f>
        <v>17.5</v>
      </c>
      <c r="T107" s="227">
        <f t="shared" si="9"/>
        <v>1851.3599999999997</v>
      </c>
      <c r="U107" s="321" t="s">
        <v>729</v>
      </c>
      <c r="V107" s="321" t="s">
        <v>12</v>
      </c>
      <c r="W107" s="321" t="s">
        <v>491</v>
      </c>
      <c r="X107" s="321"/>
    </row>
    <row r="108" spans="2:24" ht="15" customHeight="1" x14ac:dyDescent="0.2">
      <c r="B108" s="211" t="s">
        <v>76</v>
      </c>
      <c r="C108" s="75" t="s">
        <v>732</v>
      </c>
      <c r="D108" s="320" t="s">
        <v>727</v>
      </c>
      <c r="E108" s="321" t="s">
        <v>229</v>
      </c>
      <c r="F108" s="320" t="s">
        <v>221</v>
      </c>
      <c r="G108" s="321" t="s">
        <v>708</v>
      </c>
      <c r="H108" s="322" t="s">
        <v>728</v>
      </c>
      <c r="I108" s="75" t="s">
        <v>204</v>
      </c>
      <c r="J108" s="322">
        <v>3.62</v>
      </c>
      <c r="K108" s="75" t="s">
        <v>153</v>
      </c>
      <c r="L108" s="345">
        <v>55</v>
      </c>
      <c r="M108" s="323">
        <f t="shared" si="5"/>
        <v>199.1</v>
      </c>
      <c r="N108" s="324">
        <v>0</v>
      </c>
      <c r="O108" s="325">
        <f t="shared" si="6"/>
        <v>0</v>
      </c>
      <c r="P108" s="324">
        <v>0.16</v>
      </c>
      <c r="Q108" s="227">
        <f t="shared" si="7"/>
        <v>31.855999999999998</v>
      </c>
      <c r="R108" s="227">
        <f t="shared" si="8"/>
        <v>230.95599999999999</v>
      </c>
      <c r="S108" s="229">
        <f>INDEX('Glosario Partidas'!$M$8:$M$10,MATCH(K108,'Glosario Partidas'!$L$8:$L$10,0))</f>
        <v>17.5</v>
      </c>
      <c r="T108" s="227">
        <f t="shared" si="9"/>
        <v>4041.73</v>
      </c>
      <c r="U108" s="321" t="s">
        <v>729</v>
      </c>
      <c r="V108" s="321" t="s">
        <v>12</v>
      </c>
      <c r="W108" s="321" t="s">
        <v>491</v>
      </c>
      <c r="X108" s="321"/>
    </row>
    <row r="109" spans="2:24" ht="15" customHeight="1" x14ac:dyDescent="0.2">
      <c r="B109" s="211" t="s">
        <v>76</v>
      </c>
      <c r="C109" s="75" t="s">
        <v>733</v>
      </c>
      <c r="D109" s="320" t="s">
        <v>727</v>
      </c>
      <c r="E109" s="321" t="s">
        <v>229</v>
      </c>
      <c r="F109" s="320" t="s">
        <v>221</v>
      </c>
      <c r="G109" s="321" t="s">
        <v>708</v>
      </c>
      <c r="H109" s="322" t="s">
        <v>728</v>
      </c>
      <c r="I109" s="75" t="s">
        <v>204</v>
      </c>
      <c r="J109" s="322">
        <v>2.54</v>
      </c>
      <c r="K109" s="75" t="s">
        <v>153</v>
      </c>
      <c r="L109" s="345">
        <v>5</v>
      </c>
      <c r="M109" s="323">
        <f t="shared" si="5"/>
        <v>12.7</v>
      </c>
      <c r="N109" s="324">
        <v>0</v>
      </c>
      <c r="O109" s="325">
        <f t="shared" si="6"/>
        <v>0</v>
      </c>
      <c r="P109" s="324">
        <v>0.16</v>
      </c>
      <c r="Q109" s="227">
        <f t="shared" si="7"/>
        <v>2.032</v>
      </c>
      <c r="R109" s="227">
        <f t="shared" si="8"/>
        <v>14.731999999999999</v>
      </c>
      <c r="S109" s="229">
        <f>INDEX('Glosario Partidas'!$M$8:$M$10,MATCH(K109,'Glosario Partidas'!$L$8:$L$10,0))</f>
        <v>17.5</v>
      </c>
      <c r="T109" s="227">
        <f t="shared" si="9"/>
        <v>257.81</v>
      </c>
      <c r="U109" s="321" t="s">
        <v>729</v>
      </c>
      <c r="V109" s="321" t="s">
        <v>12</v>
      </c>
      <c r="W109" s="321" t="s">
        <v>491</v>
      </c>
      <c r="X109" s="321"/>
    </row>
    <row r="110" spans="2:24" ht="15" customHeight="1" x14ac:dyDescent="0.2">
      <c r="B110" s="211" t="s">
        <v>76</v>
      </c>
      <c r="C110" s="75" t="s">
        <v>734</v>
      </c>
      <c r="D110" s="320" t="s">
        <v>727</v>
      </c>
      <c r="E110" s="321" t="s">
        <v>229</v>
      </c>
      <c r="F110" s="320" t="s">
        <v>221</v>
      </c>
      <c r="G110" s="321" t="s">
        <v>708</v>
      </c>
      <c r="H110" s="322" t="s">
        <v>728</v>
      </c>
      <c r="I110" s="75" t="s">
        <v>204</v>
      </c>
      <c r="J110" s="322">
        <v>9.35</v>
      </c>
      <c r="K110" s="75" t="s">
        <v>153</v>
      </c>
      <c r="L110" s="345">
        <v>5</v>
      </c>
      <c r="M110" s="323">
        <f t="shared" si="5"/>
        <v>46.75</v>
      </c>
      <c r="N110" s="324">
        <v>0</v>
      </c>
      <c r="O110" s="325">
        <f t="shared" si="6"/>
        <v>0</v>
      </c>
      <c r="P110" s="324">
        <v>0.16</v>
      </c>
      <c r="Q110" s="227">
        <f t="shared" si="7"/>
        <v>7.48</v>
      </c>
      <c r="R110" s="227">
        <f t="shared" si="8"/>
        <v>54.230000000000004</v>
      </c>
      <c r="S110" s="229">
        <f>INDEX('Glosario Partidas'!$M$8:$M$10,MATCH(K110,'Glosario Partidas'!$L$8:$L$10,0))</f>
        <v>17.5</v>
      </c>
      <c r="T110" s="227">
        <f t="shared" si="9"/>
        <v>949.02500000000009</v>
      </c>
      <c r="U110" s="321" t="s">
        <v>729</v>
      </c>
      <c r="V110" s="321" t="s">
        <v>12</v>
      </c>
      <c r="W110" s="321" t="s">
        <v>491</v>
      </c>
      <c r="X110" s="321"/>
    </row>
    <row r="111" spans="2:24" ht="15" customHeight="1" x14ac:dyDescent="0.2">
      <c r="B111" s="211" t="s">
        <v>76</v>
      </c>
      <c r="C111" s="75" t="s">
        <v>735</v>
      </c>
      <c r="D111" s="320" t="s">
        <v>727</v>
      </c>
      <c r="E111" s="321" t="s">
        <v>229</v>
      </c>
      <c r="F111" s="320" t="s">
        <v>221</v>
      </c>
      <c r="G111" s="321" t="s">
        <v>708</v>
      </c>
      <c r="H111" s="322" t="s">
        <v>728</v>
      </c>
      <c r="I111" s="75" t="s">
        <v>204</v>
      </c>
      <c r="J111" s="322">
        <v>26.66</v>
      </c>
      <c r="K111" s="75" t="s">
        <v>153</v>
      </c>
      <c r="L111" s="345">
        <v>75</v>
      </c>
      <c r="M111" s="323">
        <f t="shared" si="5"/>
        <v>1999.5</v>
      </c>
      <c r="N111" s="324">
        <v>0</v>
      </c>
      <c r="O111" s="325">
        <f t="shared" si="6"/>
        <v>0</v>
      </c>
      <c r="P111" s="324">
        <v>0.16</v>
      </c>
      <c r="Q111" s="227">
        <f t="shared" si="7"/>
        <v>319.92</v>
      </c>
      <c r="R111" s="227">
        <f t="shared" si="8"/>
        <v>2319.42</v>
      </c>
      <c r="S111" s="229">
        <f>INDEX('Glosario Partidas'!$M$8:$M$10,MATCH(K111,'Glosario Partidas'!$L$8:$L$10,0))</f>
        <v>17.5</v>
      </c>
      <c r="T111" s="227">
        <f t="shared" si="9"/>
        <v>40589.85</v>
      </c>
      <c r="U111" s="321" t="s">
        <v>729</v>
      </c>
      <c r="V111" s="321" t="s">
        <v>12</v>
      </c>
      <c r="W111" s="321" t="s">
        <v>491</v>
      </c>
      <c r="X111" s="321"/>
    </row>
    <row r="112" spans="2:24" ht="15" customHeight="1" x14ac:dyDescent="0.2">
      <c r="B112" s="211" t="s">
        <v>76</v>
      </c>
      <c r="C112" s="75" t="s">
        <v>736</v>
      </c>
      <c r="D112" s="320" t="s">
        <v>727</v>
      </c>
      <c r="E112" s="321" t="s">
        <v>229</v>
      </c>
      <c r="F112" s="320" t="s">
        <v>221</v>
      </c>
      <c r="G112" s="321" t="s">
        <v>708</v>
      </c>
      <c r="H112" s="322" t="s">
        <v>728</v>
      </c>
      <c r="I112" s="75" t="s">
        <v>204</v>
      </c>
      <c r="J112" s="322">
        <v>51.12</v>
      </c>
      <c r="K112" s="75" t="s">
        <v>153</v>
      </c>
      <c r="L112" s="345">
        <v>85</v>
      </c>
      <c r="M112" s="323">
        <f t="shared" si="5"/>
        <v>4345.2</v>
      </c>
      <c r="N112" s="324">
        <v>0</v>
      </c>
      <c r="O112" s="325">
        <f t="shared" si="6"/>
        <v>0</v>
      </c>
      <c r="P112" s="324">
        <v>0.16</v>
      </c>
      <c r="Q112" s="227">
        <f t="shared" si="7"/>
        <v>695.23199999999997</v>
      </c>
      <c r="R112" s="227">
        <f t="shared" si="8"/>
        <v>5040.4319999999998</v>
      </c>
      <c r="S112" s="229">
        <f>INDEX('Glosario Partidas'!$M$8:$M$10,MATCH(K112,'Glosario Partidas'!$L$8:$L$10,0))</f>
        <v>17.5</v>
      </c>
      <c r="T112" s="227">
        <f t="shared" si="9"/>
        <v>88207.56</v>
      </c>
      <c r="U112" s="321" t="s">
        <v>729</v>
      </c>
      <c r="V112" s="321" t="s">
        <v>12</v>
      </c>
      <c r="W112" s="321" t="s">
        <v>491</v>
      </c>
      <c r="X112" s="321"/>
    </row>
    <row r="113" spans="2:24" ht="15" customHeight="1" x14ac:dyDescent="0.2">
      <c r="B113" s="211" t="s">
        <v>76</v>
      </c>
      <c r="C113" s="75" t="s">
        <v>737</v>
      </c>
      <c r="D113" s="320" t="s">
        <v>727</v>
      </c>
      <c r="E113" s="321" t="s">
        <v>229</v>
      </c>
      <c r="F113" s="320" t="s">
        <v>221</v>
      </c>
      <c r="G113" s="321" t="s">
        <v>708</v>
      </c>
      <c r="H113" s="322" t="s">
        <v>728</v>
      </c>
      <c r="I113" s="75" t="s">
        <v>204</v>
      </c>
      <c r="J113" s="322">
        <v>33.07</v>
      </c>
      <c r="K113" s="75" t="s">
        <v>153</v>
      </c>
      <c r="L113" s="345">
        <v>75</v>
      </c>
      <c r="M113" s="323">
        <f t="shared" si="5"/>
        <v>2480.25</v>
      </c>
      <c r="N113" s="324">
        <v>0</v>
      </c>
      <c r="O113" s="325">
        <f t="shared" si="6"/>
        <v>0</v>
      </c>
      <c r="P113" s="324">
        <v>0.16</v>
      </c>
      <c r="Q113" s="227">
        <f t="shared" si="7"/>
        <v>396.84000000000003</v>
      </c>
      <c r="R113" s="227">
        <f t="shared" si="8"/>
        <v>2877.09</v>
      </c>
      <c r="S113" s="229">
        <f>INDEX('Glosario Partidas'!$M$8:$M$10,MATCH(K113,'Glosario Partidas'!$L$8:$L$10,0))</f>
        <v>17.5</v>
      </c>
      <c r="T113" s="227">
        <f t="shared" si="9"/>
        <v>50349.075000000004</v>
      </c>
      <c r="U113" s="321" t="s">
        <v>729</v>
      </c>
      <c r="V113" s="321" t="s">
        <v>12</v>
      </c>
      <c r="W113" s="321" t="s">
        <v>491</v>
      </c>
      <c r="X113" s="321"/>
    </row>
    <row r="114" spans="2:24" ht="15" customHeight="1" x14ac:dyDescent="0.2">
      <c r="B114" s="211" t="s">
        <v>76</v>
      </c>
      <c r="C114" s="75" t="s">
        <v>738</v>
      </c>
      <c r="D114" s="320" t="s">
        <v>727</v>
      </c>
      <c r="E114" s="321" t="s">
        <v>229</v>
      </c>
      <c r="F114" s="320" t="s">
        <v>221</v>
      </c>
      <c r="G114" s="321" t="s">
        <v>708</v>
      </c>
      <c r="H114" s="322" t="s">
        <v>728</v>
      </c>
      <c r="I114" s="75" t="s">
        <v>204</v>
      </c>
      <c r="J114" s="322">
        <v>16.47</v>
      </c>
      <c r="K114" s="75" t="s">
        <v>153</v>
      </c>
      <c r="L114" s="345">
        <v>65</v>
      </c>
      <c r="M114" s="323">
        <f t="shared" si="5"/>
        <v>1070.55</v>
      </c>
      <c r="N114" s="324">
        <v>0</v>
      </c>
      <c r="O114" s="325">
        <f t="shared" si="6"/>
        <v>0</v>
      </c>
      <c r="P114" s="324">
        <v>0.16</v>
      </c>
      <c r="Q114" s="227">
        <f t="shared" si="7"/>
        <v>171.28799999999998</v>
      </c>
      <c r="R114" s="227">
        <f t="shared" si="8"/>
        <v>1241.838</v>
      </c>
      <c r="S114" s="229">
        <f>INDEX('Glosario Partidas'!$M$8:$M$10,MATCH(K114,'Glosario Partidas'!$L$8:$L$10,0))</f>
        <v>17.5</v>
      </c>
      <c r="T114" s="227">
        <f t="shared" si="9"/>
        <v>21732.165000000001</v>
      </c>
      <c r="U114" s="321" t="s">
        <v>729</v>
      </c>
      <c r="V114" s="321" t="s">
        <v>12</v>
      </c>
      <c r="W114" s="321" t="s">
        <v>491</v>
      </c>
      <c r="X114" s="321"/>
    </row>
    <row r="115" spans="2:24" ht="15" customHeight="1" x14ac:dyDescent="0.2">
      <c r="B115" s="211" t="s">
        <v>76</v>
      </c>
      <c r="C115" s="75" t="s">
        <v>739</v>
      </c>
      <c r="D115" s="320" t="s">
        <v>727</v>
      </c>
      <c r="E115" s="321" t="s">
        <v>229</v>
      </c>
      <c r="F115" s="320" t="s">
        <v>221</v>
      </c>
      <c r="G115" s="321" t="s">
        <v>708</v>
      </c>
      <c r="H115" s="322" t="s">
        <v>728</v>
      </c>
      <c r="I115" s="75" t="s">
        <v>204</v>
      </c>
      <c r="J115" s="322">
        <v>6.85</v>
      </c>
      <c r="K115" s="75" t="s">
        <v>153</v>
      </c>
      <c r="L115" s="345">
        <v>70</v>
      </c>
      <c r="M115" s="323">
        <f t="shared" si="5"/>
        <v>479.5</v>
      </c>
      <c r="N115" s="324">
        <v>0</v>
      </c>
      <c r="O115" s="325">
        <f t="shared" si="6"/>
        <v>0</v>
      </c>
      <c r="P115" s="324">
        <v>0.16</v>
      </c>
      <c r="Q115" s="227">
        <f t="shared" si="7"/>
        <v>76.72</v>
      </c>
      <c r="R115" s="227">
        <f t="shared" si="8"/>
        <v>556.22</v>
      </c>
      <c r="S115" s="229">
        <f>INDEX('Glosario Partidas'!$M$8:$M$10,MATCH(K115,'Glosario Partidas'!$L$8:$L$10,0))</f>
        <v>17.5</v>
      </c>
      <c r="T115" s="227">
        <f t="shared" si="9"/>
        <v>9733.85</v>
      </c>
      <c r="U115" s="321" t="s">
        <v>729</v>
      </c>
      <c r="V115" s="321" t="s">
        <v>12</v>
      </c>
      <c r="W115" s="321" t="s">
        <v>491</v>
      </c>
      <c r="X115" s="321"/>
    </row>
    <row r="116" spans="2:24" ht="15" customHeight="1" x14ac:dyDescent="0.2">
      <c r="B116" s="211" t="s">
        <v>76</v>
      </c>
      <c r="C116" s="75" t="s">
        <v>740</v>
      </c>
      <c r="D116" s="320" t="s">
        <v>727</v>
      </c>
      <c r="E116" s="321" t="s">
        <v>229</v>
      </c>
      <c r="F116" s="320" t="s">
        <v>221</v>
      </c>
      <c r="G116" s="321" t="s">
        <v>708</v>
      </c>
      <c r="H116" s="322" t="s">
        <v>728</v>
      </c>
      <c r="I116" s="75" t="s">
        <v>204</v>
      </c>
      <c r="J116" s="322">
        <v>35.22</v>
      </c>
      <c r="K116" s="75" t="s">
        <v>153</v>
      </c>
      <c r="L116" s="345">
        <v>75</v>
      </c>
      <c r="M116" s="323">
        <f t="shared" si="5"/>
        <v>2641.5</v>
      </c>
      <c r="N116" s="324">
        <v>0</v>
      </c>
      <c r="O116" s="325">
        <f t="shared" si="6"/>
        <v>0</v>
      </c>
      <c r="P116" s="324">
        <v>0.16</v>
      </c>
      <c r="Q116" s="227">
        <f t="shared" si="7"/>
        <v>422.64</v>
      </c>
      <c r="R116" s="227">
        <f t="shared" si="8"/>
        <v>3064.14</v>
      </c>
      <c r="S116" s="229">
        <f>INDEX('Glosario Partidas'!$M$8:$M$10,MATCH(K116,'Glosario Partidas'!$L$8:$L$10,0))</f>
        <v>17.5</v>
      </c>
      <c r="T116" s="227">
        <f t="shared" si="9"/>
        <v>53622.45</v>
      </c>
      <c r="U116" s="321" t="s">
        <v>729</v>
      </c>
      <c r="V116" s="321" t="s">
        <v>12</v>
      </c>
      <c r="W116" s="321" t="s">
        <v>491</v>
      </c>
      <c r="X116" s="321"/>
    </row>
    <row r="117" spans="2:24" ht="15" customHeight="1" x14ac:dyDescent="0.2">
      <c r="B117" s="211" t="s">
        <v>76</v>
      </c>
      <c r="C117" s="75" t="s">
        <v>741</v>
      </c>
      <c r="D117" s="320" t="s">
        <v>727</v>
      </c>
      <c r="E117" s="321" t="s">
        <v>229</v>
      </c>
      <c r="F117" s="320" t="s">
        <v>221</v>
      </c>
      <c r="G117" s="321" t="s">
        <v>708</v>
      </c>
      <c r="H117" s="322" t="s">
        <v>728</v>
      </c>
      <c r="I117" s="75" t="s">
        <v>204</v>
      </c>
      <c r="J117" s="322">
        <v>16.53</v>
      </c>
      <c r="K117" s="75" t="s">
        <v>153</v>
      </c>
      <c r="L117" s="345">
        <v>65</v>
      </c>
      <c r="M117" s="323">
        <f t="shared" si="5"/>
        <v>1074.45</v>
      </c>
      <c r="N117" s="324">
        <v>0</v>
      </c>
      <c r="O117" s="325">
        <f t="shared" si="6"/>
        <v>0</v>
      </c>
      <c r="P117" s="324">
        <v>0.16</v>
      </c>
      <c r="Q117" s="227">
        <f t="shared" si="7"/>
        <v>171.91200000000001</v>
      </c>
      <c r="R117" s="227">
        <f t="shared" si="8"/>
        <v>1246.3620000000001</v>
      </c>
      <c r="S117" s="229">
        <f>INDEX('Glosario Partidas'!$M$8:$M$10,MATCH(K117,'Glosario Partidas'!$L$8:$L$10,0))</f>
        <v>17.5</v>
      </c>
      <c r="T117" s="227">
        <f t="shared" si="9"/>
        <v>21811.335000000003</v>
      </c>
      <c r="U117" s="321" t="s">
        <v>729</v>
      </c>
      <c r="V117" s="321" t="s">
        <v>12</v>
      </c>
      <c r="W117" s="321" t="s">
        <v>491</v>
      </c>
      <c r="X117" s="321"/>
    </row>
    <row r="118" spans="2:24" ht="15" customHeight="1" x14ac:dyDescent="0.2">
      <c r="B118" s="211" t="s">
        <v>76</v>
      </c>
      <c r="C118" s="75" t="s">
        <v>742</v>
      </c>
      <c r="D118" s="320" t="s">
        <v>727</v>
      </c>
      <c r="E118" s="321" t="s">
        <v>229</v>
      </c>
      <c r="F118" s="320" t="s">
        <v>221</v>
      </c>
      <c r="G118" s="321" t="s">
        <v>708</v>
      </c>
      <c r="H118" s="322" t="s">
        <v>728</v>
      </c>
      <c r="I118" s="75" t="s">
        <v>204</v>
      </c>
      <c r="J118" s="322">
        <v>5.05</v>
      </c>
      <c r="K118" s="75" t="s">
        <v>153</v>
      </c>
      <c r="L118" s="345">
        <v>70</v>
      </c>
      <c r="M118" s="323">
        <f t="shared" si="5"/>
        <v>353.5</v>
      </c>
      <c r="N118" s="324">
        <v>0</v>
      </c>
      <c r="O118" s="325">
        <f t="shared" si="6"/>
        <v>0</v>
      </c>
      <c r="P118" s="324">
        <v>0.16</v>
      </c>
      <c r="Q118" s="227">
        <f t="shared" si="7"/>
        <v>56.56</v>
      </c>
      <c r="R118" s="227">
        <f t="shared" si="8"/>
        <v>410.06</v>
      </c>
      <c r="S118" s="229">
        <f>INDEX('Glosario Partidas'!$M$8:$M$10,MATCH(K118,'Glosario Partidas'!$L$8:$L$10,0))</f>
        <v>17.5</v>
      </c>
      <c r="T118" s="227">
        <f t="shared" si="9"/>
        <v>7176.05</v>
      </c>
      <c r="U118" s="321" t="s">
        <v>729</v>
      </c>
      <c r="V118" s="321" t="s">
        <v>12</v>
      </c>
      <c r="W118" s="321" t="s">
        <v>491</v>
      </c>
      <c r="X118" s="321"/>
    </row>
    <row r="119" spans="2:24" ht="15" customHeight="1" x14ac:dyDescent="0.2">
      <c r="B119" s="211" t="s">
        <v>76</v>
      </c>
      <c r="C119" s="75" t="s">
        <v>743</v>
      </c>
      <c r="D119" s="320" t="s">
        <v>727</v>
      </c>
      <c r="E119" s="321" t="s">
        <v>229</v>
      </c>
      <c r="F119" s="320" t="s">
        <v>221</v>
      </c>
      <c r="G119" s="321" t="s">
        <v>708</v>
      </c>
      <c r="H119" s="322" t="s">
        <v>728</v>
      </c>
      <c r="I119" s="75" t="s">
        <v>204</v>
      </c>
      <c r="J119" s="322">
        <v>27.84</v>
      </c>
      <c r="K119" s="75" t="s">
        <v>153</v>
      </c>
      <c r="L119" s="345">
        <v>75</v>
      </c>
      <c r="M119" s="323">
        <f t="shared" si="5"/>
        <v>2088</v>
      </c>
      <c r="N119" s="324">
        <v>0</v>
      </c>
      <c r="O119" s="325">
        <f t="shared" si="6"/>
        <v>0</v>
      </c>
      <c r="P119" s="324">
        <v>0.16</v>
      </c>
      <c r="Q119" s="227">
        <f t="shared" si="7"/>
        <v>334.08</v>
      </c>
      <c r="R119" s="227">
        <f t="shared" si="8"/>
        <v>2422.08</v>
      </c>
      <c r="S119" s="229">
        <f>INDEX('Glosario Partidas'!$M$8:$M$10,MATCH(K119,'Glosario Partidas'!$L$8:$L$10,0))</f>
        <v>17.5</v>
      </c>
      <c r="T119" s="227">
        <f t="shared" si="9"/>
        <v>42386.400000000001</v>
      </c>
      <c r="U119" s="321" t="s">
        <v>729</v>
      </c>
      <c r="V119" s="321" t="s">
        <v>12</v>
      </c>
      <c r="W119" s="321" t="s">
        <v>491</v>
      </c>
      <c r="X119" s="321"/>
    </row>
    <row r="120" spans="2:24" ht="15" customHeight="1" x14ac:dyDescent="0.2">
      <c r="B120" s="211" t="s">
        <v>76</v>
      </c>
      <c r="C120" s="75" t="s">
        <v>744</v>
      </c>
      <c r="D120" s="320" t="s">
        <v>727</v>
      </c>
      <c r="E120" s="321" t="s">
        <v>229</v>
      </c>
      <c r="F120" s="320" t="s">
        <v>221</v>
      </c>
      <c r="G120" s="321" t="s">
        <v>708</v>
      </c>
      <c r="H120" s="322" t="s">
        <v>728</v>
      </c>
      <c r="I120" s="75" t="s">
        <v>204</v>
      </c>
      <c r="J120" s="322">
        <v>13.82</v>
      </c>
      <c r="K120" s="75" t="s">
        <v>153</v>
      </c>
      <c r="L120" s="345">
        <v>60</v>
      </c>
      <c r="M120" s="323">
        <f t="shared" si="5"/>
        <v>829.2</v>
      </c>
      <c r="N120" s="324">
        <v>0</v>
      </c>
      <c r="O120" s="325">
        <f t="shared" si="6"/>
        <v>0</v>
      </c>
      <c r="P120" s="324">
        <v>0.16</v>
      </c>
      <c r="Q120" s="227">
        <f t="shared" si="7"/>
        <v>132.672</v>
      </c>
      <c r="R120" s="227">
        <f t="shared" si="8"/>
        <v>961.87200000000007</v>
      </c>
      <c r="S120" s="229">
        <f>INDEX('Glosario Partidas'!$M$8:$M$10,MATCH(K120,'Glosario Partidas'!$L$8:$L$10,0))</f>
        <v>17.5</v>
      </c>
      <c r="T120" s="227">
        <f t="shared" si="9"/>
        <v>16832.760000000002</v>
      </c>
      <c r="U120" s="321" t="s">
        <v>729</v>
      </c>
      <c r="V120" s="321" t="s">
        <v>12</v>
      </c>
      <c r="W120" s="321" t="s">
        <v>491</v>
      </c>
      <c r="X120" s="321"/>
    </row>
    <row r="121" spans="2:24" ht="15" customHeight="1" x14ac:dyDescent="0.2">
      <c r="B121" s="211" t="s">
        <v>76</v>
      </c>
      <c r="C121" s="75" t="s">
        <v>745</v>
      </c>
      <c r="D121" s="320" t="s">
        <v>727</v>
      </c>
      <c r="E121" s="321" t="s">
        <v>229</v>
      </c>
      <c r="F121" s="320" t="s">
        <v>221</v>
      </c>
      <c r="G121" s="321" t="s">
        <v>708</v>
      </c>
      <c r="H121" s="322" t="s">
        <v>728</v>
      </c>
      <c r="I121" s="75" t="s">
        <v>204</v>
      </c>
      <c r="J121" s="322">
        <v>27.84</v>
      </c>
      <c r="K121" s="75" t="s">
        <v>153</v>
      </c>
      <c r="L121" s="345">
        <v>75</v>
      </c>
      <c r="M121" s="323">
        <f t="shared" si="5"/>
        <v>2088</v>
      </c>
      <c r="N121" s="324">
        <v>0</v>
      </c>
      <c r="O121" s="325">
        <f t="shared" si="6"/>
        <v>0</v>
      </c>
      <c r="P121" s="324">
        <v>0.16</v>
      </c>
      <c r="Q121" s="227">
        <f t="shared" si="7"/>
        <v>334.08</v>
      </c>
      <c r="R121" s="227">
        <f t="shared" si="8"/>
        <v>2422.08</v>
      </c>
      <c r="S121" s="229">
        <f>INDEX('Glosario Partidas'!$M$8:$M$10,MATCH(K121,'Glosario Partidas'!$L$8:$L$10,0))</f>
        <v>17.5</v>
      </c>
      <c r="T121" s="227">
        <f t="shared" si="9"/>
        <v>42386.400000000001</v>
      </c>
      <c r="U121" s="321" t="s">
        <v>729</v>
      </c>
      <c r="V121" s="321" t="s">
        <v>12</v>
      </c>
      <c r="W121" s="321" t="s">
        <v>491</v>
      </c>
      <c r="X121" s="321"/>
    </row>
    <row r="122" spans="2:24" ht="15" customHeight="1" x14ac:dyDescent="0.2">
      <c r="B122" s="211" t="s">
        <v>76</v>
      </c>
      <c r="C122" s="75" t="s">
        <v>746</v>
      </c>
      <c r="D122" s="320" t="s">
        <v>727</v>
      </c>
      <c r="E122" s="321" t="s">
        <v>229</v>
      </c>
      <c r="F122" s="320" t="s">
        <v>221</v>
      </c>
      <c r="G122" s="321" t="s">
        <v>708</v>
      </c>
      <c r="H122" s="322" t="s">
        <v>728</v>
      </c>
      <c r="I122" s="75" t="s">
        <v>204</v>
      </c>
      <c r="J122" s="322">
        <v>13.82</v>
      </c>
      <c r="K122" s="75" t="s">
        <v>153</v>
      </c>
      <c r="L122" s="345">
        <v>60</v>
      </c>
      <c r="M122" s="323">
        <f t="shared" si="5"/>
        <v>829.2</v>
      </c>
      <c r="N122" s="324">
        <v>0</v>
      </c>
      <c r="O122" s="325">
        <f t="shared" si="6"/>
        <v>0</v>
      </c>
      <c r="P122" s="324">
        <v>0.16</v>
      </c>
      <c r="Q122" s="227">
        <f t="shared" si="7"/>
        <v>132.672</v>
      </c>
      <c r="R122" s="227">
        <f t="shared" si="8"/>
        <v>961.87200000000007</v>
      </c>
      <c r="S122" s="229">
        <f>INDEX('Glosario Partidas'!$M$8:$M$10,MATCH(K122,'Glosario Partidas'!$L$8:$L$10,0))</f>
        <v>17.5</v>
      </c>
      <c r="T122" s="227">
        <f t="shared" si="9"/>
        <v>16832.760000000002</v>
      </c>
      <c r="U122" s="321" t="s">
        <v>729</v>
      </c>
      <c r="V122" s="321" t="s">
        <v>12</v>
      </c>
      <c r="W122" s="321" t="s">
        <v>491</v>
      </c>
      <c r="X122" s="321"/>
    </row>
    <row r="123" spans="2:24" ht="15" customHeight="1" x14ac:dyDescent="0.2">
      <c r="B123" s="211" t="s">
        <v>76</v>
      </c>
      <c r="C123" s="75" t="s">
        <v>747</v>
      </c>
      <c r="D123" s="320" t="s">
        <v>727</v>
      </c>
      <c r="E123" s="321" t="s">
        <v>229</v>
      </c>
      <c r="F123" s="320" t="s">
        <v>221</v>
      </c>
      <c r="G123" s="321" t="s">
        <v>708</v>
      </c>
      <c r="H123" s="322" t="s">
        <v>728</v>
      </c>
      <c r="I123" s="75" t="s">
        <v>204</v>
      </c>
      <c r="J123" s="322">
        <v>11.1</v>
      </c>
      <c r="K123" s="75" t="s">
        <v>153</v>
      </c>
      <c r="L123" s="345">
        <v>5</v>
      </c>
      <c r="M123" s="323">
        <f t="shared" si="5"/>
        <v>55.5</v>
      </c>
      <c r="N123" s="324">
        <v>0</v>
      </c>
      <c r="O123" s="325">
        <f t="shared" si="6"/>
        <v>0</v>
      </c>
      <c r="P123" s="324">
        <v>0.16</v>
      </c>
      <c r="Q123" s="227">
        <f t="shared" si="7"/>
        <v>8.8800000000000008</v>
      </c>
      <c r="R123" s="227">
        <f t="shared" si="8"/>
        <v>64.38</v>
      </c>
      <c r="S123" s="229">
        <f>INDEX('Glosario Partidas'!$M$8:$M$10,MATCH(K123,'Glosario Partidas'!$L$8:$L$10,0))</f>
        <v>17.5</v>
      </c>
      <c r="T123" s="227">
        <f t="shared" si="9"/>
        <v>1126.6499999999999</v>
      </c>
      <c r="U123" s="321" t="s">
        <v>729</v>
      </c>
      <c r="V123" s="321" t="s">
        <v>12</v>
      </c>
      <c r="W123" s="321" t="s">
        <v>491</v>
      </c>
      <c r="X123" s="321"/>
    </row>
    <row r="124" spans="2:24" ht="15" customHeight="1" x14ac:dyDescent="0.2">
      <c r="B124" s="211" t="s">
        <v>76</v>
      </c>
      <c r="C124" s="75" t="s">
        <v>748</v>
      </c>
      <c r="D124" s="320" t="s">
        <v>749</v>
      </c>
      <c r="E124" s="321" t="s">
        <v>229</v>
      </c>
      <c r="F124" s="320" t="s">
        <v>221</v>
      </c>
      <c r="G124" s="321" t="s">
        <v>708</v>
      </c>
      <c r="H124" s="322" t="s">
        <v>728</v>
      </c>
      <c r="I124" s="75" t="s">
        <v>204</v>
      </c>
      <c r="J124" s="322">
        <v>54.96</v>
      </c>
      <c r="K124" s="75" t="s">
        <v>153</v>
      </c>
      <c r="L124" s="345">
        <v>40</v>
      </c>
      <c r="M124" s="323">
        <f t="shared" si="5"/>
        <v>2198.4</v>
      </c>
      <c r="N124" s="324">
        <v>0</v>
      </c>
      <c r="O124" s="325">
        <f t="shared" si="6"/>
        <v>0</v>
      </c>
      <c r="P124" s="324">
        <v>0.16</v>
      </c>
      <c r="Q124" s="227">
        <f t="shared" si="7"/>
        <v>351.74400000000003</v>
      </c>
      <c r="R124" s="227">
        <f t="shared" si="8"/>
        <v>2550.1440000000002</v>
      </c>
      <c r="S124" s="229">
        <f>INDEX('Glosario Partidas'!$M$8:$M$10,MATCH(K124,'Glosario Partidas'!$L$8:$L$10,0))</f>
        <v>17.5</v>
      </c>
      <c r="T124" s="227">
        <f t="shared" si="9"/>
        <v>44627.520000000004</v>
      </c>
      <c r="U124" s="321" t="s">
        <v>729</v>
      </c>
      <c r="V124" s="321" t="s">
        <v>12</v>
      </c>
      <c r="W124" s="321" t="s">
        <v>491</v>
      </c>
      <c r="X124" s="321"/>
    </row>
    <row r="125" spans="2:24" ht="15" customHeight="1" x14ac:dyDescent="0.2">
      <c r="B125" s="211" t="s">
        <v>76</v>
      </c>
      <c r="C125" s="75" t="s">
        <v>750</v>
      </c>
      <c r="D125" s="320" t="s">
        <v>749</v>
      </c>
      <c r="E125" s="321" t="s">
        <v>229</v>
      </c>
      <c r="F125" s="320" t="s">
        <v>221</v>
      </c>
      <c r="G125" s="321" t="s">
        <v>708</v>
      </c>
      <c r="H125" s="322" t="s">
        <v>728</v>
      </c>
      <c r="I125" s="75" t="s">
        <v>204</v>
      </c>
      <c r="J125" s="322">
        <v>99.72</v>
      </c>
      <c r="K125" s="75" t="s">
        <v>153</v>
      </c>
      <c r="L125" s="345">
        <v>45</v>
      </c>
      <c r="M125" s="323">
        <f t="shared" si="5"/>
        <v>4487.3999999999996</v>
      </c>
      <c r="N125" s="324">
        <v>0</v>
      </c>
      <c r="O125" s="325">
        <f t="shared" si="6"/>
        <v>0</v>
      </c>
      <c r="P125" s="324">
        <v>0.16</v>
      </c>
      <c r="Q125" s="227">
        <f t="shared" si="7"/>
        <v>717.98399999999992</v>
      </c>
      <c r="R125" s="227">
        <f t="shared" si="8"/>
        <v>5205.384</v>
      </c>
      <c r="S125" s="229">
        <f>INDEX('Glosario Partidas'!$M$8:$M$10,MATCH(K125,'Glosario Partidas'!$L$8:$L$10,0))</f>
        <v>17.5</v>
      </c>
      <c r="T125" s="227">
        <f t="shared" si="9"/>
        <v>91094.22</v>
      </c>
      <c r="U125" s="321" t="s">
        <v>729</v>
      </c>
      <c r="V125" s="321" t="s">
        <v>12</v>
      </c>
      <c r="W125" s="321" t="s">
        <v>491</v>
      </c>
      <c r="X125" s="321"/>
    </row>
    <row r="126" spans="2:24" ht="15" customHeight="1" x14ac:dyDescent="0.2">
      <c r="B126" s="211" t="s">
        <v>76</v>
      </c>
      <c r="C126" s="75" t="s">
        <v>751</v>
      </c>
      <c r="D126" s="320" t="s">
        <v>749</v>
      </c>
      <c r="E126" s="321" t="s">
        <v>229</v>
      </c>
      <c r="F126" s="320" t="s">
        <v>221</v>
      </c>
      <c r="G126" s="321" t="s">
        <v>708</v>
      </c>
      <c r="H126" s="322" t="s">
        <v>728</v>
      </c>
      <c r="I126" s="75" t="s">
        <v>204</v>
      </c>
      <c r="J126" s="322">
        <v>135.49</v>
      </c>
      <c r="K126" s="75" t="s">
        <v>153</v>
      </c>
      <c r="L126" s="345">
        <v>40</v>
      </c>
      <c r="M126" s="323">
        <f t="shared" si="5"/>
        <v>5419.6</v>
      </c>
      <c r="N126" s="324">
        <v>0</v>
      </c>
      <c r="O126" s="325">
        <f t="shared" si="6"/>
        <v>0</v>
      </c>
      <c r="P126" s="324">
        <v>0.16</v>
      </c>
      <c r="Q126" s="227">
        <f t="shared" si="7"/>
        <v>867.13600000000008</v>
      </c>
      <c r="R126" s="227">
        <f t="shared" si="8"/>
        <v>6286.7360000000008</v>
      </c>
      <c r="S126" s="229">
        <f>INDEX('Glosario Partidas'!$M$8:$M$10,MATCH(K126,'Glosario Partidas'!$L$8:$L$10,0))</f>
        <v>17.5</v>
      </c>
      <c r="T126" s="227">
        <f t="shared" si="9"/>
        <v>110017.88000000002</v>
      </c>
      <c r="U126" s="321" t="s">
        <v>729</v>
      </c>
      <c r="V126" s="321" t="s">
        <v>12</v>
      </c>
      <c r="W126" s="321" t="s">
        <v>491</v>
      </c>
      <c r="X126" s="321"/>
    </row>
    <row r="127" spans="2:24" ht="15" customHeight="1" x14ac:dyDescent="0.2">
      <c r="B127" s="211" t="s">
        <v>76</v>
      </c>
      <c r="C127" s="75" t="s">
        <v>752</v>
      </c>
      <c r="D127" s="320" t="s">
        <v>749</v>
      </c>
      <c r="E127" s="321" t="s">
        <v>229</v>
      </c>
      <c r="F127" s="320" t="s">
        <v>221</v>
      </c>
      <c r="G127" s="321" t="s">
        <v>708</v>
      </c>
      <c r="H127" s="322" t="s">
        <v>728</v>
      </c>
      <c r="I127" s="75" t="s">
        <v>204</v>
      </c>
      <c r="J127" s="322">
        <v>60.6</v>
      </c>
      <c r="K127" s="75" t="s">
        <v>153</v>
      </c>
      <c r="L127" s="345">
        <v>55</v>
      </c>
      <c r="M127" s="323">
        <f t="shared" si="5"/>
        <v>3333</v>
      </c>
      <c r="N127" s="324">
        <v>0</v>
      </c>
      <c r="O127" s="325">
        <f t="shared" si="6"/>
        <v>0</v>
      </c>
      <c r="P127" s="324">
        <v>0.16</v>
      </c>
      <c r="Q127" s="227">
        <f t="shared" si="7"/>
        <v>533.28</v>
      </c>
      <c r="R127" s="227">
        <f t="shared" si="8"/>
        <v>3866.2799999999997</v>
      </c>
      <c r="S127" s="229">
        <f>INDEX('Glosario Partidas'!$M$8:$M$10,MATCH(K127,'Glosario Partidas'!$L$8:$L$10,0))</f>
        <v>17.5</v>
      </c>
      <c r="T127" s="227">
        <f t="shared" si="9"/>
        <v>67659.899999999994</v>
      </c>
      <c r="U127" s="321" t="s">
        <v>729</v>
      </c>
      <c r="V127" s="321" t="s">
        <v>12</v>
      </c>
      <c r="W127" s="321" t="s">
        <v>491</v>
      </c>
      <c r="X127" s="321"/>
    </row>
    <row r="128" spans="2:24" ht="15" customHeight="1" x14ac:dyDescent="0.2">
      <c r="B128" s="211" t="s">
        <v>76</v>
      </c>
      <c r="C128" s="75" t="s">
        <v>726</v>
      </c>
      <c r="D128" s="320" t="s">
        <v>727</v>
      </c>
      <c r="E128" s="321" t="s">
        <v>229</v>
      </c>
      <c r="F128" s="320" t="s">
        <v>221</v>
      </c>
      <c r="G128" s="321" t="s">
        <v>710</v>
      </c>
      <c r="H128" s="322" t="s">
        <v>728</v>
      </c>
      <c r="I128" s="75" t="s">
        <v>204</v>
      </c>
      <c r="J128" s="322">
        <v>16.010000000000002</v>
      </c>
      <c r="K128" s="75" t="s">
        <v>153</v>
      </c>
      <c r="L128" s="345">
        <v>55</v>
      </c>
      <c r="M128" s="323">
        <f t="shared" si="5"/>
        <v>880.55000000000007</v>
      </c>
      <c r="N128" s="324">
        <v>0</v>
      </c>
      <c r="O128" s="325">
        <f t="shared" si="6"/>
        <v>0</v>
      </c>
      <c r="P128" s="324">
        <v>0.16</v>
      </c>
      <c r="Q128" s="227">
        <f t="shared" si="7"/>
        <v>140.88800000000001</v>
      </c>
      <c r="R128" s="227">
        <f t="shared" si="8"/>
        <v>1021.4380000000001</v>
      </c>
      <c r="S128" s="229">
        <f>INDEX('Glosario Partidas'!$M$8:$M$10,MATCH(K128,'Glosario Partidas'!$L$8:$L$10,0))</f>
        <v>17.5</v>
      </c>
      <c r="T128" s="227">
        <f t="shared" si="9"/>
        <v>17875.165000000001</v>
      </c>
      <c r="U128" s="321" t="s">
        <v>729</v>
      </c>
      <c r="V128" s="321" t="s">
        <v>12</v>
      </c>
      <c r="W128" s="321" t="s">
        <v>491</v>
      </c>
      <c r="X128" s="321"/>
    </row>
    <row r="129" spans="2:24" ht="15" customHeight="1" x14ac:dyDescent="0.2">
      <c r="B129" s="211" t="s">
        <v>76</v>
      </c>
      <c r="C129" s="75" t="s">
        <v>730</v>
      </c>
      <c r="D129" s="320" t="s">
        <v>727</v>
      </c>
      <c r="E129" s="321" t="s">
        <v>229</v>
      </c>
      <c r="F129" s="320" t="s">
        <v>221</v>
      </c>
      <c r="G129" s="321" t="s">
        <v>710</v>
      </c>
      <c r="H129" s="322" t="s">
        <v>728</v>
      </c>
      <c r="I129" s="75" t="s">
        <v>204</v>
      </c>
      <c r="J129" s="322">
        <v>31.62</v>
      </c>
      <c r="K129" s="75" t="s">
        <v>153</v>
      </c>
      <c r="L129" s="345">
        <v>55</v>
      </c>
      <c r="M129" s="323">
        <f t="shared" si="5"/>
        <v>1739.1000000000001</v>
      </c>
      <c r="N129" s="324">
        <v>0</v>
      </c>
      <c r="O129" s="325">
        <f t="shared" si="6"/>
        <v>0</v>
      </c>
      <c r="P129" s="324">
        <v>0.16</v>
      </c>
      <c r="Q129" s="227">
        <f t="shared" si="7"/>
        <v>278.25600000000003</v>
      </c>
      <c r="R129" s="227">
        <f t="shared" si="8"/>
        <v>2017.3560000000002</v>
      </c>
      <c r="S129" s="229">
        <f>INDEX('Glosario Partidas'!$M$8:$M$10,MATCH(K129,'Glosario Partidas'!$L$8:$L$10,0))</f>
        <v>17.5</v>
      </c>
      <c r="T129" s="227">
        <f t="shared" si="9"/>
        <v>35303.730000000003</v>
      </c>
      <c r="U129" s="321" t="s">
        <v>729</v>
      </c>
      <c r="V129" s="321" t="s">
        <v>12</v>
      </c>
      <c r="W129" s="321" t="s">
        <v>491</v>
      </c>
      <c r="X129" s="321"/>
    </row>
    <row r="130" spans="2:24" ht="15" customHeight="1" x14ac:dyDescent="0.2">
      <c r="B130" s="211" t="s">
        <v>76</v>
      </c>
      <c r="C130" s="75" t="s">
        <v>731</v>
      </c>
      <c r="D130" s="320" t="s">
        <v>727</v>
      </c>
      <c r="E130" s="321" t="s">
        <v>229</v>
      </c>
      <c r="F130" s="320" t="s">
        <v>221</v>
      </c>
      <c r="G130" s="321" t="s">
        <v>710</v>
      </c>
      <c r="H130" s="322" t="s">
        <v>728</v>
      </c>
      <c r="I130" s="75" t="s">
        <v>204</v>
      </c>
      <c r="J130" s="322">
        <v>2.2799999999999998</v>
      </c>
      <c r="K130" s="75" t="s">
        <v>153</v>
      </c>
      <c r="L130" s="345">
        <v>40</v>
      </c>
      <c r="M130" s="323">
        <f t="shared" ref="M130:M193" si="10">J130*L130</f>
        <v>91.199999999999989</v>
      </c>
      <c r="N130" s="324">
        <v>0</v>
      </c>
      <c r="O130" s="325">
        <f t="shared" ref="O130:O193" si="11">M130*N130</f>
        <v>0</v>
      </c>
      <c r="P130" s="324">
        <v>0.16</v>
      </c>
      <c r="Q130" s="227">
        <f t="shared" ref="Q130:Q193" si="12">(M130+O130)*P130</f>
        <v>14.591999999999999</v>
      </c>
      <c r="R130" s="227">
        <f t="shared" ref="R130:R193" si="13">M130+O130+Q130</f>
        <v>105.79199999999999</v>
      </c>
      <c r="S130" s="229">
        <f>INDEX('Glosario Partidas'!$M$8:$M$10,MATCH(K130,'Glosario Partidas'!$L$8:$L$10,0))</f>
        <v>17.5</v>
      </c>
      <c r="T130" s="227">
        <f t="shared" ref="T130:T193" si="14">R130*S130</f>
        <v>1851.3599999999997</v>
      </c>
      <c r="U130" s="321" t="s">
        <v>729</v>
      </c>
      <c r="V130" s="321" t="s">
        <v>12</v>
      </c>
      <c r="W130" s="321" t="s">
        <v>491</v>
      </c>
      <c r="X130" s="321"/>
    </row>
    <row r="131" spans="2:24" ht="15" customHeight="1" x14ac:dyDescent="0.2">
      <c r="B131" s="211" t="s">
        <v>76</v>
      </c>
      <c r="C131" s="75" t="s">
        <v>732</v>
      </c>
      <c r="D131" s="320" t="s">
        <v>727</v>
      </c>
      <c r="E131" s="321" t="s">
        <v>229</v>
      </c>
      <c r="F131" s="320" t="s">
        <v>221</v>
      </c>
      <c r="G131" s="321" t="s">
        <v>710</v>
      </c>
      <c r="H131" s="322" t="s">
        <v>728</v>
      </c>
      <c r="I131" s="75" t="s">
        <v>204</v>
      </c>
      <c r="J131" s="322">
        <v>3.62</v>
      </c>
      <c r="K131" s="75" t="s">
        <v>153</v>
      </c>
      <c r="L131" s="345">
        <v>55</v>
      </c>
      <c r="M131" s="323">
        <f t="shared" si="10"/>
        <v>199.1</v>
      </c>
      <c r="N131" s="324">
        <v>0</v>
      </c>
      <c r="O131" s="325">
        <f t="shared" si="11"/>
        <v>0</v>
      </c>
      <c r="P131" s="324">
        <v>0.16</v>
      </c>
      <c r="Q131" s="227">
        <f t="shared" si="12"/>
        <v>31.855999999999998</v>
      </c>
      <c r="R131" s="227">
        <f t="shared" si="13"/>
        <v>230.95599999999999</v>
      </c>
      <c r="S131" s="229">
        <f>INDEX('Glosario Partidas'!$M$8:$M$10,MATCH(K131,'Glosario Partidas'!$L$8:$L$10,0))</f>
        <v>17.5</v>
      </c>
      <c r="T131" s="227">
        <f t="shared" si="14"/>
        <v>4041.73</v>
      </c>
      <c r="U131" s="321" t="s">
        <v>729</v>
      </c>
      <c r="V131" s="321" t="s">
        <v>12</v>
      </c>
      <c r="W131" s="321" t="s">
        <v>491</v>
      </c>
      <c r="X131" s="321"/>
    </row>
    <row r="132" spans="2:24" ht="15" customHeight="1" x14ac:dyDescent="0.2">
      <c r="B132" s="211" t="s">
        <v>76</v>
      </c>
      <c r="C132" s="75" t="s">
        <v>733</v>
      </c>
      <c r="D132" s="320" t="s">
        <v>727</v>
      </c>
      <c r="E132" s="321" t="s">
        <v>229</v>
      </c>
      <c r="F132" s="320" t="s">
        <v>221</v>
      </c>
      <c r="G132" s="321" t="s">
        <v>710</v>
      </c>
      <c r="H132" s="322" t="s">
        <v>728</v>
      </c>
      <c r="I132" s="75" t="s">
        <v>204</v>
      </c>
      <c r="J132" s="322">
        <v>2.54</v>
      </c>
      <c r="K132" s="75" t="s">
        <v>153</v>
      </c>
      <c r="L132" s="345">
        <v>5</v>
      </c>
      <c r="M132" s="323">
        <f t="shared" si="10"/>
        <v>12.7</v>
      </c>
      <c r="N132" s="324">
        <v>0</v>
      </c>
      <c r="O132" s="325">
        <f t="shared" si="11"/>
        <v>0</v>
      </c>
      <c r="P132" s="324">
        <v>0.16</v>
      </c>
      <c r="Q132" s="227">
        <f t="shared" si="12"/>
        <v>2.032</v>
      </c>
      <c r="R132" s="227">
        <f t="shared" si="13"/>
        <v>14.731999999999999</v>
      </c>
      <c r="S132" s="229">
        <f>INDEX('Glosario Partidas'!$M$8:$M$10,MATCH(K132,'Glosario Partidas'!$L$8:$L$10,0))</f>
        <v>17.5</v>
      </c>
      <c r="T132" s="227">
        <f t="shared" si="14"/>
        <v>257.81</v>
      </c>
      <c r="U132" s="321" t="s">
        <v>729</v>
      </c>
      <c r="V132" s="321" t="s">
        <v>12</v>
      </c>
      <c r="W132" s="321" t="s">
        <v>491</v>
      </c>
      <c r="X132" s="321"/>
    </row>
    <row r="133" spans="2:24" ht="15" customHeight="1" x14ac:dyDescent="0.2">
      <c r="B133" s="211" t="s">
        <v>76</v>
      </c>
      <c r="C133" s="75" t="s">
        <v>734</v>
      </c>
      <c r="D133" s="320" t="s">
        <v>727</v>
      </c>
      <c r="E133" s="321" t="s">
        <v>229</v>
      </c>
      <c r="F133" s="320" t="s">
        <v>221</v>
      </c>
      <c r="G133" s="321" t="s">
        <v>710</v>
      </c>
      <c r="H133" s="322" t="s">
        <v>728</v>
      </c>
      <c r="I133" s="75" t="s">
        <v>204</v>
      </c>
      <c r="J133" s="322">
        <v>9.35</v>
      </c>
      <c r="K133" s="75" t="s">
        <v>153</v>
      </c>
      <c r="L133" s="345">
        <v>5</v>
      </c>
      <c r="M133" s="323">
        <f t="shared" si="10"/>
        <v>46.75</v>
      </c>
      <c r="N133" s="324">
        <v>0</v>
      </c>
      <c r="O133" s="325">
        <f t="shared" si="11"/>
        <v>0</v>
      </c>
      <c r="P133" s="324">
        <v>0.16</v>
      </c>
      <c r="Q133" s="227">
        <f t="shared" si="12"/>
        <v>7.48</v>
      </c>
      <c r="R133" s="227">
        <f t="shared" si="13"/>
        <v>54.230000000000004</v>
      </c>
      <c r="S133" s="229">
        <f>INDEX('Glosario Partidas'!$M$8:$M$10,MATCH(K133,'Glosario Partidas'!$L$8:$L$10,0))</f>
        <v>17.5</v>
      </c>
      <c r="T133" s="227">
        <f t="shared" si="14"/>
        <v>949.02500000000009</v>
      </c>
      <c r="U133" s="321" t="s">
        <v>729</v>
      </c>
      <c r="V133" s="321" t="s">
        <v>12</v>
      </c>
      <c r="W133" s="321" t="s">
        <v>491</v>
      </c>
      <c r="X133" s="321"/>
    </row>
    <row r="134" spans="2:24" ht="15" customHeight="1" x14ac:dyDescent="0.2">
      <c r="B134" s="211" t="s">
        <v>76</v>
      </c>
      <c r="C134" s="75" t="s">
        <v>735</v>
      </c>
      <c r="D134" s="320" t="s">
        <v>727</v>
      </c>
      <c r="E134" s="321" t="s">
        <v>229</v>
      </c>
      <c r="F134" s="320" t="s">
        <v>221</v>
      </c>
      <c r="G134" s="321" t="s">
        <v>710</v>
      </c>
      <c r="H134" s="322" t="s">
        <v>728</v>
      </c>
      <c r="I134" s="75" t="s">
        <v>204</v>
      </c>
      <c r="J134" s="322">
        <v>26.66</v>
      </c>
      <c r="K134" s="75" t="s">
        <v>153</v>
      </c>
      <c r="L134" s="345">
        <v>75</v>
      </c>
      <c r="M134" s="323">
        <f t="shared" si="10"/>
        <v>1999.5</v>
      </c>
      <c r="N134" s="324">
        <v>0</v>
      </c>
      <c r="O134" s="325">
        <f t="shared" si="11"/>
        <v>0</v>
      </c>
      <c r="P134" s="324">
        <v>0.16</v>
      </c>
      <c r="Q134" s="227">
        <f t="shared" si="12"/>
        <v>319.92</v>
      </c>
      <c r="R134" s="227">
        <f t="shared" si="13"/>
        <v>2319.42</v>
      </c>
      <c r="S134" s="229">
        <f>INDEX('Glosario Partidas'!$M$8:$M$10,MATCH(K134,'Glosario Partidas'!$L$8:$L$10,0))</f>
        <v>17.5</v>
      </c>
      <c r="T134" s="227">
        <f t="shared" si="14"/>
        <v>40589.85</v>
      </c>
      <c r="U134" s="321" t="s">
        <v>729</v>
      </c>
      <c r="V134" s="321" t="s">
        <v>12</v>
      </c>
      <c r="W134" s="321" t="s">
        <v>491</v>
      </c>
      <c r="X134" s="321"/>
    </row>
    <row r="135" spans="2:24" ht="15" customHeight="1" x14ac:dyDescent="0.2">
      <c r="B135" s="211" t="s">
        <v>76</v>
      </c>
      <c r="C135" s="75" t="s">
        <v>736</v>
      </c>
      <c r="D135" s="320" t="s">
        <v>727</v>
      </c>
      <c r="E135" s="321" t="s">
        <v>229</v>
      </c>
      <c r="F135" s="320" t="s">
        <v>221</v>
      </c>
      <c r="G135" s="321" t="s">
        <v>710</v>
      </c>
      <c r="H135" s="322" t="s">
        <v>728</v>
      </c>
      <c r="I135" s="75" t="s">
        <v>204</v>
      </c>
      <c r="J135" s="322">
        <v>51.12</v>
      </c>
      <c r="K135" s="75" t="s">
        <v>153</v>
      </c>
      <c r="L135" s="345">
        <v>85</v>
      </c>
      <c r="M135" s="323">
        <f t="shared" si="10"/>
        <v>4345.2</v>
      </c>
      <c r="N135" s="324">
        <v>0</v>
      </c>
      <c r="O135" s="325">
        <f t="shared" si="11"/>
        <v>0</v>
      </c>
      <c r="P135" s="324">
        <v>0.16</v>
      </c>
      <c r="Q135" s="227">
        <f t="shared" si="12"/>
        <v>695.23199999999997</v>
      </c>
      <c r="R135" s="227">
        <f t="shared" si="13"/>
        <v>5040.4319999999998</v>
      </c>
      <c r="S135" s="229">
        <f>INDEX('Glosario Partidas'!$M$8:$M$10,MATCH(K135,'Glosario Partidas'!$L$8:$L$10,0))</f>
        <v>17.5</v>
      </c>
      <c r="T135" s="227">
        <f t="shared" si="14"/>
        <v>88207.56</v>
      </c>
      <c r="U135" s="321" t="s">
        <v>729</v>
      </c>
      <c r="V135" s="321" t="s">
        <v>12</v>
      </c>
      <c r="W135" s="321" t="s">
        <v>491</v>
      </c>
      <c r="X135" s="321"/>
    </row>
    <row r="136" spans="2:24" ht="15" customHeight="1" x14ac:dyDescent="0.2">
      <c r="B136" s="211" t="s">
        <v>76</v>
      </c>
      <c r="C136" s="75" t="s">
        <v>737</v>
      </c>
      <c r="D136" s="320" t="s">
        <v>727</v>
      </c>
      <c r="E136" s="321" t="s">
        <v>229</v>
      </c>
      <c r="F136" s="320" t="s">
        <v>221</v>
      </c>
      <c r="G136" s="321" t="s">
        <v>710</v>
      </c>
      <c r="H136" s="322" t="s">
        <v>728</v>
      </c>
      <c r="I136" s="75" t="s">
        <v>204</v>
      </c>
      <c r="J136" s="322">
        <v>33.07</v>
      </c>
      <c r="K136" s="75" t="s">
        <v>153</v>
      </c>
      <c r="L136" s="345">
        <v>75</v>
      </c>
      <c r="M136" s="323">
        <f t="shared" si="10"/>
        <v>2480.25</v>
      </c>
      <c r="N136" s="324">
        <v>0</v>
      </c>
      <c r="O136" s="325">
        <f t="shared" si="11"/>
        <v>0</v>
      </c>
      <c r="P136" s="324">
        <v>0.16</v>
      </c>
      <c r="Q136" s="227">
        <f t="shared" si="12"/>
        <v>396.84000000000003</v>
      </c>
      <c r="R136" s="227">
        <f t="shared" si="13"/>
        <v>2877.09</v>
      </c>
      <c r="S136" s="229">
        <f>INDEX('Glosario Partidas'!$M$8:$M$10,MATCH(K136,'Glosario Partidas'!$L$8:$L$10,0))</f>
        <v>17.5</v>
      </c>
      <c r="T136" s="227">
        <f t="shared" si="14"/>
        <v>50349.075000000004</v>
      </c>
      <c r="U136" s="321" t="s">
        <v>729</v>
      </c>
      <c r="V136" s="321" t="s">
        <v>12</v>
      </c>
      <c r="W136" s="321" t="s">
        <v>491</v>
      </c>
      <c r="X136" s="321"/>
    </row>
    <row r="137" spans="2:24" ht="15" customHeight="1" x14ac:dyDescent="0.2">
      <c r="B137" s="211" t="s">
        <v>76</v>
      </c>
      <c r="C137" s="75" t="s">
        <v>738</v>
      </c>
      <c r="D137" s="320" t="s">
        <v>727</v>
      </c>
      <c r="E137" s="321" t="s">
        <v>229</v>
      </c>
      <c r="F137" s="320" t="s">
        <v>221</v>
      </c>
      <c r="G137" s="321" t="s">
        <v>710</v>
      </c>
      <c r="H137" s="322" t="s">
        <v>728</v>
      </c>
      <c r="I137" s="75" t="s">
        <v>204</v>
      </c>
      <c r="J137" s="322">
        <v>16.47</v>
      </c>
      <c r="K137" s="75" t="s">
        <v>153</v>
      </c>
      <c r="L137" s="345">
        <v>65</v>
      </c>
      <c r="M137" s="323">
        <f t="shared" si="10"/>
        <v>1070.55</v>
      </c>
      <c r="N137" s="324">
        <v>0</v>
      </c>
      <c r="O137" s="325">
        <f t="shared" si="11"/>
        <v>0</v>
      </c>
      <c r="P137" s="324">
        <v>0.16</v>
      </c>
      <c r="Q137" s="227">
        <f t="shared" si="12"/>
        <v>171.28799999999998</v>
      </c>
      <c r="R137" s="227">
        <f t="shared" si="13"/>
        <v>1241.838</v>
      </c>
      <c r="S137" s="229">
        <f>INDEX('Glosario Partidas'!$M$8:$M$10,MATCH(K137,'Glosario Partidas'!$L$8:$L$10,0))</f>
        <v>17.5</v>
      </c>
      <c r="T137" s="227">
        <f t="shared" si="14"/>
        <v>21732.165000000001</v>
      </c>
      <c r="U137" s="321" t="s">
        <v>729</v>
      </c>
      <c r="V137" s="321" t="s">
        <v>12</v>
      </c>
      <c r="W137" s="321" t="s">
        <v>491</v>
      </c>
      <c r="X137" s="321"/>
    </row>
    <row r="138" spans="2:24" ht="15" customHeight="1" x14ac:dyDescent="0.2">
      <c r="B138" s="211" t="s">
        <v>76</v>
      </c>
      <c r="C138" s="75" t="s">
        <v>739</v>
      </c>
      <c r="D138" s="320" t="s">
        <v>727</v>
      </c>
      <c r="E138" s="321" t="s">
        <v>229</v>
      </c>
      <c r="F138" s="320" t="s">
        <v>221</v>
      </c>
      <c r="G138" s="321" t="s">
        <v>710</v>
      </c>
      <c r="H138" s="322" t="s">
        <v>728</v>
      </c>
      <c r="I138" s="75" t="s">
        <v>204</v>
      </c>
      <c r="J138" s="322">
        <v>6.85</v>
      </c>
      <c r="K138" s="75" t="s">
        <v>153</v>
      </c>
      <c r="L138" s="345">
        <v>70</v>
      </c>
      <c r="M138" s="323">
        <f t="shared" si="10"/>
        <v>479.5</v>
      </c>
      <c r="N138" s="324">
        <v>0</v>
      </c>
      <c r="O138" s="325">
        <f t="shared" si="11"/>
        <v>0</v>
      </c>
      <c r="P138" s="324">
        <v>0.16</v>
      </c>
      <c r="Q138" s="227">
        <f t="shared" si="12"/>
        <v>76.72</v>
      </c>
      <c r="R138" s="227">
        <f t="shared" si="13"/>
        <v>556.22</v>
      </c>
      <c r="S138" s="229">
        <f>INDEX('Glosario Partidas'!$M$8:$M$10,MATCH(K138,'Glosario Partidas'!$L$8:$L$10,0))</f>
        <v>17.5</v>
      </c>
      <c r="T138" s="227">
        <f t="shared" si="14"/>
        <v>9733.85</v>
      </c>
      <c r="U138" s="321" t="s">
        <v>729</v>
      </c>
      <c r="V138" s="321" t="s">
        <v>12</v>
      </c>
      <c r="W138" s="321" t="s">
        <v>491</v>
      </c>
      <c r="X138" s="321"/>
    </row>
    <row r="139" spans="2:24" ht="15" customHeight="1" x14ac:dyDescent="0.2">
      <c r="B139" s="211" t="s">
        <v>76</v>
      </c>
      <c r="C139" s="75" t="s">
        <v>740</v>
      </c>
      <c r="D139" s="320" t="s">
        <v>727</v>
      </c>
      <c r="E139" s="321" t="s">
        <v>229</v>
      </c>
      <c r="F139" s="320" t="s">
        <v>221</v>
      </c>
      <c r="G139" s="321" t="s">
        <v>710</v>
      </c>
      <c r="H139" s="322" t="s">
        <v>728</v>
      </c>
      <c r="I139" s="75" t="s">
        <v>204</v>
      </c>
      <c r="J139" s="322">
        <v>35.22</v>
      </c>
      <c r="K139" s="75" t="s">
        <v>153</v>
      </c>
      <c r="L139" s="345">
        <v>75</v>
      </c>
      <c r="M139" s="323">
        <f t="shared" si="10"/>
        <v>2641.5</v>
      </c>
      <c r="N139" s="324">
        <v>0</v>
      </c>
      <c r="O139" s="325">
        <f t="shared" si="11"/>
        <v>0</v>
      </c>
      <c r="P139" s="324">
        <v>0.16</v>
      </c>
      <c r="Q139" s="227">
        <f t="shared" si="12"/>
        <v>422.64</v>
      </c>
      <c r="R139" s="227">
        <f t="shared" si="13"/>
        <v>3064.14</v>
      </c>
      <c r="S139" s="229">
        <f>INDEX('Glosario Partidas'!$M$8:$M$10,MATCH(K139,'Glosario Partidas'!$L$8:$L$10,0))</f>
        <v>17.5</v>
      </c>
      <c r="T139" s="227">
        <f t="shared" si="14"/>
        <v>53622.45</v>
      </c>
      <c r="U139" s="321" t="s">
        <v>729</v>
      </c>
      <c r="V139" s="321" t="s">
        <v>12</v>
      </c>
      <c r="W139" s="321" t="s">
        <v>491</v>
      </c>
      <c r="X139" s="321"/>
    </row>
    <row r="140" spans="2:24" ht="15" customHeight="1" x14ac:dyDescent="0.2">
      <c r="B140" s="211" t="s">
        <v>76</v>
      </c>
      <c r="C140" s="75" t="s">
        <v>741</v>
      </c>
      <c r="D140" s="320" t="s">
        <v>727</v>
      </c>
      <c r="E140" s="321" t="s">
        <v>229</v>
      </c>
      <c r="F140" s="320" t="s">
        <v>221</v>
      </c>
      <c r="G140" s="321" t="s">
        <v>710</v>
      </c>
      <c r="H140" s="322" t="s">
        <v>728</v>
      </c>
      <c r="I140" s="75" t="s">
        <v>204</v>
      </c>
      <c r="J140" s="322">
        <v>16.53</v>
      </c>
      <c r="K140" s="75" t="s">
        <v>153</v>
      </c>
      <c r="L140" s="345">
        <v>65</v>
      </c>
      <c r="M140" s="323">
        <f t="shared" si="10"/>
        <v>1074.45</v>
      </c>
      <c r="N140" s="324">
        <v>0</v>
      </c>
      <c r="O140" s="325">
        <f t="shared" si="11"/>
        <v>0</v>
      </c>
      <c r="P140" s="324">
        <v>0.16</v>
      </c>
      <c r="Q140" s="227">
        <f t="shared" si="12"/>
        <v>171.91200000000001</v>
      </c>
      <c r="R140" s="227">
        <f t="shared" si="13"/>
        <v>1246.3620000000001</v>
      </c>
      <c r="S140" s="229">
        <f>INDEX('Glosario Partidas'!$M$8:$M$10,MATCH(K140,'Glosario Partidas'!$L$8:$L$10,0))</f>
        <v>17.5</v>
      </c>
      <c r="T140" s="227">
        <f t="shared" si="14"/>
        <v>21811.335000000003</v>
      </c>
      <c r="U140" s="321" t="s">
        <v>729</v>
      </c>
      <c r="V140" s="321" t="s">
        <v>12</v>
      </c>
      <c r="W140" s="321" t="s">
        <v>491</v>
      </c>
      <c r="X140" s="321"/>
    </row>
    <row r="141" spans="2:24" ht="15" customHeight="1" x14ac:dyDescent="0.2">
      <c r="B141" s="211" t="s">
        <v>76</v>
      </c>
      <c r="C141" s="75" t="s">
        <v>742</v>
      </c>
      <c r="D141" s="320" t="s">
        <v>727</v>
      </c>
      <c r="E141" s="321" t="s">
        <v>229</v>
      </c>
      <c r="F141" s="320" t="s">
        <v>221</v>
      </c>
      <c r="G141" s="321" t="s">
        <v>710</v>
      </c>
      <c r="H141" s="322" t="s">
        <v>728</v>
      </c>
      <c r="I141" s="75" t="s">
        <v>204</v>
      </c>
      <c r="J141" s="322">
        <v>5.05</v>
      </c>
      <c r="K141" s="75" t="s">
        <v>153</v>
      </c>
      <c r="L141" s="345">
        <v>70</v>
      </c>
      <c r="M141" s="323">
        <f t="shared" si="10"/>
        <v>353.5</v>
      </c>
      <c r="N141" s="324">
        <v>0</v>
      </c>
      <c r="O141" s="325">
        <f t="shared" si="11"/>
        <v>0</v>
      </c>
      <c r="P141" s="324">
        <v>0.16</v>
      </c>
      <c r="Q141" s="227">
        <f t="shared" si="12"/>
        <v>56.56</v>
      </c>
      <c r="R141" s="227">
        <f t="shared" si="13"/>
        <v>410.06</v>
      </c>
      <c r="S141" s="229">
        <f>INDEX('Glosario Partidas'!$M$8:$M$10,MATCH(K141,'Glosario Partidas'!$L$8:$L$10,0))</f>
        <v>17.5</v>
      </c>
      <c r="T141" s="227">
        <f t="shared" si="14"/>
        <v>7176.05</v>
      </c>
      <c r="U141" s="321" t="s">
        <v>729</v>
      </c>
      <c r="V141" s="321" t="s">
        <v>12</v>
      </c>
      <c r="W141" s="321" t="s">
        <v>491</v>
      </c>
      <c r="X141" s="321"/>
    </row>
    <row r="142" spans="2:24" ht="15" customHeight="1" x14ac:dyDescent="0.2">
      <c r="B142" s="211" t="s">
        <v>76</v>
      </c>
      <c r="C142" s="75" t="s">
        <v>743</v>
      </c>
      <c r="D142" s="320" t="s">
        <v>727</v>
      </c>
      <c r="E142" s="321" t="s">
        <v>229</v>
      </c>
      <c r="F142" s="320" t="s">
        <v>221</v>
      </c>
      <c r="G142" s="321" t="s">
        <v>710</v>
      </c>
      <c r="H142" s="322" t="s">
        <v>728</v>
      </c>
      <c r="I142" s="75" t="s">
        <v>204</v>
      </c>
      <c r="J142" s="322">
        <v>27.84</v>
      </c>
      <c r="K142" s="75" t="s">
        <v>153</v>
      </c>
      <c r="L142" s="345">
        <v>75</v>
      </c>
      <c r="M142" s="323">
        <f t="shared" si="10"/>
        <v>2088</v>
      </c>
      <c r="N142" s="324">
        <v>0</v>
      </c>
      <c r="O142" s="325">
        <f t="shared" si="11"/>
        <v>0</v>
      </c>
      <c r="P142" s="324">
        <v>0.16</v>
      </c>
      <c r="Q142" s="227">
        <f t="shared" si="12"/>
        <v>334.08</v>
      </c>
      <c r="R142" s="227">
        <f t="shared" si="13"/>
        <v>2422.08</v>
      </c>
      <c r="S142" s="229">
        <f>INDEX('Glosario Partidas'!$M$8:$M$10,MATCH(K142,'Glosario Partidas'!$L$8:$L$10,0))</f>
        <v>17.5</v>
      </c>
      <c r="T142" s="227">
        <f t="shared" si="14"/>
        <v>42386.400000000001</v>
      </c>
      <c r="U142" s="321" t="s">
        <v>729</v>
      </c>
      <c r="V142" s="321" t="s">
        <v>12</v>
      </c>
      <c r="W142" s="321" t="s">
        <v>491</v>
      </c>
      <c r="X142" s="321"/>
    </row>
    <row r="143" spans="2:24" ht="15" customHeight="1" x14ac:dyDescent="0.2">
      <c r="B143" s="211" t="s">
        <v>76</v>
      </c>
      <c r="C143" s="75" t="s">
        <v>744</v>
      </c>
      <c r="D143" s="320" t="s">
        <v>727</v>
      </c>
      <c r="E143" s="321" t="s">
        <v>229</v>
      </c>
      <c r="F143" s="320" t="s">
        <v>221</v>
      </c>
      <c r="G143" s="321" t="s">
        <v>710</v>
      </c>
      <c r="H143" s="322" t="s">
        <v>728</v>
      </c>
      <c r="I143" s="75" t="s">
        <v>204</v>
      </c>
      <c r="J143" s="322">
        <v>13.82</v>
      </c>
      <c r="K143" s="75" t="s">
        <v>153</v>
      </c>
      <c r="L143" s="345">
        <v>60</v>
      </c>
      <c r="M143" s="323">
        <f t="shared" si="10"/>
        <v>829.2</v>
      </c>
      <c r="N143" s="324">
        <v>0</v>
      </c>
      <c r="O143" s="325">
        <f t="shared" si="11"/>
        <v>0</v>
      </c>
      <c r="P143" s="324">
        <v>0.16</v>
      </c>
      <c r="Q143" s="227">
        <f t="shared" si="12"/>
        <v>132.672</v>
      </c>
      <c r="R143" s="227">
        <f t="shared" si="13"/>
        <v>961.87200000000007</v>
      </c>
      <c r="S143" s="229">
        <f>INDEX('Glosario Partidas'!$M$8:$M$10,MATCH(K143,'Glosario Partidas'!$L$8:$L$10,0))</f>
        <v>17.5</v>
      </c>
      <c r="T143" s="227">
        <f t="shared" si="14"/>
        <v>16832.760000000002</v>
      </c>
      <c r="U143" s="321" t="s">
        <v>729</v>
      </c>
      <c r="V143" s="321" t="s">
        <v>12</v>
      </c>
      <c r="W143" s="321" t="s">
        <v>491</v>
      </c>
      <c r="X143" s="321"/>
    </row>
    <row r="144" spans="2:24" ht="15" customHeight="1" x14ac:dyDescent="0.2">
      <c r="B144" s="211" t="s">
        <v>76</v>
      </c>
      <c r="C144" s="75" t="s">
        <v>745</v>
      </c>
      <c r="D144" s="320" t="s">
        <v>727</v>
      </c>
      <c r="E144" s="321" t="s">
        <v>229</v>
      </c>
      <c r="F144" s="320" t="s">
        <v>221</v>
      </c>
      <c r="G144" s="321" t="s">
        <v>710</v>
      </c>
      <c r="H144" s="322" t="s">
        <v>728</v>
      </c>
      <c r="I144" s="75" t="s">
        <v>204</v>
      </c>
      <c r="J144" s="322">
        <v>27.84</v>
      </c>
      <c r="K144" s="75" t="s">
        <v>153</v>
      </c>
      <c r="L144" s="345">
        <v>75</v>
      </c>
      <c r="M144" s="323">
        <f t="shared" si="10"/>
        <v>2088</v>
      </c>
      <c r="N144" s="324">
        <v>0</v>
      </c>
      <c r="O144" s="325">
        <f t="shared" si="11"/>
        <v>0</v>
      </c>
      <c r="P144" s="324">
        <v>0.16</v>
      </c>
      <c r="Q144" s="227">
        <f t="shared" si="12"/>
        <v>334.08</v>
      </c>
      <c r="R144" s="227">
        <f t="shared" si="13"/>
        <v>2422.08</v>
      </c>
      <c r="S144" s="229">
        <f>INDEX('Glosario Partidas'!$M$8:$M$10,MATCH(K144,'Glosario Partidas'!$L$8:$L$10,0))</f>
        <v>17.5</v>
      </c>
      <c r="T144" s="227">
        <f t="shared" si="14"/>
        <v>42386.400000000001</v>
      </c>
      <c r="U144" s="321" t="s">
        <v>729</v>
      </c>
      <c r="V144" s="321" t="s">
        <v>12</v>
      </c>
      <c r="W144" s="321" t="s">
        <v>491</v>
      </c>
      <c r="X144" s="321"/>
    </row>
    <row r="145" spans="2:24" ht="15" customHeight="1" x14ac:dyDescent="0.2">
      <c r="B145" s="211" t="s">
        <v>76</v>
      </c>
      <c r="C145" s="75" t="s">
        <v>746</v>
      </c>
      <c r="D145" s="320" t="s">
        <v>727</v>
      </c>
      <c r="E145" s="321" t="s">
        <v>229</v>
      </c>
      <c r="F145" s="320" t="s">
        <v>221</v>
      </c>
      <c r="G145" s="321" t="s">
        <v>710</v>
      </c>
      <c r="H145" s="322" t="s">
        <v>728</v>
      </c>
      <c r="I145" s="75" t="s">
        <v>204</v>
      </c>
      <c r="J145" s="322">
        <v>13.82</v>
      </c>
      <c r="K145" s="75" t="s">
        <v>153</v>
      </c>
      <c r="L145" s="345">
        <v>60</v>
      </c>
      <c r="M145" s="323">
        <f t="shared" si="10"/>
        <v>829.2</v>
      </c>
      <c r="N145" s="324">
        <v>0</v>
      </c>
      <c r="O145" s="325">
        <f t="shared" si="11"/>
        <v>0</v>
      </c>
      <c r="P145" s="324">
        <v>0.16</v>
      </c>
      <c r="Q145" s="227">
        <f t="shared" si="12"/>
        <v>132.672</v>
      </c>
      <c r="R145" s="227">
        <f t="shared" si="13"/>
        <v>961.87200000000007</v>
      </c>
      <c r="S145" s="229">
        <f>INDEX('Glosario Partidas'!$M$8:$M$10,MATCH(K145,'Glosario Partidas'!$L$8:$L$10,0))</f>
        <v>17.5</v>
      </c>
      <c r="T145" s="227">
        <f t="shared" si="14"/>
        <v>16832.760000000002</v>
      </c>
      <c r="U145" s="321" t="s">
        <v>729</v>
      </c>
      <c r="V145" s="321" t="s">
        <v>12</v>
      </c>
      <c r="W145" s="321" t="s">
        <v>491</v>
      </c>
      <c r="X145" s="321"/>
    </row>
    <row r="146" spans="2:24" ht="15" customHeight="1" x14ac:dyDescent="0.2">
      <c r="B146" s="211" t="s">
        <v>76</v>
      </c>
      <c r="C146" s="75" t="s">
        <v>747</v>
      </c>
      <c r="D146" s="320" t="s">
        <v>727</v>
      </c>
      <c r="E146" s="321" t="s">
        <v>229</v>
      </c>
      <c r="F146" s="320" t="s">
        <v>221</v>
      </c>
      <c r="G146" s="321" t="s">
        <v>710</v>
      </c>
      <c r="H146" s="322" t="s">
        <v>728</v>
      </c>
      <c r="I146" s="75" t="s">
        <v>204</v>
      </c>
      <c r="J146" s="322">
        <v>11.1</v>
      </c>
      <c r="K146" s="75" t="s">
        <v>153</v>
      </c>
      <c r="L146" s="345">
        <v>5</v>
      </c>
      <c r="M146" s="323">
        <f t="shared" si="10"/>
        <v>55.5</v>
      </c>
      <c r="N146" s="324">
        <v>0</v>
      </c>
      <c r="O146" s="325">
        <f t="shared" si="11"/>
        <v>0</v>
      </c>
      <c r="P146" s="324">
        <v>0.16</v>
      </c>
      <c r="Q146" s="227">
        <f t="shared" si="12"/>
        <v>8.8800000000000008</v>
      </c>
      <c r="R146" s="227">
        <f t="shared" si="13"/>
        <v>64.38</v>
      </c>
      <c r="S146" s="229">
        <f>INDEX('Glosario Partidas'!$M$8:$M$10,MATCH(K146,'Glosario Partidas'!$L$8:$L$10,0))</f>
        <v>17.5</v>
      </c>
      <c r="T146" s="227">
        <f t="shared" si="14"/>
        <v>1126.6499999999999</v>
      </c>
      <c r="U146" s="321" t="s">
        <v>729</v>
      </c>
      <c r="V146" s="321" t="s">
        <v>12</v>
      </c>
      <c r="W146" s="321" t="s">
        <v>491</v>
      </c>
      <c r="X146" s="321"/>
    </row>
    <row r="147" spans="2:24" ht="15" customHeight="1" x14ac:dyDescent="0.2">
      <c r="B147" s="211" t="s">
        <v>76</v>
      </c>
      <c r="C147" s="75" t="s">
        <v>748</v>
      </c>
      <c r="D147" s="320" t="s">
        <v>749</v>
      </c>
      <c r="E147" s="321" t="s">
        <v>229</v>
      </c>
      <c r="F147" s="320" t="s">
        <v>221</v>
      </c>
      <c r="G147" s="321" t="s">
        <v>710</v>
      </c>
      <c r="H147" s="322" t="s">
        <v>728</v>
      </c>
      <c r="I147" s="75" t="s">
        <v>204</v>
      </c>
      <c r="J147" s="322">
        <v>54.96</v>
      </c>
      <c r="K147" s="75" t="s">
        <v>153</v>
      </c>
      <c r="L147" s="345">
        <v>40</v>
      </c>
      <c r="M147" s="323">
        <f t="shared" si="10"/>
        <v>2198.4</v>
      </c>
      <c r="N147" s="324">
        <v>0</v>
      </c>
      <c r="O147" s="325">
        <f t="shared" si="11"/>
        <v>0</v>
      </c>
      <c r="P147" s="324">
        <v>0.16</v>
      </c>
      <c r="Q147" s="227">
        <f t="shared" si="12"/>
        <v>351.74400000000003</v>
      </c>
      <c r="R147" s="227">
        <f t="shared" si="13"/>
        <v>2550.1440000000002</v>
      </c>
      <c r="S147" s="229">
        <f>INDEX('Glosario Partidas'!$M$8:$M$10,MATCH(K147,'Glosario Partidas'!$L$8:$L$10,0))</f>
        <v>17.5</v>
      </c>
      <c r="T147" s="227">
        <f t="shared" si="14"/>
        <v>44627.520000000004</v>
      </c>
      <c r="U147" s="321" t="s">
        <v>729</v>
      </c>
      <c r="V147" s="321" t="s">
        <v>12</v>
      </c>
      <c r="W147" s="321" t="s">
        <v>491</v>
      </c>
      <c r="X147" s="321"/>
    </row>
    <row r="148" spans="2:24" ht="15" customHeight="1" x14ac:dyDescent="0.2">
      <c r="B148" s="211" t="s">
        <v>76</v>
      </c>
      <c r="C148" s="75" t="s">
        <v>750</v>
      </c>
      <c r="D148" s="320" t="s">
        <v>749</v>
      </c>
      <c r="E148" s="321" t="s">
        <v>229</v>
      </c>
      <c r="F148" s="320" t="s">
        <v>221</v>
      </c>
      <c r="G148" s="321" t="s">
        <v>710</v>
      </c>
      <c r="H148" s="322" t="s">
        <v>728</v>
      </c>
      <c r="I148" s="75" t="s">
        <v>204</v>
      </c>
      <c r="J148" s="322">
        <v>99.72</v>
      </c>
      <c r="K148" s="75" t="s">
        <v>153</v>
      </c>
      <c r="L148" s="345">
        <v>45</v>
      </c>
      <c r="M148" s="323">
        <f t="shared" si="10"/>
        <v>4487.3999999999996</v>
      </c>
      <c r="N148" s="324">
        <v>0</v>
      </c>
      <c r="O148" s="325">
        <f t="shared" si="11"/>
        <v>0</v>
      </c>
      <c r="P148" s="324">
        <v>0.16</v>
      </c>
      <c r="Q148" s="227">
        <f t="shared" si="12"/>
        <v>717.98399999999992</v>
      </c>
      <c r="R148" s="227">
        <f t="shared" si="13"/>
        <v>5205.384</v>
      </c>
      <c r="S148" s="229">
        <f>INDEX('Glosario Partidas'!$M$8:$M$10,MATCH(K148,'Glosario Partidas'!$L$8:$L$10,0))</f>
        <v>17.5</v>
      </c>
      <c r="T148" s="227">
        <f t="shared" si="14"/>
        <v>91094.22</v>
      </c>
      <c r="U148" s="321" t="s">
        <v>729</v>
      </c>
      <c r="V148" s="321" t="s">
        <v>12</v>
      </c>
      <c r="W148" s="321" t="s">
        <v>491</v>
      </c>
      <c r="X148" s="321"/>
    </row>
    <row r="149" spans="2:24" ht="15" customHeight="1" x14ac:dyDescent="0.2">
      <c r="B149" s="211" t="s">
        <v>76</v>
      </c>
      <c r="C149" s="75" t="s">
        <v>751</v>
      </c>
      <c r="D149" s="320" t="s">
        <v>749</v>
      </c>
      <c r="E149" s="321" t="s">
        <v>229</v>
      </c>
      <c r="F149" s="320" t="s">
        <v>221</v>
      </c>
      <c r="G149" s="321" t="s">
        <v>710</v>
      </c>
      <c r="H149" s="322" t="s">
        <v>728</v>
      </c>
      <c r="I149" s="75" t="s">
        <v>204</v>
      </c>
      <c r="J149" s="322">
        <v>135.49</v>
      </c>
      <c r="K149" s="75" t="s">
        <v>153</v>
      </c>
      <c r="L149" s="345">
        <v>40</v>
      </c>
      <c r="M149" s="323">
        <f t="shared" si="10"/>
        <v>5419.6</v>
      </c>
      <c r="N149" s="324">
        <v>0</v>
      </c>
      <c r="O149" s="325">
        <f t="shared" si="11"/>
        <v>0</v>
      </c>
      <c r="P149" s="324">
        <v>0.16</v>
      </c>
      <c r="Q149" s="227">
        <f t="shared" si="12"/>
        <v>867.13600000000008</v>
      </c>
      <c r="R149" s="227">
        <f t="shared" si="13"/>
        <v>6286.7360000000008</v>
      </c>
      <c r="S149" s="229">
        <f>INDEX('Glosario Partidas'!$M$8:$M$10,MATCH(K149,'Glosario Partidas'!$L$8:$L$10,0))</f>
        <v>17.5</v>
      </c>
      <c r="T149" s="227">
        <f t="shared" si="14"/>
        <v>110017.88000000002</v>
      </c>
      <c r="U149" s="321" t="s">
        <v>729</v>
      </c>
      <c r="V149" s="321" t="s">
        <v>12</v>
      </c>
      <c r="W149" s="321" t="s">
        <v>491</v>
      </c>
      <c r="X149" s="321"/>
    </row>
    <row r="150" spans="2:24" ht="15" customHeight="1" x14ac:dyDescent="0.2">
      <c r="B150" s="211" t="s">
        <v>76</v>
      </c>
      <c r="C150" s="75" t="s">
        <v>752</v>
      </c>
      <c r="D150" s="320" t="s">
        <v>749</v>
      </c>
      <c r="E150" s="321" t="s">
        <v>229</v>
      </c>
      <c r="F150" s="320" t="s">
        <v>221</v>
      </c>
      <c r="G150" s="321" t="s">
        <v>710</v>
      </c>
      <c r="H150" s="322" t="s">
        <v>728</v>
      </c>
      <c r="I150" s="75" t="s">
        <v>204</v>
      </c>
      <c r="J150" s="322">
        <v>60.6</v>
      </c>
      <c r="K150" s="75" t="s">
        <v>153</v>
      </c>
      <c r="L150" s="345">
        <v>55</v>
      </c>
      <c r="M150" s="323">
        <f t="shared" si="10"/>
        <v>3333</v>
      </c>
      <c r="N150" s="324">
        <v>0</v>
      </c>
      <c r="O150" s="325">
        <f t="shared" si="11"/>
        <v>0</v>
      </c>
      <c r="P150" s="324">
        <v>0.16</v>
      </c>
      <c r="Q150" s="227">
        <f t="shared" si="12"/>
        <v>533.28</v>
      </c>
      <c r="R150" s="227">
        <f t="shared" si="13"/>
        <v>3866.2799999999997</v>
      </c>
      <c r="S150" s="229">
        <f>INDEX('Glosario Partidas'!$M$8:$M$10,MATCH(K150,'Glosario Partidas'!$L$8:$L$10,0))</f>
        <v>17.5</v>
      </c>
      <c r="T150" s="227">
        <f t="shared" si="14"/>
        <v>67659.899999999994</v>
      </c>
      <c r="U150" s="321" t="s">
        <v>729</v>
      </c>
      <c r="V150" s="321" t="s">
        <v>12</v>
      </c>
      <c r="W150" s="321" t="s">
        <v>491</v>
      </c>
      <c r="X150" s="321"/>
    </row>
    <row r="151" spans="2:24" ht="15" customHeight="1" x14ac:dyDescent="0.2">
      <c r="B151" s="211" t="s">
        <v>76</v>
      </c>
      <c r="C151" s="75" t="s">
        <v>726</v>
      </c>
      <c r="D151" s="320" t="s">
        <v>753</v>
      </c>
      <c r="E151" s="321" t="s">
        <v>229</v>
      </c>
      <c r="F151" s="320" t="s">
        <v>354</v>
      </c>
      <c r="G151" s="321" t="s">
        <v>711</v>
      </c>
      <c r="H151" s="322" t="s">
        <v>728</v>
      </c>
      <c r="I151" s="75" t="s">
        <v>204</v>
      </c>
      <c r="J151" s="322">
        <v>25.96</v>
      </c>
      <c r="K151" s="75" t="s">
        <v>153</v>
      </c>
      <c r="L151" s="345">
        <v>55</v>
      </c>
      <c r="M151" s="323">
        <f t="shared" si="10"/>
        <v>1427.8</v>
      </c>
      <c r="N151" s="324">
        <v>0</v>
      </c>
      <c r="O151" s="325">
        <f t="shared" si="11"/>
        <v>0</v>
      </c>
      <c r="P151" s="324">
        <v>0.16</v>
      </c>
      <c r="Q151" s="227">
        <f t="shared" si="12"/>
        <v>228.44800000000001</v>
      </c>
      <c r="R151" s="227">
        <f t="shared" si="13"/>
        <v>1656.248</v>
      </c>
      <c r="S151" s="229">
        <f>INDEX('Glosario Partidas'!$M$8:$M$10,MATCH(K151,'Glosario Partidas'!$L$8:$L$10,0))</f>
        <v>17.5</v>
      </c>
      <c r="T151" s="227">
        <f t="shared" si="14"/>
        <v>28984.34</v>
      </c>
      <c r="U151" s="321" t="s">
        <v>754</v>
      </c>
      <c r="V151" s="321" t="s">
        <v>12</v>
      </c>
      <c r="W151" s="321" t="s">
        <v>491</v>
      </c>
      <c r="X151" s="321"/>
    </row>
    <row r="152" spans="2:24" ht="15" customHeight="1" x14ac:dyDescent="0.2">
      <c r="B152" s="211" t="s">
        <v>76</v>
      </c>
      <c r="C152" s="75" t="s">
        <v>730</v>
      </c>
      <c r="D152" s="320" t="s">
        <v>753</v>
      </c>
      <c r="E152" s="321" t="s">
        <v>229</v>
      </c>
      <c r="F152" s="320" t="s">
        <v>354</v>
      </c>
      <c r="G152" s="321" t="s">
        <v>711</v>
      </c>
      <c r="H152" s="322" t="s">
        <v>728</v>
      </c>
      <c r="I152" s="75" t="s">
        <v>204</v>
      </c>
      <c r="J152" s="322">
        <v>31.7</v>
      </c>
      <c r="K152" s="75" t="s">
        <v>153</v>
      </c>
      <c r="L152" s="345">
        <v>55</v>
      </c>
      <c r="M152" s="323">
        <f t="shared" si="10"/>
        <v>1743.5</v>
      </c>
      <c r="N152" s="324">
        <v>0</v>
      </c>
      <c r="O152" s="325">
        <f t="shared" si="11"/>
        <v>0</v>
      </c>
      <c r="P152" s="324">
        <v>0.16</v>
      </c>
      <c r="Q152" s="227">
        <f t="shared" si="12"/>
        <v>278.95999999999998</v>
      </c>
      <c r="R152" s="227">
        <f t="shared" si="13"/>
        <v>2022.46</v>
      </c>
      <c r="S152" s="229">
        <f>INDEX('Glosario Partidas'!$M$8:$M$10,MATCH(K152,'Glosario Partidas'!$L$8:$L$10,0))</f>
        <v>17.5</v>
      </c>
      <c r="T152" s="227">
        <f t="shared" si="14"/>
        <v>35393.050000000003</v>
      </c>
      <c r="U152" s="321" t="s">
        <v>754</v>
      </c>
      <c r="V152" s="321" t="s">
        <v>12</v>
      </c>
      <c r="W152" s="321" t="s">
        <v>491</v>
      </c>
      <c r="X152" s="321"/>
    </row>
    <row r="153" spans="2:24" ht="15" customHeight="1" x14ac:dyDescent="0.2">
      <c r="B153" s="211" t="s">
        <v>76</v>
      </c>
      <c r="C153" s="75" t="s">
        <v>731</v>
      </c>
      <c r="D153" s="320" t="s">
        <v>753</v>
      </c>
      <c r="E153" s="321" t="s">
        <v>229</v>
      </c>
      <c r="F153" s="320" t="s">
        <v>354</v>
      </c>
      <c r="G153" s="321" t="s">
        <v>711</v>
      </c>
      <c r="H153" s="322" t="s">
        <v>728</v>
      </c>
      <c r="I153" s="75" t="s">
        <v>204</v>
      </c>
      <c r="J153" s="322">
        <v>2.2799999999999998</v>
      </c>
      <c r="K153" s="75" t="s">
        <v>153</v>
      </c>
      <c r="L153" s="345">
        <v>40</v>
      </c>
      <c r="M153" s="323">
        <f t="shared" si="10"/>
        <v>91.199999999999989</v>
      </c>
      <c r="N153" s="324">
        <v>0</v>
      </c>
      <c r="O153" s="325">
        <f t="shared" si="11"/>
        <v>0</v>
      </c>
      <c r="P153" s="324">
        <v>0.16</v>
      </c>
      <c r="Q153" s="227">
        <f t="shared" si="12"/>
        <v>14.591999999999999</v>
      </c>
      <c r="R153" s="227">
        <f t="shared" si="13"/>
        <v>105.79199999999999</v>
      </c>
      <c r="S153" s="229">
        <f>INDEX('Glosario Partidas'!$M$8:$M$10,MATCH(K153,'Glosario Partidas'!$L$8:$L$10,0))</f>
        <v>17.5</v>
      </c>
      <c r="T153" s="227">
        <f t="shared" si="14"/>
        <v>1851.3599999999997</v>
      </c>
      <c r="U153" s="321" t="s">
        <v>754</v>
      </c>
      <c r="V153" s="321" t="s">
        <v>12</v>
      </c>
      <c r="W153" s="321" t="s">
        <v>491</v>
      </c>
      <c r="X153" s="321"/>
    </row>
    <row r="154" spans="2:24" ht="15" customHeight="1" x14ac:dyDescent="0.2">
      <c r="B154" s="211" t="s">
        <v>76</v>
      </c>
      <c r="C154" s="75" t="s">
        <v>732</v>
      </c>
      <c r="D154" s="320" t="s">
        <v>753</v>
      </c>
      <c r="E154" s="321" t="s">
        <v>229</v>
      </c>
      <c r="F154" s="320" t="s">
        <v>354</v>
      </c>
      <c r="G154" s="321" t="s">
        <v>711</v>
      </c>
      <c r="H154" s="322" t="s">
        <v>728</v>
      </c>
      <c r="I154" s="75" t="s">
        <v>204</v>
      </c>
      <c r="J154" s="322">
        <v>3.62</v>
      </c>
      <c r="K154" s="75" t="s">
        <v>153</v>
      </c>
      <c r="L154" s="345">
        <v>55</v>
      </c>
      <c r="M154" s="323">
        <f t="shared" si="10"/>
        <v>199.1</v>
      </c>
      <c r="N154" s="324">
        <v>0</v>
      </c>
      <c r="O154" s="325">
        <f t="shared" si="11"/>
        <v>0</v>
      </c>
      <c r="P154" s="324">
        <v>0.16</v>
      </c>
      <c r="Q154" s="227">
        <f t="shared" si="12"/>
        <v>31.855999999999998</v>
      </c>
      <c r="R154" s="227">
        <f t="shared" si="13"/>
        <v>230.95599999999999</v>
      </c>
      <c r="S154" s="229">
        <f>INDEX('Glosario Partidas'!$M$8:$M$10,MATCH(K154,'Glosario Partidas'!$L$8:$L$10,0))</f>
        <v>17.5</v>
      </c>
      <c r="T154" s="227">
        <f t="shared" si="14"/>
        <v>4041.73</v>
      </c>
      <c r="U154" s="321" t="s">
        <v>754</v>
      </c>
      <c r="V154" s="321" t="s">
        <v>12</v>
      </c>
      <c r="W154" s="321" t="s">
        <v>491</v>
      </c>
      <c r="X154" s="321"/>
    </row>
    <row r="155" spans="2:24" ht="15" customHeight="1" x14ac:dyDescent="0.2">
      <c r="B155" s="211" t="s">
        <v>76</v>
      </c>
      <c r="C155" s="75" t="s">
        <v>733</v>
      </c>
      <c r="D155" s="320" t="s">
        <v>753</v>
      </c>
      <c r="E155" s="321" t="s">
        <v>229</v>
      </c>
      <c r="F155" s="320" t="s">
        <v>354</v>
      </c>
      <c r="G155" s="321" t="s">
        <v>711</v>
      </c>
      <c r="H155" s="322" t="s">
        <v>728</v>
      </c>
      <c r="I155" s="75" t="s">
        <v>204</v>
      </c>
      <c r="J155" s="322">
        <v>2.54</v>
      </c>
      <c r="K155" s="75" t="s">
        <v>153</v>
      </c>
      <c r="L155" s="345">
        <v>5</v>
      </c>
      <c r="M155" s="323">
        <f t="shared" si="10"/>
        <v>12.7</v>
      </c>
      <c r="N155" s="324">
        <v>0</v>
      </c>
      <c r="O155" s="325">
        <f t="shared" si="11"/>
        <v>0</v>
      </c>
      <c r="P155" s="324">
        <v>0.16</v>
      </c>
      <c r="Q155" s="227">
        <f t="shared" si="12"/>
        <v>2.032</v>
      </c>
      <c r="R155" s="227">
        <f t="shared" si="13"/>
        <v>14.731999999999999</v>
      </c>
      <c r="S155" s="229">
        <f>INDEX('Glosario Partidas'!$M$8:$M$10,MATCH(K155,'Glosario Partidas'!$L$8:$L$10,0))</f>
        <v>17.5</v>
      </c>
      <c r="T155" s="227">
        <f t="shared" si="14"/>
        <v>257.81</v>
      </c>
      <c r="U155" s="321" t="s">
        <v>754</v>
      </c>
      <c r="V155" s="321" t="s">
        <v>12</v>
      </c>
      <c r="W155" s="321" t="s">
        <v>491</v>
      </c>
      <c r="X155" s="321"/>
    </row>
    <row r="156" spans="2:24" ht="15" customHeight="1" x14ac:dyDescent="0.2">
      <c r="B156" s="211" t="s">
        <v>76</v>
      </c>
      <c r="C156" s="75" t="s">
        <v>735</v>
      </c>
      <c r="D156" s="320" t="s">
        <v>753</v>
      </c>
      <c r="E156" s="321" t="s">
        <v>229</v>
      </c>
      <c r="F156" s="320" t="s">
        <v>354</v>
      </c>
      <c r="G156" s="321" t="s">
        <v>711</v>
      </c>
      <c r="H156" s="322" t="s">
        <v>728</v>
      </c>
      <c r="I156" s="75" t="s">
        <v>204</v>
      </c>
      <c r="J156" s="322">
        <v>26.61</v>
      </c>
      <c r="K156" s="75" t="s">
        <v>153</v>
      </c>
      <c r="L156" s="345">
        <v>75</v>
      </c>
      <c r="M156" s="323">
        <f t="shared" si="10"/>
        <v>1995.75</v>
      </c>
      <c r="N156" s="324">
        <v>0</v>
      </c>
      <c r="O156" s="325">
        <f t="shared" si="11"/>
        <v>0</v>
      </c>
      <c r="P156" s="324">
        <v>0.16</v>
      </c>
      <c r="Q156" s="227">
        <f t="shared" si="12"/>
        <v>319.32</v>
      </c>
      <c r="R156" s="227">
        <f t="shared" si="13"/>
        <v>2315.0700000000002</v>
      </c>
      <c r="S156" s="229">
        <f>INDEX('Glosario Partidas'!$M$8:$M$10,MATCH(K156,'Glosario Partidas'!$L$8:$L$10,0))</f>
        <v>17.5</v>
      </c>
      <c r="T156" s="227">
        <f t="shared" si="14"/>
        <v>40513.725000000006</v>
      </c>
      <c r="U156" s="321" t="s">
        <v>754</v>
      </c>
      <c r="V156" s="321" t="s">
        <v>12</v>
      </c>
      <c r="W156" s="321" t="s">
        <v>491</v>
      </c>
      <c r="X156" s="321"/>
    </row>
    <row r="157" spans="2:24" ht="15" customHeight="1" x14ac:dyDescent="0.2">
      <c r="B157" s="211" t="s">
        <v>76</v>
      </c>
      <c r="C157" s="75" t="s">
        <v>736</v>
      </c>
      <c r="D157" s="320" t="s">
        <v>753</v>
      </c>
      <c r="E157" s="321" t="s">
        <v>229</v>
      </c>
      <c r="F157" s="320" t="s">
        <v>354</v>
      </c>
      <c r="G157" s="321" t="s">
        <v>711</v>
      </c>
      <c r="H157" s="322" t="s">
        <v>728</v>
      </c>
      <c r="I157" s="75" t="s">
        <v>204</v>
      </c>
      <c r="J157" s="322">
        <v>52.09</v>
      </c>
      <c r="K157" s="75" t="s">
        <v>153</v>
      </c>
      <c r="L157" s="345">
        <v>85</v>
      </c>
      <c r="M157" s="323">
        <f t="shared" si="10"/>
        <v>4427.6500000000005</v>
      </c>
      <c r="N157" s="324">
        <v>0</v>
      </c>
      <c r="O157" s="325">
        <f t="shared" si="11"/>
        <v>0</v>
      </c>
      <c r="P157" s="324">
        <v>0.16</v>
      </c>
      <c r="Q157" s="227">
        <f t="shared" si="12"/>
        <v>708.42400000000009</v>
      </c>
      <c r="R157" s="227">
        <f t="shared" si="13"/>
        <v>5136.0740000000005</v>
      </c>
      <c r="S157" s="229">
        <f>INDEX('Glosario Partidas'!$M$8:$M$10,MATCH(K157,'Glosario Partidas'!$L$8:$L$10,0))</f>
        <v>17.5</v>
      </c>
      <c r="T157" s="227">
        <f t="shared" si="14"/>
        <v>89881.295000000013</v>
      </c>
      <c r="U157" s="321" t="s">
        <v>754</v>
      </c>
      <c r="V157" s="321" t="s">
        <v>12</v>
      </c>
      <c r="W157" s="321" t="s">
        <v>491</v>
      </c>
      <c r="X157" s="321"/>
    </row>
    <row r="158" spans="2:24" ht="15" customHeight="1" x14ac:dyDescent="0.2">
      <c r="B158" s="211" t="s">
        <v>76</v>
      </c>
      <c r="C158" s="75" t="s">
        <v>737</v>
      </c>
      <c r="D158" s="320" t="s">
        <v>753</v>
      </c>
      <c r="E158" s="321" t="s">
        <v>229</v>
      </c>
      <c r="F158" s="320" t="s">
        <v>354</v>
      </c>
      <c r="G158" s="321" t="s">
        <v>711</v>
      </c>
      <c r="H158" s="322" t="s">
        <v>728</v>
      </c>
      <c r="I158" s="75" t="s">
        <v>204</v>
      </c>
      <c r="J158" s="322">
        <v>31.64</v>
      </c>
      <c r="K158" s="75" t="s">
        <v>153</v>
      </c>
      <c r="L158" s="345">
        <v>75</v>
      </c>
      <c r="M158" s="323">
        <f t="shared" si="10"/>
        <v>2373</v>
      </c>
      <c r="N158" s="324">
        <v>0</v>
      </c>
      <c r="O158" s="325">
        <f t="shared" si="11"/>
        <v>0</v>
      </c>
      <c r="P158" s="324">
        <v>0.16</v>
      </c>
      <c r="Q158" s="227">
        <f t="shared" si="12"/>
        <v>379.68</v>
      </c>
      <c r="R158" s="227">
        <f t="shared" si="13"/>
        <v>2752.68</v>
      </c>
      <c r="S158" s="229">
        <f>INDEX('Glosario Partidas'!$M$8:$M$10,MATCH(K158,'Glosario Partidas'!$L$8:$L$10,0))</f>
        <v>17.5</v>
      </c>
      <c r="T158" s="227">
        <f t="shared" si="14"/>
        <v>48171.899999999994</v>
      </c>
      <c r="U158" s="321" t="s">
        <v>754</v>
      </c>
      <c r="V158" s="321" t="s">
        <v>12</v>
      </c>
      <c r="W158" s="321" t="s">
        <v>491</v>
      </c>
      <c r="X158" s="321"/>
    </row>
    <row r="159" spans="2:24" ht="15" customHeight="1" x14ac:dyDescent="0.2">
      <c r="B159" s="211" t="s">
        <v>76</v>
      </c>
      <c r="C159" s="75" t="s">
        <v>738</v>
      </c>
      <c r="D159" s="320" t="s">
        <v>753</v>
      </c>
      <c r="E159" s="321" t="s">
        <v>229</v>
      </c>
      <c r="F159" s="320" t="s">
        <v>354</v>
      </c>
      <c r="G159" s="321" t="s">
        <v>711</v>
      </c>
      <c r="H159" s="322" t="s">
        <v>728</v>
      </c>
      <c r="I159" s="75" t="s">
        <v>204</v>
      </c>
      <c r="J159" s="322">
        <v>16.47</v>
      </c>
      <c r="K159" s="75" t="s">
        <v>153</v>
      </c>
      <c r="L159" s="345">
        <v>65</v>
      </c>
      <c r="M159" s="323">
        <f t="shared" si="10"/>
        <v>1070.55</v>
      </c>
      <c r="N159" s="324">
        <v>0</v>
      </c>
      <c r="O159" s="325">
        <f t="shared" si="11"/>
        <v>0</v>
      </c>
      <c r="P159" s="324">
        <v>0.16</v>
      </c>
      <c r="Q159" s="227">
        <f t="shared" si="12"/>
        <v>171.28799999999998</v>
      </c>
      <c r="R159" s="227">
        <f t="shared" si="13"/>
        <v>1241.838</v>
      </c>
      <c r="S159" s="229">
        <f>INDEX('Glosario Partidas'!$M$8:$M$10,MATCH(K159,'Glosario Partidas'!$L$8:$L$10,0))</f>
        <v>17.5</v>
      </c>
      <c r="T159" s="227">
        <f t="shared" si="14"/>
        <v>21732.165000000001</v>
      </c>
      <c r="U159" s="321" t="s">
        <v>754</v>
      </c>
      <c r="V159" s="321" t="s">
        <v>12</v>
      </c>
      <c r="W159" s="321" t="s">
        <v>491</v>
      </c>
      <c r="X159" s="321"/>
    </row>
    <row r="160" spans="2:24" ht="15" customHeight="1" x14ac:dyDescent="0.2">
      <c r="B160" s="211" t="s">
        <v>76</v>
      </c>
      <c r="C160" s="75" t="s">
        <v>739</v>
      </c>
      <c r="D160" s="320" t="s">
        <v>753</v>
      </c>
      <c r="E160" s="321" t="s">
        <v>229</v>
      </c>
      <c r="F160" s="320" t="s">
        <v>354</v>
      </c>
      <c r="G160" s="321" t="s">
        <v>711</v>
      </c>
      <c r="H160" s="322" t="s">
        <v>728</v>
      </c>
      <c r="I160" s="75" t="s">
        <v>204</v>
      </c>
      <c r="J160" s="322">
        <v>6.85</v>
      </c>
      <c r="K160" s="75" t="s">
        <v>153</v>
      </c>
      <c r="L160" s="345">
        <v>70</v>
      </c>
      <c r="M160" s="323">
        <f t="shared" si="10"/>
        <v>479.5</v>
      </c>
      <c r="N160" s="324">
        <v>0</v>
      </c>
      <c r="O160" s="325">
        <f t="shared" si="11"/>
        <v>0</v>
      </c>
      <c r="P160" s="324">
        <v>0.16</v>
      </c>
      <c r="Q160" s="227">
        <f t="shared" si="12"/>
        <v>76.72</v>
      </c>
      <c r="R160" s="227">
        <f t="shared" si="13"/>
        <v>556.22</v>
      </c>
      <c r="S160" s="229">
        <f>INDEX('Glosario Partidas'!$M$8:$M$10,MATCH(K160,'Glosario Partidas'!$L$8:$L$10,0))</f>
        <v>17.5</v>
      </c>
      <c r="T160" s="227">
        <f t="shared" si="14"/>
        <v>9733.85</v>
      </c>
      <c r="U160" s="321" t="s">
        <v>754</v>
      </c>
      <c r="V160" s="321" t="s">
        <v>12</v>
      </c>
      <c r="W160" s="321" t="s">
        <v>491</v>
      </c>
      <c r="X160" s="321"/>
    </row>
    <row r="161" spans="2:24" ht="15" customHeight="1" x14ac:dyDescent="0.2">
      <c r="B161" s="211" t="s">
        <v>76</v>
      </c>
      <c r="C161" s="75" t="s">
        <v>740</v>
      </c>
      <c r="D161" s="320" t="s">
        <v>753</v>
      </c>
      <c r="E161" s="321" t="s">
        <v>229</v>
      </c>
      <c r="F161" s="320" t="s">
        <v>354</v>
      </c>
      <c r="G161" s="321" t="s">
        <v>711</v>
      </c>
      <c r="H161" s="322" t="s">
        <v>728</v>
      </c>
      <c r="I161" s="75" t="s">
        <v>204</v>
      </c>
      <c r="J161" s="322">
        <v>31.77</v>
      </c>
      <c r="K161" s="75" t="s">
        <v>153</v>
      </c>
      <c r="L161" s="345">
        <v>75</v>
      </c>
      <c r="M161" s="323">
        <f t="shared" si="10"/>
        <v>2382.75</v>
      </c>
      <c r="N161" s="324">
        <v>0</v>
      </c>
      <c r="O161" s="325">
        <f t="shared" si="11"/>
        <v>0</v>
      </c>
      <c r="P161" s="324">
        <v>0.16</v>
      </c>
      <c r="Q161" s="227">
        <f t="shared" si="12"/>
        <v>381.24</v>
      </c>
      <c r="R161" s="227">
        <f t="shared" si="13"/>
        <v>2763.99</v>
      </c>
      <c r="S161" s="229">
        <f>INDEX('Glosario Partidas'!$M$8:$M$10,MATCH(K161,'Glosario Partidas'!$L$8:$L$10,0))</f>
        <v>17.5</v>
      </c>
      <c r="T161" s="227">
        <f t="shared" si="14"/>
        <v>48369.824999999997</v>
      </c>
      <c r="U161" s="321" t="s">
        <v>754</v>
      </c>
      <c r="V161" s="321" t="s">
        <v>12</v>
      </c>
      <c r="W161" s="321" t="s">
        <v>491</v>
      </c>
      <c r="X161" s="321"/>
    </row>
    <row r="162" spans="2:24" ht="15" customHeight="1" x14ac:dyDescent="0.2">
      <c r="B162" s="211" t="s">
        <v>76</v>
      </c>
      <c r="C162" s="75" t="s">
        <v>741</v>
      </c>
      <c r="D162" s="320" t="s">
        <v>753</v>
      </c>
      <c r="E162" s="321" t="s">
        <v>229</v>
      </c>
      <c r="F162" s="320" t="s">
        <v>354</v>
      </c>
      <c r="G162" s="321" t="s">
        <v>711</v>
      </c>
      <c r="H162" s="322" t="s">
        <v>728</v>
      </c>
      <c r="I162" s="75" t="s">
        <v>204</v>
      </c>
      <c r="J162" s="322">
        <v>16.53</v>
      </c>
      <c r="K162" s="75" t="s">
        <v>153</v>
      </c>
      <c r="L162" s="345">
        <v>65</v>
      </c>
      <c r="M162" s="323">
        <f t="shared" si="10"/>
        <v>1074.45</v>
      </c>
      <c r="N162" s="324">
        <v>0</v>
      </c>
      <c r="O162" s="325">
        <f t="shared" si="11"/>
        <v>0</v>
      </c>
      <c r="P162" s="324">
        <v>0.16</v>
      </c>
      <c r="Q162" s="227">
        <f t="shared" si="12"/>
        <v>171.91200000000001</v>
      </c>
      <c r="R162" s="227">
        <f t="shared" si="13"/>
        <v>1246.3620000000001</v>
      </c>
      <c r="S162" s="229">
        <f>INDEX('Glosario Partidas'!$M$8:$M$10,MATCH(K162,'Glosario Partidas'!$L$8:$L$10,0))</f>
        <v>17.5</v>
      </c>
      <c r="T162" s="227">
        <f t="shared" si="14"/>
        <v>21811.335000000003</v>
      </c>
      <c r="U162" s="321" t="s">
        <v>754</v>
      </c>
      <c r="V162" s="321" t="s">
        <v>12</v>
      </c>
      <c r="W162" s="321" t="s">
        <v>491</v>
      </c>
      <c r="X162" s="321"/>
    </row>
    <row r="163" spans="2:24" ht="15" customHeight="1" x14ac:dyDescent="0.2">
      <c r="B163" s="211" t="s">
        <v>76</v>
      </c>
      <c r="C163" s="75" t="s">
        <v>742</v>
      </c>
      <c r="D163" s="320" t="s">
        <v>753</v>
      </c>
      <c r="E163" s="321" t="s">
        <v>229</v>
      </c>
      <c r="F163" s="320" t="s">
        <v>354</v>
      </c>
      <c r="G163" s="321" t="s">
        <v>711</v>
      </c>
      <c r="H163" s="322" t="s">
        <v>728</v>
      </c>
      <c r="I163" s="75" t="s">
        <v>204</v>
      </c>
      <c r="J163" s="322">
        <v>5.0599999999999996</v>
      </c>
      <c r="K163" s="75" t="s">
        <v>153</v>
      </c>
      <c r="L163" s="345">
        <v>70</v>
      </c>
      <c r="M163" s="323">
        <f t="shared" si="10"/>
        <v>354.2</v>
      </c>
      <c r="N163" s="324">
        <v>0</v>
      </c>
      <c r="O163" s="325">
        <f t="shared" si="11"/>
        <v>0</v>
      </c>
      <c r="P163" s="324">
        <v>0.16</v>
      </c>
      <c r="Q163" s="227">
        <f t="shared" si="12"/>
        <v>56.671999999999997</v>
      </c>
      <c r="R163" s="227">
        <f t="shared" si="13"/>
        <v>410.87199999999996</v>
      </c>
      <c r="S163" s="229">
        <f>INDEX('Glosario Partidas'!$M$8:$M$10,MATCH(K163,'Glosario Partidas'!$L$8:$L$10,0))</f>
        <v>17.5</v>
      </c>
      <c r="T163" s="227">
        <f t="shared" si="14"/>
        <v>7190.2599999999993</v>
      </c>
      <c r="U163" s="321" t="s">
        <v>754</v>
      </c>
      <c r="V163" s="321" t="s">
        <v>12</v>
      </c>
      <c r="W163" s="321" t="s">
        <v>491</v>
      </c>
      <c r="X163" s="321"/>
    </row>
    <row r="164" spans="2:24" ht="15" customHeight="1" x14ac:dyDescent="0.2">
      <c r="B164" s="211" t="s">
        <v>76</v>
      </c>
      <c r="C164" s="75" t="s">
        <v>743</v>
      </c>
      <c r="D164" s="320" t="s">
        <v>753</v>
      </c>
      <c r="E164" s="321" t="s">
        <v>229</v>
      </c>
      <c r="F164" s="320" t="s">
        <v>354</v>
      </c>
      <c r="G164" s="321" t="s">
        <v>711</v>
      </c>
      <c r="H164" s="322" t="s">
        <v>728</v>
      </c>
      <c r="I164" s="75" t="s">
        <v>204</v>
      </c>
      <c r="J164" s="322">
        <v>27.84</v>
      </c>
      <c r="K164" s="75" t="s">
        <v>153</v>
      </c>
      <c r="L164" s="345">
        <v>75</v>
      </c>
      <c r="M164" s="323">
        <f t="shared" si="10"/>
        <v>2088</v>
      </c>
      <c r="N164" s="324">
        <v>0</v>
      </c>
      <c r="O164" s="325">
        <f t="shared" si="11"/>
        <v>0</v>
      </c>
      <c r="P164" s="324">
        <v>0.16</v>
      </c>
      <c r="Q164" s="227">
        <f t="shared" si="12"/>
        <v>334.08</v>
      </c>
      <c r="R164" s="227">
        <f t="shared" si="13"/>
        <v>2422.08</v>
      </c>
      <c r="S164" s="229">
        <f>INDEX('Glosario Partidas'!$M$8:$M$10,MATCH(K164,'Glosario Partidas'!$L$8:$L$10,0))</f>
        <v>17.5</v>
      </c>
      <c r="T164" s="227">
        <f t="shared" si="14"/>
        <v>42386.400000000001</v>
      </c>
      <c r="U164" s="321" t="s">
        <v>754</v>
      </c>
      <c r="V164" s="321" t="s">
        <v>12</v>
      </c>
      <c r="W164" s="321" t="s">
        <v>491</v>
      </c>
      <c r="X164" s="321"/>
    </row>
    <row r="165" spans="2:24" ht="15" customHeight="1" x14ac:dyDescent="0.2">
      <c r="B165" s="211" t="s">
        <v>76</v>
      </c>
      <c r="C165" s="75" t="s">
        <v>744</v>
      </c>
      <c r="D165" s="320" t="s">
        <v>753</v>
      </c>
      <c r="E165" s="321" t="s">
        <v>229</v>
      </c>
      <c r="F165" s="320" t="s">
        <v>354</v>
      </c>
      <c r="G165" s="321" t="s">
        <v>711</v>
      </c>
      <c r="H165" s="322" t="s">
        <v>728</v>
      </c>
      <c r="I165" s="75" t="s">
        <v>204</v>
      </c>
      <c r="J165" s="322">
        <v>13.82</v>
      </c>
      <c r="K165" s="75" t="s">
        <v>153</v>
      </c>
      <c r="L165" s="345">
        <v>60</v>
      </c>
      <c r="M165" s="323">
        <f t="shared" si="10"/>
        <v>829.2</v>
      </c>
      <c r="N165" s="324">
        <v>0</v>
      </c>
      <c r="O165" s="325">
        <f t="shared" si="11"/>
        <v>0</v>
      </c>
      <c r="P165" s="324">
        <v>0.16</v>
      </c>
      <c r="Q165" s="227">
        <f t="shared" si="12"/>
        <v>132.672</v>
      </c>
      <c r="R165" s="227">
        <f t="shared" si="13"/>
        <v>961.87200000000007</v>
      </c>
      <c r="S165" s="229">
        <f>INDEX('Glosario Partidas'!$M$8:$M$10,MATCH(K165,'Glosario Partidas'!$L$8:$L$10,0))</f>
        <v>17.5</v>
      </c>
      <c r="T165" s="227">
        <f t="shared" si="14"/>
        <v>16832.760000000002</v>
      </c>
      <c r="U165" s="321" t="s">
        <v>754</v>
      </c>
      <c r="V165" s="321" t="s">
        <v>12</v>
      </c>
      <c r="W165" s="321" t="s">
        <v>491</v>
      </c>
      <c r="X165" s="321"/>
    </row>
    <row r="166" spans="2:24" ht="15" customHeight="1" x14ac:dyDescent="0.2">
      <c r="B166" s="211" t="s">
        <v>76</v>
      </c>
      <c r="C166" s="75" t="s">
        <v>745</v>
      </c>
      <c r="D166" s="320" t="s">
        <v>753</v>
      </c>
      <c r="E166" s="321" t="s">
        <v>229</v>
      </c>
      <c r="F166" s="320" t="s">
        <v>354</v>
      </c>
      <c r="G166" s="321" t="s">
        <v>711</v>
      </c>
      <c r="H166" s="322" t="s">
        <v>728</v>
      </c>
      <c r="I166" s="75" t="s">
        <v>204</v>
      </c>
      <c r="J166" s="322">
        <v>29.31</v>
      </c>
      <c r="K166" s="75" t="s">
        <v>153</v>
      </c>
      <c r="L166" s="345">
        <v>75</v>
      </c>
      <c r="M166" s="323">
        <f t="shared" si="10"/>
        <v>2198.25</v>
      </c>
      <c r="N166" s="324">
        <v>0</v>
      </c>
      <c r="O166" s="325">
        <f t="shared" si="11"/>
        <v>0</v>
      </c>
      <c r="P166" s="324">
        <v>0.16</v>
      </c>
      <c r="Q166" s="227">
        <f t="shared" si="12"/>
        <v>351.72</v>
      </c>
      <c r="R166" s="227">
        <f t="shared" si="13"/>
        <v>2549.9700000000003</v>
      </c>
      <c r="S166" s="229">
        <f>INDEX('Glosario Partidas'!$M$8:$M$10,MATCH(K166,'Glosario Partidas'!$L$8:$L$10,0))</f>
        <v>17.5</v>
      </c>
      <c r="T166" s="227">
        <f t="shared" si="14"/>
        <v>44624.475000000006</v>
      </c>
      <c r="U166" s="321" t="s">
        <v>754</v>
      </c>
      <c r="V166" s="321" t="s">
        <v>12</v>
      </c>
      <c r="W166" s="321" t="s">
        <v>491</v>
      </c>
      <c r="X166" s="321"/>
    </row>
    <row r="167" spans="2:24" ht="15" customHeight="1" x14ac:dyDescent="0.2">
      <c r="B167" s="211" t="s">
        <v>76</v>
      </c>
      <c r="C167" s="75" t="s">
        <v>746</v>
      </c>
      <c r="D167" s="320" t="s">
        <v>753</v>
      </c>
      <c r="E167" s="321" t="s">
        <v>229</v>
      </c>
      <c r="F167" s="320" t="s">
        <v>354</v>
      </c>
      <c r="G167" s="321" t="s">
        <v>711</v>
      </c>
      <c r="H167" s="322" t="s">
        <v>728</v>
      </c>
      <c r="I167" s="75" t="s">
        <v>204</v>
      </c>
      <c r="J167" s="322">
        <v>13.81</v>
      </c>
      <c r="K167" s="75" t="s">
        <v>153</v>
      </c>
      <c r="L167" s="345">
        <v>60</v>
      </c>
      <c r="M167" s="323">
        <f t="shared" si="10"/>
        <v>828.6</v>
      </c>
      <c r="N167" s="324">
        <v>0</v>
      </c>
      <c r="O167" s="325">
        <f t="shared" si="11"/>
        <v>0</v>
      </c>
      <c r="P167" s="324">
        <v>0.16</v>
      </c>
      <c r="Q167" s="227">
        <f t="shared" si="12"/>
        <v>132.57599999999999</v>
      </c>
      <c r="R167" s="227">
        <f t="shared" si="13"/>
        <v>961.17600000000004</v>
      </c>
      <c r="S167" s="229">
        <f>INDEX('Glosario Partidas'!$M$8:$M$10,MATCH(K167,'Glosario Partidas'!$L$8:$L$10,0))</f>
        <v>17.5</v>
      </c>
      <c r="T167" s="227">
        <f t="shared" si="14"/>
        <v>16820.580000000002</v>
      </c>
      <c r="U167" s="321" t="s">
        <v>754</v>
      </c>
      <c r="V167" s="321" t="s">
        <v>12</v>
      </c>
      <c r="W167" s="321" t="s">
        <v>491</v>
      </c>
      <c r="X167" s="321"/>
    </row>
    <row r="168" spans="2:24" ht="15" customHeight="1" x14ac:dyDescent="0.2">
      <c r="B168" s="211" t="s">
        <v>76</v>
      </c>
      <c r="C168" s="75" t="s">
        <v>750</v>
      </c>
      <c r="D168" s="320" t="s">
        <v>755</v>
      </c>
      <c r="E168" s="321" t="s">
        <v>229</v>
      </c>
      <c r="F168" s="320" t="s">
        <v>354</v>
      </c>
      <c r="G168" s="321" t="s">
        <v>711</v>
      </c>
      <c r="H168" s="322" t="s">
        <v>728</v>
      </c>
      <c r="I168" s="75" t="s">
        <v>204</v>
      </c>
      <c r="J168" s="322">
        <v>52.9</v>
      </c>
      <c r="K168" s="75" t="s">
        <v>153</v>
      </c>
      <c r="L168" s="345">
        <v>45</v>
      </c>
      <c r="M168" s="323">
        <f t="shared" si="10"/>
        <v>2380.5</v>
      </c>
      <c r="N168" s="324">
        <v>0</v>
      </c>
      <c r="O168" s="325">
        <f t="shared" si="11"/>
        <v>0</v>
      </c>
      <c r="P168" s="324">
        <v>0.16</v>
      </c>
      <c r="Q168" s="227">
        <f t="shared" si="12"/>
        <v>380.88</v>
      </c>
      <c r="R168" s="227">
        <f t="shared" si="13"/>
        <v>2761.38</v>
      </c>
      <c r="S168" s="229">
        <f>INDEX('Glosario Partidas'!$M$8:$M$10,MATCH(K168,'Glosario Partidas'!$L$8:$L$10,0))</f>
        <v>17.5</v>
      </c>
      <c r="T168" s="227">
        <f t="shared" si="14"/>
        <v>48324.15</v>
      </c>
      <c r="U168" s="321" t="s">
        <v>754</v>
      </c>
      <c r="V168" s="321" t="s">
        <v>12</v>
      </c>
      <c r="W168" s="321" t="s">
        <v>491</v>
      </c>
      <c r="X168" s="321"/>
    </row>
    <row r="169" spans="2:24" ht="15" customHeight="1" x14ac:dyDescent="0.2">
      <c r="B169" s="211" t="s">
        <v>76</v>
      </c>
      <c r="C169" s="75" t="s">
        <v>726</v>
      </c>
      <c r="D169" s="320" t="s">
        <v>756</v>
      </c>
      <c r="E169" s="321" t="s">
        <v>229</v>
      </c>
      <c r="F169" s="320" t="s">
        <v>355</v>
      </c>
      <c r="G169" s="321" t="s">
        <v>766</v>
      </c>
      <c r="H169" s="322" t="s">
        <v>728</v>
      </c>
      <c r="I169" s="75" t="s">
        <v>204</v>
      </c>
      <c r="J169" s="322">
        <v>25.47</v>
      </c>
      <c r="K169" s="75" t="s">
        <v>153</v>
      </c>
      <c r="L169" s="345">
        <v>55</v>
      </c>
      <c r="M169" s="323">
        <f t="shared" si="10"/>
        <v>1400.85</v>
      </c>
      <c r="N169" s="324">
        <v>0</v>
      </c>
      <c r="O169" s="325">
        <f t="shared" si="11"/>
        <v>0</v>
      </c>
      <c r="P169" s="324">
        <v>0.16</v>
      </c>
      <c r="Q169" s="227">
        <f t="shared" si="12"/>
        <v>224.136</v>
      </c>
      <c r="R169" s="227">
        <f t="shared" si="13"/>
        <v>1624.9859999999999</v>
      </c>
      <c r="S169" s="229">
        <f>INDEX('Glosario Partidas'!$M$8:$M$10,MATCH(K169,'Glosario Partidas'!$L$8:$L$10,0))</f>
        <v>17.5</v>
      </c>
      <c r="T169" s="227">
        <f t="shared" si="14"/>
        <v>28437.254999999997</v>
      </c>
      <c r="U169" s="321" t="s">
        <v>758</v>
      </c>
      <c r="V169" s="321" t="s">
        <v>12</v>
      </c>
      <c r="W169" s="321" t="s">
        <v>491</v>
      </c>
      <c r="X169" s="321"/>
    </row>
    <row r="170" spans="2:24" ht="15" customHeight="1" x14ac:dyDescent="0.2">
      <c r="B170" s="211" t="s">
        <v>76</v>
      </c>
      <c r="C170" s="75" t="s">
        <v>759</v>
      </c>
      <c r="D170" s="320" t="s">
        <v>756</v>
      </c>
      <c r="E170" s="321" t="s">
        <v>229</v>
      </c>
      <c r="F170" s="320" t="s">
        <v>355</v>
      </c>
      <c r="G170" s="321" t="s">
        <v>766</v>
      </c>
      <c r="H170" s="322" t="s">
        <v>728</v>
      </c>
      <c r="I170" s="75" t="s">
        <v>204</v>
      </c>
      <c r="J170" s="322">
        <v>5.34</v>
      </c>
      <c r="K170" s="75" t="s">
        <v>153</v>
      </c>
      <c r="L170" s="345">
        <v>55</v>
      </c>
      <c r="M170" s="323">
        <f t="shared" si="10"/>
        <v>293.7</v>
      </c>
      <c r="N170" s="324">
        <v>0</v>
      </c>
      <c r="O170" s="325">
        <f t="shared" si="11"/>
        <v>0</v>
      </c>
      <c r="P170" s="324">
        <v>0.16</v>
      </c>
      <c r="Q170" s="227">
        <f t="shared" si="12"/>
        <v>46.991999999999997</v>
      </c>
      <c r="R170" s="227">
        <f t="shared" si="13"/>
        <v>340.69200000000001</v>
      </c>
      <c r="S170" s="229">
        <f>INDEX('Glosario Partidas'!$M$8:$M$10,MATCH(K170,'Glosario Partidas'!$L$8:$L$10,0))</f>
        <v>17.5</v>
      </c>
      <c r="T170" s="227">
        <f t="shared" si="14"/>
        <v>5962.1100000000006</v>
      </c>
      <c r="U170" s="321" t="s">
        <v>758</v>
      </c>
      <c r="V170" s="321" t="s">
        <v>12</v>
      </c>
      <c r="W170" s="321" t="s">
        <v>491</v>
      </c>
      <c r="X170" s="321"/>
    </row>
    <row r="171" spans="2:24" ht="15" customHeight="1" x14ac:dyDescent="0.2">
      <c r="B171" s="211" t="s">
        <v>76</v>
      </c>
      <c r="C171" s="75" t="s">
        <v>760</v>
      </c>
      <c r="D171" s="320" t="s">
        <v>756</v>
      </c>
      <c r="E171" s="321" t="s">
        <v>229</v>
      </c>
      <c r="F171" s="320" t="s">
        <v>355</v>
      </c>
      <c r="G171" s="321" t="s">
        <v>766</v>
      </c>
      <c r="H171" s="322" t="s">
        <v>728</v>
      </c>
      <c r="I171" s="75" t="s">
        <v>204</v>
      </c>
      <c r="J171" s="322">
        <v>6.66</v>
      </c>
      <c r="K171" s="75" t="s">
        <v>153</v>
      </c>
      <c r="L171" s="345">
        <v>5</v>
      </c>
      <c r="M171" s="323">
        <f t="shared" si="10"/>
        <v>33.299999999999997</v>
      </c>
      <c r="N171" s="324">
        <v>0</v>
      </c>
      <c r="O171" s="325">
        <f t="shared" si="11"/>
        <v>0</v>
      </c>
      <c r="P171" s="324">
        <v>0.16</v>
      </c>
      <c r="Q171" s="227">
        <f t="shared" si="12"/>
        <v>5.3279999999999994</v>
      </c>
      <c r="R171" s="227">
        <f t="shared" si="13"/>
        <v>38.628</v>
      </c>
      <c r="S171" s="229">
        <f>INDEX('Glosario Partidas'!$M$8:$M$10,MATCH(K171,'Glosario Partidas'!$L$8:$L$10,0))</f>
        <v>17.5</v>
      </c>
      <c r="T171" s="227">
        <f t="shared" si="14"/>
        <v>675.99</v>
      </c>
      <c r="U171" s="321" t="s">
        <v>758</v>
      </c>
      <c r="V171" s="321" t="s">
        <v>12</v>
      </c>
      <c r="W171" s="321" t="s">
        <v>491</v>
      </c>
      <c r="X171" s="321"/>
    </row>
    <row r="172" spans="2:24" ht="15" customHeight="1" x14ac:dyDescent="0.2">
      <c r="B172" s="211" t="s">
        <v>76</v>
      </c>
      <c r="C172" s="75" t="s">
        <v>761</v>
      </c>
      <c r="D172" s="320" t="s">
        <v>756</v>
      </c>
      <c r="E172" s="321" t="s">
        <v>229</v>
      </c>
      <c r="F172" s="320" t="s">
        <v>355</v>
      </c>
      <c r="G172" s="321" t="s">
        <v>766</v>
      </c>
      <c r="H172" s="322" t="s">
        <v>728</v>
      </c>
      <c r="I172" s="75" t="s">
        <v>204</v>
      </c>
      <c r="J172" s="322">
        <v>15.46</v>
      </c>
      <c r="K172" s="75" t="s">
        <v>153</v>
      </c>
      <c r="L172" s="345">
        <v>5</v>
      </c>
      <c r="M172" s="323">
        <f t="shared" si="10"/>
        <v>77.300000000000011</v>
      </c>
      <c r="N172" s="324">
        <v>0</v>
      </c>
      <c r="O172" s="325">
        <f t="shared" si="11"/>
        <v>0</v>
      </c>
      <c r="P172" s="324">
        <v>0.16</v>
      </c>
      <c r="Q172" s="227">
        <f t="shared" si="12"/>
        <v>12.368000000000002</v>
      </c>
      <c r="R172" s="227">
        <f t="shared" si="13"/>
        <v>89.668000000000006</v>
      </c>
      <c r="S172" s="229">
        <f>INDEX('Glosario Partidas'!$M$8:$M$10,MATCH(K172,'Glosario Partidas'!$L$8:$L$10,0))</f>
        <v>17.5</v>
      </c>
      <c r="T172" s="227">
        <f t="shared" si="14"/>
        <v>1569.19</v>
      </c>
      <c r="U172" s="321" t="s">
        <v>758</v>
      </c>
      <c r="V172" s="321" t="s">
        <v>12</v>
      </c>
      <c r="W172" s="321" t="s">
        <v>491</v>
      </c>
      <c r="X172" s="321"/>
    </row>
    <row r="173" spans="2:24" ht="15" customHeight="1" x14ac:dyDescent="0.2">
      <c r="B173" s="211" t="s">
        <v>76</v>
      </c>
      <c r="C173" s="75" t="s">
        <v>747</v>
      </c>
      <c r="D173" s="320" t="s">
        <v>756</v>
      </c>
      <c r="E173" s="321" t="s">
        <v>229</v>
      </c>
      <c r="F173" s="320" t="s">
        <v>355</v>
      </c>
      <c r="G173" s="321" t="s">
        <v>766</v>
      </c>
      <c r="H173" s="322" t="s">
        <v>728</v>
      </c>
      <c r="I173" s="75" t="s">
        <v>204</v>
      </c>
      <c r="J173" s="322">
        <v>24.89</v>
      </c>
      <c r="K173" s="75" t="s">
        <v>153</v>
      </c>
      <c r="L173" s="345">
        <v>5</v>
      </c>
      <c r="M173" s="323">
        <f t="shared" si="10"/>
        <v>124.45</v>
      </c>
      <c r="N173" s="324">
        <v>0</v>
      </c>
      <c r="O173" s="325">
        <f t="shared" si="11"/>
        <v>0</v>
      </c>
      <c r="P173" s="324">
        <v>0.16</v>
      </c>
      <c r="Q173" s="227">
        <f t="shared" si="12"/>
        <v>19.912000000000003</v>
      </c>
      <c r="R173" s="227">
        <f t="shared" si="13"/>
        <v>144.36199999999999</v>
      </c>
      <c r="S173" s="229">
        <f>INDEX('Glosario Partidas'!$M$8:$M$10,MATCH(K173,'Glosario Partidas'!$L$8:$L$10,0))</f>
        <v>17.5</v>
      </c>
      <c r="T173" s="227">
        <f t="shared" si="14"/>
        <v>2526.335</v>
      </c>
      <c r="U173" s="321" t="s">
        <v>758</v>
      </c>
      <c r="V173" s="321" t="s">
        <v>12</v>
      </c>
      <c r="W173" s="321" t="s">
        <v>491</v>
      </c>
      <c r="X173" s="321"/>
    </row>
    <row r="174" spans="2:24" ht="15" customHeight="1" x14ac:dyDescent="0.2">
      <c r="B174" s="211" t="s">
        <v>76</v>
      </c>
      <c r="C174" s="75" t="s">
        <v>762</v>
      </c>
      <c r="D174" s="320" t="s">
        <v>763</v>
      </c>
      <c r="E174" s="321" t="s">
        <v>229</v>
      </c>
      <c r="F174" s="320" t="s">
        <v>355</v>
      </c>
      <c r="G174" s="321" t="s">
        <v>766</v>
      </c>
      <c r="H174" s="322" t="s">
        <v>728</v>
      </c>
      <c r="I174" s="75" t="s">
        <v>204</v>
      </c>
      <c r="J174" s="322">
        <v>61.91</v>
      </c>
      <c r="K174" s="75" t="s">
        <v>153</v>
      </c>
      <c r="L174" s="345">
        <v>45</v>
      </c>
      <c r="M174" s="323">
        <f t="shared" si="10"/>
        <v>2785.95</v>
      </c>
      <c r="N174" s="324">
        <v>0</v>
      </c>
      <c r="O174" s="325">
        <f t="shared" si="11"/>
        <v>0</v>
      </c>
      <c r="P174" s="324">
        <v>0.16</v>
      </c>
      <c r="Q174" s="227">
        <f t="shared" si="12"/>
        <v>445.75199999999995</v>
      </c>
      <c r="R174" s="227">
        <f t="shared" si="13"/>
        <v>3231.7019999999998</v>
      </c>
      <c r="S174" s="229">
        <f>INDEX('Glosario Partidas'!$M$8:$M$10,MATCH(K174,'Glosario Partidas'!$L$8:$L$10,0))</f>
        <v>17.5</v>
      </c>
      <c r="T174" s="227">
        <f t="shared" si="14"/>
        <v>56554.784999999996</v>
      </c>
      <c r="U174" s="321" t="s">
        <v>758</v>
      </c>
      <c r="V174" s="321" t="s">
        <v>12</v>
      </c>
      <c r="W174" s="321" t="s">
        <v>491</v>
      </c>
      <c r="X174" s="321"/>
    </row>
    <row r="175" spans="2:24" ht="15" customHeight="1" x14ac:dyDescent="0.2">
      <c r="B175" s="211" t="s">
        <v>76</v>
      </c>
      <c r="C175" s="75" t="s">
        <v>751</v>
      </c>
      <c r="D175" s="320" t="s">
        <v>763</v>
      </c>
      <c r="E175" s="321" t="s">
        <v>229</v>
      </c>
      <c r="F175" s="320" t="s">
        <v>355</v>
      </c>
      <c r="G175" s="321" t="s">
        <v>766</v>
      </c>
      <c r="H175" s="322" t="s">
        <v>728</v>
      </c>
      <c r="I175" s="75" t="s">
        <v>204</v>
      </c>
      <c r="J175" s="322">
        <v>65.94</v>
      </c>
      <c r="K175" s="75" t="s">
        <v>153</v>
      </c>
      <c r="L175" s="345">
        <v>40</v>
      </c>
      <c r="M175" s="323">
        <f t="shared" si="10"/>
        <v>2637.6</v>
      </c>
      <c r="N175" s="324">
        <v>0</v>
      </c>
      <c r="O175" s="325">
        <f t="shared" si="11"/>
        <v>0</v>
      </c>
      <c r="P175" s="324">
        <v>0.16</v>
      </c>
      <c r="Q175" s="227">
        <f t="shared" si="12"/>
        <v>422.01600000000002</v>
      </c>
      <c r="R175" s="227">
        <f t="shared" si="13"/>
        <v>3059.616</v>
      </c>
      <c r="S175" s="229">
        <f>INDEX('Glosario Partidas'!$M$8:$M$10,MATCH(K175,'Glosario Partidas'!$L$8:$L$10,0))</f>
        <v>17.5</v>
      </c>
      <c r="T175" s="227">
        <f t="shared" si="14"/>
        <v>53543.28</v>
      </c>
      <c r="U175" s="321" t="s">
        <v>758</v>
      </c>
      <c r="V175" s="321" t="s">
        <v>12</v>
      </c>
      <c r="W175" s="321" t="s">
        <v>491</v>
      </c>
      <c r="X175" s="321"/>
    </row>
    <row r="176" spans="2:24" ht="15" customHeight="1" x14ac:dyDescent="0.2">
      <c r="B176" s="211" t="s">
        <v>76</v>
      </c>
      <c r="C176" s="75" t="s">
        <v>752</v>
      </c>
      <c r="D176" s="320" t="s">
        <v>763</v>
      </c>
      <c r="E176" s="321" t="s">
        <v>229</v>
      </c>
      <c r="F176" s="320" t="s">
        <v>355</v>
      </c>
      <c r="G176" s="321" t="s">
        <v>766</v>
      </c>
      <c r="H176" s="322" t="s">
        <v>728</v>
      </c>
      <c r="I176" s="75" t="s">
        <v>204</v>
      </c>
      <c r="J176" s="322">
        <v>70.38</v>
      </c>
      <c r="K176" s="75" t="s">
        <v>153</v>
      </c>
      <c r="L176" s="345">
        <v>55</v>
      </c>
      <c r="M176" s="323">
        <f t="shared" si="10"/>
        <v>3870.8999999999996</v>
      </c>
      <c r="N176" s="324">
        <v>0</v>
      </c>
      <c r="O176" s="325">
        <f t="shared" si="11"/>
        <v>0</v>
      </c>
      <c r="P176" s="324">
        <v>0.16</v>
      </c>
      <c r="Q176" s="227">
        <f t="shared" si="12"/>
        <v>619.34399999999994</v>
      </c>
      <c r="R176" s="227">
        <f t="shared" si="13"/>
        <v>4490.2439999999997</v>
      </c>
      <c r="S176" s="229">
        <f>INDEX('Glosario Partidas'!$M$8:$M$10,MATCH(K176,'Glosario Partidas'!$L$8:$L$10,0))</f>
        <v>17.5</v>
      </c>
      <c r="T176" s="227">
        <f t="shared" si="14"/>
        <v>78579.26999999999</v>
      </c>
      <c r="U176" s="321" t="s">
        <v>758</v>
      </c>
      <c r="V176" s="321" t="s">
        <v>12</v>
      </c>
      <c r="W176" s="321" t="s">
        <v>491</v>
      </c>
      <c r="X176" s="321"/>
    </row>
    <row r="177" spans="2:24" ht="15" customHeight="1" x14ac:dyDescent="0.2">
      <c r="B177" s="211" t="s">
        <v>76</v>
      </c>
      <c r="C177" s="75" t="s">
        <v>632</v>
      </c>
      <c r="D177" s="320" t="s">
        <v>763</v>
      </c>
      <c r="E177" s="321" t="s">
        <v>229</v>
      </c>
      <c r="F177" s="320" t="s">
        <v>355</v>
      </c>
      <c r="G177" s="321" t="s">
        <v>766</v>
      </c>
      <c r="H177" s="322" t="s">
        <v>728</v>
      </c>
      <c r="I177" s="75" t="s">
        <v>204</v>
      </c>
      <c r="J177" s="322">
        <v>64.239999999999995</v>
      </c>
      <c r="K177" s="75" t="s">
        <v>153</v>
      </c>
      <c r="L177" s="345">
        <v>5</v>
      </c>
      <c r="M177" s="323">
        <f t="shared" si="10"/>
        <v>321.2</v>
      </c>
      <c r="N177" s="324">
        <v>0</v>
      </c>
      <c r="O177" s="325">
        <f t="shared" si="11"/>
        <v>0</v>
      </c>
      <c r="P177" s="324">
        <v>0.16</v>
      </c>
      <c r="Q177" s="227">
        <f t="shared" si="12"/>
        <v>51.391999999999996</v>
      </c>
      <c r="R177" s="227">
        <f t="shared" si="13"/>
        <v>372.59199999999998</v>
      </c>
      <c r="S177" s="229">
        <f>INDEX('Glosario Partidas'!$M$8:$M$10,MATCH(K177,'Glosario Partidas'!$L$8:$L$10,0))</f>
        <v>17.5</v>
      </c>
      <c r="T177" s="227">
        <f t="shared" si="14"/>
        <v>6520.36</v>
      </c>
      <c r="U177" s="321" t="s">
        <v>758</v>
      </c>
      <c r="V177" s="321" t="s">
        <v>12</v>
      </c>
      <c r="W177" s="321" t="s">
        <v>491</v>
      </c>
      <c r="X177" s="321"/>
    </row>
    <row r="178" spans="2:24" ht="15" customHeight="1" x14ac:dyDescent="0.2">
      <c r="B178" s="211" t="s">
        <v>76</v>
      </c>
      <c r="C178" s="75" t="s">
        <v>764</v>
      </c>
      <c r="D178" s="320" t="s">
        <v>763</v>
      </c>
      <c r="E178" s="321" t="s">
        <v>229</v>
      </c>
      <c r="F178" s="320" t="s">
        <v>355</v>
      </c>
      <c r="G178" s="321" t="s">
        <v>766</v>
      </c>
      <c r="H178" s="322" t="s">
        <v>728</v>
      </c>
      <c r="I178" s="75" t="s">
        <v>204</v>
      </c>
      <c r="J178" s="322">
        <v>6.07</v>
      </c>
      <c r="K178" s="75" t="s">
        <v>153</v>
      </c>
      <c r="L178" s="345">
        <v>40</v>
      </c>
      <c r="M178" s="323">
        <f t="shared" si="10"/>
        <v>242.8</v>
      </c>
      <c r="N178" s="324">
        <v>0</v>
      </c>
      <c r="O178" s="325">
        <f t="shared" si="11"/>
        <v>0</v>
      </c>
      <c r="P178" s="324">
        <v>0.16</v>
      </c>
      <c r="Q178" s="227">
        <f t="shared" si="12"/>
        <v>38.848000000000006</v>
      </c>
      <c r="R178" s="227">
        <f t="shared" si="13"/>
        <v>281.64800000000002</v>
      </c>
      <c r="S178" s="229">
        <f>INDEX('Glosario Partidas'!$M$8:$M$10,MATCH(K178,'Glosario Partidas'!$L$8:$L$10,0))</f>
        <v>17.5</v>
      </c>
      <c r="T178" s="227">
        <f t="shared" si="14"/>
        <v>4928.84</v>
      </c>
      <c r="U178" s="321" t="s">
        <v>758</v>
      </c>
      <c r="V178" s="321" t="s">
        <v>12</v>
      </c>
      <c r="W178" s="321" t="s">
        <v>491</v>
      </c>
      <c r="X178" s="321"/>
    </row>
    <row r="179" spans="2:24" ht="15" customHeight="1" x14ac:dyDescent="0.2">
      <c r="B179" s="211" t="s">
        <v>76</v>
      </c>
      <c r="C179" s="75" t="s">
        <v>726</v>
      </c>
      <c r="D179" s="320" t="s">
        <v>753</v>
      </c>
      <c r="E179" s="321" t="s">
        <v>229</v>
      </c>
      <c r="F179" s="320" t="s">
        <v>354</v>
      </c>
      <c r="G179" s="321" t="s">
        <v>713</v>
      </c>
      <c r="H179" s="322" t="s">
        <v>728</v>
      </c>
      <c r="I179" s="75" t="s">
        <v>204</v>
      </c>
      <c r="J179" s="322">
        <v>25.96</v>
      </c>
      <c r="K179" s="75" t="s">
        <v>153</v>
      </c>
      <c r="L179" s="345">
        <v>55</v>
      </c>
      <c r="M179" s="323">
        <f t="shared" si="10"/>
        <v>1427.8</v>
      </c>
      <c r="N179" s="324">
        <v>0</v>
      </c>
      <c r="O179" s="325">
        <f t="shared" si="11"/>
        <v>0</v>
      </c>
      <c r="P179" s="324">
        <v>0.16</v>
      </c>
      <c r="Q179" s="227">
        <f t="shared" si="12"/>
        <v>228.44800000000001</v>
      </c>
      <c r="R179" s="227">
        <f t="shared" si="13"/>
        <v>1656.248</v>
      </c>
      <c r="S179" s="229">
        <f>INDEX('Glosario Partidas'!$M$8:$M$10,MATCH(K179,'Glosario Partidas'!$L$8:$L$10,0))</f>
        <v>17.5</v>
      </c>
      <c r="T179" s="227">
        <f t="shared" si="14"/>
        <v>28984.34</v>
      </c>
      <c r="U179" s="321" t="s">
        <v>754</v>
      </c>
      <c r="V179" s="321" t="s">
        <v>12</v>
      </c>
      <c r="W179" s="321" t="s">
        <v>491</v>
      </c>
      <c r="X179" s="321"/>
    </row>
    <row r="180" spans="2:24" ht="15" customHeight="1" x14ac:dyDescent="0.2">
      <c r="B180" s="211" t="s">
        <v>76</v>
      </c>
      <c r="C180" s="75" t="s">
        <v>730</v>
      </c>
      <c r="D180" s="320" t="s">
        <v>753</v>
      </c>
      <c r="E180" s="321" t="s">
        <v>229</v>
      </c>
      <c r="F180" s="320" t="s">
        <v>354</v>
      </c>
      <c r="G180" s="321" t="s">
        <v>713</v>
      </c>
      <c r="H180" s="322" t="s">
        <v>728</v>
      </c>
      <c r="I180" s="75" t="s">
        <v>204</v>
      </c>
      <c r="J180" s="322">
        <v>31.7</v>
      </c>
      <c r="K180" s="75" t="s">
        <v>153</v>
      </c>
      <c r="L180" s="345">
        <v>55</v>
      </c>
      <c r="M180" s="323">
        <f t="shared" si="10"/>
        <v>1743.5</v>
      </c>
      <c r="N180" s="324">
        <v>0</v>
      </c>
      <c r="O180" s="325">
        <f t="shared" si="11"/>
        <v>0</v>
      </c>
      <c r="P180" s="324">
        <v>0.16</v>
      </c>
      <c r="Q180" s="227">
        <f t="shared" si="12"/>
        <v>278.95999999999998</v>
      </c>
      <c r="R180" s="227">
        <f t="shared" si="13"/>
        <v>2022.46</v>
      </c>
      <c r="S180" s="229">
        <f>INDEX('Glosario Partidas'!$M$8:$M$10,MATCH(K180,'Glosario Partidas'!$L$8:$L$10,0))</f>
        <v>17.5</v>
      </c>
      <c r="T180" s="227">
        <f t="shared" si="14"/>
        <v>35393.050000000003</v>
      </c>
      <c r="U180" s="321" t="s">
        <v>754</v>
      </c>
      <c r="V180" s="321" t="s">
        <v>12</v>
      </c>
      <c r="W180" s="321" t="s">
        <v>491</v>
      </c>
      <c r="X180" s="321"/>
    </row>
    <row r="181" spans="2:24" ht="15" customHeight="1" x14ac:dyDescent="0.2">
      <c r="B181" s="211" t="s">
        <v>76</v>
      </c>
      <c r="C181" s="75" t="s">
        <v>731</v>
      </c>
      <c r="D181" s="320" t="s">
        <v>753</v>
      </c>
      <c r="E181" s="321" t="s">
        <v>229</v>
      </c>
      <c r="F181" s="320" t="s">
        <v>354</v>
      </c>
      <c r="G181" s="321" t="s">
        <v>713</v>
      </c>
      <c r="H181" s="322" t="s">
        <v>728</v>
      </c>
      <c r="I181" s="75" t="s">
        <v>204</v>
      </c>
      <c r="J181" s="322">
        <v>2.2799999999999998</v>
      </c>
      <c r="K181" s="75" t="s">
        <v>153</v>
      </c>
      <c r="L181" s="345">
        <v>40</v>
      </c>
      <c r="M181" s="323">
        <f t="shared" si="10"/>
        <v>91.199999999999989</v>
      </c>
      <c r="N181" s="324">
        <v>0</v>
      </c>
      <c r="O181" s="325">
        <f t="shared" si="11"/>
        <v>0</v>
      </c>
      <c r="P181" s="324">
        <v>0.16</v>
      </c>
      <c r="Q181" s="227">
        <f t="shared" si="12"/>
        <v>14.591999999999999</v>
      </c>
      <c r="R181" s="227">
        <f t="shared" si="13"/>
        <v>105.79199999999999</v>
      </c>
      <c r="S181" s="229">
        <f>INDEX('Glosario Partidas'!$M$8:$M$10,MATCH(K181,'Glosario Partidas'!$L$8:$L$10,0))</f>
        <v>17.5</v>
      </c>
      <c r="T181" s="227">
        <f t="shared" si="14"/>
        <v>1851.3599999999997</v>
      </c>
      <c r="U181" s="321" t="s">
        <v>754</v>
      </c>
      <c r="V181" s="321" t="s">
        <v>12</v>
      </c>
      <c r="W181" s="321" t="s">
        <v>491</v>
      </c>
      <c r="X181" s="321"/>
    </row>
    <row r="182" spans="2:24" ht="15" customHeight="1" x14ac:dyDescent="0.2">
      <c r="B182" s="211" t="s">
        <v>76</v>
      </c>
      <c r="C182" s="75" t="s">
        <v>732</v>
      </c>
      <c r="D182" s="320" t="s">
        <v>753</v>
      </c>
      <c r="E182" s="321" t="s">
        <v>229</v>
      </c>
      <c r="F182" s="320" t="s">
        <v>354</v>
      </c>
      <c r="G182" s="321" t="s">
        <v>713</v>
      </c>
      <c r="H182" s="322" t="s">
        <v>728</v>
      </c>
      <c r="I182" s="75" t="s">
        <v>204</v>
      </c>
      <c r="J182" s="322">
        <v>3.62</v>
      </c>
      <c r="K182" s="75" t="s">
        <v>153</v>
      </c>
      <c r="L182" s="345">
        <v>55</v>
      </c>
      <c r="M182" s="323">
        <f t="shared" si="10"/>
        <v>199.1</v>
      </c>
      <c r="N182" s="324">
        <v>0</v>
      </c>
      <c r="O182" s="325">
        <f t="shared" si="11"/>
        <v>0</v>
      </c>
      <c r="P182" s="324">
        <v>0.16</v>
      </c>
      <c r="Q182" s="227">
        <f t="shared" si="12"/>
        <v>31.855999999999998</v>
      </c>
      <c r="R182" s="227">
        <f t="shared" si="13"/>
        <v>230.95599999999999</v>
      </c>
      <c r="S182" s="229">
        <f>INDEX('Glosario Partidas'!$M$8:$M$10,MATCH(K182,'Glosario Partidas'!$L$8:$L$10,0))</f>
        <v>17.5</v>
      </c>
      <c r="T182" s="227">
        <f t="shared" si="14"/>
        <v>4041.73</v>
      </c>
      <c r="U182" s="321" t="s">
        <v>754</v>
      </c>
      <c r="V182" s="321" t="s">
        <v>12</v>
      </c>
      <c r="W182" s="321" t="s">
        <v>491</v>
      </c>
      <c r="X182" s="321"/>
    </row>
    <row r="183" spans="2:24" ht="15" customHeight="1" x14ac:dyDescent="0.2">
      <c r="B183" s="211" t="s">
        <v>76</v>
      </c>
      <c r="C183" s="75" t="s">
        <v>733</v>
      </c>
      <c r="D183" s="320" t="s">
        <v>753</v>
      </c>
      <c r="E183" s="321" t="s">
        <v>229</v>
      </c>
      <c r="F183" s="320" t="s">
        <v>354</v>
      </c>
      <c r="G183" s="321" t="s">
        <v>713</v>
      </c>
      <c r="H183" s="322" t="s">
        <v>728</v>
      </c>
      <c r="I183" s="75" t="s">
        <v>204</v>
      </c>
      <c r="J183" s="322">
        <v>2.54</v>
      </c>
      <c r="K183" s="75" t="s">
        <v>153</v>
      </c>
      <c r="L183" s="345">
        <v>5</v>
      </c>
      <c r="M183" s="323">
        <f t="shared" si="10"/>
        <v>12.7</v>
      </c>
      <c r="N183" s="324">
        <v>0</v>
      </c>
      <c r="O183" s="325">
        <f t="shared" si="11"/>
        <v>0</v>
      </c>
      <c r="P183" s="324">
        <v>0.16</v>
      </c>
      <c r="Q183" s="227">
        <f t="shared" si="12"/>
        <v>2.032</v>
      </c>
      <c r="R183" s="227">
        <f t="shared" si="13"/>
        <v>14.731999999999999</v>
      </c>
      <c r="S183" s="229">
        <f>INDEX('Glosario Partidas'!$M$8:$M$10,MATCH(K183,'Glosario Partidas'!$L$8:$L$10,0))</f>
        <v>17.5</v>
      </c>
      <c r="T183" s="227">
        <f t="shared" si="14"/>
        <v>257.81</v>
      </c>
      <c r="U183" s="321" t="s">
        <v>754</v>
      </c>
      <c r="V183" s="321" t="s">
        <v>12</v>
      </c>
      <c r="W183" s="321" t="s">
        <v>491</v>
      </c>
      <c r="X183" s="321"/>
    </row>
    <row r="184" spans="2:24" ht="15" customHeight="1" x14ac:dyDescent="0.2">
      <c r="B184" s="211" t="s">
        <v>76</v>
      </c>
      <c r="C184" s="75" t="s">
        <v>735</v>
      </c>
      <c r="D184" s="320" t="s">
        <v>753</v>
      </c>
      <c r="E184" s="321" t="s">
        <v>229</v>
      </c>
      <c r="F184" s="320" t="s">
        <v>354</v>
      </c>
      <c r="G184" s="321" t="s">
        <v>713</v>
      </c>
      <c r="H184" s="322" t="s">
        <v>728</v>
      </c>
      <c r="I184" s="75" t="s">
        <v>204</v>
      </c>
      <c r="J184" s="322">
        <v>26.61</v>
      </c>
      <c r="K184" s="75" t="s">
        <v>153</v>
      </c>
      <c r="L184" s="345">
        <v>75</v>
      </c>
      <c r="M184" s="323">
        <f t="shared" si="10"/>
        <v>1995.75</v>
      </c>
      <c r="N184" s="324">
        <v>0</v>
      </c>
      <c r="O184" s="325">
        <f t="shared" si="11"/>
        <v>0</v>
      </c>
      <c r="P184" s="324">
        <v>0.16</v>
      </c>
      <c r="Q184" s="227">
        <f t="shared" si="12"/>
        <v>319.32</v>
      </c>
      <c r="R184" s="227">
        <f t="shared" si="13"/>
        <v>2315.0700000000002</v>
      </c>
      <c r="S184" s="229">
        <f>INDEX('Glosario Partidas'!$M$8:$M$10,MATCH(K184,'Glosario Partidas'!$L$8:$L$10,0))</f>
        <v>17.5</v>
      </c>
      <c r="T184" s="227">
        <f t="shared" si="14"/>
        <v>40513.725000000006</v>
      </c>
      <c r="U184" s="321" t="s">
        <v>754</v>
      </c>
      <c r="V184" s="321" t="s">
        <v>12</v>
      </c>
      <c r="W184" s="321" t="s">
        <v>491</v>
      </c>
      <c r="X184" s="321"/>
    </row>
    <row r="185" spans="2:24" ht="15" customHeight="1" x14ac:dyDescent="0.2">
      <c r="B185" s="211" t="s">
        <v>76</v>
      </c>
      <c r="C185" s="75" t="s">
        <v>736</v>
      </c>
      <c r="D185" s="320" t="s">
        <v>753</v>
      </c>
      <c r="E185" s="321" t="s">
        <v>229</v>
      </c>
      <c r="F185" s="320" t="s">
        <v>354</v>
      </c>
      <c r="G185" s="321" t="s">
        <v>713</v>
      </c>
      <c r="H185" s="322" t="s">
        <v>728</v>
      </c>
      <c r="I185" s="75" t="s">
        <v>204</v>
      </c>
      <c r="J185" s="322">
        <v>52.09</v>
      </c>
      <c r="K185" s="75" t="s">
        <v>153</v>
      </c>
      <c r="L185" s="345">
        <v>85</v>
      </c>
      <c r="M185" s="323">
        <f t="shared" si="10"/>
        <v>4427.6500000000005</v>
      </c>
      <c r="N185" s="324">
        <v>0</v>
      </c>
      <c r="O185" s="325">
        <f t="shared" si="11"/>
        <v>0</v>
      </c>
      <c r="P185" s="324">
        <v>0.16</v>
      </c>
      <c r="Q185" s="227">
        <f t="shared" si="12"/>
        <v>708.42400000000009</v>
      </c>
      <c r="R185" s="227">
        <f t="shared" si="13"/>
        <v>5136.0740000000005</v>
      </c>
      <c r="S185" s="229">
        <f>INDEX('Glosario Partidas'!$M$8:$M$10,MATCH(K185,'Glosario Partidas'!$L$8:$L$10,0))</f>
        <v>17.5</v>
      </c>
      <c r="T185" s="227">
        <f t="shared" si="14"/>
        <v>89881.295000000013</v>
      </c>
      <c r="U185" s="321" t="s">
        <v>754</v>
      </c>
      <c r="V185" s="321" t="s">
        <v>12</v>
      </c>
      <c r="W185" s="321" t="s">
        <v>491</v>
      </c>
      <c r="X185" s="321"/>
    </row>
    <row r="186" spans="2:24" ht="15" customHeight="1" x14ac:dyDescent="0.2">
      <c r="B186" s="211" t="s">
        <v>76</v>
      </c>
      <c r="C186" s="75" t="s">
        <v>737</v>
      </c>
      <c r="D186" s="320" t="s">
        <v>753</v>
      </c>
      <c r="E186" s="321" t="s">
        <v>229</v>
      </c>
      <c r="F186" s="320" t="s">
        <v>354</v>
      </c>
      <c r="G186" s="321" t="s">
        <v>713</v>
      </c>
      <c r="H186" s="322" t="s">
        <v>728</v>
      </c>
      <c r="I186" s="75" t="s">
        <v>204</v>
      </c>
      <c r="J186" s="322">
        <v>31.64</v>
      </c>
      <c r="K186" s="75" t="s">
        <v>153</v>
      </c>
      <c r="L186" s="345">
        <v>75</v>
      </c>
      <c r="M186" s="323">
        <f t="shared" si="10"/>
        <v>2373</v>
      </c>
      <c r="N186" s="324">
        <v>0</v>
      </c>
      <c r="O186" s="325">
        <f t="shared" si="11"/>
        <v>0</v>
      </c>
      <c r="P186" s="324">
        <v>0.16</v>
      </c>
      <c r="Q186" s="227">
        <f t="shared" si="12"/>
        <v>379.68</v>
      </c>
      <c r="R186" s="227">
        <f t="shared" si="13"/>
        <v>2752.68</v>
      </c>
      <c r="S186" s="229">
        <f>INDEX('Glosario Partidas'!$M$8:$M$10,MATCH(K186,'Glosario Partidas'!$L$8:$L$10,0))</f>
        <v>17.5</v>
      </c>
      <c r="T186" s="227">
        <f t="shared" si="14"/>
        <v>48171.899999999994</v>
      </c>
      <c r="U186" s="321" t="s">
        <v>754</v>
      </c>
      <c r="V186" s="321" t="s">
        <v>12</v>
      </c>
      <c r="W186" s="321" t="s">
        <v>491</v>
      </c>
      <c r="X186" s="321"/>
    </row>
    <row r="187" spans="2:24" ht="15" customHeight="1" x14ac:dyDescent="0.2">
      <c r="B187" s="211" t="s">
        <v>76</v>
      </c>
      <c r="C187" s="75" t="s">
        <v>738</v>
      </c>
      <c r="D187" s="320" t="s">
        <v>753</v>
      </c>
      <c r="E187" s="321" t="s">
        <v>229</v>
      </c>
      <c r="F187" s="320" t="s">
        <v>354</v>
      </c>
      <c r="G187" s="321" t="s">
        <v>713</v>
      </c>
      <c r="H187" s="322" t="s">
        <v>728</v>
      </c>
      <c r="I187" s="75" t="s">
        <v>204</v>
      </c>
      <c r="J187" s="322">
        <v>16.47</v>
      </c>
      <c r="K187" s="75" t="s">
        <v>153</v>
      </c>
      <c r="L187" s="345">
        <v>65</v>
      </c>
      <c r="M187" s="323">
        <f t="shared" si="10"/>
        <v>1070.55</v>
      </c>
      <c r="N187" s="324">
        <v>0</v>
      </c>
      <c r="O187" s="325">
        <f t="shared" si="11"/>
        <v>0</v>
      </c>
      <c r="P187" s="324">
        <v>0.16</v>
      </c>
      <c r="Q187" s="227">
        <f t="shared" si="12"/>
        <v>171.28799999999998</v>
      </c>
      <c r="R187" s="227">
        <f t="shared" si="13"/>
        <v>1241.838</v>
      </c>
      <c r="S187" s="229">
        <f>INDEX('Glosario Partidas'!$M$8:$M$10,MATCH(K187,'Glosario Partidas'!$L$8:$L$10,0))</f>
        <v>17.5</v>
      </c>
      <c r="T187" s="227">
        <f t="shared" si="14"/>
        <v>21732.165000000001</v>
      </c>
      <c r="U187" s="321" t="s">
        <v>754</v>
      </c>
      <c r="V187" s="321" t="s">
        <v>12</v>
      </c>
      <c r="W187" s="321" t="s">
        <v>491</v>
      </c>
      <c r="X187" s="321"/>
    </row>
    <row r="188" spans="2:24" ht="15" customHeight="1" x14ac:dyDescent="0.2">
      <c r="B188" s="211" t="s">
        <v>76</v>
      </c>
      <c r="C188" s="75" t="s">
        <v>739</v>
      </c>
      <c r="D188" s="320" t="s">
        <v>753</v>
      </c>
      <c r="E188" s="321" t="s">
        <v>229</v>
      </c>
      <c r="F188" s="320" t="s">
        <v>354</v>
      </c>
      <c r="G188" s="321" t="s">
        <v>713</v>
      </c>
      <c r="H188" s="322" t="s">
        <v>728</v>
      </c>
      <c r="I188" s="75" t="s">
        <v>204</v>
      </c>
      <c r="J188" s="322">
        <v>6.85</v>
      </c>
      <c r="K188" s="75" t="s">
        <v>153</v>
      </c>
      <c r="L188" s="345">
        <v>70</v>
      </c>
      <c r="M188" s="323">
        <f t="shared" si="10"/>
        <v>479.5</v>
      </c>
      <c r="N188" s="324">
        <v>0</v>
      </c>
      <c r="O188" s="325">
        <f t="shared" si="11"/>
        <v>0</v>
      </c>
      <c r="P188" s="324">
        <v>0.16</v>
      </c>
      <c r="Q188" s="227">
        <f t="shared" si="12"/>
        <v>76.72</v>
      </c>
      <c r="R188" s="227">
        <f t="shared" si="13"/>
        <v>556.22</v>
      </c>
      <c r="S188" s="229">
        <f>INDEX('Glosario Partidas'!$M$8:$M$10,MATCH(K188,'Glosario Partidas'!$L$8:$L$10,0))</f>
        <v>17.5</v>
      </c>
      <c r="T188" s="227">
        <f t="shared" si="14"/>
        <v>9733.85</v>
      </c>
      <c r="U188" s="321" t="s">
        <v>754</v>
      </c>
      <c r="V188" s="321" t="s">
        <v>12</v>
      </c>
      <c r="W188" s="321" t="s">
        <v>491</v>
      </c>
      <c r="X188" s="321"/>
    </row>
    <row r="189" spans="2:24" ht="15" customHeight="1" x14ac:dyDescent="0.2">
      <c r="B189" s="211" t="s">
        <v>76</v>
      </c>
      <c r="C189" s="75" t="s">
        <v>740</v>
      </c>
      <c r="D189" s="320" t="s">
        <v>753</v>
      </c>
      <c r="E189" s="321" t="s">
        <v>229</v>
      </c>
      <c r="F189" s="320" t="s">
        <v>354</v>
      </c>
      <c r="G189" s="321" t="s">
        <v>713</v>
      </c>
      <c r="H189" s="322" t="s">
        <v>728</v>
      </c>
      <c r="I189" s="75" t="s">
        <v>204</v>
      </c>
      <c r="J189" s="322">
        <v>31.77</v>
      </c>
      <c r="K189" s="75" t="s">
        <v>153</v>
      </c>
      <c r="L189" s="345">
        <v>75</v>
      </c>
      <c r="M189" s="323">
        <f t="shared" si="10"/>
        <v>2382.75</v>
      </c>
      <c r="N189" s="324">
        <v>0</v>
      </c>
      <c r="O189" s="325">
        <f t="shared" si="11"/>
        <v>0</v>
      </c>
      <c r="P189" s="324">
        <v>0.16</v>
      </c>
      <c r="Q189" s="227">
        <f t="shared" si="12"/>
        <v>381.24</v>
      </c>
      <c r="R189" s="227">
        <f t="shared" si="13"/>
        <v>2763.99</v>
      </c>
      <c r="S189" s="229">
        <f>INDEX('Glosario Partidas'!$M$8:$M$10,MATCH(K189,'Glosario Partidas'!$L$8:$L$10,0))</f>
        <v>17.5</v>
      </c>
      <c r="T189" s="227">
        <f t="shared" si="14"/>
        <v>48369.824999999997</v>
      </c>
      <c r="U189" s="321" t="s">
        <v>754</v>
      </c>
      <c r="V189" s="321" t="s">
        <v>12</v>
      </c>
      <c r="W189" s="321" t="s">
        <v>491</v>
      </c>
      <c r="X189" s="321"/>
    </row>
    <row r="190" spans="2:24" ht="15" customHeight="1" x14ac:dyDescent="0.2">
      <c r="B190" s="211" t="s">
        <v>76</v>
      </c>
      <c r="C190" s="75" t="s">
        <v>741</v>
      </c>
      <c r="D190" s="320" t="s">
        <v>753</v>
      </c>
      <c r="E190" s="321" t="s">
        <v>229</v>
      </c>
      <c r="F190" s="320" t="s">
        <v>354</v>
      </c>
      <c r="G190" s="321" t="s">
        <v>713</v>
      </c>
      <c r="H190" s="322" t="s">
        <v>728</v>
      </c>
      <c r="I190" s="75" t="s">
        <v>204</v>
      </c>
      <c r="J190" s="322">
        <v>16.53</v>
      </c>
      <c r="K190" s="75" t="s">
        <v>153</v>
      </c>
      <c r="L190" s="345">
        <v>65</v>
      </c>
      <c r="M190" s="323">
        <f t="shared" si="10"/>
        <v>1074.45</v>
      </c>
      <c r="N190" s="324">
        <v>0</v>
      </c>
      <c r="O190" s="325">
        <f t="shared" si="11"/>
        <v>0</v>
      </c>
      <c r="P190" s="324">
        <v>0.16</v>
      </c>
      <c r="Q190" s="227">
        <f t="shared" si="12"/>
        <v>171.91200000000001</v>
      </c>
      <c r="R190" s="227">
        <f t="shared" si="13"/>
        <v>1246.3620000000001</v>
      </c>
      <c r="S190" s="229">
        <f>INDEX('Glosario Partidas'!$M$8:$M$10,MATCH(K190,'Glosario Partidas'!$L$8:$L$10,0))</f>
        <v>17.5</v>
      </c>
      <c r="T190" s="227">
        <f t="shared" si="14"/>
        <v>21811.335000000003</v>
      </c>
      <c r="U190" s="321" t="s">
        <v>754</v>
      </c>
      <c r="V190" s="321" t="s">
        <v>12</v>
      </c>
      <c r="W190" s="321" t="s">
        <v>491</v>
      </c>
      <c r="X190" s="321"/>
    </row>
    <row r="191" spans="2:24" ht="15" customHeight="1" x14ac:dyDescent="0.2">
      <c r="B191" s="211" t="s">
        <v>76</v>
      </c>
      <c r="C191" s="75" t="s">
        <v>742</v>
      </c>
      <c r="D191" s="320" t="s">
        <v>753</v>
      </c>
      <c r="E191" s="321" t="s">
        <v>229</v>
      </c>
      <c r="F191" s="320" t="s">
        <v>354</v>
      </c>
      <c r="G191" s="321" t="s">
        <v>713</v>
      </c>
      <c r="H191" s="322" t="s">
        <v>728</v>
      </c>
      <c r="I191" s="75" t="s">
        <v>204</v>
      </c>
      <c r="J191" s="322">
        <v>5.0599999999999996</v>
      </c>
      <c r="K191" s="75" t="s">
        <v>153</v>
      </c>
      <c r="L191" s="345">
        <v>70</v>
      </c>
      <c r="M191" s="323">
        <f t="shared" si="10"/>
        <v>354.2</v>
      </c>
      <c r="N191" s="324">
        <v>0</v>
      </c>
      <c r="O191" s="325">
        <f t="shared" si="11"/>
        <v>0</v>
      </c>
      <c r="P191" s="324">
        <v>0.16</v>
      </c>
      <c r="Q191" s="227">
        <f t="shared" si="12"/>
        <v>56.671999999999997</v>
      </c>
      <c r="R191" s="227">
        <f t="shared" si="13"/>
        <v>410.87199999999996</v>
      </c>
      <c r="S191" s="229">
        <f>INDEX('Glosario Partidas'!$M$8:$M$10,MATCH(K191,'Glosario Partidas'!$L$8:$L$10,0))</f>
        <v>17.5</v>
      </c>
      <c r="T191" s="227">
        <f t="shared" si="14"/>
        <v>7190.2599999999993</v>
      </c>
      <c r="U191" s="321" t="s">
        <v>754</v>
      </c>
      <c r="V191" s="321" t="s">
        <v>12</v>
      </c>
      <c r="W191" s="321" t="s">
        <v>491</v>
      </c>
      <c r="X191" s="321"/>
    </row>
    <row r="192" spans="2:24" ht="15" customHeight="1" x14ac:dyDescent="0.2">
      <c r="B192" s="211" t="s">
        <v>76</v>
      </c>
      <c r="C192" s="75" t="s">
        <v>743</v>
      </c>
      <c r="D192" s="320" t="s">
        <v>753</v>
      </c>
      <c r="E192" s="321" t="s">
        <v>229</v>
      </c>
      <c r="F192" s="320" t="s">
        <v>354</v>
      </c>
      <c r="G192" s="321" t="s">
        <v>713</v>
      </c>
      <c r="H192" s="322" t="s">
        <v>728</v>
      </c>
      <c r="I192" s="75" t="s">
        <v>204</v>
      </c>
      <c r="J192" s="322">
        <v>27.84</v>
      </c>
      <c r="K192" s="75" t="s">
        <v>153</v>
      </c>
      <c r="L192" s="345">
        <v>75</v>
      </c>
      <c r="M192" s="323">
        <f t="shared" si="10"/>
        <v>2088</v>
      </c>
      <c r="N192" s="324">
        <v>0</v>
      </c>
      <c r="O192" s="325">
        <f t="shared" si="11"/>
        <v>0</v>
      </c>
      <c r="P192" s="324">
        <v>0.16</v>
      </c>
      <c r="Q192" s="227">
        <f t="shared" si="12"/>
        <v>334.08</v>
      </c>
      <c r="R192" s="227">
        <f t="shared" si="13"/>
        <v>2422.08</v>
      </c>
      <c r="S192" s="229">
        <f>INDEX('Glosario Partidas'!$M$8:$M$10,MATCH(K192,'Glosario Partidas'!$L$8:$L$10,0))</f>
        <v>17.5</v>
      </c>
      <c r="T192" s="227">
        <f t="shared" si="14"/>
        <v>42386.400000000001</v>
      </c>
      <c r="U192" s="321" t="s">
        <v>754</v>
      </c>
      <c r="V192" s="321" t="s">
        <v>12</v>
      </c>
      <c r="W192" s="321" t="s">
        <v>491</v>
      </c>
      <c r="X192" s="321"/>
    </row>
    <row r="193" spans="2:29" ht="15" customHeight="1" x14ac:dyDescent="0.2">
      <c r="B193" s="211" t="s">
        <v>76</v>
      </c>
      <c r="C193" s="75" t="s">
        <v>744</v>
      </c>
      <c r="D193" s="320" t="s">
        <v>753</v>
      </c>
      <c r="E193" s="321" t="s">
        <v>229</v>
      </c>
      <c r="F193" s="320" t="s">
        <v>354</v>
      </c>
      <c r="G193" s="321" t="s">
        <v>713</v>
      </c>
      <c r="H193" s="322" t="s">
        <v>728</v>
      </c>
      <c r="I193" s="75" t="s">
        <v>204</v>
      </c>
      <c r="J193" s="322">
        <v>13.82</v>
      </c>
      <c r="K193" s="75" t="s">
        <v>153</v>
      </c>
      <c r="L193" s="345">
        <v>60</v>
      </c>
      <c r="M193" s="323">
        <f t="shared" si="10"/>
        <v>829.2</v>
      </c>
      <c r="N193" s="324">
        <v>0</v>
      </c>
      <c r="O193" s="325">
        <f t="shared" si="11"/>
        <v>0</v>
      </c>
      <c r="P193" s="324">
        <v>0.16</v>
      </c>
      <c r="Q193" s="227">
        <f t="shared" si="12"/>
        <v>132.672</v>
      </c>
      <c r="R193" s="227">
        <f t="shared" si="13"/>
        <v>961.87200000000007</v>
      </c>
      <c r="S193" s="229">
        <f>INDEX('Glosario Partidas'!$M$8:$M$10,MATCH(K193,'Glosario Partidas'!$L$8:$L$10,0))</f>
        <v>17.5</v>
      </c>
      <c r="T193" s="227">
        <f t="shared" si="14"/>
        <v>16832.760000000002</v>
      </c>
      <c r="U193" s="321" t="s">
        <v>754</v>
      </c>
      <c r="V193" s="321" t="s">
        <v>12</v>
      </c>
      <c r="W193" s="321" t="s">
        <v>491</v>
      </c>
      <c r="X193" s="321"/>
    </row>
    <row r="194" spans="2:29" ht="15" customHeight="1" x14ac:dyDescent="0.2">
      <c r="B194" s="211" t="s">
        <v>76</v>
      </c>
      <c r="C194" s="75" t="s">
        <v>745</v>
      </c>
      <c r="D194" s="320" t="s">
        <v>753</v>
      </c>
      <c r="E194" s="321" t="s">
        <v>229</v>
      </c>
      <c r="F194" s="320" t="s">
        <v>354</v>
      </c>
      <c r="G194" s="321" t="s">
        <v>713</v>
      </c>
      <c r="H194" s="322" t="s">
        <v>728</v>
      </c>
      <c r="I194" s="75" t="s">
        <v>204</v>
      </c>
      <c r="J194" s="322">
        <v>29.31</v>
      </c>
      <c r="K194" s="75" t="s">
        <v>153</v>
      </c>
      <c r="L194" s="345">
        <v>75</v>
      </c>
      <c r="M194" s="323">
        <f t="shared" ref="M194:M207" si="15">J194*L194</f>
        <v>2198.25</v>
      </c>
      <c r="N194" s="324">
        <v>0</v>
      </c>
      <c r="O194" s="325">
        <f t="shared" ref="O194:O207" si="16">M194*N194</f>
        <v>0</v>
      </c>
      <c r="P194" s="324">
        <v>0.16</v>
      </c>
      <c r="Q194" s="227">
        <f t="shared" ref="Q194:Q207" si="17">(M194+O194)*P194</f>
        <v>351.72</v>
      </c>
      <c r="R194" s="227">
        <f t="shared" ref="R194:R207" si="18">M194+O194+Q194</f>
        <v>2549.9700000000003</v>
      </c>
      <c r="S194" s="229">
        <f>INDEX('Glosario Partidas'!$M$8:$M$10,MATCH(K194,'Glosario Partidas'!$L$8:$L$10,0))</f>
        <v>17.5</v>
      </c>
      <c r="T194" s="227">
        <f t="shared" ref="T194:T207" si="19">R194*S194</f>
        <v>44624.475000000006</v>
      </c>
      <c r="U194" s="321" t="s">
        <v>754</v>
      </c>
      <c r="V194" s="321" t="s">
        <v>12</v>
      </c>
      <c r="W194" s="321" t="s">
        <v>491</v>
      </c>
      <c r="X194" s="321"/>
    </row>
    <row r="195" spans="2:29" ht="15" customHeight="1" x14ac:dyDescent="0.2">
      <c r="B195" s="211" t="s">
        <v>76</v>
      </c>
      <c r="C195" s="75" t="s">
        <v>746</v>
      </c>
      <c r="D195" s="320" t="s">
        <v>753</v>
      </c>
      <c r="E195" s="321" t="s">
        <v>229</v>
      </c>
      <c r="F195" s="320" t="s">
        <v>354</v>
      </c>
      <c r="G195" s="321" t="s">
        <v>713</v>
      </c>
      <c r="H195" s="322" t="s">
        <v>728</v>
      </c>
      <c r="I195" s="75" t="s">
        <v>204</v>
      </c>
      <c r="J195" s="322">
        <v>13.81</v>
      </c>
      <c r="K195" s="75" t="s">
        <v>153</v>
      </c>
      <c r="L195" s="345">
        <v>60</v>
      </c>
      <c r="M195" s="323">
        <f t="shared" si="15"/>
        <v>828.6</v>
      </c>
      <c r="N195" s="324">
        <v>0</v>
      </c>
      <c r="O195" s="325">
        <f t="shared" si="16"/>
        <v>0</v>
      </c>
      <c r="P195" s="324">
        <v>0.16</v>
      </c>
      <c r="Q195" s="227">
        <f t="shared" si="17"/>
        <v>132.57599999999999</v>
      </c>
      <c r="R195" s="227">
        <f t="shared" si="18"/>
        <v>961.17600000000004</v>
      </c>
      <c r="S195" s="229">
        <f>INDEX('Glosario Partidas'!$M$8:$M$10,MATCH(K195,'Glosario Partidas'!$L$8:$L$10,0))</f>
        <v>17.5</v>
      </c>
      <c r="T195" s="227">
        <f t="shared" si="19"/>
        <v>16820.580000000002</v>
      </c>
      <c r="U195" s="321" t="s">
        <v>754</v>
      </c>
      <c r="V195" s="321" t="s">
        <v>12</v>
      </c>
      <c r="W195" s="321" t="s">
        <v>491</v>
      </c>
      <c r="X195" s="321"/>
    </row>
    <row r="196" spans="2:29" ht="15" customHeight="1" x14ac:dyDescent="0.2">
      <c r="B196" s="211" t="s">
        <v>76</v>
      </c>
      <c r="C196" s="75" t="s">
        <v>750</v>
      </c>
      <c r="D196" s="320" t="s">
        <v>755</v>
      </c>
      <c r="E196" s="321" t="s">
        <v>229</v>
      </c>
      <c r="F196" s="320" t="s">
        <v>354</v>
      </c>
      <c r="G196" s="321" t="s">
        <v>713</v>
      </c>
      <c r="H196" s="322" t="s">
        <v>728</v>
      </c>
      <c r="I196" s="75" t="s">
        <v>204</v>
      </c>
      <c r="J196" s="322">
        <v>52.9</v>
      </c>
      <c r="K196" s="75" t="s">
        <v>153</v>
      </c>
      <c r="L196" s="345">
        <v>45</v>
      </c>
      <c r="M196" s="323">
        <f t="shared" si="15"/>
        <v>2380.5</v>
      </c>
      <c r="N196" s="324">
        <v>0</v>
      </c>
      <c r="O196" s="325">
        <f t="shared" si="16"/>
        <v>0</v>
      </c>
      <c r="P196" s="324">
        <v>0.16</v>
      </c>
      <c r="Q196" s="227">
        <f t="shared" si="17"/>
        <v>380.88</v>
      </c>
      <c r="R196" s="227">
        <f t="shared" si="18"/>
        <v>2761.38</v>
      </c>
      <c r="S196" s="229">
        <f>INDEX('Glosario Partidas'!$M$8:$M$10,MATCH(K196,'Glosario Partidas'!$L$8:$L$10,0))</f>
        <v>17.5</v>
      </c>
      <c r="T196" s="227">
        <f t="shared" si="19"/>
        <v>48324.15</v>
      </c>
      <c r="U196" s="321" t="s">
        <v>754</v>
      </c>
      <c r="V196" s="321" t="s">
        <v>12</v>
      </c>
      <c r="W196" s="321" t="s">
        <v>491</v>
      </c>
      <c r="X196" s="321"/>
    </row>
    <row r="197" spans="2:29" ht="15" customHeight="1" x14ac:dyDescent="0.2">
      <c r="B197" s="211" t="s">
        <v>76</v>
      </c>
      <c r="C197" s="75" t="s">
        <v>726</v>
      </c>
      <c r="D197" s="320" t="s">
        <v>756</v>
      </c>
      <c r="E197" s="321" t="s">
        <v>229</v>
      </c>
      <c r="F197" s="320" t="s">
        <v>355</v>
      </c>
      <c r="G197" s="321" t="s">
        <v>767</v>
      </c>
      <c r="H197" s="322" t="s">
        <v>728</v>
      </c>
      <c r="I197" s="75" t="s">
        <v>204</v>
      </c>
      <c r="J197" s="322">
        <v>25.47</v>
      </c>
      <c r="K197" s="75" t="s">
        <v>153</v>
      </c>
      <c r="L197" s="345">
        <v>55</v>
      </c>
      <c r="M197" s="323">
        <f t="shared" si="15"/>
        <v>1400.85</v>
      </c>
      <c r="N197" s="324">
        <v>0</v>
      </c>
      <c r="O197" s="325">
        <f t="shared" si="16"/>
        <v>0</v>
      </c>
      <c r="P197" s="324">
        <v>0.16</v>
      </c>
      <c r="Q197" s="227">
        <f t="shared" si="17"/>
        <v>224.136</v>
      </c>
      <c r="R197" s="227">
        <f t="shared" si="18"/>
        <v>1624.9859999999999</v>
      </c>
      <c r="S197" s="229">
        <f>INDEX('Glosario Partidas'!$M$8:$M$10,MATCH(K197,'Glosario Partidas'!$L$8:$L$10,0))</f>
        <v>17.5</v>
      </c>
      <c r="T197" s="227">
        <f t="shared" si="19"/>
        <v>28437.254999999997</v>
      </c>
      <c r="U197" s="321" t="s">
        <v>758</v>
      </c>
      <c r="V197" s="321" t="s">
        <v>12</v>
      </c>
      <c r="W197" s="321" t="s">
        <v>491</v>
      </c>
      <c r="X197" s="321"/>
    </row>
    <row r="198" spans="2:29" ht="15" customHeight="1" x14ac:dyDescent="0.2">
      <c r="B198" s="211" t="s">
        <v>76</v>
      </c>
      <c r="C198" s="75" t="s">
        <v>759</v>
      </c>
      <c r="D198" s="320" t="s">
        <v>756</v>
      </c>
      <c r="E198" s="321" t="s">
        <v>229</v>
      </c>
      <c r="F198" s="320" t="s">
        <v>355</v>
      </c>
      <c r="G198" s="321" t="s">
        <v>767</v>
      </c>
      <c r="H198" s="322" t="s">
        <v>728</v>
      </c>
      <c r="I198" s="75" t="s">
        <v>204</v>
      </c>
      <c r="J198" s="322">
        <v>5.34</v>
      </c>
      <c r="K198" s="75" t="s">
        <v>153</v>
      </c>
      <c r="L198" s="345">
        <v>55</v>
      </c>
      <c r="M198" s="323">
        <f t="shared" si="15"/>
        <v>293.7</v>
      </c>
      <c r="N198" s="324">
        <v>0</v>
      </c>
      <c r="O198" s="325">
        <f t="shared" si="16"/>
        <v>0</v>
      </c>
      <c r="P198" s="324">
        <v>0.16</v>
      </c>
      <c r="Q198" s="227">
        <f t="shared" si="17"/>
        <v>46.991999999999997</v>
      </c>
      <c r="R198" s="227">
        <f t="shared" si="18"/>
        <v>340.69200000000001</v>
      </c>
      <c r="S198" s="229">
        <f>INDEX('Glosario Partidas'!$M$8:$M$10,MATCH(K198,'Glosario Partidas'!$L$8:$L$10,0))</f>
        <v>17.5</v>
      </c>
      <c r="T198" s="227">
        <f t="shared" si="19"/>
        <v>5962.1100000000006</v>
      </c>
      <c r="U198" s="321" t="s">
        <v>758</v>
      </c>
      <c r="V198" s="321" t="s">
        <v>12</v>
      </c>
      <c r="W198" s="321" t="s">
        <v>491</v>
      </c>
      <c r="X198" s="321"/>
    </row>
    <row r="199" spans="2:29" ht="15" customHeight="1" x14ac:dyDescent="0.2">
      <c r="B199" s="211" t="s">
        <v>76</v>
      </c>
      <c r="C199" s="75" t="s">
        <v>760</v>
      </c>
      <c r="D199" s="320" t="s">
        <v>756</v>
      </c>
      <c r="E199" s="321" t="s">
        <v>229</v>
      </c>
      <c r="F199" s="320" t="s">
        <v>355</v>
      </c>
      <c r="G199" s="321" t="s">
        <v>767</v>
      </c>
      <c r="H199" s="322" t="s">
        <v>728</v>
      </c>
      <c r="I199" s="75" t="s">
        <v>204</v>
      </c>
      <c r="J199" s="322">
        <v>6.66</v>
      </c>
      <c r="K199" s="75" t="s">
        <v>153</v>
      </c>
      <c r="L199" s="345">
        <v>5</v>
      </c>
      <c r="M199" s="323">
        <f t="shared" si="15"/>
        <v>33.299999999999997</v>
      </c>
      <c r="N199" s="324">
        <v>0</v>
      </c>
      <c r="O199" s="325">
        <f t="shared" si="16"/>
        <v>0</v>
      </c>
      <c r="P199" s="324">
        <v>0.16</v>
      </c>
      <c r="Q199" s="227">
        <f t="shared" si="17"/>
        <v>5.3279999999999994</v>
      </c>
      <c r="R199" s="227">
        <f t="shared" si="18"/>
        <v>38.628</v>
      </c>
      <c r="S199" s="229">
        <f>INDEX('Glosario Partidas'!$M$8:$M$10,MATCH(K199,'Glosario Partidas'!$L$8:$L$10,0))</f>
        <v>17.5</v>
      </c>
      <c r="T199" s="227">
        <f t="shared" si="19"/>
        <v>675.99</v>
      </c>
      <c r="U199" s="321" t="s">
        <v>758</v>
      </c>
      <c r="V199" s="321" t="s">
        <v>12</v>
      </c>
      <c r="W199" s="321" t="s">
        <v>491</v>
      </c>
      <c r="X199" s="321"/>
    </row>
    <row r="200" spans="2:29" ht="15" customHeight="1" x14ac:dyDescent="0.2">
      <c r="B200" s="211" t="s">
        <v>76</v>
      </c>
      <c r="C200" s="75" t="s">
        <v>761</v>
      </c>
      <c r="D200" s="320" t="s">
        <v>756</v>
      </c>
      <c r="E200" s="321" t="s">
        <v>229</v>
      </c>
      <c r="F200" s="320" t="s">
        <v>355</v>
      </c>
      <c r="G200" s="321" t="s">
        <v>767</v>
      </c>
      <c r="H200" s="322" t="s">
        <v>728</v>
      </c>
      <c r="I200" s="75" t="s">
        <v>204</v>
      </c>
      <c r="J200" s="322">
        <v>15.46</v>
      </c>
      <c r="K200" s="75" t="s">
        <v>153</v>
      </c>
      <c r="L200" s="345">
        <v>5</v>
      </c>
      <c r="M200" s="323">
        <f t="shared" si="15"/>
        <v>77.300000000000011</v>
      </c>
      <c r="N200" s="324">
        <v>0</v>
      </c>
      <c r="O200" s="325">
        <f t="shared" si="16"/>
        <v>0</v>
      </c>
      <c r="P200" s="324">
        <v>0.16</v>
      </c>
      <c r="Q200" s="227">
        <f t="shared" si="17"/>
        <v>12.368000000000002</v>
      </c>
      <c r="R200" s="227">
        <f t="shared" si="18"/>
        <v>89.668000000000006</v>
      </c>
      <c r="S200" s="229">
        <f>INDEX('Glosario Partidas'!$M$8:$M$10,MATCH(K200,'Glosario Partidas'!$L$8:$L$10,0))</f>
        <v>17.5</v>
      </c>
      <c r="T200" s="227">
        <f t="shared" si="19"/>
        <v>1569.19</v>
      </c>
      <c r="U200" s="321" t="s">
        <v>758</v>
      </c>
      <c r="V200" s="321" t="s">
        <v>12</v>
      </c>
      <c r="W200" s="321" t="s">
        <v>491</v>
      </c>
      <c r="X200" s="321"/>
    </row>
    <row r="201" spans="2:29" ht="15" customHeight="1" x14ac:dyDescent="0.2">
      <c r="B201" s="211" t="s">
        <v>76</v>
      </c>
      <c r="C201" s="75" t="s">
        <v>747</v>
      </c>
      <c r="D201" s="320" t="s">
        <v>756</v>
      </c>
      <c r="E201" s="321" t="s">
        <v>229</v>
      </c>
      <c r="F201" s="320" t="s">
        <v>355</v>
      </c>
      <c r="G201" s="321" t="s">
        <v>767</v>
      </c>
      <c r="H201" s="322" t="s">
        <v>728</v>
      </c>
      <c r="I201" s="75" t="s">
        <v>204</v>
      </c>
      <c r="J201" s="322">
        <v>24.89</v>
      </c>
      <c r="K201" s="75" t="s">
        <v>153</v>
      </c>
      <c r="L201" s="345">
        <v>5</v>
      </c>
      <c r="M201" s="323">
        <f t="shared" si="15"/>
        <v>124.45</v>
      </c>
      <c r="N201" s="324">
        <v>0</v>
      </c>
      <c r="O201" s="325">
        <f t="shared" si="16"/>
        <v>0</v>
      </c>
      <c r="P201" s="324">
        <v>0.16</v>
      </c>
      <c r="Q201" s="227">
        <f t="shared" si="17"/>
        <v>19.912000000000003</v>
      </c>
      <c r="R201" s="227">
        <f t="shared" si="18"/>
        <v>144.36199999999999</v>
      </c>
      <c r="S201" s="229">
        <f>INDEX('Glosario Partidas'!$M$8:$M$10,MATCH(K201,'Glosario Partidas'!$L$8:$L$10,0))</f>
        <v>17.5</v>
      </c>
      <c r="T201" s="227">
        <f t="shared" si="19"/>
        <v>2526.335</v>
      </c>
      <c r="U201" s="321" t="s">
        <v>758</v>
      </c>
      <c r="V201" s="321" t="s">
        <v>12</v>
      </c>
      <c r="W201" s="321" t="s">
        <v>491</v>
      </c>
      <c r="X201" s="321"/>
    </row>
    <row r="202" spans="2:29" ht="15" customHeight="1" x14ac:dyDescent="0.2">
      <c r="B202" s="211" t="s">
        <v>76</v>
      </c>
      <c r="C202" s="75" t="s">
        <v>762</v>
      </c>
      <c r="D202" s="320" t="s">
        <v>763</v>
      </c>
      <c r="E202" s="321" t="s">
        <v>229</v>
      </c>
      <c r="F202" s="320" t="s">
        <v>355</v>
      </c>
      <c r="G202" s="321" t="s">
        <v>767</v>
      </c>
      <c r="H202" s="322" t="s">
        <v>728</v>
      </c>
      <c r="I202" s="75" t="s">
        <v>204</v>
      </c>
      <c r="J202" s="322">
        <v>61.91</v>
      </c>
      <c r="K202" s="75" t="s">
        <v>153</v>
      </c>
      <c r="L202" s="345">
        <v>45</v>
      </c>
      <c r="M202" s="323">
        <f t="shared" si="15"/>
        <v>2785.95</v>
      </c>
      <c r="N202" s="324">
        <v>0</v>
      </c>
      <c r="O202" s="325">
        <f t="shared" si="16"/>
        <v>0</v>
      </c>
      <c r="P202" s="324">
        <v>0.16</v>
      </c>
      <c r="Q202" s="227">
        <f t="shared" si="17"/>
        <v>445.75199999999995</v>
      </c>
      <c r="R202" s="227">
        <f t="shared" si="18"/>
        <v>3231.7019999999998</v>
      </c>
      <c r="S202" s="229">
        <f>INDEX('Glosario Partidas'!$M$8:$M$10,MATCH(K202,'Glosario Partidas'!$L$8:$L$10,0))</f>
        <v>17.5</v>
      </c>
      <c r="T202" s="227">
        <f t="shared" si="19"/>
        <v>56554.784999999996</v>
      </c>
      <c r="U202" s="321" t="s">
        <v>758</v>
      </c>
      <c r="V202" s="321" t="s">
        <v>12</v>
      </c>
      <c r="W202" s="321" t="s">
        <v>491</v>
      </c>
      <c r="X202" s="321"/>
    </row>
    <row r="203" spans="2:29" ht="15" customHeight="1" x14ac:dyDescent="0.2">
      <c r="B203" s="211" t="s">
        <v>76</v>
      </c>
      <c r="C203" s="75" t="s">
        <v>751</v>
      </c>
      <c r="D203" s="320" t="s">
        <v>763</v>
      </c>
      <c r="E203" s="321" t="s">
        <v>229</v>
      </c>
      <c r="F203" s="320" t="s">
        <v>355</v>
      </c>
      <c r="G203" s="321" t="s">
        <v>767</v>
      </c>
      <c r="H203" s="322" t="s">
        <v>728</v>
      </c>
      <c r="I203" s="75" t="s">
        <v>204</v>
      </c>
      <c r="J203" s="322">
        <v>65.94</v>
      </c>
      <c r="K203" s="75" t="s">
        <v>153</v>
      </c>
      <c r="L203" s="345">
        <v>40</v>
      </c>
      <c r="M203" s="323">
        <f t="shared" si="15"/>
        <v>2637.6</v>
      </c>
      <c r="N203" s="324">
        <v>0</v>
      </c>
      <c r="O203" s="325">
        <f t="shared" si="16"/>
        <v>0</v>
      </c>
      <c r="P203" s="324">
        <v>0.16</v>
      </c>
      <c r="Q203" s="227">
        <f t="shared" si="17"/>
        <v>422.01600000000002</v>
      </c>
      <c r="R203" s="227">
        <f t="shared" si="18"/>
        <v>3059.616</v>
      </c>
      <c r="S203" s="229">
        <f>INDEX('Glosario Partidas'!$M$8:$M$10,MATCH(K203,'Glosario Partidas'!$L$8:$L$10,0))</f>
        <v>17.5</v>
      </c>
      <c r="T203" s="227">
        <f t="shared" si="19"/>
        <v>53543.28</v>
      </c>
      <c r="U203" s="321" t="s">
        <v>758</v>
      </c>
      <c r="V203" s="321" t="s">
        <v>12</v>
      </c>
      <c r="W203" s="321" t="s">
        <v>491</v>
      </c>
      <c r="X203" s="321"/>
    </row>
    <row r="204" spans="2:29" ht="15" customHeight="1" x14ac:dyDescent="0.2">
      <c r="B204" s="211" t="s">
        <v>76</v>
      </c>
      <c r="C204" s="75" t="s">
        <v>752</v>
      </c>
      <c r="D204" s="320" t="s">
        <v>763</v>
      </c>
      <c r="E204" s="321" t="s">
        <v>229</v>
      </c>
      <c r="F204" s="320" t="s">
        <v>355</v>
      </c>
      <c r="G204" s="321" t="s">
        <v>767</v>
      </c>
      <c r="H204" s="322" t="s">
        <v>728</v>
      </c>
      <c r="I204" s="75" t="s">
        <v>204</v>
      </c>
      <c r="J204" s="322">
        <v>70.38</v>
      </c>
      <c r="K204" s="75" t="s">
        <v>153</v>
      </c>
      <c r="L204" s="345">
        <v>55</v>
      </c>
      <c r="M204" s="323">
        <f t="shared" si="15"/>
        <v>3870.8999999999996</v>
      </c>
      <c r="N204" s="324">
        <v>0</v>
      </c>
      <c r="O204" s="325">
        <f t="shared" si="16"/>
        <v>0</v>
      </c>
      <c r="P204" s="324">
        <v>0.16</v>
      </c>
      <c r="Q204" s="227">
        <f t="shared" si="17"/>
        <v>619.34399999999994</v>
      </c>
      <c r="R204" s="227">
        <f t="shared" si="18"/>
        <v>4490.2439999999997</v>
      </c>
      <c r="S204" s="229">
        <f>INDEX('Glosario Partidas'!$M$8:$M$10,MATCH(K204,'Glosario Partidas'!$L$8:$L$10,0))</f>
        <v>17.5</v>
      </c>
      <c r="T204" s="227">
        <f t="shared" si="19"/>
        <v>78579.26999999999</v>
      </c>
      <c r="U204" s="321" t="s">
        <v>758</v>
      </c>
      <c r="V204" s="321" t="s">
        <v>12</v>
      </c>
      <c r="W204" s="321" t="s">
        <v>491</v>
      </c>
      <c r="X204" s="321"/>
    </row>
    <row r="205" spans="2:29" ht="15" customHeight="1" x14ac:dyDescent="0.2">
      <c r="B205" s="211" t="s">
        <v>76</v>
      </c>
      <c r="C205" s="75" t="s">
        <v>632</v>
      </c>
      <c r="D205" s="320" t="s">
        <v>763</v>
      </c>
      <c r="E205" s="321" t="s">
        <v>229</v>
      </c>
      <c r="F205" s="320" t="s">
        <v>355</v>
      </c>
      <c r="G205" s="321" t="s">
        <v>767</v>
      </c>
      <c r="H205" s="322" t="s">
        <v>728</v>
      </c>
      <c r="I205" s="75" t="s">
        <v>204</v>
      </c>
      <c r="J205" s="322">
        <v>64.239999999999995</v>
      </c>
      <c r="K205" s="75" t="s">
        <v>153</v>
      </c>
      <c r="L205" s="345">
        <v>5</v>
      </c>
      <c r="M205" s="323">
        <f t="shared" si="15"/>
        <v>321.2</v>
      </c>
      <c r="N205" s="324">
        <v>0</v>
      </c>
      <c r="O205" s="325">
        <f t="shared" si="16"/>
        <v>0</v>
      </c>
      <c r="P205" s="324">
        <v>0.16</v>
      </c>
      <c r="Q205" s="227">
        <f t="shared" si="17"/>
        <v>51.391999999999996</v>
      </c>
      <c r="R205" s="227">
        <f t="shared" si="18"/>
        <v>372.59199999999998</v>
      </c>
      <c r="S205" s="229">
        <f>INDEX('Glosario Partidas'!$M$8:$M$10,MATCH(K205,'Glosario Partidas'!$L$8:$L$10,0))</f>
        <v>17.5</v>
      </c>
      <c r="T205" s="227">
        <f t="shared" si="19"/>
        <v>6520.36</v>
      </c>
      <c r="U205" s="321" t="s">
        <v>758</v>
      </c>
      <c r="V205" s="321" t="s">
        <v>12</v>
      </c>
      <c r="W205" s="321" t="s">
        <v>491</v>
      </c>
      <c r="X205" s="321"/>
    </row>
    <row r="206" spans="2:29" ht="15" customHeight="1" x14ac:dyDescent="0.2">
      <c r="B206" s="211" t="s">
        <v>76</v>
      </c>
      <c r="C206" s="75" t="s">
        <v>764</v>
      </c>
      <c r="D206" s="320" t="s">
        <v>763</v>
      </c>
      <c r="E206" s="321" t="s">
        <v>229</v>
      </c>
      <c r="F206" s="320" t="s">
        <v>355</v>
      </c>
      <c r="G206" s="321" t="s">
        <v>767</v>
      </c>
      <c r="H206" s="322" t="s">
        <v>728</v>
      </c>
      <c r="I206" s="75" t="s">
        <v>204</v>
      </c>
      <c r="J206" s="322">
        <v>6.07</v>
      </c>
      <c r="K206" s="75" t="s">
        <v>153</v>
      </c>
      <c r="L206" s="345">
        <v>40</v>
      </c>
      <c r="M206" s="323">
        <f t="shared" si="15"/>
        <v>242.8</v>
      </c>
      <c r="N206" s="324">
        <v>0</v>
      </c>
      <c r="O206" s="325">
        <f t="shared" si="16"/>
        <v>0</v>
      </c>
      <c r="P206" s="324">
        <v>0.16</v>
      </c>
      <c r="Q206" s="227">
        <f t="shared" si="17"/>
        <v>38.848000000000006</v>
      </c>
      <c r="R206" s="227">
        <f t="shared" si="18"/>
        <v>281.64800000000002</v>
      </c>
      <c r="S206" s="229">
        <f>INDEX('Glosario Partidas'!$M$8:$M$10,MATCH(K206,'Glosario Partidas'!$L$8:$L$10,0))</f>
        <v>17.5</v>
      </c>
      <c r="T206" s="227">
        <f t="shared" si="19"/>
        <v>4928.84</v>
      </c>
      <c r="U206" s="321" t="s">
        <v>758</v>
      </c>
      <c r="V206" s="321" t="s">
        <v>12</v>
      </c>
      <c r="W206" s="321" t="s">
        <v>491</v>
      </c>
      <c r="X206" s="321"/>
    </row>
    <row r="207" spans="2:29" ht="15" customHeight="1" x14ac:dyDescent="0.2">
      <c r="B207" s="211" t="s">
        <v>76</v>
      </c>
      <c r="C207" s="75" t="s">
        <v>464</v>
      </c>
      <c r="D207" s="320" t="s">
        <v>464</v>
      </c>
      <c r="E207" s="321" t="s">
        <v>229</v>
      </c>
      <c r="F207" s="320"/>
      <c r="G207" s="321" t="s">
        <v>765</v>
      </c>
      <c r="H207" s="322" t="s">
        <v>728</v>
      </c>
      <c r="I207" s="75" t="s">
        <v>204</v>
      </c>
      <c r="J207" s="322">
        <v>1000</v>
      </c>
      <c r="K207" s="75" t="s">
        <v>153</v>
      </c>
      <c r="L207" s="345">
        <v>30</v>
      </c>
      <c r="M207" s="323">
        <f t="shared" si="15"/>
        <v>30000</v>
      </c>
      <c r="N207" s="324">
        <v>0</v>
      </c>
      <c r="O207" s="325">
        <f t="shared" si="16"/>
        <v>0</v>
      </c>
      <c r="P207" s="324">
        <v>0.16</v>
      </c>
      <c r="Q207" s="227">
        <f t="shared" si="17"/>
        <v>4800</v>
      </c>
      <c r="R207" s="227">
        <f t="shared" si="18"/>
        <v>34800</v>
      </c>
      <c r="S207" s="229">
        <f>INDEX('Glosario Partidas'!$M$8:$M$10,MATCH(K207,'Glosario Partidas'!$L$8:$L$10,0))</f>
        <v>17.5</v>
      </c>
      <c r="T207" s="227">
        <f t="shared" si="19"/>
        <v>609000</v>
      </c>
      <c r="U207" s="321"/>
      <c r="V207" s="321" t="s">
        <v>13</v>
      </c>
      <c r="W207" s="321" t="s">
        <v>491</v>
      </c>
      <c r="X207" s="321"/>
    </row>
    <row r="208" spans="2:29" ht="15" customHeight="1" x14ac:dyDescent="0.2">
      <c r="B208" s="189" t="s">
        <v>185</v>
      </c>
      <c r="C208" s="189"/>
      <c r="D208" s="189"/>
      <c r="E208" s="189"/>
      <c r="F208" s="189"/>
      <c r="G208" s="189"/>
      <c r="H208" s="189"/>
      <c r="I208" s="189"/>
      <c r="J208" s="189"/>
      <c r="K208" s="189"/>
      <c r="L208" s="303"/>
      <c r="M208" s="303"/>
      <c r="N208" s="304"/>
      <c r="O208" s="304"/>
      <c r="P208" s="304"/>
      <c r="Q208" s="303"/>
      <c r="R208" s="303"/>
      <c r="S208" s="303"/>
      <c r="T208" s="305">
        <f>SUM(T2:T207)</f>
        <v>7428736.2800000003</v>
      </c>
      <c r="AB208" s="254">
        <f>SUMIFS($T:$T,$W:$W,"Contratado")</f>
        <v>0</v>
      </c>
      <c r="AC208" s="254">
        <f>SUMIFS($T:$T,$W:$W,"No Contratado")</f>
        <v>7428736.2800000003</v>
      </c>
    </row>
  </sheetData>
  <autoFilter ref="A1:V208" xr:uid="{00000000-0009-0000-0000-00002A000000}"/>
  <dataValidations count="2">
    <dataValidation type="list" allowBlank="1" errorTitle="Valor inválido" error="Selecciona Contratado o No Contratado" promptTitle="Contratado/No Contratado" prompt="Selecciona estado" sqref="W2:W207" xr:uid="{00000000-0002-0000-2A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207" xr:uid="{00000000-0002-0000-2A00-000001000000}">
      <formula1>"Sí,No"</formula1>
      <formula2>0</formula2>
    </dataValidation>
  </dataValidations>
  <hyperlinks>
    <hyperlink ref="A1" location="'BUY OUT'!A1" display="⬅ Resumen PU" xr:uid="{00000000-0004-0000-2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AC86"/>
  <sheetViews>
    <sheetView showGridLines="0" zoomScale="160" zoomScaleNormal="160" workbookViewId="0">
      <selection activeCell="L2" sqref="L2"/>
    </sheetView>
  </sheetViews>
  <sheetFormatPr baseColWidth="10" defaultColWidth="8.6640625" defaultRowHeight="15" customHeight="1" x14ac:dyDescent="0.2"/>
  <cols>
    <col min="3" max="3" width="27.33203125" customWidth="1"/>
    <col min="4" max="4" width="13.16406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75"/>
      <c r="B2" s="75" t="s">
        <v>79</v>
      </c>
      <c r="C2" s="75" t="s">
        <v>772</v>
      </c>
      <c r="D2" s="320" t="s">
        <v>773</v>
      </c>
      <c r="E2" s="321" t="s">
        <v>220</v>
      </c>
      <c r="F2" s="320" t="s">
        <v>221</v>
      </c>
      <c r="G2" s="321">
        <v>101</v>
      </c>
      <c r="H2" s="353"/>
      <c r="I2" s="75" t="s">
        <v>207</v>
      </c>
      <c r="J2" s="322">
        <v>364.74</v>
      </c>
      <c r="K2" s="75" t="s">
        <v>269</v>
      </c>
      <c r="L2" s="322">
        <v>500</v>
      </c>
      <c r="M2" s="323">
        <f t="shared" ref="M2:M19" si="0">J2*L2</f>
        <v>182370</v>
      </c>
      <c r="N2" s="324">
        <v>0</v>
      </c>
      <c r="O2" s="325">
        <f t="shared" ref="O2:O19" si="1">M2*N2</f>
        <v>0</v>
      </c>
      <c r="P2" s="324">
        <v>0.16</v>
      </c>
      <c r="Q2" s="323">
        <f t="shared" ref="Q2:Q19" si="2">(M2+O2)*P2</f>
        <v>29179.200000000001</v>
      </c>
      <c r="R2" s="323">
        <f t="shared" ref="R2:R19" si="3">M2+O2+Q2</f>
        <v>211549.2</v>
      </c>
      <c r="S2" s="323">
        <f>INDEX('Glosario Partidas'!$M$8:$M$10,MATCH(K2,'Glosario Partidas'!$L$8:$L$10,0))</f>
        <v>1</v>
      </c>
      <c r="T2" s="323">
        <f t="shared" ref="T2:T19" si="4">R2*S2</f>
        <v>211549.2</v>
      </c>
      <c r="U2" s="321"/>
      <c r="V2" s="321" t="s">
        <v>13</v>
      </c>
      <c r="W2" s="321" t="s">
        <v>491</v>
      </c>
      <c r="X2" s="321"/>
    </row>
    <row r="3" spans="1:29" ht="15" customHeight="1" x14ac:dyDescent="0.2">
      <c r="A3" s="75"/>
      <c r="B3" s="75" t="s">
        <v>79</v>
      </c>
      <c r="C3" s="75" t="s">
        <v>772</v>
      </c>
      <c r="D3" s="320" t="s">
        <v>774</v>
      </c>
      <c r="E3" s="321" t="s">
        <v>220</v>
      </c>
      <c r="F3" s="320" t="s">
        <v>221</v>
      </c>
      <c r="G3" s="321">
        <v>101</v>
      </c>
      <c r="H3" s="353"/>
      <c r="I3" s="75" t="s">
        <v>207</v>
      </c>
      <c r="J3" s="322">
        <v>101.38</v>
      </c>
      <c r="K3" s="75" t="s">
        <v>269</v>
      </c>
      <c r="L3" s="322">
        <v>1800</v>
      </c>
      <c r="M3" s="323">
        <f t="shared" si="0"/>
        <v>182484</v>
      </c>
      <c r="N3" s="324">
        <v>0</v>
      </c>
      <c r="O3" s="325">
        <f t="shared" si="1"/>
        <v>0</v>
      </c>
      <c r="P3" s="324">
        <v>0.16</v>
      </c>
      <c r="Q3" s="323">
        <f t="shared" si="2"/>
        <v>29197.440000000002</v>
      </c>
      <c r="R3" s="323">
        <f t="shared" si="3"/>
        <v>211681.44</v>
      </c>
      <c r="S3" s="323">
        <f>INDEX('Glosario Partidas'!$M$8:$M$10,MATCH(K3,'Glosario Partidas'!$L$8:$L$10,0))</f>
        <v>1</v>
      </c>
      <c r="T3" s="323">
        <f t="shared" si="4"/>
        <v>211681.44</v>
      </c>
      <c r="U3" s="321"/>
      <c r="V3" s="321" t="s">
        <v>13</v>
      </c>
      <c r="W3" s="321" t="s">
        <v>491</v>
      </c>
      <c r="X3" s="321"/>
    </row>
    <row r="4" spans="1:29" ht="15" customHeight="1" x14ac:dyDescent="0.2">
      <c r="A4" s="75"/>
      <c r="B4" s="75" t="s">
        <v>79</v>
      </c>
      <c r="C4" s="75" t="s">
        <v>775</v>
      </c>
      <c r="D4" s="320" t="s">
        <v>366</v>
      </c>
      <c r="E4" s="321" t="s">
        <v>220</v>
      </c>
      <c r="F4" s="320" t="s">
        <v>221</v>
      </c>
      <c r="G4" s="321">
        <v>101</v>
      </c>
      <c r="H4" s="353"/>
      <c r="I4" s="75" t="s">
        <v>207</v>
      </c>
      <c r="J4" s="322">
        <v>336.57</v>
      </c>
      <c r="K4" s="75" t="s">
        <v>269</v>
      </c>
      <c r="L4" s="322">
        <v>800</v>
      </c>
      <c r="M4" s="323">
        <f t="shared" si="0"/>
        <v>269256</v>
      </c>
      <c r="N4" s="324">
        <v>0</v>
      </c>
      <c r="O4" s="325">
        <f t="shared" si="1"/>
        <v>0</v>
      </c>
      <c r="P4" s="324">
        <v>0.16</v>
      </c>
      <c r="Q4" s="323">
        <f t="shared" si="2"/>
        <v>43080.959999999999</v>
      </c>
      <c r="R4" s="323">
        <f t="shared" si="3"/>
        <v>312336.96000000002</v>
      </c>
      <c r="S4" s="323">
        <f>INDEX('Glosario Partidas'!$M$8:$M$10,MATCH(K4,'Glosario Partidas'!$L$8:$L$10,0))</f>
        <v>1</v>
      </c>
      <c r="T4" s="323">
        <f t="shared" si="4"/>
        <v>312336.96000000002</v>
      </c>
      <c r="U4" s="321"/>
      <c r="V4" s="321" t="s">
        <v>13</v>
      </c>
      <c r="W4" s="321" t="s">
        <v>491</v>
      </c>
      <c r="X4" s="321"/>
    </row>
    <row r="5" spans="1:29" ht="15" customHeight="1" x14ac:dyDescent="0.2">
      <c r="A5" s="75"/>
      <c r="B5" s="75" t="s">
        <v>79</v>
      </c>
      <c r="C5" s="75" t="s">
        <v>776</v>
      </c>
      <c r="D5" s="320" t="s">
        <v>776</v>
      </c>
      <c r="E5" s="321" t="s">
        <v>220</v>
      </c>
      <c r="F5" s="320" t="s">
        <v>221</v>
      </c>
      <c r="G5" s="321">
        <v>101</v>
      </c>
      <c r="H5" s="353"/>
      <c r="I5" s="75" t="s">
        <v>207</v>
      </c>
      <c r="J5" s="322">
        <v>72.959999999999994</v>
      </c>
      <c r="K5" s="75" t="s">
        <v>269</v>
      </c>
      <c r="L5" s="322">
        <v>800</v>
      </c>
      <c r="M5" s="323">
        <f t="shared" si="0"/>
        <v>58367.999999999993</v>
      </c>
      <c r="N5" s="324">
        <v>0</v>
      </c>
      <c r="O5" s="325">
        <f t="shared" si="1"/>
        <v>0</v>
      </c>
      <c r="P5" s="324">
        <v>0.16</v>
      </c>
      <c r="Q5" s="323">
        <f t="shared" si="2"/>
        <v>9338.8799999999992</v>
      </c>
      <c r="R5" s="323">
        <f t="shared" si="3"/>
        <v>67706.87999999999</v>
      </c>
      <c r="S5" s="323">
        <f>INDEX('Glosario Partidas'!$M$8:$M$10,MATCH(K5,'Glosario Partidas'!$L$8:$L$10,0))</f>
        <v>1</v>
      </c>
      <c r="T5" s="323">
        <f t="shared" si="4"/>
        <v>67706.87999999999</v>
      </c>
      <c r="U5" s="321"/>
      <c r="V5" s="321" t="s">
        <v>13</v>
      </c>
      <c r="W5" s="321" t="s">
        <v>491</v>
      </c>
      <c r="X5" s="321"/>
    </row>
    <row r="6" spans="1:29" ht="15" customHeight="1" x14ac:dyDescent="0.2">
      <c r="A6" s="75"/>
      <c r="B6" s="75" t="s">
        <v>79</v>
      </c>
      <c r="C6" s="75" t="s">
        <v>772</v>
      </c>
      <c r="D6" s="320" t="s">
        <v>777</v>
      </c>
      <c r="E6" s="321" t="s">
        <v>220</v>
      </c>
      <c r="F6" s="320" t="s">
        <v>221</v>
      </c>
      <c r="G6" s="321">
        <v>101</v>
      </c>
      <c r="H6" s="353"/>
      <c r="I6" s="75" t="s">
        <v>207</v>
      </c>
      <c r="J6" s="322">
        <v>392.75</v>
      </c>
      <c r="K6" s="75" t="s">
        <v>269</v>
      </c>
      <c r="L6" s="322">
        <v>500</v>
      </c>
      <c r="M6" s="323">
        <f t="shared" si="0"/>
        <v>196375</v>
      </c>
      <c r="N6" s="324">
        <v>0</v>
      </c>
      <c r="O6" s="325">
        <f t="shared" si="1"/>
        <v>0</v>
      </c>
      <c r="P6" s="324">
        <v>0.16</v>
      </c>
      <c r="Q6" s="323">
        <f t="shared" si="2"/>
        <v>31420</v>
      </c>
      <c r="R6" s="323">
        <f t="shared" si="3"/>
        <v>227795</v>
      </c>
      <c r="S6" s="323">
        <f>INDEX('Glosario Partidas'!$M$8:$M$10,MATCH(K6,'Glosario Partidas'!$L$8:$L$10,0))</f>
        <v>1</v>
      </c>
      <c r="T6" s="323">
        <f t="shared" si="4"/>
        <v>227795</v>
      </c>
      <c r="U6" s="321"/>
      <c r="V6" s="321" t="s">
        <v>13</v>
      </c>
      <c r="W6" s="321" t="s">
        <v>491</v>
      </c>
      <c r="X6" s="321"/>
    </row>
    <row r="7" spans="1:29" ht="15" customHeight="1" x14ac:dyDescent="0.2">
      <c r="A7" s="75"/>
      <c r="B7" s="75" t="s">
        <v>79</v>
      </c>
      <c r="C7" s="75" t="s">
        <v>772</v>
      </c>
      <c r="D7" s="320" t="s">
        <v>778</v>
      </c>
      <c r="E7" s="321" t="s">
        <v>220</v>
      </c>
      <c r="F7" s="320" t="s">
        <v>221</v>
      </c>
      <c r="G7" s="321">
        <v>101</v>
      </c>
      <c r="H7" s="353"/>
      <c r="I7" s="75" t="s">
        <v>207</v>
      </c>
      <c r="J7" s="322">
        <v>322.52999999999997</v>
      </c>
      <c r="K7" s="75" t="s">
        <v>269</v>
      </c>
      <c r="L7" s="322">
        <v>1800</v>
      </c>
      <c r="M7" s="323">
        <f t="shared" si="0"/>
        <v>580554</v>
      </c>
      <c r="N7" s="324">
        <v>0</v>
      </c>
      <c r="O7" s="325">
        <f t="shared" si="1"/>
        <v>0</v>
      </c>
      <c r="P7" s="324">
        <v>0.16</v>
      </c>
      <c r="Q7" s="323">
        <f t="shared" si="2"/>
        <v>92888.639999999999</v>
      </c>
      <c r="R7" s="323">
        <f t="shared" si="3"/>
        <v>673442.64</v>
      </c>
      <c r="S7" s="323">
        <f>INDEX('Glosario Partidas'!$M$8:$M$10,MATCH(K7,'Glosario Partidas'!$L$8:$L$10,0))</f>
        <v>1</v>
      </c>
      <c r="T7" s="323">
        <f t="shared" si="4"/>
        <v>673442.64</v>
      </c>
      <c r="U7" s="321"/>
      <c r="V7" s="321" t="s">
        <v>13</v>
      </c>
      <c r="W7" s="321" t="s">
        <v>491</v>
      </c>
      <c r="X7" s="321"/>
    </row>
    <row r="8" spans="1:29" ht="15" customHeight="1" x14ac:dyDescent="0.2">
      <c r="A8" s="75"/>
      <c r="B8" s="75" t="s">
        <v>79</v>
      </c>
      <c r="C8" s="75" t="s">
        <v>772</v>
      </c>
      <c r="D8" s="320" t="s">
        <v>773</v>
      </c>
      <c r="E8" s="321" t="s">
        <v>220</v>
      </c>
      <c r="F8" s="320" t="s">
        <v>221</v>
      </c>
      <c r="G8" s="321">
        <v>201</v>
      </c>
      <c r="H8" s="353"/>
      <c r="I8" s="75" t="s">
        <v>207</v>
      </c>
      <c r="J8" s="322">
        <v>364.74</v>
      </c>
      <c r="K8" s="75" t="s">
        <v>269</v>
      </c>
      <c r="L8" s="322">
        <v>500</v>
      </c>
      <c r="M8" s="323">
        <f t="shared" si="0"/>
        <v>182370</v>
      </c>
      <c r="N8" s="324">
        <v>0</v>
      </c>
      <c r="O8" s="325">
        <f t="shared" si="1"/>
        <v>0</v>
      </c>
      <c r="P8" s="324">
        <v>0.16</v>
      </c>
      <c r="Q8" s="323">
        <f t="shared" si="2"/>
        <v>29179.200000000001</v>
      </c>
      <c r="R8" s="323">
        <f t="shared" si="3"/>
        <v>211549.2</v>
      </c>
      <c r="S8" s="323">
        <f>INDEX('Glosario Partidas'!$M$8:$M$10,MATCH(K8,'Glosario Partidas'!$L$8:$L$10,0))</f>
        <v>1</v>
      </c>
      <c r="T8" s="323">
        <f t="shared" si="4"/>
        <v>211549.2</v>
      </c>
      <c r="U8" s="321"/>
      <c r="V8" s="321" t="s">
        <v>13</v>
      </c>
      <c r="W8" s="321" t="s">
        <v>491</v>
      </c>
      <c r="X8" s="321"/>
    </row>
    <row r="9" spans="1:29" ht="15" customHeight="1" x14ac:dyDescent="0.2">
      <c r="A9" s="75"/>
      <c r="B9" s="75" t="s">
        <v>79</v>
      </c>
      <c r="C9" s="75" t="s">
        <v>772</v>
      </c>
      <c r="D9" s="320" t="s">
        <v>774</v>
      </c>
      <c r="E9" s="321" t="s">
        <v>220</v>
      </c>
      <c r="F9" s="320" t="s">
        <v>221</v>
      </c>
      <c r="G9" s="321">
        <v>201</v>
      </c>
      <c r="H9" s="353"/>
      <c r="I9" s="75" t="s">
        <v>207</v>
      </c>
      <c r="J9" s="322">
        <v>101.38</v>
      </c>
      <c r="K9" s="75" t="s">
        <v>269</v>
      </c>
      <c r="L9" s="322">
        <v>1800</v>
      </c>
      <c r="M9" s="323">
        <f t="shared" si="0"/>
        <v>182484</v>
      </c>
      <c r="N9" s="324">
        <v>0</v>
      </c>
      <c r="O9" s="325">
        <f t="shared" si="1"/>
        <v>0</v>
      </c>
      <c r="P9" s="324">
        <v>0.16</v>
      </c>
      <c r="Q9" s="323">
        <f t="shared" si="2"/>
        <v>29197.440000000002</v>
      </c>
      <c r="R9" s="323">
        <f t="shared" si="3"/>
        <v>211681.44</v>
      </c>
      <c r="S9" s="323">
        <f>INDEX('Glosario Partidas'!$M$8:$M$10,MATCH(K9,'Glosario Partidas'!$L$8:$L$10,0))</f>
        <v>1</v>
      </c>
      <c r="T9" s="323">
        <f t="shared" si="4"/>
        <v>211681.44</v>
      </c>
      <c r="U9" s="321"/>
      <c r="V9" s="321" t="s">
        <v>13</v>
      </c>
      <c r="W9" s="321" t="s">
        <v>491</v>
      </c>
      <c r="X9" s="321"/>
    </row>
    <row r="10" spans="1:29" ht="15" customHeight="1" x14ac:dyDescent="0.2">
      <c r="A10" s="75"/>
      <c r="B10" s="75" t="s">
        <v>79</v>
      </c>
      <c r="C10" s="75" t="s">
        <v>775</v>
      </c>
      <c r="D10" s="320" t="s">
        <v>366</v>
      </c>
      <c r="E10" s="321" t="s">
        <v>220</v>
      </c>
      <c r="F10" s="320" t="s">
        <v>221</v>
      </c>
      <c r="G10" s="321">
        <v>201</v>
      </c>
      <c r="H10" s="353"/>
      <c r="I10" s="75" t="s">
        <v>207</v>
      </c>
      <c r="J10" s="322">
        <v>336.57</v>
      </c>
      <c r="K10" s="75" t="s">
        <v>269</v>
      </c>
      <c r="L10" s="322">
        <v>800</v>
      </c>
      <c r="M10" s="323">
        <f t="shared" si="0"/>
        <v>269256</v>
      </c>
      <c r="N10" s="324">
        <v>0</v>
      </c>
      <c r="O10" s="325">
        <f t="shared" si="1"/>
        <v>0</v>
      </c>
      <c r="P10" s="324">
        <v>0.16</v>
      </c>
      <c r="Q10" s="323">
        <f t="shared" si="2"/>
        <v>43080.959999999999</v>
      </c>
      <c r="R10" s="323">
        <f t="shared" si="3"/>
        <v>312336.96000000002</v>
      </c>
      <c r="S10" s="323">
        <f>INDEX('Glosario Partidas'!$M$8:$M$10,MATCH(K10,'Glosario Partidas'!$L$8:$L$10,0))</f>
        <v>1</v>
      </c>
      <c r="T10" s="323">
        <f t="shared" si="4"/>
        <v>312336.96000000002</v>
      </c>
      <c r="U10" s="321"/>
      <c r="V10" s="321" t="s">
        <v>13</v>
      </c>
      <c r="W10" s="321" t="s">
        <v>491</v>
      </c>
      <c r="X10" s="321"/>
    </row>
    <row r="11" spans="1:29" ht="15" customHeight="1" x14ac:dyDescent="0.2">
      <c r="A11" s="75"/>
      <c r="B11" s="75" t="s">
        <v>79</v>
      </c>
      <c r="C11" s="75" t="s">
        <v>776</v>
      </c>
      <c r="D11" s="320" t="s">
        <v>776</v>
      </c>
      <c r="E11" s="321" t="s">
        <v>220</v>
      </c>
      <c r="F11" s="320" t="s">
        <v>221</v>
      </c>
      <c r="G11" s="321">
        <v>201</v>
      </c>
      <c r="H11" s="353"/>
      <c r="I11" s="75" t="s">
        <v>207</v>
      </c>
      <c r="J11" s="322">
        <v>72.959999999999994</v>
      </c>
      <c r="K11" s="75" t="s">
        <v>269</v>
      </c>
      <c r="L11" s="322">
        <v>800</v>
      </c>
      <c r="M11" s="323">
        <f t="shared" si="0"/>
        <v>58367.999999999993</v>
      </c>
      <c r="N11" s="324">
        <v>0</v>
      </c>
      <c r="O11" s="325">
        <f t="shared" si="1"/>
        <v>0</v>
      </c>
      <c r="P11" s="324">
        <v>0.16</v>
      </c>
      <c r="Q11" s="323">
        <f t="shared" si="2"/>
        <v>9338.8799999999992</v>
      </c>
      <c r="R11" s="323">
        <f t="shared" si="3"/>
        <v>67706.87999999999</v>
      </c>
      <c r="S11" s="323">
        <f>INDEX('Glosario Partidas'!$M$8:$M$10,MATCH(K11,'Glosario Partidas'!$L$8:$L$10,0))</f>
        <v>1</v>
      </c>
      <c r="T11" s="323">
        <f t="shared" si="4"/>
        <v>67706.87999999999</v>
      </c>
      <c r="U11" s="321"/>
      <c r="V11" s="321" t="s">
        <v>13</v>
      </c>
      <c r="W11" s="321" t="s">
        <v>491</v>
      </c>
      <c r="X11" s="321"/>
    </row>
    <row r="12" spans="1:29" ht="15" customHeight="1" x14ac:dyDescent="0.2">
      <c r="A12" s="75"/>
      <c r="B12" s="75" t="s">
        <v>79</v>
      </c>
      <c r="C12" s="75" t="s">
        <v>772</v>
      </c>
      <c r="D12" s="320" t="s">
        <v>777</v>
      </c>
      <c r="E12" s="321" t="s">
        <v>220</v>
      </c>
      <c r="F12" s="320" t="s">
        <v>221</v>
      </c>
      <c r="G12" s="321">
        <v>201</v>
      </c>
      <c r="H12" s="353"/>
      <c r="I12" s="75" t="s">
        <v>207</v>
      </c>
      <c r="J12" s="322">
        <v>392.75</v>
      </c>
      <c r="K12" s="75" t="s">
        <v>269</v>
      </c>
      <c r="L12" s="322">
        <v>500</v>
      </c>
      <c r="M12" s="323">
        <f t="shared" si="0"/>
        <v>196375</v>
      </c>
      <c r="N12" s="324">
        <v>0</v>
      </c>
      <c r="O12" s="325">
        <f t="shared" si="1"/>
        <v>0</v>
      </c>
      <c r="P12" s="324">
        <v>0.16</v>
      </c>
      <c r="Q12" s="323">
        <f t="shared" si="2"/>
        <v>31420</v>
      </c>
      <c r="R12" s="323">
        <f t="shared" si="3"/>
        <v>227795</v>
      </c>
      <c r="S12" s="323">
        <f>INDEX('Glosario Partidas'!$M$8:$M$10,MATCH(K12,'Glosario Partidas'!$L$8:$L$10,0))</f>
        <v>1</v>
      </c>
      <c r="T12" s="323">
        <f t="shared" si="4"/>
        <v>227795</v>
      </c>
      <c r="U12" s="321"/>
      <c r="V12" s="321" t="s">
        <v>13</v>
      </c>
      <c r="W12" s="321" t="s">
        <v>491</v>
      </c>
      <c r="X12" s="321"/>
    </row>
    <row r="13" spans="1:29" ht="15" customHeight="1" x14ac:dyDescent="0.2">
      <c r="A13" s="75"/>
      <c r="B13" s="75" t="s">
        <v>79</v>
      </c>
      <c r="C13" s="75" t="s">
        <v>772</v>
      </c>
      <c r="D13" s="320" t="s">
        <v>778</v>
      </c>
      <c r="E13" s="321" t="s">
        <v>220</v>
      </c>
      <c r="F13" s="320" t="s">
        <v>221</v>
      </c>
      <c r="G13" s="321">
        <v>201</v>
      </c>
      <c r="H13" s="353"/>
      <c r="I13" s="75" t="s">
        <v>207</v>
      </c>
      <c r="J13" s="322">
        <v>322.52999999999997</v>
      </c>
      <c r="K13" s="75" t="s">
        <v>269</v>
      </c>
      <c r="L13" s="322">
        <v>1800</v>
      </c>
      <c r="M13" s="323">
        <f t="shared" si="0"/>
        <v>580554</v>
      </c>
      <c r="N13" s="324">
        <v>0</v>
      </c>
      <c r="O13" s="325">
        <f t="shared" si="1"/>
        <v>0</v>
      </c>
      <c r="P13" s="324">
        <v>0.16</v>
      </c>
      <c r="Q13" s="323">
        <f t="shared" si="2"/>
        <v>92888.639999999999</v>
      </c>
      <c r="R13" s="323">
        <f t="shared" si="3"/>
        <v>673442.64</v>
      </c>
      <c r="S13" s="323">
        <f>INDEX('Glosario Partidas'!$M$8:$M$10,MATCH(K13,'Glosario Partidas'!$L$8:$L$10,0))</f>
        <v>1</v>
      </c>
      <c r="T13" s="323">
        <f t="shared" si="4"/>
        <v>673442.64</v>
      </c>
      <c r="U13" s="321"/>
      <c r="V13" s="321" t="s">
        <v>13</v>
      </c>
      <c r="W13" s="321" t="s">
        <v>491</v>
      </c>
      <c r="X13" s="321"/>
    </row>
    <row r="14" spans="1:29" ht="15" customHeight="1" x14ac:dyDescent="0.2">
      <c r="A14" s="75"/>
      <c r="B14" s="75" t="s">
        <v>79</v>
      </c>
      <c r="C14" s="75" t="s">
        <v>772</v>
      </c>
      <c r="D14" s="320" t="s">
        <v>773</v>
      </c>
      <c r="E14" s="321" t="s">
        <v>220</v>
      </c>
      <c r="F14" s="320" t="s">
        <v>354</v>
      </c>
      <c r="G14" s="321">
        <v>102</v>
      </c>
      <c r="H14" s="353"/>
      <c r="I14" s="75" t="s">
        <v>207</v>
      </c>
      <c r="J14" s="322">
        <v>359.57</v>
      </c>
      <c r="K14" s="75" t="s">
        <v>269</v>
      </c>
      <c r="L14" s="322">
        <v>500</v>
      </c>
      <c r="M14" s="323">
        <f t="shared" si="0"/>
        <v>179785</v>
      </c>
      <c r="N14" s="324">
        <v>0</v>
      </c>
      <c r="O14" s="325">
        <f t="shared" si="1"/>
        <v>0</v>
      </c>
      <c r="P14" s="324">
        <v>0.16</v>
      </c>
      <c r="Q14" s="323">
        <f t="shared" si="2"/>
        <v>28765.600000000002</v>
      </c>
      <c r="R14" s="323">
        <f t="shared" si="3"/>
        <v>208550.6</v>
      </c>
      <c r="S14" s="323">
        <f>INDEX('Glosario Partidas'!$M$8:$M$10,MATCH(K14,'Glosario Partidas'!$L$8:$L$10,0))</f>
        <v>1</v>
      </c>
      <c r="T14" s="323">
        <f t="shared" si="4"/>
        <v>208550.6</v>
      </c>
      <c r="U14" s="321"/>
      <c r="V14" s="321" t="s">
        <v>13</v>
      </c>
      <c r="W14" s="321" t="s">
        <v>491</v>
      </c>
      <c r="X14" s="321"/>
    </row>
    <row r="15" spans="1:29" ht="15" customHeight="1" x14ac:dyDescent="0.2">
      <c r="A15" s="75"/>
      <c r="B15" s="75" t="s">
        <v>79</v>
      </c>
      <c r="C15" s="75" t="s">
        <v>772</v>
      </c>
      <c r="D15" s="320" t="s">
        <v>774</v>
      </c>
      <c r="E15" s="321" t="s">
        <v>220</v>
      </c>
      <c r="F15" s="320" t="s">
        <v>354</v>
      </c>
      <c r="G15" s="321">
        <v>102</v>
      </c>
      <c r="H15" s="353"/>
      <c r="I15" s="75" t="s">
        <v>207</v>
      </c>
      <c r="J15" s="322">
        <v>55.66</v>
      </c>
      <c r="K15" s="75" t="s">
        <v>269</v>
      </c>
      <c r="L15" s="322">
        <v>1800</v>
      </c>
      <c r="M15" s="323">
        <f t="shared" si="0"/>
        <v>100188</v>
      </c>
      <c r="N15" s="324">
        <v>0</v>
      </c>
      <c r="O15" s="325">
        <f t="shared" si="1"/>
        <v>0</v>
      </c>
      <c r="P15" s="324">
        <v>0.16</v>
      </c>
      <c r="Q15" s="323">
        <f t="shared" si="2"/>
        <v>16030.08</v>
      </c>
      <c r="R15" s="323">
        <f t="shared" si="3"/>
        <v>116218.08</v>
      </c>
      <c r="S15" s="323">
        <f>INDEX('Glosario Partidas'!$M$8:$M$10,MATCH(K15,'Glosario Partidas'!$L$8:$L$10,0))</f>
        <v>1</v>
      </c>
      <c r="T15" s="323">
        <f t="shared" si="4"/>
        <v>116218.08</v>
      </c>
      <c r="U15" s="321"/>
      <c r="V15" s="321" t="s">
        <v>13</v>
      </c>
      <c r="W15" s="321" t="s">
        <v>491</v>
      </c>
      <c r="X15" s="321"/>
    </row>
    <row r="16" spans="1:29" ht="15" customHeight="1" x14ac:dyDescent="0.2">
      <c r="A16" s="75"/>
      <c r="B16" s="75" t="s">
        <v>79</v>
      </c>
      <c r="C16" s="75" t="s">
        <v>775</v>
      </c>
      <c r="D16" s="320" t="s">
        <v>366</v>
      </c>
      <c r="E16" s="321" t="s">
        <v>220</v>
      </c>
      <c r="F16" s="320" t="s">
        <v>354</v>
      </c>
      <c r="G16" s="321">
        <v>102</v>
      </c>
      <c r="H16" s="353"/>
      <c r="I16" s="75" t="s">
        <v>207</v>
      </c>
      <c r="J16" s="322">
        <v>299.5</v>
      </c>
      <c r="K16" s="75" t="s">
        <v>269</v>
      </c>
      <c r="L16" s="322">
        <v>800</v>
      </c>
      <c r="M16" s="323">
        <f t="shared" si="0"/>
        <v>239600</v>
      </c>
      <c r="N16" s="324">
        <v>0</v>
      </c>
      <c r="O16" s="325">
        <f t="shared" si="1"/>
        <v>0</v>
      </c>
      <c r="P16" s="324">
        <v>0.16</v>
      </c>
      <c r="Q16" s="323">
        <f t="shared" si="2"/>
        <v>38336</v>
      </c>
      <c r="R16" s="323">
        <f t="shared" si="3"/>
        <v>277936</v>
      </c>
      <c r="S16" s="323">
        <f>INDEX('Glosario Partidas'!$M$8:$M$10,MATCH(K16,'Glosario Partidas'!$L$8:$L$10,0))</f>
        <v>1</v>
      </c>
      <c r="T16" s="323">
        <f t="shared" si="4"/>
        <v>277936</v>
      </c>
      <c r="U16" s="321"/>
      <c r="V16" s="321" t="s">
        <v>13</v>
      </c>
      <c r="W16" s="321" t="s">
        <v>491</v>
      </c>
      <c r="X16" s="321"/>
    </row>
    <row r="17" spans="1:24" ht="15" customHeight="1" x14ac:dyDescent="0.2">
      <c r="A17" s="75"/>
      <c r="B17" s="75" t="s">
        <v>79</v>
      </c>
      <c r="C17" s="75" t="s">
        <v>776</v>
      </c>
      <c r="D17" s="320" t="s">
        <v>776</v>
      </c>
      <c r="E17" s="321" t="s">
        <v>220</v>
      </c>
      <c r="F17" s="320" t="s">
        <v>354</v>
      </c>
      <c r="G17" s="321">
        <v>102</v>
      </c>
      <c r="H17" s="353"/>
      <c r="I17" s="75" t="s">
        <v>207</v>
      </c>
      <c r="J17" s="322">
        <v>72.959999999999994</v>
      </c>
      <c r="K17" s="75" t="s">
        <v>269</v>
      </c>
      <c r="L17" s="322">
        <v>800</v>
      </c>
      <c r="M17" s="323">
        <f t="shared" si="0"/>
        <v>58367.999999999993</v>
      </c>
      <c r="N17" s="324">
        <v>0</v>
      </c>
      <c r="O17" s="325">
        <f t="shared" si="1"/>
        <v>0</v>
      </c>
      <c r="P17" s="324">
        <v>0.16</v>
      </c>
      <c r="Q17" s="323">
        <f t="shared" si="2"/>
        <v>9338.8799999999992</v>
      </c>
      <c r="R17" s="323">
        <f t="shared" si="3"/>
        <v>67706.87999999999</v>
      </c>
      <c r="S17" s="323">
        <f>INDEX('Glosario Partidas'!$M$8:$M$10,MATCH(K17,'Glosario Partidas'!$L$8:$L$10,0))</f>
        <v>1</v>
      </c>
      <c r="T17" s="323">
        <f t="shared" si="4"/>
        <v>67706.87999999999</v>
      </c>
      <c r="U17" s="321"/>
      <c r="V17" s="321" t="s">
        <v>13</v>
      </c>
      <c r="W17" s="321" t="s">
        <v>491</v>
      </c>
      <c r="X17" s="321"/>
    </row>
    <row r="18" spans="1:24" ht="15" customHeight="1" x14ac:dyDescent="0.2">
      <c r="A18" s="75"/>
      <c r="B18" s="75" t="s">
        <v>79</v>
      </c>
      <c r="C18" s="75" t="s">
        <v>772</v>
      </c>
      <c r="D18" s="320" t="s">
        <v>777</v>
      </c>
      <c r="E18" s="321" t="s">
        <v>220</v>
      </c>
      <c r="F18" s="320" t="s">
        <v>354</v>
      </c>
      <c r="G18" s="321">
        <v>102</v>
      </c>
      <c r="H18" s="353"/>
      <c r="I18" s="75" t="s">
        <v>207</v>
      </c>
      <c r="J18" s="322">
        <v>397.34</v>
      </c>
      <c r="K18" s="75" t="s">
        <v>269</v>
      </c>
      <c r="L18" s="322">
        <v>500</v>
      </c>
      <c r="M18" s="323">
        <f t="shared" si="0"/>
        <v>198670</v>
      </c>
      <c r="N18" s="324">
        <v>0</v>
      </c>
      <c r="O18" s="325">
        <f t="shared" si="1"/>
        <v>0</v>
      </c>
      <c r="P18" s="324">
        <v>0.16</v>
      </c>
      <c r="Q18" s="323">
        <f t="shared" si="2"/>
        <v>31787.200000000001</v>
      </c>
      <c r="R18" s="323">
        <f t="shared" si="3"/>
        <v>230457.2</v>
      </c>
      <c r="S18" s="323">
        <f>INDEX('Glosario Partidas'!$M$8:$M$10,MATCH(K18,'Glosario Partidas'!$L$8:$L$10,0))</f>
        <v>1</v>
      </c>
      <c r="T18" s="323">
        <f t="shared" si="4"/>
        <v>230457.2</v>
      </c>
      <c r="U18" s="321"/>
      <c r="V18" s="321" t="s">
        <v>13</v>
      </c>
      <c r="W18" s="321" t="s">
        <v>491</v>
      </c>
      <c r="X18" s="321"/>
    </row>
    <row r="19" spans="1:24" ht="15" customHeight="1" x14ac:dyDescent="0.2">
      <c r="A19" s="75"/>
      <c r="B19" s="75" t="s">
        <v>79</v>
      </c>
      <c r="C19" s="75" t="s">
        <v>772</v>
      </c>
      <c r="D19" s="320" t="s">
        <v>778</v>
      </c>
      <c r="E19" s="321" t="s">
        <v>220</v>
      </c>
      <c r="F19" s="320" t="s">
        <v>354</v>
      </c>
      <c r="G19" s="321">
        <v>102</v>
      </c>
      <c r="H19" s="353"/>
      <c r="I19" s="75" t="s">
        <v>207</v>
      </c>
      <c r="J19" s="322">
        <v>335.12</v>
      </c>
      <c r="K19" s="75" t="s">
        <v>269</v>
      </c>
      <c r="L19" s="322">
        <v>1800</v>
      </c>
      <c r="M19" s="323">
        <f t="shared" si="0"/>
        <v>603216</v>
      </c>
      <c r="N19" s="324">
        <v>0</v>
      </c>
      <c r="O19" s="325">
        <f t="shared" si="1"/>
        <v>0</v>
      </c>
      <c r="P19" s="324">
        <v>0.16</v>
      </c>
      <c r="Q19" s="323">
        <f t="shared" si="2"/>
        <v>96514.559999999998</v>
      </c>
      <c r="R19" s="323">
        <f t="shared" si="3"/>
        <v>699730.56</v>
      </c>
      <c r="S19" s="323">
        <f>INDEX('Glosario Partidas'!$M$8:$M$10,MATCH(K19,'Glosario Partidas'!$L$8:$L$10,0))</f>
        <v>1</v>
      </c>
      <c r="T19" s="323">
        <f t="shared" si="4"/>
        <v>699730.56</v>
      </c>
      <c r="U19" s="321"/>
      <c r="V19" s="321" t="s">
        <v>13</v>
      </c>
      <c r="W19" s="321" t="s">
        <v>491</v>
      </c>
      <c r="X19" s="321"/>
    </row>
    <row r="20" spans="1:24" ht="15" customHeight="1" x14ac:dyDescent="0.2">
      <c r="A20" s="75"/>
      <c r="B20" s="75" t="s">
        <v>79</v>
      </c>
      <c r="C20" s="75" t="s">
        <v>772</v>
      </c>
      <c r="D20" s="320" t="s">
        <v>773</v>
      </c>
      <c r="E20" s="321" t="s">
        <v>220</v>
      </c>
      <c r="F20" s="320" t="s">
        <v>354</v>
      </c>
      <c r="G20" s="321">
        <v>202</v>
      </c>
      <c r="H20" s="353"/>
      <c r="I20" s="75" t="s">
        <v>207</v>
      </c>
      <c r="J20" s="322">
        <v>359.57</v>
      </c>
      <c r="K20" s="75" t="s">
        <v>269</v>
      </c>
      <c r="L20" s="322">
        <v>500</v>
      </c>
      <c r="M20" s="323">
        <f t="shared" ref="M20:M37" si="5">J20*L20</f>
        <v>179785</v>
      </c>
      <c r="N20" s="324">
        <v>0</v>
      </c>
      <c r="O20" s="325">
        <f t="shared" ref="O20:O37" si="6">M20*N20</f>
        <v>0</v>
      </c>
      <c r="P20" s="324">
        <v>0.16</v>
      </c>
      <c r="Q20" s="323">
        <f t="shared" ref="Q20:Q37" si="7">(M20+O20)*P20</f>
        <v>28765.600000000002</v>
      </c>
      <c r="R20" s="323">
        <f t="shared" ref="R20:R37" si="8">M20+O20+Q20</f>
        <v>208550.6</v>
      </c>
      <c r="S20" s="323">
        <f>INDEX('Glosario Partidas'!$M$8:$M$10,MATCH(K20,'Glosario Partidas'!$L$8:$L$10,0))</f>
        <v>1</v>
      </c>
      <c r="T20" s="323">
        <f t="shared" ref="T20:T37" si="9">R20*S20</f>
        <v>208550.6</v>
      </c>
      <c r="U20" s="321"/>
      <c r="V20" s="321" t="s">
        <v>13</v>
      </c>
      <c r="W20" s="321" t="s">
        <v>491</v>
      </c>
      <c r="X20" s="321"/>
    </row>
    <row r="21" spans="1:24" ht="15" customHeight="1" x14ac:dyDescent="0.2">
      <c r="A21" s="75"/>
      <c r="B21" s="75" t="s">
        <v>79</v>
      </c>
      <c r="C21" s="75" t="s">
        <v>772</v>
      </c>
      <c r="D21" s="320" t="s">
        <v>774</v>
      </c>
      <c r="E21" s="321" t="s">
        <v>220</v>
      </c>
      <c r="F21" s="320" t="s">
        <v>354</v>
      </c>
      <c r="G21" s="321">
        <v>202</v>
      </c>
      <c r="H21" s="353"/>
      <c r="I21" s="75" t="s">
        <v>207</v>
      </c>
      <c r="J21" s="322">
        <v>55.66</v>
      </c>
      <c r="K21" s="75" t="s">
        <v>269</v>
      </c>
      <c r="L21" s="322">
        <v>1800</v>
      </c>
      <c r="M21" s="323">
        <f t="shared" si="5"/>
        <v>100188</v>
      </c>
      <c r="N21" s="324">
        <v>0</v>
      </c>
      <c r="O21" s="325">
        <f t="shared" si="6"/>
        <v>0</v>
      </c>
      <c r="P21" s="324">
        <v>0.16</v>
      </c>
      <c r="Q21" s="323">
        <f t="shared" si="7"/>
        <v>16030.08</v>
      </c>
      <c r="R21" s="323">
        <f t="shared" si="8"/>
        <v>116218.08</v>
      </c>
      <c r="S21" s="323">
        <f>INDEX('Glosario Partidas'!$M$8:$M$10,MATCH(K21,'Glosario Partidas'!$L$8:$L$10,0))</f>
        <v>1</v>
      </c>
      <c r="T21" s="323">
        <f t="shared" si="9"/>
        <v>116218.08</v>
      </c>
      <c r="U21" s="321"/>
      <c r="V21" s="321" t="s">
        <v>13</v>
      </c>
      <c r="W21" s="321" t="s">
        <v>491</v>
      </c>
      <c r="X21" s="321"/>
    </row>
    <row r="22" spans="1:24" ht="15" customHeight="1" x14ac:dyDescent="0.2">
      <c r="A22" s="75"/>
      <c r="B22" s="75" t="s">
        <v>79</v>
      </c>
      <c r="C22" s="75" t="s">
        <v>775</v>
      </c>
      <c r="D22" s="320" t="s">
        <v>366</v>
      </c>
      <c r="E22" s="321" t="s">
        <v>220</v>
      </c>
      <c r="F22" s="320" t="s">
        <v>354</v>
      </c>
      <c r="G22" s="321">
        <v>202</v>
      </c>
      <c r="H22" s="353"/>
      <c r="I22" s="75" t="s">
        <v>207</v>
      </c>
      <c r="J22" s="322">
        <v>299.5</v>
      </c>
      <c r="K22" s="75" t="s">
        <v>269</v>
      </c>
      <c r="L22" s="322">
        <v>800</v>
      </c>
      <c r="M22" s="323">
        <f t="shared" si="5"/>
        <v>239600</v>
      </c>
      <c r="N22" s="324">
        <v>0</v>
      </c>
      <c r="O22" s="325">
        <f t="shared" si="6"/>
        <v>0</v>
      </c>
      <c r="P22" s="324">
        <v>0.16</v>
      </c>
      <c r="Q22" s="323">
        <f t="shared" si="7"/>
        <v>38336</v>
      </c>
      <c r="R22" s="323">
        <f t="shared" si="8"/>
        <v>277936</v>
      </c>
      <c r="S22" s="323">
        <f>INDEX('Glosario Partidas'!$M$8:$M$10,MATCH(K22,'Glosario Partidas'!$L$8:$L$10,0))</f>
        <v>1</v>
      </c>
      <c r="T22" s="323">
        <f t="shared" si="9"/>
        <v>277936</v>
      </c>
      <c r="U22" s="321"/>
      <c r="V22" s="321" t="s">
        <v>13</v>
      </c>
      <c r="W22" s="321" t="s">
        <v>491</v>
      </c>
      <c r="X22" s="321"/>
    </row>
    <row r="23" spans="1:24" ht="15" customHeight="1" x14ac:dyDescent="0.2">
      <c r="A23" s="75"/>
      <c r="B23" s="75" t="s">
        <v>79</v>
      </c>
      <c r="C23" s="75" t="s">
        <v>776</v>
      </c>
      <c r="D23" s="320" t="s">
        <v>776</v>
      </c>
      <c r="E23" s="321" t="s">
        <v>220</v>
      </c>
      <c r="F23" s="320" t="s">
        <v>354</v>
      </c>
      <c r="G23" s="321">
        <v>202</v>
      </c>
      <c r="H23" s="353"/>
      <c r="I23" s="75" t="s">
        <v>207</v>
      </c>
      <c r="J23" s="322">
        <v>72.959999999999994</v>
      </c>
      <c r="K23" s="75" t="s">
        <v>269</v>
      </c>
      <c r="L23" s="322">
        <v>800</v>
      </c>
      <c r="M23" s="323">
        <f t="shared" si="5"/>
        <v>58367.999999999993</v>
      </c>
      <c r="N23" s="324">
        <v>0</v>
      </c>
      <c r="O23" s="325">
        <f t="shared" si="6"/>
        <v>0</v>
      </c>
      <c r="P23" s="324">
        <v>0.16</v>
      </c>
      <c r="Q23" s="323">
        <f t="shared" si="7"/>
        <v>9338.8799999999992</v>
      </c>
      <c r="R23" s="323">
        <f t="shared" si="8"/>
        <v>67706.87999999999</v>
      </c>
      <c r="S23" s="323">
        <f>INDEX('Glosario Partidas'!$M$8:$M$10,MATCH(K23,'Glosario Partidas'!$L$8:$L$10,0))</f>
        <v>1</v>
      </c>
      <c r="T23" s="323">
        <f t="shared" si="9"/>
        <v>67706.87999999999</v>
      </c>
      <c r="U23" s="321"/>
      <c r="V23" s="321" t="s">
        <v>13</v>
      </c>
      <c r="W23" s="321" t="s">
        <v>491</v>
      </c>
      <c r="X23" s="321"/>
    </row>
    <row r="24" spans="1:24" ht="15" customHeight="1" x14ac:dyDescent="0.2">
      <c r="A24" s="75"/>
      <c r="B24" s="75" t="s">
        <v>79</v>
      </c>
      <c r="C24" s="75" t="s">
        <v>772</v>
      </c>
      <c r="D24" s="320" t="s">
        <v>777</v>
      </c>
      <c r="E24" s="321" t="s">
        <v>220</v>
      </c>
      <c r="F24" s="320" t="s">
        <v>354</v>
      </c>
      <c r="G24" s="321">
        <v>202</v>
      </c>
      <c r="H24" s="353"/>
      <c r="I24" s="75" t="s">
        <v>207</v>
      </c>
      <c r="J24" s="322">
        <v>397.34</v>
      </c>
      <c r="K24" s="75" t="s">
        <v>269</v>
      </c>
      <c r="L24" s="322">
        <v>500</v>
      </c>
      <c r="M24" s="323">
        <f t="shared" si="5"/>
        <v>198670</v>
      </c>
      <c r="N24" s="324">
        <v>0</v>
      </c>
      <c r="O24" s="325">
        <f t="shared" si="6"/>
        <v>0</v>
      </c>
      <c r="P24" s="324">
        <v>0.16</v>
      </c>
      <c r="Q24" s="323">
        <f t="shared" si="7"/>
        <v>31787.200000000001</v>
      </c>
      <c r="R24" s="323">
        <f t="shared" si="8"/>
        <v>230457.2</v>
      </c>
      <c r="S24" s="323">
        <f>INDEX('Glosario Partidas'!$M$8:$M$10,MATCH(K24,'Glosario Partidas'!$L$8:$L$10,0))</f>
        <v>1</v>
      </c>
      <c r="T24" s="323">
        <f t="shared" si="9"/>
        <v>230457.2</v>
      </c>
      <c r="U24" s="321"/>
      <c r="V24" s="321" t="s">
        <v>13</v>
      </c>
      <c r="W24" s="321" t="s">
        <v>491</v>
      </c>
      <c r="X24" s="321"/>
    </row>
    <row r="25" spans="1:24" ht="15" customHeight="1" x14ac:dyDescent="0.2">
      <c r="A25" s="75"/>
      <c r="B25" s="75" t="s">
        <v>79</v>
      </c>
      <c r="C25" s="75" t="s">
        <v>772</v>
      </c>
      <c r="D25" s="320" t="s">
        <v>778</v>
      </c>
      <c r="E25" s="321" t="s">
        <v>220</v>
      </c>
      <c r="F25" s="320" t="s">
        <v>354</v>
      </c>
      <c r="G25" s="321">
        <v>202</v>
      </c>
      <c r="H25" s="353"/>
      <c r="I25" s="75" t="s">
        <v>207</v>
      </c>
      <c r="J25" s="322">
        <v>335.12</v>
      </c>
      <c r="K25" s="75" t="s">
        <v>269</v>
      </c>
      <c r="L25" s="322">
        <v>1800</v>
      </c>
      <c r="M25" s="323">
        <f t="shared" si="5"/>
        <v>603216</v>
      </c>
      <c r="N25" s="324">
        <v>0</v>
      </c>
      <c r="O25" s="325">
        <f t="shared" si="6"/>
        <v>0</v>
      </c>
      <c r="P25" s="324">
        <v>0.16</v>
      </c>
      <c r="Q25" s="323">
        <f t="shared" si="7"/>
        <v>96514.559999999998</v>
      </c>
      <c r="R25" s="323">
        <f t="shared" si="8"/>
        <v>699730.56</v>
      </c>
      <c r="S25" s="323">
        <f>INDEX('Glosario Partidas'!$M$8:$M$10,MATCH(K25,'Glosario Partidas'!$L$8:$L$10,0))</f>
        <v>1</v>
      </c>
      <c r="T25" s="323">
        <f t="shared" si="9"/>
        <v>699730.56</v>
      </c>
      <c r="U25" s="321"/>
      <c r="V25" s="321" t="s">
        <v>13</v>
      </c>
      <c r="W25" s="321" t="s">
        <v>491</v>
      </c>
      <c r="X25" s="321"/>
    </row>
    <row r="26" spans="1:24" ht="15" customHeight="1" x14ac:dyDescent="0.2">
      <c r="A26" s="75"/>
      <c r="B26" s="75" t="s">
        <v>79</v>
      </c>
      <c r="C26" s="75" t="s">
        <v>772</v>
      </c>
      <c r="D26" s="320" t="s">
        <v>773</v>
      </c>
      <c r="E26" s="321" t="s">
        <v>220</v>
      </c>
      <c r="F26" s="320" t="s">
        <v>355</v>
      </c>
      <c r="G26" s="321">
        <v>103</v>
      </c>
      <c r="H26" s="353"/>
      <c r="I26" s="75" t="s">
        <v>207</v>
      </c>
      <c r="J26" s="322">
        <v>47.91</v>
      </c>
      <c r="K26" s="75" t="s">
        <v>269</v>
      </c>
      <c r="L26" s="322">
        <v>500</v>
      </c>
      <c r="M26" s="323">
        <f t="shared" si="5"/>
        <v>23955</v>
      </c>
      <c r="N26" s="324">
        <v>0</v>
      </c>
      <c r="O26" s="325">
        <f t="shared" si="6"/>
        <v>0</v>
      </c>
      <c r="P26" s="324">
        <v>0.16</v>
      </c>
      <c r="Q26" s="323">
        <f t="shared" si="7"/>
        <v>3832.8</v>
      </c>
      <c r="R26" s="323">
        <f t="shared" si="8"/>
        <v>27787.8</v>
      </c>
      <c r="S26" s="323">
        <f>INDEX('Glosario Partidas'!$M$8:$M$10,MATCH(K26,'Glosario Partidas'!$L$8:$L$10,0))</f>
        <v>1</v>
      </c>
      <c r="T26" s="323">
        <f t="shared" si="9"/>
        <v>27787.8</v>
      </c>
      <c r="U26" s="321"/>
      <c r="V26" s="321" t="s">
        <v>13</v>
      </c>
      <c r="W26" s="321" t="s">
        <v>491</v>
      </c>
      <c r="X26" s="321"/>
    </row>
    <row r="27" spans="1:24" ht="15" customHeight="1" x14ac:dyDescent="0.2">
      <c r="A27" s="75"/>
      <c r="B27" s="75" t="s">
        <v>79</v>
      </c>
      <c r="C27" s="75" t="s">
        <v>772</v>
      </c>
      <c r="D27" s="320" t="s">
        <v>774</v>
      </c>
      <c r="E27" s="321" t="s">
        <v>220</v>
      </c>
      <c r="F27" s="320" t="s">
        <v>355</v>
      </c>
      <c r="G27" s="321">
        <v>103</v>
      </c>
      <c r="H27" s="353"/>
      <c r="I27" s="75" t="s">
        <v>207</v>
      </c>
      <c r="J27" s="322">
        <v>62.9</v>
      </c>
      <c r="K27" s="75" t="s">
        <v>269</v>
      </c>
      <c r="L27" s="322">
        <v>1800</v>
      </c>
      <c r="M27" s="323">
        <f t="shared" si="5"/>
        <v>113220</v>
      </c>
      <c r="N27" s="324">
        <v>0</v>
      </c>
      <c r="O27" s="325">
        <f t="shared" si="6"/>
        <v>0</v>
      </c>
      <c r="P27" s="324">
        <v>0.16</v>
      </c>
      <c r="Q27" s="323">
        <f t="shared" si="7"/>
        <v>18115.2</v>
      </c>
      <c r="R27" s="323">
        <f t="shared" si="8"/>
        <v>131335.20000000001</v>
      </c>
      <c r="S27" s="323">
        <f>INDEX('Glosario Partidas'!$M$8:$M$10,MATCH(K27,'Glosario Partidas'!$L$8:$L$10,0))</f>
        <v>1</v>
      </c>
      <c r="T27" s="323">
        <f t="shared" si="9"/>
        <v>131335.20000000001</v>
      </c>
      <c r="U27" s="321"/>
      <c r="V27" s="321" t="s">
        <v>13</v>
      </c>
      <c r="W27" s="321" t="s">
        <v>491</v>
      </c>
      <c r="X27" s="321"/>
    </row>
    <row r="28" spans="1:24" ht="15" customHeight="1" x14ac:dyDescent="0.2">
      <c r="A28" s="75"/>
      <c r="B28" s="75" t="s">
        <v>79</v>
      </c>
      <c r="C28" s="75" t="s">
        <v>775</v>
      </c>
      <c r="D28" s="320" t="s">
        <v>366</v>
      </c>
      <c r="E28" s="321" t="s">
        <v>220</v>
      </c>
      <c r="F28" s="320" t="s">
        <v>355</v>
      </c>
      <c r="G28" s="321">
        <v>103</v>
      </c>
      <c r="H28" s="353"/>
      <c r="I28" s="75" t="s">
        <v>207</v>
      </c>
      <c r="J28" s="322">
        <v>98.94</v>
      </c>
      <c r="K28" s="75" t="s">
        <v>269</v>
      </c>
      <c r="L28" s="322">
        <v>800</v>
      </c>
      <c r="M28" s="323">
        <f t="shared" si="5"/>
        <v>79152</v>
      </c>
      <c r="N28" s="324">
        <v>0</v>
      </c>
      <c r="O28" s="325">
        <f t="shared" si="6"/>
        <v>0</v>
      </c>
      <c r="P28" s="324">
        <v>0.16</v>
      </c>
      <c r="Q28" s="323">
        <f t="shared" si="7"/>
        <v>12664.32</v>
      </c>
      <c r="R28" s="323">
        <f t="shared" si="8"/>
        <v>91816.320000000007</v>
      </c>
      <c r="S28" s="323">
        <f>INDEX('Glosario Partidas'!$M$8:$M$10,MATCH(K28,'Glosario Partidas'!$L$8:$L$10,0))</f>
        <v>1</v>
      </c>
      <c r="T28" s="323">
        <f t="shared" si="9"/>
        <v>91816.320000000007</v>
      </c>
      <c r="U28" s="321"/>
      <c r="V28" s="321" t="s">
        <v>13</v>
      </c>
      <c r="W28" s="321" t="s">
        <v>491</v>
      </c>
      <c r="X28" s="321"/>
    </row>
    <row r="29" spans="1:24" ht="15" customHeight="1" x14ac:dyDescent="0.2">
      <c r="A29" s="75"/>
      <c r="B29" s="75" t="s">
        <v>79</v>
      </c>
      <c r="C29" s="75" t="s">
        <v>776</v>
      </c>
      <c r="D29" s="320" t="s">
        <v>776</v>
      </c>
      <c r="E29" s="321" t="s">
        <v>220</v>
      </c>
      <c r="F29" s="320" t="s">
        <v>355</v>
      </c>
      <c r="G29" s="321">
        <v>103</v>
      </c>
      <c r="H29" s="353"/>
      <c r="I29" s="75" t="s">
        <v>207</v>
      </c>
      <c r="J29" s="322">
        <v>0</v>
      </c>
      <c r="K29" s="75" t="s">
        <v>269</v>
      </c>
      <c r="L29" s="322">
        <v>800</v>
      </c>
      <c r="M29" s="323">
        <f t="shared" si="5"/>
        <v>0</v>
      </c>
      <c r="N29" s="324">
        <v>0</v>
      </c>
      <c r="O29" s="325">
        <f t="shared" si="6"/>
        <v>0</v>
      </c>
      <c r="P29" s="324">
        <v>0.16</v>
      </c>
      <c r="Q29" s="323">
        <f t="shared" si="7"/>
        <v>0</v>
      </c>
      <c r="R29" s="323">
        <f t="shared" si="8"/>
        <v>0</v>
      </c>
      <c r="S29" s="323">
        <f>INDEX('Glosario Partidas'!$M$8:$M$10,MATCH(K29,'Glosario Partidas'!$L$8:$L$10,0))</f>
        <v>1</v>
      </c>
      <c r="T29" s="323">
        <f t="shared" si="9"/>
        <v>0</v>
      </c>
      <c r="U29" s="321"/>
      <c r="V29" s="321" t="s">
        <v>13</v>
      </c>
      <c r="W29" s="321" t="s">
        <v>491</v>
      </c>
      <c r="X29" s="321"/>
    </row>
    <row r="30" spans="1:24" ht="15" customHeight="1" x14ac:dyDescent="0.2">
      <c r="A30" s="75"/>
      <c r="B30" s="75" t="s">
        <v>79</v>
      </c>
      <c r="C30" s="75" t="s">
        <v>772</v>
      </c>
      <c r="D30" s="320" t="s">
        <v>777</v>
      </c>
      <c r="E30" s="321" t="s">
        <v>220</v>
      </c>
      <c r="F30" s="320" t="s">
        <v>355</v>
      </c>
      <c r="G30" s="321">
        <v>103</v>
      </c>
      <c r="H30" s="353"/>
      <c r="I30" s="75" t="s">
        <v>207</v>
      </c>
      <c r="J30" s="322">
        <v>73.569999999999993</v>
      </c>
      <c r="K30" s="75" t="s">
        <v>269</v>
      </c>
      <c r="L30" s="322">
        <v>500</v>
      </c>
      <c r="M30" s="323">
        <f t="shared" si="5"/>
        <v>36785</v>
      </c>
      <c r="N30" s="324">
        <v>0</v>
      </c>
      <c r="O30" s="325">
        <f t="shared" si="6"/>
        <v>0</v>
      </c>
      <c r="P30" s="324">
        <v>0.16</v>
      </c>
      <c r="Q30" s="323">
        <f t="shared" si="7"/>
        <v>5885.6</v>
      </c>
      <c r="R30" s="323">
        <f t="shared" si="8"/>
        <v>42670.6</v>
      </c>
      <c r="S30" s="323">
        <f>INDEX('Glosario Partidas'!$M$8:$M$10,MATCH(K30,'Glosario Partidas'!$L$8:$L$10,0))</f>
        <v>1</v>
      </c>
      <c r="T30" s="323">
        <f t="shared" si="9"/>
        <v>42670.6</v>
      </c>
      <c r="U30" s="321"/>
      <c r="V30" s="321" t="s">
        <v>13</v>
      </c>
      <c r="W30" s="321" t="s">
        <v>491</v>
      </c>
      <c r="X30" s="321"/>
    </row>
    <row r="31" spans="1:24" ht="15" customHeight="1" x14ac:dyDescent="0.2">
      <c r="A31" s="75"/>
      <c r="B31" s="75" t="s">
        <v>79</v>
      </c>
      <c r="C31" s="75" t="s">
        <v>772</v>
      </c>
      <c r="D31" s="320" t="s">
        <v>778</v>
      </c>
      <c r="E31" s="321" t="s">
        <v>220</v>
      </c>
      <c r="F31" s="320" t="s">
        <v>355</v>
      </c>
      <c r="G31" s="321">
        <v>103</v>
      </c>
      <c r="H31" s="353"/>
      <c r="I31" s="75" t="s">
        <v>207</v>
      </c>
      <c r="J31" s="322">
        <v>238.61</v>
      </c>
      <c r="K31" s="75" t="s">
        <v>269</v>
      </c>
      <c r="L31" s="322">
        <v>1800</v>
      </c>
      <c r="M31" s="323">
        <f t="shared" si="5"/>
        <v>429498</v>
      </c>
      <c r="N31" s="324">
        <v>0</v>
      </c>
      <c r="O31" s="325">
        <f t="shared" si="6"/>
        <v>0</v>
      </c>
      <c r="P31" s="324">
        <v>0.16</v>
      </c>
      <c r="Q31" s="323">
        <f t="shared" si="7"/>
        <v>68719.680000000008</v>
      </c>
      <c r="R31" s="323">
        <f t="shared" si="8"/>
        <v>498217.68</v>
      </c>
      <c r="S31" s="323">
        <f>INDEX('Glosario Partidas'!$M$8:$M$10,MATCH(K31,'Glosario Partidas'!$L$8:$L$10,0))</f>
        <v>1</v>
      </c>
      <c r="T31" s="323">
        <f t="shared" si="9"/>
        <v>498217.68</v>
      </c>
      <c r="U31" s="321"/>
      <c r="V31" s="321" t="s">
        <v>13</v>
      </c>
      <c r="W31" s="321" t="s">
        <v>491</v>
      </c>
      <c r="X31" s="321"/>
    </row>
    <row r="32" spans="1:24" ht="15" customHeight="1" x14ac:dyDescent="0.2">
      <c r="A32" s="75"/>
      <c r="B32" s="75" t="s">
        <v>79</v>
      </c>
      <c r="C32" s="75" t="s">
        <v>772</v>
      </c>
      <c r="D32" s="320" t="s">
        <v>773</v>
      </c>
      <c r="E32" s="321" t="s">
        <v>220</v>
      </c>
      <c r="F32" s="320" t="s">
        <v>355</v>
      </c>
      <c r="G32" s="321">
        <v>203</v>
      </c>
      <c r="H32" s="353"/>
      <c r="I32" s="75" t="s">
        <v>207</v>
      </c>
      <c r="J32" s="322">
        <v>47.91</v>
      </c>
      <c r="K32" s="75" t="s">
        <v>269</v>
      </c>
      <c r="L32" s="322">
        <v>500</v>
      </c>
      <c r="M32" s="323">
        <f t="shared" si="5"/>
        <v>23955</v>
      </c>
      <c r="N32" s="324">
        <v>0</v>
      </c>
      <c r="O32" s="325">
        <f t="shared" si="6"/>
        <v>0</v>
      </c>
      <c r="P32" s="324">
        <v>0.16</v>
      </c>
      <c r="Q32" s="323">
        <f t="shared" si="7"/>
        <v>3832.8</v>
      </c>
      <c r="R32" s="323">
        <f t="shared" si="8"/>
        <v>27787.8</v>
      </c>
      <c r="S32" s="323">
        <f>INDEX('Glosario Partidas'!$M$8:$M$10,MATCH(K32,'Glosario Partidas'!$L$8:$L$10,0))</f>
        <v>1</v>
      </c>
      <c r="T32" s="323">
        <f t="shared" si="9"/>
        <v>27787.8</v>
      </c>
      <c r="U32" s="321"/>
      <c r="V32" s="321" t="s">
        <v>13</v>
      </c>
      <c r="W32" s="321" t="s">
        <v>491</v>
      </c>
      <c r="X32" s="321"/>
    </row>
    <row r="33" spans="1:24" ht="15" customHeight="1" x14ac:dyDescent="0.2">
      <c r="A33" s="75"/>
      <c r="B33" s="75" t="s">
        <v>79</v>
      </c>
      <c r="C33" s="75" t="s">
        <v>772</v>
      </c>
      <c r="D33" s="320" t="s">
        <v>774</v>
      </c>
      <c r="E33" s="321" t="s">
        <v>220</v>
      </c>
      <c r="F33" s="320" t="s">
        <v>355</v>
      </c>
      <c r="G33" s="321">
        <v>203</v>
      </c>
      <c r="H33" s="353"/>
      <c r="I33" s="75" t="s">
        <v>207</v>
      </c>
      <c r="J33" s="322">
        <v>62.9</v>
      </c>
      <c r="K33" s="75" t="s">
        <v>269</v>
      </c>
      <c r="L33" s="322">
        <v>1800</v>
      </c>
      <c r="M33" s="323">
        <f t="shared" si="5"/>
        <v>113220</v>
      </c>
      <c r="N33" s="324">
        <v>0</v>
      </c>
      <c r="O33" s="325">
        <f t="shared" si="6"/>
        <v>0</v>
      </c>
      <c r="P33" s="324">
        <v>0.16</v>
      </c>
      <c r="Q33" s="323">
        <f t="shared" si="7"/>
        <v>18115.2</v>
      </c>
      <c r="R33" s="323">
        <f t="shared" si="8"/>
        <v>131335.20000000001</v>
      </c>
      <c r="S33" s="323">
        <f>INDEX('Glosario Partidas'!$M$8:$M$10,MATCH(K33,'Glosario Partidas'!$L$8:$L$10,0))</f>
        <v>1</v>
      </c>
      <c r="T33" s="323">
        <f t="shared" si="9"/>
        <v>131335.20000000001</v>
      </c>
      <c r="U33" s="321"/>
      <c r="V33" s="321" t="s">
        <v>13</v>
      </c>
      <c r="W33" s="321" t="s">
        <v>491</v>
      </c>
      <c r="X33" s="321"/>
    </row>
    <row r="34" spans="1:24" ht="15" customHeight="1" x14ac:dyDescent="0.2">
      <c r="A34" s="75"/>
      <c r="B34" s="75" t="s">
        <v>79</v>
      </c>
      <c r="C34" s="75" t="s">
        <v>775</v>
      </c>
      <c r="D34" s="320" t="s">
        <v>366</v>
      </c>
      <c r="E34" s="321" t="s">
        <v>220</v>
      </c>
      <c r="F34" s="320" t="s">
        <v>355</v>
      </c>
      <c r="G34" s="321">
        <v>203</v>
      </c>
      <c r="H34" s="353"/>
      <c r="I34" s="75" t="s">
        <v>207</v>
      </c>
      <c r="J34" s="322">
        <v>98.94</v>
      </c>
      <c r="K34" s="75" t="s">
        <v>269</v>
      </c>
      <c r="L34" s="322">
        <v>800</v>
      </c>
      <c r="M34" s="323">
        <f t="shared" si="5"/>
        <v>79152</v>
      </c>
      <c r="N34" s="324">
        <v>0</v>
      </c>
      <c r="O34" s="325">
        <f t="shared" si="6"/>
        <v>0</v>
      </c>
      <c r="P34" s="324">
        <v>0.16</v>
      </c>
      <c r="Q34" s="323">
        <f t="shared" si="7"/>
        <v>12664.32</v>
      </c>
      <c r="R34" s="323">
        <f t="shared" si="8"/>
        <v>91816.320000000007</v>
      </c>
      <c r="S34" s="323">
        <f>INDEX('Glosario Partidas'!$M$8:$M$10,MATCH(K34,'Glosario Partidas'!$L$8:$L$10,0))</f>
        <v>1</v>
      </c>
      <c r="T34" s="323">
        <f t="shared" si="9"/>
        <v>91816.320000000007</v>
      </c>
      <c r="U34" s="321"/>
      <c r="V34" s="321" t="s">
        <v>13</v>
      </c>
      <c r="W34" s="321" t="s">
        <v>491</v>
      </c>
      <c r="X34" s="321"/>
    </row>
    <row r="35" spans="1:24" ht="15" customHeight="1" x14ac:dyDescent="0.2">
      <c r="A35" s="75"/>
      <c r="B35" s="75" t="s">
        <v>79</v>
      </c>
      <c r="C35" s="75" t="s">
        <v>776</v>
      </c>
      <c r="D35" s="320" t="s">
        <v>776</v>
      </c>
      <c r="E35" s="321" t="s">
        <v>220</v>
      </c>
      <c r="F35" s="320" t="s">
        <v>355</v>
      </c>
      <c r="G35" s="321">
        <v>203</v>
      </c>
      <c r="H35" s="353"/>
      <c r="I35" s="75" t="s">
        <v>207</v>
      </c>
      <c r="J35" s="322">
        <v>0</v>
      </c>
      <c r="K35" s="75" t="s">
        <v>269</v>
      </c>
      <c r="L35" s="322">
        <v>800</v>
      </c>
      <c r="M35" s="323">
        <f t="shared" si="5"/>
        <v>0</v>
      </c>
      <c r="N35" s="324">
        <v>0</v>
      </c>
      <c r="O35" s="325">
        <f t="shared" si="6"/>
        <v>0</v>
      </c>
      <c r="P35" s="324">
        <v>0.16</v>
      </c>
      <c r="Q35" s="323">
        <f t="shared" si="7"/>
        <v>0</v>
      </c>
      <c r="R35" s="323">
        <f t="shared" si="8"/>
        <v>0</v>
      </c>
      <c r="S35" s="323">
        <f>INDEX('Glosario Partidas'!$M$8:$M$10,MATCH(K35,'Glosario Partidas'!$L$8:$L$10,0))</f>
        <v>1</v>
      </c>
      <c r="T35" s="323">
        <f t="shared" si="9"/>
        <v>0</v>
      </c>
      <c r="U35" s="321"/>
      <c r="V35" s="321" t="s">
        <v>13</v>
      </c>
      <c r="W35" s="321" t="s">
        <v>491</v>
      </c>
      <c r="X35" s="321"/>
    </row>
    <row r="36" spans="1:24" ht="15" customHeight="1" x14ac:dyDescent="0.2">
      <c r="A36" s="75"/>
      <c r="B36" s="75" t="s">
        <v>79</v>
      </c>
      <c r="C36" s="75" t="s">
        <v>772</v>
      </c>
      <c r="D36" s="320" t="s">
        <v>777</v>
      </c>
      <c r="E36" s="321" t="s">
        <v>220</v>
      </c>
      <c r="F36" s="320" t="s">
        <v>355</v>
      </c>
      <c r="G36" s="321">
        <v>203</v>
      </c>
      <c r="H36" s="353"/>
      <c r="I36" s="75" t="s">
        <v>207</v>
      </c>
      <c r="J36" s="322">
        <v>73.569999999999993</v>
      </c>
      <c r="K36" s="75" t="s">
        <v>269</v>
      </c>
      <c r="L36" s="322">
        <v>500</v>
      </c>
      <c r="M36" s="323">
        <f t="shared" si="5"/>
        <v>36785</v>
      </c>
      <c r="N36" s="324">
        <v>0</v>
      </c>
      <c r="O36" s="325">
        <f t="shared" si="6"/>
        <v>0</v>
      </c>
      <c r="P36" s="324">
        <v>0.16</v>
      </c>
      <c r="Q36" s="323">
        <f t="shared" si="7"/>
        <v>5885.6</v>
      </c>
      <c r="R36" s="323">
        <f t="shared" si="8"/>
        <v>42670.6</v>
      </c>
      <c r="S36" s="323">
        <f>INDEX('Glosario Partidas'!$M$8:$M$10,MATCH(K36,'Glosario Partidas'!$L$8:$L$10,0))</f>
        <v>1</v>
      </c>
      <c r="T36" s="323">
        <f t="shared" si="9"/>
        <v>42670.6</v>
      </c>
      <c r="U36" s="321"/>
      <c r="V36" s="321" t="s">
        <v>13</v>
      </c>
      <c r="W36" s="321" t="s">
        <v>491</v>
      </c>
      <c r="X36" s="321"/>
    </row>
    <row r="37" spans="1:24" ht="15" customHeight="1" x14ac:dyDescent="0.2">
      <c r="A37" s="75"/>
      <c r="B37" s="75" t="s">
        <v>79</v>
      </c>
      <c r="C37" s="75" t="s">
        <v>772</v>
      </c>
      <c r="D37" s="320" t="s">
        <v>778</v>
      </c>
      <c r="E37" s="321" t="s">
        <v>220</v>
      </c>
      <c r="F37" s="320" t="s">
        <v>355</v>
      </c>
      <c r="G37" s="321">
        <v>203</v>
      </c>
      <c r="H37" s="353"/>
      <c r="I37" s="75" t="s">
        <v>207</v>
      </c>
      <c r="J37" s="322">
        <v>238.61</v>
      </c>
      <c r="K37" s="75" t="s">
        <v>269</v>
      </c>
      <c r="L37" s="322">
        <v>1800</v>
      </c>
      <c r="M37" s="323">
        <f t="shared" si="5"/>
        <v>429498</v>
      </c>
      <c r="N37" s="324">
        <v>0</v>
      </c>
      <c r="O37" s="325">
        <f t="shared" si="6"/>
        <v>0</v>
      </c>
      <c r="P37" s="324">
        <v>0.16</v>
      </c>
      <c r="Q37" s="323">
        <f t="shared" si="7"/>
        <v>68719.680000000008</v>
      </c>
      <c r="R37" s="323">
        <f t="shared" si="8"/>
        <v>498217.68</v>
      </c>
      <c r="S37" s="323">
        <f>INDEX('Glosario Partidas'!$M$8:$M$10,MATCH(K37,'Glosario Partidas'!$L$8:$L$10,0))</f>
        <v>1</v>
      </c>
      <c r="T37" s="323">
        <f t="shared" si="9"/>
        <v>498217.68</v>
      </c>
      <c r="U37" s="321"/>
      <c r="V37" s="321" t="s">
        <v>13</v>
      </c>
      <c r="W37" s="321" t="s">
        <v>491</v>
      </c>
      <c r="X37" s="321"/>
    </row>
    <row r="38" spans="1:24" ht="15" customHeight="1" x14ac:dyDescent="0.2">
      <c r="A38" s="75"/>
      <c r="B38" s="75" t="s">
        <v>79</v>
      </c>
      <c r="C38" s="75" t="s">
        <v>772</v>
      </c>
      <c r="D38" s="320" t="s">
        <v>773</v>
      </c>
      <c r="E38" s="321" t="s">
        <v>229</v>
      </c>
      <c r="F38" s="320" t="s">
        <v>221</v>
      </c>
      <c r="G38" s="321">
        <v>301</v>
      </c>
      <c r="H38" s="353"/>
      <c r="I38" s="75" t="s">
        <v>207</v>
      </c>
      <c r="J38" s="322">
        <v>364.74</v>
      </c>
      <c r="K38" s="75" t="s">
        <v>269</v>
      </c>
      <c r="L38" s="322">
        <v>500</v>
      </c>
      <c r="M38" s="323">
        <f t="shared" ref="M38:M57" si="10">J38*L38</f>
        <v>182370</v>
      </c>
      <c r="N38" s="324">
        <v>0</v>
      </c>
      <c r="O38" s="325">
        <f t="shared" ref="O38:O57" si="11">M38*N38</f>
        <v>0</v>
      </c>
      <c r="P38" s="324">
        <v>0.16</v>
      </c>
      <c r="Q38" s="323">
        <f t="shared" ref="Q38:Q57" si="12">(M38+O38)*P38</f>
        <v>29179.200000000001</v>
      </c>
      <c r="R38" s="323">
        <f t="shared" ref="R38:R57" si="13">M38+O38+Q38</f>
        <v>211549.2</v>
      </c>
      <c r="S38" s="323">
        <f>INDEX('Glosario Partidas'!$M$8:$M$10,MATCH(K38,'Glosario Partidas'!$L$8:$L$10,0))</f>
        <v>1</v>
      </c>
      <c r="T38" s="323">
        <f t="shared" ref="T38:T57" si="14">R38*S38</f>
        <v>211549.2</v>
      </c>
      <c r="U38" s="321"/>
      <c r="V38" s="321" t="s">
        <v>13</v>
      </c>
      <c r="W38" s="321" t="s">
        <v>491</v>
      </c>
      <c r="X38" s="321"/>
    </row>
    <row r="39" spans="1:24" ht="15" customHeight="1" x14ac:dyDescent="0.2">
      <c r="A39" s="75"/>
      <c r="B39" s="75" t="s">
        <v>79</v>
      </c>
      <c r="C39" s="75" t="s">
        <v>772</v>
      </c>
      <c r="D39" s="320" t="s">
        <v>774</v>
      </c>
      <c r="E39" s="321" t="s">
        <v>229</v>
      </c>
      <c r="F39" s="320" t="s">
        <v>221</v>
      </c>
      <c r="G39" s="321">
        <v>301</v>
      </c>
      <c r="H39" s="353"/>
      <c r="I39" s="75" t="s">
        <v>207</v>
      </c>
      <c r="J39" s="322">
        <v>101.38</v>
      </c>
      <c r="K39" s="75" t="s">
        <v>269</v>
      </c>
      <c r="L39" s="322">
        <v>1800</v>
      </c>
      <c r="M39" s="323">
        <f t="shared" si="10"/>
        <v>182484</v>
      </c>
      <c r="N39" s="324">
        <v>0</v>
      </c>
      <c r="O39" s="325">
        <f t="shared" si="11"/>
        <v>0</v>
      </c>
      <c r="P39" s="324">
        <v>0.16</v>
      </c>
      <c r="Q39" s="323">
        <f t="shared" si="12"/>
        <v>29197.440000000002</v>
      </c>
      <c r="R39" s="323">
        <f t="shared" si="13"/>
        <v>211681.44</v>
      </c>
      <c r="S39" s="323">
        <f>INDEX('Glosario Partidas'!$M$8:$M$10,MATCH(K39,'Glosario Partidas'!$L$8:$L$10,0))</f>
        <v>1</v>
      </c>
      <c r="T39" s="323">
        <f t="shared" si="14"/>
        <v>211681.44</v>
      </c>
      <c r="U39" s="321"/>
      <c r="V39" s="321" t="s">
        <v>13</v>
      </c>
      <c r="W39" s="321" t="s">
        <v>491</v>
      </c>
      <c r="X39" s="321"/>
    </row>
    <row r="40" spans="1:24" ht="15" customHeight="1" x14ac:dyDescent="0.2">
      <c r="A40" s="75"/>
      <c r="B40" s="75" t="s">
        <v>79</v>
      </c>
      <c r="C40" s="75" t="s">
        <v>775</v>
      </c>
      <c r="D40" s="320" t="s">
        <v>366</v>
      </c>
      <c r="E40" s="321" t="s">
        <v>229</v>
      </c>
      <c r="F40" s="320" t="s">
        <v>221</v>
      </c>
      <c r="G40" s="321">
        <v>301</v>
      </c>
      <c r="H40" s="353"/>
      <c r="I40" s="75" t="s">
        <v>207</v>
      </c>
      <c r="J40" s="322">
        <v>336.57</v>
      </c>
      <c r="K40" s="75" t="s">
        <v>269</v>
      </c>
      <c r="L40" s="322">
        <v>800</v>
      </c>
      <c r="M40" s="323">
        <f t="shared" si="10"/>
        <v>269256</v>
      </c>
      <c r="N40" s="324">
        <v>0</v>
      </c>
      <c r="O40" s="325">
        <f t="shared" si="11"/>
        <v>0</v>
      </c>
      <c r="P40" s="324">
        <v>0.16</v>
      </c>
      <c r="Q40" s="323">
        <f t="shared" si="12"/>
        <v>43080.959999999999</v>
      </c>
      <c r="R40" s="323">
        <f t="shared" si="13"/>
        <v>312336.96000000002</v>
      </c>
      <c r="S40" s="323">
        <f>INDEX('Glosario Partidas'!$M$8:$M$10,MATCH(K40,'Glosario Partidas'!$L$8:$L$10,0))</f>
        <v>1</v>
      </c>
      <c r="T40" s="323">
        <f t="shared" si="14"/>
        <v>312336.96000000002</v>
      </c>
      <c r="U40" s="321"/>
      <c r="V40" s="321" t="s">
        <v>13</v>
      </c>
      <c r="W40" s="321" t="s">
        <v>491</v>
      </c>
      <c r="X40" s="321"/>
    </row>
    <row r="41" spans="1:24" ht="15" customHeight="1" x14ac:dyDescent="0.2">
      <c r="A41" s="75"/>
      <c r="B41" s="75" t="s">
        <v>79</v>
      </c>
      <c r="C41" s="75" t="s">
        <v>776</v>
      </c>
      <c r="D41" s="320" t="s">
        <v>776</v>
      </c>
      <c r="E41" s="321" t="s">
        <v>229</v>
      </c>
      <c r="F41" s="320" t="s">
        <v>221</v>
      </c>
      <c r="G41" s="321">
        <v>301</v>
      </c>
      <c r="H41" s="353"/>
      <c r="I41" s="75" t="s">
        <v>207</v>
      </c>
      <c r="J41" s="322">
        <v>72.959999999999994</v>
      </c>
      <c r="K41" s="75" t="s">
        <v>269</v>
      </c>
      <c r="L41" s="322">
        <v>800</v>
      </c>
      <c r="M41" s="323">
        <f t="shared" si="10"/>
        <v>58367.999999999993</v>
      </c>
      <c r="N41" s="324">
        <v>0</v>
      </c>
      <c r="O41" s="325">
        <f t="shared" si="11"/>
        <v>0</v>
      </c>
      <c r="P41" s="324">
        <v>0.16</v>
      </c>
      <c r="Q41" s="323">
        <f t="shared" si="12"/>
        <v>9338.8799999999992</v>
      </c>
      <c r="R41" s="323">
        <f t="shared" si="13"/>
        <v>67706.87999999999</v>
      </c>
      <c r="S41" s="323">
        <f>INDEX('Glosario Partidas'!$M$8:$M$10,MATCH(K41,'Glosario Partidas'!$L$8:$L$10,0))</f>
        <v>1</v>
      </c>
      <c r="T41" s="323">
        <f t="shared" si="14"/>
        <v>67706.87999999999</v>
      </c>
      <c r="U41" s="321"/>
      <c r="V41" s="321" t="s">
        <v>13</v>
      </c>
      <c r="W41" s="321" t="s">
        <v>491</v>
      </c>
      <c r="X41" s="321"/>
    </row>
    <row r="42" spans="1:24" ht="15" customHeight="1" x14ac:dyDescent="0.2">
      <c r="A42" s="75"/>
      <c r="B42" s="75" t="s">
        <v>79</v>
      </c>
      <c r="C42" s="75" t="s">
        <v>772</v>
      </c>
      <c r="D42" s="320" t="s">
        <v>777</v>
      </c>
      <c r="E42" s="321" t="s">
        <v>229</v>
      </c>
      <c r="F42" s="320" t="s">
        <v>221</v>
      </c>
      <c r="G42" s="321">
        <v>301</v>
      </c>
      <c r="H42" s="353"/>
      <c r="I42" s="75" t="s">
        <v>207</v>
      </c>
      <c r="J42" s="322">
        <v>392.75</v>
      </c>
      <c r="K42" s="75" t="s">
        <v>269</v>
      </c>
      <c r="L42" s="322">
        <v>500</v>
      </c>
      <c r="M42" s="323">
        <f t="shared" si="10"/>
        <v>196375</v>
      </c>
      <c r="N42" s="324">
        <v>0</v>
      </c>
      <c r="O42" s="325">
        <f t="shared" si="11"/>
        <v>0</v>
      </c>
      <c r="P42" s="324">
        <v>0.16</v>
      </c>
      <c r="Q42" s="323">
        <f t="shared" si="12"/>
        <v>31420</v>
      </c>
      <c r="R42" s="323">
        <f t="shared" si="13"/>
        <v>227795</v>
      </c>
      <c r="S42" s="323">
        <f>INDEX('Glosario Partidas'!$M$8:$M$10,MATCH(K42,'Glosario Partidas'!$L$8:$L$10,0))</f>
        <v>1</v>
      </c>
      <c r="T42" s="323">
        <f t="shared" si="14"/>
        <v>227795</v>
      </c>
      <c r="U42" s="321"/>
      <c r="V42" s="321" t="s">
        <v>13</v>
      </c>
      <c r="W42" s="321" t="s">
        <v>491</v>
      </c>
      <c r="X42" s="321"/>
    </row>
    <row r="43" spans="1:24" ht="15" customHeight="1" x14ac:dyDescent="0.2">
      <c r="A43" s="75"/>
      <c r="B43" s="75" t="s">
        <v>79</v>
      </c>
      <c r="C43" s="75" t="s">
        <v>772</v>
      </c>
      <c r="D43" s="320" t="s">
        <v>778</v>
      </c>
      <c r="E43" s="321" t="s">
        <v>229</v>
      </c>
      <c r="F43" s="320" t="s">
        <v>221</v>
      </c>
      <c r="G43" s="321">
        <v>301</v>
      </c>
      <c r="H43" s="353"/>
      <c r="I43" s="75" t="s">
        <v>207</v>
      </c>
      <c r="J43" s="322">
        <v>322.52999999999997</v>
      </c>
      <c r="K43" s="75" t="s">
        <v>269</v>
      </c>
      <c r="L43" s="322">
        <v>1800</v>
      </c>
      <c r="M43" s="323">
        <f t="shared" si="10"/>
        <v>580554</v>
      </c>
      <c r="N43" s="324">
        <v>0</v>
      </c>
      <c r="O43" s="325">
        <f t="shared" si="11"/>
        <v>0</v>
      </c>
      <c r="P43" s="324">
        <v>0.16</v>
      </c>
      <c r="Q43" s="323">
        <f t="shared" si="12"/>
        <v>92888.639999999999</v>
      </c>
      <c r="R43" s="323">
        <f t="shared" si="13"/>
        <v>673442.64</v>
      </c>
      <c r="S43" s="323">
        <f>INDEX('Glosario Partidas'!$M$8:$M$10,MATCH(K43,'Glosario Partidas'!$L$8:$L$10,0))</f>
        <v>1</v>
      </c>
      <c r="T43" s="323">
        <f t="shared" si="14"/>
        <v>673442.64</v>
      </c>
      <c r="U43" s="321"/>
      <c r="V43" s="321" t="s">
        <v>13</v>
      </c>
      <c r="W43" s="321" t="s">
        <v>491</v>
      </c>
      <c r="X43" s="321"/>
    </row>
    <row r="44" spans="1:24" ht="15" customHeight="1" x14ac:dyDescent="0.2">
      <c r="A44" s="75"/>
      <c r="B44" s="75" t="s">
        <v>79</v>
      </c>
      <c r="C44" s="75" t="s">
        <v>772</v>
      </c>
      <c r="D44" s="320" t="s">
        <v>773</v>
      </c>
      <c r="E44" s="321" t="s">
        <v>229</v>
      </c>
      <c r="F44" s="320" t="s">
        <v>221</v>
      </c>
      <c r="G44" s="321">
        <v>401</v>
      </c>
      <c r="H44" s="353"/>
      <c r="I44" s="75" t="s">
        <v>207</v>
      </c>
      <c r="J44" s="322">
        <v>364.74</v>
      </c>
      <c r="K44" s="75" t="s">
        <v>269</v>
      </c>
      <c r="L44" s="322">
        <v>500</v>
      </c>
      <c r="M44" s="323">
        <f t="shared" si="10"/>
        <v>182370</v>
      </c>
      <c r="N44" s="324">
        <v>0</v>
      </c>
      <c r="O44" s="325">
        <f t="shared" si="11"/>
        <v>0</v>
      </c>
      <c r="P44" s="324">
        <v>0.16</v>
      </c>
      <c r="Q44" s="323">
        <f t="shared" si="12"/>
        <v>29179.200000000001</v>
      </c>
      <c r="R44" s="323">
        <f t="shared" si="13"/>
        <v>211549.2</v>
      </c>
      <c r="S44" s="323">
        <f>INDEX('Glosario Partidas'!$M$8:$M$10,MATCH(K44,'Glosario Partidas'!$L$8:$L$10,0))</f>
        <v>1</v>
      </c>
      <c r="T44" s="323">
        <f t="shared" si="14"/>
        <v>211549.2</v>
      </c>
      <c r="U44" s="321"/>
      <c r="V44" s="321" t="s">
        <v>13</v>
      </c>
      <c r="W44" s="321" t="s">
        <v>491</v>
      </c>
      <c r="X44" s="321"/>
    </row>
    <row r="45" spans="1:24" ht="15" customHeight="1" x14ac:dyDescent="0.2">
      <c r="A45" s="75"/>
      <c r="B45" s="75" t="s">
        <v>79</v>
      </c>
      <c r="C45" s="75" t="s">
        <v>772</v>
      </c>
      <c r="D45" s="320" t="s">
        <v>774</v>
      </c>
      <c r="E45" s="321" t="s">
        <v>229</v>
      </c>
      <c r="F45" s="320" t="s">
        <v>221</v>
      </c>
      <c r="G45" s="321">
        <v>401</v>
      </c>
      <c r="H45" s="353"/>
      <c r="I45" s="75" t="s">
        <v>207</v>
      </c>
      <c r="J45" s="322">
        <v>101.38</v>
      </c>
      <c r="K45" s="75" t="s">
        <v>269</v>
      </c>
      <c r="L45" s="322">
        <v>1800</v>
      </c>
      <c r="M45" s="323">
        <f t="shared" si="10"/>
        <v>182484</v>
      </c>
      <c r="N45" s="324">
        <v>0</v>
      </c>
      <c r="O45" s="325">
        <f t="shared" si="11"/>
        <v>0</v>
      </c>
      <c r="P45" s="324">
        <v>0.16</v>
      </c>
      <c r="Q45" s="323">
        <f t="shared" si="12"/>
        <v>29197.440000000002</v>
      </c>
      <c r="R45" s="323">
        <f t="shared" si="13"/>
        <v>211681.44</v>
      </c>
      <c r="S45" s="323">
        <f>INDEX('Glosario Partidas'!$M$8:$M$10,MATCH(K45,'Glosario Partidas'!$L$8:$L$10,0))</f>
        <v>1</v>
      </c>
      <c r="T45" s="323">
        <f t="shared" si="14"/>
        <v>211681.44</v>
      </c>
      <c r="U45" s="321"/>
      <c r="V45" s="321" t="s">
        <v>13</v>
      </c>
      <c r="W45" s="321" t="s">
        <v>491</v>
      </c>
      <c r="X45" s="321"/>
    </row>
    <row r="46" spans="1:24" ht="15" customHeight="1" x14ac:dyDescent="0.2">
      <c r="A46" s="75"/>
      <c r="B46" s="75" t="s">
        <v>79</v>
      </c>
      <c r="C46" s="75" t="s">
        <v>775</v>
      </c>
      <c r="D46" s="320" t="s">
        <v>366</v>
      </c>
      <c r="E46" s="321" t="s">
        <v>229</v>
      </c>
      <c r="F46" s="320" t="s">
        <v>221</v>
      </c>
      <c r="G46" s="321">
        <v>401</v>
      </c>
      <c r="H46" s="353"/>
      <c r="I46" s="75" t="s">
        <v>207</v>
      </c>
      <c r="J46" s="322">
        <v>336.57</v>
      </c>
      <c r="K46" s="75" t="s">
        <v>269</v>
      </c>
      <c r="L46" s="322">
        <v>800</v>
      </c>
      <c r="M46" s="323">
        <f t="shared" si="10"/>
        <v>269256</v>
      </c>
      <c r="N46" s="324">
        <v>0</v>
      </c>
      <c r="O46" s="325">
        <f t="shared" si="11"/>
        <v>0</v>
      </c>
      <c r="P46" s="324">
        <v>0.16</v>
      </c>
      <c r="Q46" s="323">
        <f t="shared" si="12"/>
        <v>43080.959999999999</v>
      </c>
      <c r="R46" s="323">
        <f t="shared" si="13"/>
        <v>312336.96000000002</v>
      </c>
      <c r="S46" s="323">
        <f>INDEX('Glosario Partidas'!$M$8:$M$10,MATCH(K46,'Glosario Partidas'!$L$8:$L$10,0))</f>
        <v>1</v>
      </c>
      <c r="T46" s="323">
        <f t="shared" si="14"/>
        <v>312336.96000000002</v>
      </c>
      <c r="U46" s="321"/>
      <c r="V46" s="321" t="s">
        <v>13</v>
      </c>
      <c r="W46" s="321" t="s">
        <v>491</v>
      </c>
      <c r="X46" s="321"/>
    </row>
    <row r="47" spans="1:24" ht="15" customHeight="1" x14ac:dyDescent="0.2">
      <c r="A47" s="75"/>
      <c r="B47" s="75" t="s">
        <v>79</v>
      </c>
      <c r="C47" s="75" t="s">
        <v>776</v>
      </c>
      <c r="D47" s="320" t="s">
        <v>776</v>
      </c>
      <c r="E47" s="321" t="s">
        <v>229</v>
      </c>
      <c r="F47" s="320" t="s">
        <v>221</v>
      </c>
      <c r="G47" s="321">
        <v>401</v>
      </c>
      <c r="H47" s="353"/>
      <c r="I47" s="75" t="s">
        <v>207</v>
      </c>
      <c r="J47" s="322">
        <v>72.959999999999994</v>
      </c>
      <c r="K47" s="75" t="s">
        <v>269</v>
      </c>
      <c r="L47" s="322">
        <v>800</v>
      </c>
      <c r="M47" s="323">
        <f t="shared" si="10"/>
        <v>58367.999999999993</v>
      </c>
      <c r="N47" s="324">
        <v>0</v>
      </c>
      <c r="O47" s="325">
        <f t="shared" si="11"/>
        <v>0</v>
      </c>
      <c r="P47" s="324">
        <v>0.16</v>
      </c>
      <c r="Q47" s="323">
        <f t="shared" si="12"/>
        <v>9338.8799999999992</v>
      </c>
      <c r="R47" s="323">
        <f t="shared" si="13"/>
        <v>67706.87999999999</v>
      </c>
      <c r="S47" s="323">
        <f>INDEX('Glosario Partidas'!$M$8:$M$10,MATCH(K47,'Glosario Partidas'!$L$8:$L$10,0))</f>
        <v>1</v>
      </c>
      <c r="T47" s="323">
        <f t="shared" si="14"/>
        <v>67706.87999999999</v>
      </c>
      <c r="U47" s="321"/>
      <c r="V47" s="321" t="s">
        <v>13</v>
      </c>
      <c r="W47" s="321" t="s">
        <v>491</v>
      </c>
      <c r="X47" s="321"/>
    </row>
    <row r="48" spans="1:24" ht="15" customHeight="1" x14ac:dyDescent="0.2">
      <c r="A48" s="75"/>
      <c r="B48" s="75" t="s">
        <v>79</v>
      </c>
      <c r="C48" s="75" t="s">
        <v>772</v>
      </c>
      <c r="D48" s="320" t="s">
        <v>777</v>
      </c>
      <c r="E48" s="321" t="s">
        <v>229</v>
      </c>
      <c r="F48" s="320" t="s">
        <v>221</v>
      </c>
      <c r="G48" s="321">
        <v>401</v>
      </c>
      <c r="H48" s="353"/>
      <c r="I48" s="75" t="s">
        <v>207</v>
      </c>
      <c r="J48" s="322">
        <v>392.75</v>
      </c>
      <c r="K48" s="75" t="s">
        <v>269</v>
      </c>
      <c r="L48" s="322">
        <v>500</v>
      </c>
      <c r="M48" s="323">
        <f t="shared" si="10"/>
        <v>196375</v>
      </c>
      <c r="N48" s="324">
        <v>0</v>
      </c>
      <c r="O48" s="325">
        <f t="shared" si="11"/>
        <v>0</v>
      </c>
      <c r="P48" s="324">
        <v>0.16</v>
      </c>
      <c r="Q48" s="323">
        <f t="shared" si="12"/>
        <v>31420</v>
      </c>
      <c r="R48" s="323">
        <f t="shared" si="13"/>
        <v>227795</v>
      </c>
      <c r="S48" s="323">
        <f>INDEX('Glosario Partidas'!$M$8:$M$10,MATCH(K48,'Glosario Partidas'!$L$8:$L$10,0))</f>
        <v>1</v>
      </c>
      <c r="T48" s="323">
        <f t="shared" si="14"/>
        <v>227795</v>
      </c>
      <c r="U48" s="321"/>
      <c r="V48" s="321" t="s">
        <v>13</v>
      </c>
      <c r="W48" s="321" t="s">
        <v>491</v>
      </c>
      <c r="X48" s="321"/>
    </row>
    <row r="49" spans="1:24" ht="15" customHeight="1" x14ac:dyDescent="0.2">
      <c r="A49" s="75"/>
      <c r="B49" s="75" t="s">
        <v>79</v>
      </c>
      <c r="C49" s="75" t="s">
        <v>772</v>
      </c>
      <c r="D49" s="320" t="s">
        <v>778</v>
      </c>
      <c r="E49" s="321" t="s">
        <v>229</v>
      </c>
      <c r="F49" s="320" t="s">
        <v>221</v>
      </c>
      <c r="G49" s="321">
        <v>401</v>
      </c>
      <c r="H49" s="353"/>
      <c r="I49" s="75" t="s">
        <v>207</v>
      </c>
      <c r="J49" s="322">
        <v>322.52999999999997</v>
      </c>
      <c r="K49" s="75" t="s">
        <v>269</v>
      </c>
      <c r="L49" s="322">
        <v>1800</v>
      </c>
      <c r="M49" s="323">
        <f t="shared" si="10"/>
        <v>580554</v>
      </c>
      <c r="N49" s="324">
        <v>0</v>
      </c>
      <c r="O49" s="325">
        <f t="shared" si="11"/>
        <v>0</v>
      </c>
      <c r="P49" s="324">
        <v>0.16</v>
      </c>
      <c r="Q49" s="323">
        <f t="shared" si="12"/>
        <v>92888.639999999999</v>
      </c>
      <c r="R49" s="323">
        <f t="shared" si="13"/>
        <v>673442.64</v>
      </c>
      <c r="S49" s="323">
        <f>INDEX('Glosario Partidas'!$M$8:$M$10,MATCH(K49,'Glosario Partidas'!$L$8:$L$10,0))</f>
        <v>1</v>
      </c>
      <c r="T49" s="323">
        <f t="shared" si="14"/>
        <v>673442.64</v>
      </c>
      <c r="U49" s="321"/>
      <c r="V49" s="321" t="s">
        <v>13</v>
      </c>
      <c r="W49" s="321" t="s">
        <v>491</v>
      </c>
      <c r="X49" s="321"/>
    </row>
    <row r="50" spans="1:24" ht="15" customHeight="1" x14ac:dyDescent="0.2">
      <c r="A50" s="75">
        <v>5</v>
      </c>
      <c r="B50" s="75" t="s">
        <v>79</v>
      </c>
      <c r="C50" s="75" t="s">
        <v>772</v>
      </c>
      <c r="D50" s="320" t="s">
        <v>773</v>
      </c>
      <c r="E50" s="321" t="s">
        <v>229</v>
      </c>
      <c r="F50" s="320" t="s">
        <v>221</v>
      </c>
      <c r="G50" s="321">
        <v>401</v>
      </c>
      <c r="H50" s="353"/>
      <c r="I50" s="75" t="s">
        <v>207</v>
      </c>
      <c r="J50" s="322">
        <f>379.91-J44</f>
        <v>15.170000000000016</v>
      </c>
      <c r="K50" s="75" t="s">
        <v>269</v>
      </c>
      <c r="L50" s="322">
        <v>500</v>
      </c>
      <c r="M50" s="323">
        <f t="shared" si="10"/>
        <v>7585.0000000000082</v>
      </c>
      <c r="N50" s="324">
        <v>0</v>
      </c>
      <c r="O50" s="325">
        <f t="shared" si="11"/>
        <v>0</v>
      </c>
      <c r="P50" s="324">
        <v>0.16</v>
      </c>
      <c r="Q50" s="323">
        <f t="shared" si="12"/>
        <v>1213.6000000000013</v>
      </c>
      <c r="R50" s="323">
        <f t="shared" si="13"/>
        <v>8798.6000000000095</v>
      </c>
      <c r="S50" s="323">
        <f>INDEX('Glosario Partidas'!$M$8:$M$10,MATCH(K50,'Glosario Partidas'!$L$8:$L$10,0))</f>
        <v>1</v>
      </c>
      <c r="T50" s="323">
        <f t="shared" si="14"/>
        <v>8798.6000000000095</v>
      </c>
      <c r="U50" s="321"/>
      <c r="V50" s="321" t="s">
        <v>13</v>
      </c>
      <c r="W50" s="321" t="s">
        <v>491</v>
      </c>
      <c r="X50" s="321"/>
    </row>
    <row r="51" spans="1:24" ht="15" customHeight="1" x14ac:dyDescent="0.2">
      <c r="A51" s="75">
        <v>5</v>
      </c>
      <c r="B51" s="75" t="s">
        <v>79</v>
      </c>
      <c r="C51" s="75" t="s">
        <v>772</v>
      </c>
      <c r="D51" s="320" t="s">
        <v>774</v>
      </c>
      <c r="E51" s="321" t="s">
        <v>229</v>
      </c>
      <c r="F51" s="320" t="s">
        <v>221</v>
      </c>
      <c r="G51" s="321">
        <v>401</v>
      </c>
      <c r="H51" s="353"/>
      <c r="I51" s="75" t="s">
        <v>207</v>
      </c>
      <c r="J51" s="322">
        <f>108.34-J45</f>
        <v>6.960000000000008</v>
      </c>
      <c r="K51" s="75" t="s">
        <v>269</v>
      </c>
      <c r="L51" s="322">
        <v>1800</v>
      </c>
      <c r="M51" s="323">
        <f t="shared" si="10"/>
        <v>12528.000000000015</v>
      </c>
      <c r="N51" s="324">
        <v>0</v>
      </c>
      <c r="O51" s="325">
        <f t="shared" si="11"/>
        <v>0</v>
      </c>
      <c r="P51" s="324">
        <v>0.16</v>
      </c>
      <c r="Q51" s="323">
        <f t="shared" si="12"/>
        <v>2004.4800000000023</v>
      </c>
      <c r="R51" s="323">
        <f t="shared" si="13"/>
        <v>14532.480000000018</v>
      </c>
      <c r="S51" s="323">
        <f>INDEX('Glosario Partidas'!$M$8:$M$10,MATCH(K51,'Glosario Partidas'!$L$8:$L$10,0))</f>
        <v>1</v>
      </c>
      <c r="T51" s="323">
        <f t="shared" si="14"/>
        <v>14532.480000000018</v>
      </c>
      <c r="U51" s="321"/>
      <c r="V51" s="321" t="s">
        <v>13</v>
      </c>
      <c r="W51" s="321" t="s">
        <v>491</v>
      </c>
      <c r="X51" s="321"/>
    </row>
    <row r="52" spans="1:24" ht="15" customHeight="1" x14ac:dyDescent="0.2">
      <c r="A52" s="75">
        <v>5</v>
      </c>
      <c r="B52" s="75" t="s">
        <v>79</v>
      </c>
      <c r="C52" s="75" t="s">
        <v>775</v>
      </c>
      <c r="D52" s="320" t="s">
        <v>366</v>
      </c>
      <c r="E52" s="321" t="s">
        <v>229</v>
      </c>
      <c r="F52" s="320" t="s">
        <v>221</v>
      </c>
      <c r="G52" s="321">
        <v>401</v>
      </c>
      <c r="H52" s="353"/>
      <c r="I52" s="75" t="s">
        <v>207</v>
      </c>
      <c r="J52" s="322">
        <f>371.4-J46</f>
        <v>34.829999999999984</v>
      </c>
      <c r="K52" s="75" t="s">
        <v>269</v>
      </c>
      <c r="L52" s="322">
        <v>800</v>
      </c>
      <c r="M52" s="323">
        <f t="shared" si="10"/>
        <v>27863.999999999985</v>
      </c>
      <c r="N52" s="324">
        <v>0</v>
      </c>
      <c r="O52" s="325">
        <f t="shared" si="11"/>
        <v>0</v>
      </c>
      <c r="P52" s="324">
        <v>0.16</v>
      </c>
      <c r="Q52" s="323">
        <f t="shared" si="12"/>
        <v>4458.239999999998</v>
      </c>
      <c r="R52" s="323">
        <f t="shared" si="13"/>
        <v>32322.239999999983</v>
      </c>
      <c r="S52" s="323">
        <f>INDEX('Glosario Partidas'!$M$8:$M$10,MATCH(K52,'Glosario Partidas'!$L$8:$L$10,0))</f>
        <v>1</v>
      </c>
      <c r="T52" s="323">
        <f t="shared" si="14"/>
        <v>32322.239999999983</v>
      </c>
      <c r="U52" s="321"/>
      <c r="V52" s="321" t="s">
        <v>13</v>
      </c>
      <c r="W52" s="321" t="s">
        <v>491</v>
      </c>
      <c r="X52" s="321"/>
    </row>
    <row r="53" spans="1:24" ht="15" customHeight="1" x14ac:dyDescent="0.2">
      <c r="A53" s="75">
        <v>5</v>
      </c>
      <c r="B53" s="75" t="s">
        <v>79</v>
      </c>
      <c r="C53" s="75" t="s">
        <v>776</v>
      </c>
      <c r="D53" s="320" t="s">
        <v>776</v>
      </c>
      <c r="E53" s="321" t="s">
        <v>229</v>
      </c>
      <c r="F53" s="320" t="s">
        <v>221</v>
      </c>
      <c r="G53" s="321">
        <v>401</v>
      </c>
      <c r="H53" s="353"/>
      <c r="I53" s="75" t="s">
        <v>207</v>
      </c>
      <c r="J53" s="322">
        <f>92.57-J47</f>
        <v>19.61</v>
      </c>
      <c r="K53" s="75" t="s">
        <v>269</v>
      </c>
      <c r="L53" s="322">
        <v>800</v>
      </c>
      <c r="M53" s="323">
        <f t="shared" si="10"/>
        <v>15688</v>
      </c>
      <c r="N53" s="324">
        <v>0</v>
      </c>
      <c r="O53" s="325">
        <f t="shared" si="11"/>
        <v>0</v>
      </c>
      <c r="P53" s="324">
        <v>0.16</v>
      </c>
      <c r="Q53" s="323">
        <f t="shared" si="12"/>
        <v>2510.08</v>
      </c>
      <c r="R53" s="323">
        <f t="shared" si="13"/>
        <v>18198.080000000002</v>
      </c>
      <c r="S53" s="323">
        <f>INDEX('Glosario Partidas'!$M$8:$M$10,MATCH(K53,'Glosario Partidas'!$L$8:$L$10,0))</f>
        <v>1</v>
      </c>
      <c r="T53" s="323">
        <f t="shared" si="14"/>
        <v>18198.080000000002</v>
      </c>
      <c r="U53" s="321"/>
      <c r="V53" s="321" t="s">
        <v>13</v>
      </c>
      <c r="W53" s="321" t="s">
        <v>491</v>
      </c>
      <c r="X53" s="321"/>
    </row>
    <row r="54" spans="1:24" ht="15" customHeight="1" x14ac:dyDescent="0.2">
      <c r="A54" s="75">
        <v>5</v>
      </c>
      <c r="B54" s="75" t="s">
        <v>79</v>
      </c>
      <c r="C54" s="75" t="s">
        <v>772</v>
      </c>
      <c r="D54" s="320" t="s">
        <v>777</v>
      </c>
      <c r="E54" s="321" t="s">
        <v>229</v>
      </c>
      <c r="F54" s="320" t="s">
        <v>221</v>
      </c>
      <c r="G54" s="321">
        <v>401</v>
      </c>
      <c r="H54" s="353"/>
      <c r="I54" s="75" t="s">
        <v>207</v>
      </c>
      <c r="J54" s="322">
        <f>434.48-J48</f>
        <v>41.730000000000018</v>
      </c>
      <c r="K54" s="75" t="s">
        <v>269</v>
      </c>
      <c r="L54" s="322">
        <v>500</v>
      </c>
      <c r="M54" s="323">
        <f t="shared" si="10"/>
        <v>20865.000000000007</v>
      </c>
      <c r="N54" s="324">
        <v>0</v>
      </c>
      <c r="O54" s="325">
        <f t="shared" si="11"/>
        <v>0</v>
      </c>
      <c r="P54" s="324">
        <v>0.16</v>
      </c>
      <c r="Q54" s="323">
        <f t="shared" si="12"/>
        <v>3338.4000000000015</v>
      </c>
      <c r="R54" s="323">
        <f t="shared" si="13"/>
        <v>24203.400000000009</v>
      </c>
      <c r="S54" s="323">
        <f>INDEX('Glosario Partidas'!$M$8:$M$10,MATCH(K54,'Glosario Partidas'!$L$8:$L$10,0))</f>
        <v>1</v>
      </c>
      <c r="T54" s="323">
        <f t="shared" si="14"/>
        <v>24203.400000000009</v>
      </c>
      <c r="U54" s="321"/>
      <c r="V54" s="321" t="s">
        <v>13</v>
      </c>
      <c r="W54" s="321" t="s">
        <v>491</v>
      </c>
      <c r="X54" s="321"/>
    </row>
    <row r="55" spans="1:24" ht="15" customHeight="1" x14ac:dyDescent="0.2">
      <c r="A55" s="75">
        <v>5</v>
      </c>
      <c r="B55" s="75" t="s">
        <v>79</v>
      </c>
      <c r="C55" s="75" t="s">
        <v>772</v>
      </c>
      <c r="D55" s="320" t="s">
        <v>778</v>
      </c>
      <c r="E55" s="321" t="s">
        <v>229</v>
      </c>
      <c r="F55" s="320" t="s">
        <v>221</v>
      </c>
      <c r="G55" s="321">
        <v>401</v>
      </c>
      <c r="H55" s="353"/>
      <c r="I55" s="75" t="s">
        <v>207</v>
      </c>
      <c r="J55" s="322">
        <f>511.38-J49</f>
        <v>188.85000000000002</v>
      </c>
      <c r="K55" s="75" t="s">
        <v>269</v>
      </c>
      <c r="L55" s="322">
        <v>1800</v>
      </c>
      <c r="M55" s="323">
        <f t="shared" si="10"/>
        <v>339930.00000000006</v>
      </c>
      <c r="N55" s="324">
        <v>0</v>
      </c>
      <c r="O55" s="325">
        <f t="shared" si="11"/>
        <v>0</v>
      </c>
      <c r="P55" s="324">
        <v>0.16</v>
      </c>
      <c r="Q55" s="323">
        <f t="shared" si="12"/>
        <v>54388.80000000001</v>
      </c>
      <c r="R55" s="323">
        <f t="shared" si="13"/>
        <v>394318.80000000005</v>
      </c>
      <c r="S55" s="323">
        <f>INDEX('Glosario Partidas'!$M$8:$M$10,MATCH(K55,'Glosario Partidas'!$L$8:$L$10,0))</f>
        <v>1</v>
      </c>
      <c r="T55" s="323">
        <f t="shared" si="14"/>
        <v>394318.80000000005</v>
      </c>
      <c r="U55" s="321"/>
      <c r="V55" s="321" t="s">
        <v>13</v>
      </c>
      <c r="W55" s="321" t="s">
        <v>491</v>
      </c>
      <c r="X55" s="321"/>
    </row>
    <row r="56" spans="1:24" ht="15" customHeight="1" x14ac:dyDescent="0.2">
      <c r="A56" s="75"/>
      <c r="B56" s="75" t="s">
        <v>79</v>
      </c>
      <c r="C56" s="75" t="s">
        <v>772</v>
      </c>
      <c r="D56" s="320" t="s">
        <v>773</v>
      </c>
      <c r="E56" s="321" t="s">
        <v>229</v>
      </c>
      <c r="F56" s="320" t="s">
        <v>354</v>
      </c>
      <c r="G56" s="321">
        <v>302</v>
      </c>
      <c r="H56" s="353"/>
      <c r="I56" s="75" t="s">
        <v>207</v>
      </c>
      <c r="J56" s="322">
        <v>359.57</v>
      </c>
      <c r="K56" s="75" t="s">
        <v>269</v>
      </c>
      <c r="L56" s="322">
        <v>500</v>
      </c>
      <c r="M56" s="323">
        <f t="shared" si="10"/>
        <v>179785</v>
      </c>
      <c r="N56" s="324">
        <v>0</v>
      </c>
      <c r="O56" s="325">
        <f t="shared" si="11"/>
        <v>0</v>
      </c>
      <c r="P56" s="324">
        <v>0.16</v>
      </c>
      <c r="Q56" s="323">
        <f t="shared" si="12"/>
        <v>28765.600000000002</v>
      </c>
      <c r="R56" s="323">
        <f t="shared" si="13"/>
        <v>208550.6</v>
      </c>
      <c r="S56" s="323">
        <f>INDEX('Glosario Partidas'!$M$8:$M$10,MATCH(K56,'Glosario Partidas'!$L$8:$L$10,0))</f>
        <v>1</v>
      </c>
      <c r="T56" s="323">
        <f t="shared" si="14"/>
        <v>208550.6</v>
      </c>
      <c r="U56" s="321"/>
      <c r="V56" s="321" t="s">
        <v>13</v>
      </c>
      <c r="W56" s="321" t="s">
        <v>491</v>
      </c>
      <c r="X56" s="321"/>
    </row>
    <row r="57" spans="1:24" ht="15" customHeight="1" x14ac:dyDescent="0.2">
      <c r="A57" s="75"/>
      <c r="B57" s="75" t="s">
        <v>79</v>
      </c>
      <c r="C57" s="75" t="s">
        <v>772</v>
      </c>
      <c r="D57" s="320" t="s">
        <v>774</v>
      </c>
      <c r="E57" s="321" t="s">
        <v>229</v>
      </c>
      <c r="F57" s="320" t="s">
        <v>354</v>
      </c>
      <c r="G57" s="321">
        <v>302</v>
      </c>
      <c r="H57" s="353"/>
      <c r="I57" s="75" t="s">
        <v>207</v>
      </c>
      <c r="J57" s="322">
        <v>55.66</v>
      </c>
      <c r="K57" s="75" t="s">
        <v>269</v>
      </c>
      <c r="L57" s="322">
        <v>1800</v>
      </c>
      <c r="M57" s="323">
        <f t="shared" si="10"/>
        <v>100188</v>
      </c>
      <c r="N57" s="324">
        <v>0</v>
      </c>
      <c r="O57" s="325">
        <f t="shared" si="11"/>
        <v>0</v>
      </c>
      <c r="P57" s="324">
        <v>0.16</v>
      </c>
      <c r="Q57" s="323">
        <f t="shared" si="12"/>
        <v>16030.08</v>
      </c>
      <c r="R57" s="323">
        <f t="shared" si="13"/>
        <v>116218.08</v>
      </c>
      <c r="S57" s="323">
        <f>INDEX('Glosario Partidas'!$M$8:$M$10,MATCH(K57,'Glosario Partidas'!$L$8:$L$10,0))</f>
        <v>1</v>
      </c>
      <c r="T57" s="323">
        <f t="shared" si="14"/>
        <v>116218.08</v>
      </c>
      <c r="U57" s="321"/>
      <c r="V57" s="321" t="s">
        <v>13</v>
      </c>
      <c r="W57" s="321" t="s">
        <v>491</v>
      </c>
      <c r="X57" s="321"/>
    </row>
    <row r="58" spans="1:24" ht="15" customHeight="1" x14ac:dyDescent="0.2">
      <c r="A58" s="75"/>
      <c r="B58" s="75" t="s">
        <v>79</v>
      </c>
      <c r="C58" s="75" t="s">
        <v>775</v>
      </c>
      <c r="D58" s="320" t="s">
        <v>366</v>
      </c>
      <c r="E58" s="321" t="s">
        <v>229</v>
      </c>
      <c r="F58" s="320" t="s">
        <v>354</v>
      </c>
      <c r="G58" s="321">
        <v>302</v>
      </c>
      <c r="H58" s="353"/>
      <c r="I58" s="75" t="s">
        <v>207</v>
      </c>
      <c r="J58" s="322">
        <v>299.5</v>
      </c>
      <c r="K58" s="75" t="s">
        <v>269</v>
      </c>
      <c r="L58" s="322">
        <v>800</v>
      </c>
      <c r="M58" s="323">
        <f t="shared" ref="M58:M77" si="15">J58*L58</f>
        <v>239600</v>
      </c>
      <c r="N58" s="324">
        <v>0</v>
      </c>
      <c r="O58" s="325">
        <f t="shared" ref="O58:O77" si="16">M58*N58</f>
        <v>0</v>
      </c>
      <c r="P58" s="324">
        <v>0.16</v>
      </c>
      <c r="Q58" s="323">
        <f t="shared" ref="Q58:Q77" si="17">(M58+O58)*P58</f>
        <v>38336</v>
      </c>
      <c r="R58" s="323">
        <f t="shared" ref="R58:R77" si="18">M58+O58+Q58</f>
        <v>277936</v>
      </c>
      <c r="S58" s="323">
        <f>INDEX('Glosario Partidas'!$M$8:$M$10,MATCH(K58,'Glosario Partidas'!$L$8:$L$10,0))</f>
        <v>1</v>
      </c>
      <c r="T58" s="323">
        <f t="shared" ref="T58:T77" si="19">R58*S58</f>
        <v>277936</v>
      </c>
      <c r="U58" s="321"/>
      <c r="V58" s="321" t="s">
        <v>13</v>
      </c>
      <c r="W58" s="321" t="s">
        <v>491</v>
      </c>
      <c r="X58" s="321"/>
    </row>
    <row r="59" spans="1:24" ht="15" customHeight="1" x14ac:dyDescent="0.2">
      <c r="A59" s="75"/>
      <c r="B59" s="75" t="s">
        <v>79</v>
      </c>
      <c r="C59" s="75" t="s">
        <v>776</v>
      </c>
      <c r="D59" s="320" t="s">
        <v>776</v>
      </c>
      <c r="E59" s="321" t="s">
        <v>229</v>
      </c>
      <c r="F59" s="320" t="s">
        <v>354</v>
      </c>
      <c r="G59" s="321">
        <v>302</v>
      </c>
      <c r="H59" s="353"/>
      <c r="I59" s="75" t="s">
        <v>207</v>
      </c>
      <c r="J59" s="322">
        <v>72.959999999999994</v>
      </c>
      <c r="K59" s="75" t="s">
        <v>269</v>
      </c>
      <c r="L59" s="322">
        <v>800</v>
      </c>
      <c r="M59" s="323">
        <f t="shared" si="15"/>
        <v>58367.999999999993</v>
      </c>
      <c r="N59" s="324">
        <v>0</v>
      </c>
      <c r="O59" s="325">
        <f t="shared" si="16"/>
        <v>0</v>
      </c>
      <c r="P59" s="324">
        <v>0.16</v>
      </c>
      <c r="Q59" s="323">
        <f t="shared" si="17"/>
        <v>9338.8799999999992</v>
      </c>
      <c r="R59" s="323">
        <f t="shared" si="18"/>
        <v>67706.87999999999</v>
      </c>
      <c r="S59" s="323">
        <f>INDEX('Glosario Partidas'!$M$8:$M$10,MATCH(K59,'Glosario Partidas'!$L$8:$L$10,0))</f>
        <v>1</v>
      </c>
      <c r="T59" s="323">
        <f t="shared" si="19"/>
        <v>67706.87999999999</v>
      </c>
      <c r="U59" s="321"/>
      <c r="V59" s="321" t="s">
        <v>13</v>
      </c>
      <c r="W59" s="321" t="s">
        <v>491</v>
      </c>
      <c r="X59" s="321"/>
    </row>
    <row r="60" spans="1:24" ht="15" customHeight="1" x14ac:dyDescent="0.2">
      <c r="A60" s="75"/>
      <c r="B60" s="75" t="s">
        <v>79</v>
      </c>
      <c r="C60" s="75" t="s">
        <v>772</v>
      </c>
      <c r="D60" s="320" t="s">
        <v>777</v>
      </c>
      <c r="E60" s="321" t="s">
        <v>229</v>
      </c>
      <c r="F60" s="320" t="s">
        <v>354</v>
      </c>
      <c r="G60" s="321">
        <v>302</v>
      </c>
      <c r="H60" s="353"/>
      <c r="I60" s="75" t="s">
        <v>207</v>
      </c>
      <c r="J60" s="322">
        <v>397.34</v>
      </c>
      <c r="K60" s="75" t="s">
        <v>269</v>
      </c>
      <c r="L60" s="322">
        <v>500</v>
      </c>
      <c r="M60" s="323">
        <f t="shared" si="15"/>
        <v>198670</v>
      </c>
      <c r="N60" s="324">
        <v>0</v>
      </c>
      <c r="O60" s="325">
        <f t="shared" si="16"/>
        <v>0</v>
      </c>
      <c r="P60" s="324">
        <v>0.16</v>
      </c>
      <c r="Q60" s="323">
        <f t="shared" si="17"/>
        <v>31787.200000000001</v>
      </c>
      <c r="R60" s="323">
        <f t="shared" si="18"/>
        <v>230457.2</v>
      </c>
      <c r="S60" s="323">
        <f>INDEX('Glosario Partidas'!$M$8:$M$10,MATCH(K60,'Glosario Partidas'!$L$8:$L$10,0))</f>
        <v>1</v>
      </c>
      <c r="T60" s="323">
        <f t="shared" si="19"/>
        <v>230457.2</v>
      </c>
      <c r="U60" s="321"/>
      <c r="V60" s="321" t="s">
        <v>13</v>
      </c>
      <c r="W60" s="321" t="s">
        <v>491</v>
      </c>
      <c r="X60" s="321"/>
    </row>
    <row r="61" spans="1:24" ht="15" customHeight="1" x14ac:dyDescent="0.2">
      <c r="A61" s="75"/>
      <c r="B61" s="75" t="s">
        <v>79</v>
      </c>
      <c r="C61" s="75" t="s">
        <v>772</v>
      </c>
      <c r="D61" s="320" t="s">
        <v>778</v>
      </c>
      <c r="E61" s="321" t="s">
        <v>229</v>
      </c>
      <c r="F61" s="320" t="s">
        <v>354</v>
      </c>
      <c r="G61" s="321">
        <v>302</v>
      </c>
      <c r="H61" s="353"/>
      <c r="I61" s="75" t="s">
        <v>207</v>
      </c>
      <c r="J61" s="322">
        <v>335.12</v>
      </c>
      <c r="K61" s="75" t="s">
        <v>269</v>
      </c>
      <c r="L61" s="322">
        <v>1800</v>
      </c>
      <c r="M61" s="323">
        <f t="shared" si="15"/>
        <v>603216</v>
      </c>
      <c r="N61" s="324">
        <v>0</v>
      </c>
      <c r="O61" s="325">
        <f t="shared" si="16"/>
        <v>0</v>
      </c>
      <c r="P61" s="324">
        <v>0.16</v>
      </c>
      <c r="Q61" s="323">
        <f t="shared" si="17"/>
        <v>96514.559999999998</v>
      </c>
      <c r="R61" s="323">
        <f t="shared" si="18"/>
        <v>699730.56</v>
      </c>
      <c r="S61" s="323">
        <f>INDEX('Glosario Partidas'!$M$8:$M$10,MATCH(K61,'Glosario Partidas'!$L$8:$L$10,0))</f>
        <v>1</v>
      </c>
      <c r="T61" s="323">
        <f t="shared" si="19"/>
        <v>699730.56</v>
      </c>
      <c r="U61" s="321"/>
      <c r="V61" s="321" t="s">
        <v>13</v>
      </c>
      <c r="W61" s="321" t="s">
        <v>491</v>
      </c>
      <c r="X61" s="321"/>
    </row>
    <row r="62" spans="1:24" ht="15" customHeight="1" x14ac:dyDescent="0.2">
      <c r="A62" s="75"/>
      <c r="B62" s="75" t="s">
        <v>79</v>
      </c>
      <c r="C62" s="75" t="s">
        <v>772</v>
      </c>
      <c r="D62" s="320" t="s">
        <v>773</v>
      </c>
      <c r="E62" s="321" t="s">
        <v>229</v>
      </c>
      <c r="F62" s="320" t="s">
        <v>354</v>
      </c>
      <c r="G62" s="321">
        <v>402</v>
      </c>
      <c r="H62" s="353"/>
      <c r="I62" s="75" t="s">
        <v>207</v>
      </c>
      <c r="J62" s="322">
        <v>359.57</v>
      </c>
      <c r="K62" s="75" t="s">
        <v>269</v>
      </c>
      <c r="L62" s="322">
        <v>500</v>
      </c>
      <c r="M62" s="323">
        <f t="shared" si="15"/>
        <v>179785</v>
      </c>
      <c r="N62" s="324">
        <v>0</v>
      </c>
      <c r="O62" s="325">
        <f t="shared" si="16"/>
        <v>0</v>
      </c>
      <c r="P62" s="324">
        <v>0.16</v>
      </c>
      <c r="Q62" s="323">
        <f t="shared" si="17"/>
        <v>28765.600000000002</v>
      </c>
      <c r="R62" s="323">
        <f t="shared" si="18"/>
        <v>208550.6</v>
      </c>
      <c r="S62" s="323">
        <f>INDEX('Glosario Partidas'!$M$8:$M$10,MATCH(K62,'Glosario Partidas'!$L$8:$L$10,0))</f>
        <v>1</v>
      </c>
      <c r="T62" s="323">
        <f t="shared" si="19"/>
        <v>208550.6</v>
      </c>
      <c r="U62" s="321"/>
      <c r="V62" s="321" t="s">
        <v>13</v>
      </c>
      <c r="W62" s="321" t="s">
        <v>491</v>
      </c>
      <c r="X62" s="321"/>
    </row>
    <row r="63" spans="1:24" ht="15" customHeight="1" x14ac:dyDescent="0.2">
      <c r="A63" s="75"/>
      <c r="B63" s="75" t="s">
        <v>79</v>
      </c>
      <c r="C63" s="75" t="s">
        <v>772</v>
      </c>
      <c r="D63" s="320" t="s">
        <v>774</v>
      </c>
      <c r="E63" s="321" t="s">
        <v>229</v>
      </c>
      <c r="F63" s="320" t="s">
        <v>354</v>
      </c>
      <c r="G63" s="321">
        <v>402</v>
      </c>
      <c r="H63" s="353"/>
      <c r="I63" s="75" t="s">
        <v>207</v>
      </c>
      <c r="J63" s="322">
        <v>55.66</v>
      </c>
      <c r="K63" s="75" t="s">
        <v>269</v>
      </c>
      <c r="L63" s="322">
        <v>1800</v>
      </c>
      <c r="M63" s="323">
        <f t="shared" si="15"/>
        <v>100188</v>
      </c>
      <c r="N63" s="324">
        <v>0</v>
      </c>
      <c r="O63" s="325">
        <f t="shared" si="16"/>
        <v>0</v>
      </c>
      <c r="P63" s="324">
        <v>0.16</v>
      </c>
      <c r="Q63" s="323">
        <f t="shared" si="17"/>
        <v>16030.08</v>
      </c>
      <c r="R63" s="323">
        <f t="shared" si="18"/>
        <v>116218.08</v>
      </c>
      <c r="S63" s="323">
        <f>INDEX('Glosario Partidas'!$M$8:$M$10,MATCH(K63,'Glosario Partidas'!$L$8:$L$10,0))</f>
        <v>1</v>
      </c>
      <c r="T63" s="323">
        <f t="shared" si="19"/>
        <v>116218.08</v>
      </c>
      <c r="U63" s="321"/>
      <c r="V63" s="321" t="s">
        <v>13</v>
      </c>
      <c r="W63" s="321" t="s">
        <v>491</v>
      </c>
      <c r="X63" s="321"/>
    </row>
    <row r="64" spans="1:24" ht="15" customHeight="1" x14ac:dyDescent="0.2">
      <c r="A64" s="75"/>
      <c r="B64" s="75" t="s">
        <v>79</v>
      </c>
      <c r="C64" s="75" t="s">
        <v>775</v>
      </c>
      <c r="D64" s="320" t="s">
        <v>366</v>
      </c>
      <c r="E64" s="321" t="s">
        <v>229</v>
      </c>
      <c r="F64" s="320" t="s">
        <v>354</v>
      </c>
      <c r="G64" s="321">
        <v>402</v>
      </c>
      <c r="H64" s="353"/>
      <c r="I64" s="75" t="s">
        <v>207</v>
      </c>
      <c r="J64" s="322">
        <v>299.5</v>
      </c>
      <c r="K64" s="75" t="s">
        <v>269</v>
      </c>
      <c r="L64" s="322">
        <v>800</v>
      </c>
      <c r="M64" s="323">
        <f t="shared" si="15"/>
        <v>239600</v>
      </c>
      <c r="N64" s="324">
        <v>0</v>
      </c>
      <c r="O64" s="325">
        <f t="shared" si="16"/>
        <v>0</v>
      </c>
      <c r="P64" s="324">
        <v>0.16</v>
      </c>
      <c r="Q64" s="323">
        <f t="shared" si="17"/>
        <v>38336</v>
      </c>
      <c r="R64" s="323">
        <f t="shared" si="18"/>
        <v>277936</v>
      </c>
      <c r="S64" s="323">
        <f>INDEX('Glosario Partidas'!$M$8:$M$10,MATCH(K64,'Glosario Partidas'!$L$8:$L$10,0))</f>
        <v>1</v>
      </c>
      <c r="T64" s="323">
        <f t="shared" si="19"/>
        <v>277936</v>
      </c>
      <c r="U64" s="321"/>
      <c r="V64" s="321" t="s">
        <v>13</v>
      </c>
      <c r="W64" s="321" t="s">
        <v>491</v>
      </c>
      <c r="X64" s="321"/>
    </row>
    <row r="65" spans="1:24" ht="15" customHeight="1" x14ac:dyDescent="0.2">
      <c r="A65" s="75"/>
      <c r="B65" s="75" t="s">
        <v>79</v>
      </c>
      <c r="C65" s="75" t="s">
        <v>776</v>
      </c>
      <c r="D65" s="320" t="s">
        <v>776</v>
      </c>
      <c r="E65" s="321" t="s">
        <v>229</v>
      </c>
      <c r="F65" s="320" t="s">
        <v>354</v>
      </c>
      <c r="G65" s="321">
        <v>402</v>
      </c>
      <c r="H65" s="353"/>
      <c r="I65" s="75" t="s">
        <v>207</v>
      </c>
      <c r="J65" s="322">
        <v>72.959999999999994</v>
      </c>
      <c r="K65" s="75" t="s">
        <v>269</v>
      </c>
      <c r="L65" s="322">
        <v>800</v>
      </c>
      <c r="M65" s="323">
        <f t="shared" si="15"/>
        <v>58367.999999999993</v>
      </c>
      <c r="N65" s="324">
        <v>0</v>
      </c>
      <c r="O65" s="325">
        <f t="shared" si="16"/>
        <v>0</v>
      </c>
      <c r="P65" s="324">
        <v>0.16</v>
      </c>
      <c r="Q65" s="323">
        <f t="shared" si="17"/>
        <v>9338.8799999999992</v>
      </c>
      <c r="R65" s="323">
        <f t="shared" si="18"/>
        <v>67706.87999999999</v>
      </c>
      <c r="S65" s="323">
        <f>INDEX('Glosario Partidas'!$M$8:$M$10,MATCH(K65,'Glosario Partidas'!$L$8:$L$10,0))</f>
        <v>1</v>
      </c>
      <c r="T65" s="323">
        <f t="shared" si="19"/>
        <v>67706.87999999999</v>
      </c>
      <c r="U65" s="321"/>
      <c r="V65" s="321" t="s">
        <v>13</v>
      </c>
      <c r="W65" s="321" t="s">
        <v>491</v>
      </c>
      <c r="X65" s="321"/>
    </row>
    <row r="66" spans="1:24" ht="15" customHeight="1" x14ac:dyDescent="0.2">
      <c r="A66" s="75"/>
      <c r="B66" s="75" t="s">
        <v>79</v>
      </c>
      <c r="C66" s="75" t="s">
        <v>772</v>
      </c>
      <c r="D66" s="320" t="s">
        <v>777</v>
      </c>
      <c r="E66" s="321" t="s">
        <v>229</v>
      </c>
      <c r="F66" s="320" t="s">
        <v>354</v>
      </c>
      <c r="G66" s="321">
        <v>402</v>
      </c>
      <c r="H66" s="353"/>
      <c r="I66" s="75" t="s">
        <v>207</v>
      </c>
      <c r="J66" s="322">
        <v>397.34</v>
      </c>
      <c r="K66" s="75" t="s">
        <v>269</v>
      </c>
      <c r="L66" s="322">
        <v>500</v>
      </c>
      <c r="M66" s="323">
        <f t="shared" si="15"/>
        <v>198670</v>
      </c>
      <c r="N66" s="324">
        <v>0</v>
      </c>
      <c r="O66" s="325">
        <f t="shared" si="16"/>
        <v>0</v>
      </c>
      <c r="P66" s="324">
        <v>0.16</v>
      </c>
      <c r="Q66" s="323">
        <f t="shared" si="17"/>
        <v>31787.200000000001</v>
      </c>
      <c r="R66" s="323">
        <f t="shared" si="18"/>
        <v>230457.2</v>
      </c>
      <c r="S66" s="323">
        <f>INDEX('Glosario Partidas'!$M$8:$M$10,MATCH(K66,'Glosario Partidas'!$L$8:$L$10,0))</f>
        <v>1</v>
      </c>
      <c r="T66" s="323">
        <f t="shared" si="19"/>
        <v>230457.2</v>
      </c>
      <c r="U66" s="321"/>
      <c r="V66" s="321" t="s">
        <v>13</v>
      </c>
      <c r="W66" s="321" t="s">
        <v>491</v>
      </c>
      <c r="X66" s="321"/>
    </row>
    <row r="67" spans="1:24" ht="15" customHeight="1" x14ac:dyDescent="0.2">
      <c r="A67" s="75"/>
      <c r="B67" s="75" t="s">
        <v>79</v>
      </c>
      <c r="C67" s="75" t="s">
        <v>772</v>
      </c>
      <c r="D67" s="320" t="s">
        <v>778</v>
      </c>
      <c r="E67" s="321" t="s">
        <v>229</v>
      </c>
      <c r="F67" s="320" t="s">
        <v>354</v>
      </c>
      <c r="G67" s="321">
        <v>402</v>
      </c>
      <c r="H67" s="353"/>
      <c r="I67" s="75" t="s">
        <v>207</v>
      </c>
      <c r="J67" s="322">
        <v>335.12</v>
      </c>
      <c r="K67" s="75" t="s">
        <v>269</v>
      </c>
      <c r="L67" s="322">
        <v>1800</v>
      </c>
      <c r="M67" s="323">
        <f t="shared" si="15"/>
        <v>603216</v>
      </c>
      <c r="N67" s="324">
        <v>0</v>
      </c>
      <c r="O67" s="325">
        <f t="shared" si="16"/>
        <v>0</v>
      </c>
      <c r="P67" s="324">
        <v>0.16</v>
      </c>
      <c r="Q67" s="323">
        <f t="shared" si="17"/>
        <v>96514.559999999998</v>
      </c>
      <c r="R67" s="323">
        <f t="shared" si="18"/>
        <v>699730.56</v>
      </c>
      <c r="S67" s="323">
        <f>INDEX('Glosario Partidas'!$M$8:$M$10,MATCH(K67,'Glosario Partidas'!$L$8:$L$10,0))</f>
        <v>1</v>
      </c>
      <c r="T67" s="323">
        <f t="shared" si="19"/>
        <v>699730.56</v>
      </c>
      <c r="U67" s="321"/>
      <c r="V67" s="321" t="s">
        <v>13</v>
      </c>
      <c r="W67" s="321" t="s">
        <v>491</v>
      </c>
      <c r="X67" s="321"/>
    </row>
    <row r="68" spans="1:24" ht="15" customHeight="1" x14ac:dyDescent="0.2">
      <c r="A68" s="75"/>
      <c r="B68" s="75" t="s">
        <v>79</v>
      </c>
      <c r="C68" s="75" t="s">
        <v>772</v>
      </c>
      <c r="D68" s="320" t="s">
        <v>773</v>
      </c>
      <c r="E68" s="321" t="s">
        <v>229</v>
      </c>
      <c r="F68" s="320" t="s">
        <v>355</v>
      </c>
      <c r="G68" s="321">
        <v>303</v>
      </c>
      <c r="H68" s="353"/>
      <c r="I68" s="75" t="s">
        <v>207</v>
      </c>
      <c r="J68" s="322">
        <v>47.91</v>
      </c>
      <c r="K68" s="75" t="s">
        <v>269</v>
      </c>
      <c r="L68" s="322">
        <v>500</v>
      </c>
      <c r="M68" s="323">
        <f t="shared" si="15"/>
        <v>23955</v>
      </c>
      <c r="N68" s="324">
        <v>0</v>
      </c>
      <c r="O68" s="325">
        <f t="shared" si="16"/>
        <v>0</v>
      </c>
      <c r="P68" s="324">
        <v>0.16</v>
      </c>
      <c r="Q68" s="323">
        <f t="shared" si="17"/>
        <v>3832.8</v>
      </c>
      <c r="R68" s="323">
        <f t="shared" si="18"/>
        <v>27787.8</v>
      </c>
      <c r="S68" s="323">
        <f>INDEX('Glosario Partidas'!$M$8:$M$10,MATCH(K68,'Glosario Partidas'!$L$8:$L$10,0))</f>
        <v>1</v>
      </c>
      <c r="T68" s="323">
        <f t="shared" si="19"/>
        <v>27787.8</v>
      </c>
      <c r="U68" s="321"/>
      <c r="V68" s="321" t="s">
        <v>13</v>
      </c>
      <c r="W68" s="321" t="s">
        <v>491</v>
      </c>
      <c r="X68" s="321"/>
    </row>
    <row r="69" spans="1:24" ht="15" customHeight="1" x14ac:dyDescent="0.2">
      <c r="A69" s="75"/>
      <c r="B69" s="75" t="s">
        <v>79</v>
      </c>
      <c r="C69" s="75" t="s">
        <v>772</v>
      </c>
      <c r="D69" s="320" t="s">
        <v>774</v>
      </c>
      <c r="E69" s="321" t="s">
        <v>229</v>
      </c>
      <c r="F69" s="320" t="s">
        <v>355</v>
      </c>
      <c r="G69" s="321">
        <v>303</v>
      </c>
      <c r="H69" s="353"/>
      <c r="I69" s="75" t="s">
        <v>207</v>
      </c>
      <c r="J69" s="322">
        <v>62.9</v>
      </c>
      <c r="K69" s="75" t="s">
        <v>269</v>
      </c>
      <c r="L69" s="322">
        <v>1800</v>
      </c>
      <c r="M69" s="323">
        <f t="shared" si="15"/>
        <v>113220</v>
      </c>
      <c r="N69" s="324">
        <v>0</v>
      </c>
      <c r="O69" s="325">
        <f t="shared" si="16"/>
        <v>0</v>
      </c>
      <c r="P69" s="324">
        <v>0.16</v>
      </c>
      <c r="Q69" s="323">
        <f t="shared" si="17"/>
        <v>18115.2</v>
      </c>
      <c r="R69" s="323">
        <f t="shared" si="18"/>
        <v>131335.20000000001</v>
      </c>
      <c r="S69" s="323">
        <f>INDEX('Glosario Partidas'!$M$8:$M$10,MATCH(K69,'Glosario Partidas'!$L$8:$L$10,0))</f>
        <v>1</v>
      </c>
      <c r="T69" s="323">
        <f t="shared" si="19"/>
        <v>131335.20000000001</v>
      </c>
      <c r="U69" s="321"/>
      <c r="V69" s="321" t="s">
        <v>13</v>
      </c>
      <c r="W69" s="321" t="s">
        <v>491</v>
      </c>
      <c r="X69" s="321"/>
    </row>
    <row r="70" spans="1:24" ht="15" customHeight="1" x14ac:dyDescent="0.2">
      <c r="A70" s="75"/>
      <c r="B70" s="75" t="s">
        <v>79</v>
      </c>
      <c r="C70" s="75" t="s">
        <v>775</v>
      </c>
      <c r="D70" s="320" t="s">
        <v>366</v>
      </c>
      <c r="E70" s="321" t="s">
        <v>229</v>
      </c>
      <c r="F70" s="320" t="s">
        <v>355</v>
      </c>
      <c r="G70" s="321">
        <v>303</v>
      </c>
      <c r="H70" s="353"/>
      <c r="I70" s="75" t="s">
        <v>207</v>
      </c>
      <c r="J70" s="322">
        <v>98.94</v>
      </c>
      <c r="K70" s="75" t="s">
        <v>269</v>
      </c>
      <c r="L70" s="322">
        <v>800</v>
      </c>
      <c r="M70" s="323">
        <f t="shared" si="15"/>
        <v>79152</v>
      </c>
      <c r="N70" s="324">
        <v>0</v>
      </c>
      <c r="O70" s="325">
        <f t="shared" si="16"/>
        <v>0</v>
      </c>
      <c r="P70" s="324">
        <v>0.16</v>
      </c>
      <c r="Q70" s="323">
        <f t="shared" si="17"/>
        <v>12664.32</v>
      </c>
      <c r="R70" s="323">
        <f t="shared" si="18"/>
        <v>91816.320000000007</v>
      </c>
      <c r="S70" s="323">
        <f>INDEX('Glosario Partidas'!$M$8:$M$10,MATCH(K70,'Glosario Partidas'!$L$8:$L$10,0))</f>
        <v>1</v>
      </c>
      <c r="T70" s="323">
        <f t="shared" si="19"/>
        <v>91816.320000000007</v>
      </c>
      <c r="U70" s="321"/>
      <c r="V70" s="321" t="s">
        <v>13</v>
      </c>
      <c r="W70" s="321" t="s">
        <v>491</v>
      </c>
      <c r="X70" s="321"/>
    </row>
    <row r="71" spans="1:24" ht="15" customHeight="1" x14ac:dyDescent="0.2">
      <c r="A71" s="75"/>
      <c r="B71" s="75" t="s">
        <v>79</v>
      </c>
      <c r="C71" s="75" t="s">
        <v>776</v>
      </c>
      <c r="D71" s="320" t="s">
        <v>776</v>
      </c>
      <c r="E71" s="321" t="s">
        <v>229</v>
      </c>
      <c r="F71" s="320" t="s">
        <v>355</v>
      </c>
      <c r="G71" s="321">
        <v>303</v>
      </c>
      <c r="H71" s="353"/>
      <c r="I71" s="75" t="s">
        <v>207</v>
      </c>
      <c r="J71" s="322">
        <v>0</v>
      </c>
      <c r="K71" s="75" t="s">
        <v>269</v>
      </c>
      <c r="L71" s="322">
        <v>800</v>
      </c>
      <c r="M71" s="323">
        <f t="shared" si="15"/>
        <v>0</v>
      </c>
      <c r="N71" s="324">
        <v>0</v>
      </c>
      <c r="O71" s="325">
        <f t="shared" si="16"/>
        <v>0</v>
      </c>
      <c r="P71" s="324">
        <v>0.16</v>
      </c>
      <c r="Q71" s="323">
        <f t="shared" si="17"/>
        <v>0</v>
      </c>
      <c r="R71" s="323">
        <f t="shared" si="18"/>
        <v>0</v>
      </c>
      <c r="S71" s="323">
        <f>INDEX('Glosario Partidas'!$M$8:$M$10,MATCH(K71,'Glosario Partidas'!$L$8:$L$10,0))</f>
        <v>1</v>
      </c>
      <c r="T71" s="323">
        <f t="shared" si="19"/>
        <v>0</v>
      </c>
      <c r="U71" s="321"/>
      <c r="V71" s="321" t="s">
        <v>13</v>
      </c>
      <c r="W71" s="321" t="s">
        <v>491</v>
      </c>
      <c r="X71" s="321"/>
    </row>
    <row r="72" spans="1:24" ht="15" customHeight="1" x14ac:dyDescent="0.2">
      <c r="A72" s="75"/>
      <c r="B72" s="75" t="s">
        <v>79</v>
      </c>
      <c r="C72" s="75" t="s">
        <v>772</v>
      </c>
      <c r="D72" s="320" t="s">
        <v>777</v>
      </c>
      <c r="E72" s="321" t="s">
        <v>229</v>
      </c>
      <c r="F72" s="320" t="s">
        <v>355</v>
      </c>
      <c r="G72" s="321">
        <v>303</v>
      </c>
      <c r="H72" s="353"/>
      <c r="I72" s="75" t="s">
        <v>207</v>
      </c>
      <c r="J72" s="322">
        <v>73.569999999999993</v>
      </c>
      <c r="K72" s="75" t="s">
        <v>269</v>
      </c>
      <c r="L72" s="322">
        <v>500</v>
      </c>
      <c r="M72" s="323">
        <f t="shared" si="15"/>
        <v>36785</v>
      </c>
      <c r="N72" s="324">
        <v>0</v>
      </c>
      <c r="O72" s="325">
        <f t="shared" si="16"/>
        <v>0</v>
      </c>
      <c r="P72" s="324">
        <v>0.16</v>
      </c>
      <c r="Q72" s="323">
        <f t="shared" si="17"/>
        <v>5885.6</v>
      </c>
      <c r="R72" s="323">
        <f t="shared" si="18"/>
        <v>42670.6</v>
      </c>
      <c r="S72" s="323">
        <f>INDEX('Glosario Partidas'!$M$8:$M$10,MATCH(K72,'Glosario Partidas'!$L$8:$L$10,0))</f>
        <v>1</v>
      </c>
      <c r="T72" s="323">
        <f t="shared" si="19"/>
        <v>42670.6</v>
      </c>
      <c r="U72" s="321"/>
      <c r="V72" s="321" t="s">
        <v>13</v>
      </c>
      <c r="W72" s="321" t="s">
        <v>491</v>
      </c>
      <c r="X72" s="321"/>
    </row>
    <row r="73" spans="1:24" ht="15" customHeight="1" x14ac:dyDescent="0.2">
      <c r="A73" s="75"/>
      <c r="B73" s="75" t="s">
        <v>79</v>
      </c>
      <c r="C73" s="75" t="s">
        <v>772</v>
      </c>
      <c r="D73" s="320" t="s">
        <v>778</v>
      </c>
      <c r="E73" s="321" t="s">
        <v>229</v>
      </c>
      <c r="F73" s="320" t="s">
        <v>355</v>
      </c>
      <c r="G73" s="321">
        <v>303</v>
      </c>
      <c r="H73" s="353"/>
      <c r="I73" s="75" t="s">
        <v>207</v>
      </c>
      <c r="J73" s="322">
        <v>238.61</v>
      </c>
      <c r="K73" s="75" t="s">
        <v>269</v>
      </c>
      <c r="L73" s="322">
        <v>1800</v>
      </c>
      <c r="M73" s="323">
        <f t="shared" si="15"/>
        <v>429498</v>
      </c>
      <c r="N73" s="324">
        <v>0</v>
      </c>
      <c r="O73" s="325">
        <f t="shared" si="16"/>
        <v>0</v>
      </c>
      <c r="P73" s="324">
        <v>0.16</v>
      </c>
      <c r="Q73" s="323">
        <f t="shared" si="17"/>
        <v>68719.680000000008</v>
      </c>
      <c r="R73" s="323">
        <f t="shared" si="18"/>
        <v>498217.68</v>
      </c>
      <c r="S73" s="323">
        <f>INDEX('Glosario Partidas'!$M$8:$M$10,MATCH(K73,'Glosario Partidas'!$L$8:$L$10,0))</f>
        <v>1</v>
      </c>
      <c r="T73" s="323">
        <f t="shared" si="19"/>
        <v>498217.68</v>
      </c>
      <c r="U73" s="321"/>
      <c r="V73" s="321" t="s">
        <v>13</v>
      </c>
      <c r="W73" s="321" t="s">
        <v>491</v>
      </c>
      <c r="X73" s="321"/>
    </row>
    <row r="74" spans="1:24" ht="15" customHeight="1" x14ac:dyDescent="0.2">
      <c r="A74" s="75"/>
      <c r="B74" s="75" t="s">
        <v>79</v>
      </c>
      <c r="C74" s="75" t="s">
        <v>772</v>
      </c>
      <c r="D74" s="320" t="s">
        <v>773</v>
      </c>
      <c r="E74" s="321" t="s">
        <v>229</v>
      </c>
      <c r="F74" s="320" t="s">
        <v>355</v>
      </c>
      <c r="G74" s="321">
        <v>403</v>
      </c>
      <c r="H74" s="353"/>
      <c r="I74" s="75" t="s">
        <v>207</v>
      </c>
      <c r="J74" s="322">
        <v>47.91</v>
      </c>
      <c r="K74" s="75" t="s">
        <v>269</v>
      </c>
      <c r="L74" s="322">
        <v>500</v>
      </c>
      <c r="M74" s="323">
        <f t="shared" si="15"/>
        <v>23955</v>
      </c>
      <c r="N74" s="324">
        <v>0</v>
      </c>
      <c r="O74" s="325">
        <f t="shared" si="16"/>
        <v>0</v>
      </c>
      <c r="P74" s="324">
        <v>0.16</v>
      </c>
      <c r="Q74" s="323">
        <f t="shared" si="17"/>
        <v>3832.8</v>
      </c>
      <c r="R74" s="323">
        <f t="shared" si="18"/>
        <v>27787.8</v>
      </c>
      <c r="S74" s="323">
        <f>INDEX('Glosario Partidas'!$M$8:$M$10,MATCH(K74,'Glosario Partidas'!$L$8:$L$10,0))</f>
        <v>1</v>
      </c>
      <c r="T74" s="323">
        <f t="shared" si="19"/>
        <v>27787.8</v>
      </c>
      <c r="U74" s="321"/>
      <c r="V74" s="321" t="s">
        <v>13</v>
      </c>
      <c r="W74" s="321" t="s">
        <v>491</v>
      </c>
      <c r="X74" s="321"/>
    </row>
    <row r="75" spans="1:24" ht="15" customHeight="1" x14ac:dyDescent="0.2">
      <c r="A75" s="75"/>
      <c r="B75" s="75" t="s">
        <v>79</v>
      </c>
      <c r="C75" s="75" t="s">
        <v>772</v>
      </c>
      <c r="D75" s="320" t="s">
        <v>774</v>
      </c>
      <c r="E75" s="321" t="s">
        <v>229</v>
      </c>
      <c r="F75" s="320" t="s">
        <v>355</v>
      </c>
      <c r="G75" s="321">
        <v>403</v>
      </c>
      <c r="H75" s="353"/>
      <c r="I75" s="75" t="s">
        <v>207</v>
      </c>
      <c r="J75" s="322">
        <v>62.9</v>
      </c>
      <c r="K75" s="75" t="s">
        <v>269</v>
      </c>
      <c r="L75" s="322">
        <v>1800</v>
      </c>
      <c r="M75" s="323">
        <f t="shared" si="15"/>
        <v>113220</v>
      </c>
      <c r="N75" s="324">
        <v>0</v>
      </c>
      <c r="O75" s="325">
        <f t="shared" si="16"/>
        <v>0</v>
      </c>
      <c r="P75" s="324">
        <v>0.16</v>
      </c>
      <c r="Q75" s="323">
        <f t="shared" si="17"/>
        <v>18115.2</v>
      </c>
      <c r="R75" s="323">
        <f t="shared" si="18"/>
        <v>131335.20000000001</v>
      </c>
      <c r="S75" s="323">
        <f>INDEX('Glosario Partidas'!$M$8:$M$10,MATCH(K75,'Glosario Partidas'!$L$8:$L$10,0))</f>
        <v>1</v>
      </c>
      <c r="T75" s="323">
        <f t="shared" si="19"/>
        <v>131335.20000000001</v>
      </c>
      <c r="U75" s="321"/>
      <c r="V75" s="321" t="s">
        <v>13</v>
      </c>
      <c r="W75" s="321" t="s">
        <v>491</v>
      </c>
      <c r="X75" s="321"/>
    </row>
    <row r="76" spans="1:24" ht="15" customHeight="1" x14ac:dyDescent="0.2">
      <c r="A76" s="75"/>
      <c r="B76" s="75" t="s">
        <v>79</v>
      </c>
      <c r="C76" s="75" t="s">
        <v>775</v>
      </c>
      <c r="D76" s="320" t="s">
        <v>366</v>
      </c>
      <c r="E76" s="321" t="s">
        <v>229</v>
      </c>
      <c r="F76" s="320" t="s">
        <v>355</v>
      </c>
      <c r="G76" s="321">
        <v>403</v>
      </c>
      <c r="H76" s="353"/>
      <c r="I76" s="75" t="s">
        <v>207</v>
      </c>
      <c r="J76" s="322">
        <v>98.94</v>
      </c>
      <c r="K76" s="75" t="s">
        <v>269</v>
      </c>
      <c r="L76" s="322">
        <v>800</v>
      </c>
      <c r="M76" s="323">
        <f t="shared" si="15"/>
        <v>79152</v>
      </c>
      <c r="N76" s="324">
        <v>0</v>
      </c>
      <c r="O76" s="325">
        <f t="shared" si="16"/>
        <v>0</v>
      </c>
      <c r="P76" s="324">
        <v>0.16</v>
      </c>
      <c r="Q76" s="323">
        <f t="shared" si="17"/>
        <v>12664.32</v>
      </c>
      <c r="R76" s="323">
        <f t="shared" si="18"/>
        <v>91816.320000000007</v>
      </c>
      <c r="S76" s="323">
        <f>INDEX('Glosario Partidas'!$M$8:$M$10,MATCH(K76,'Glosario Partidas'!$L$8:$L$10,0))</f>
        <v>1</v>
      </c>
      <c r="T76" s="323">
        <f t="shared" si="19"/>
        <v>91816.320000000007</v>
      </c>
      <c r="U76" s="321"/>
      <c r="V76" s="321" t="s">
        <v>13</v>
      </c>
      <c r="W76" s="321" t="s">
        <v>491</v>
      </c>
      <c r="X76" s="321"/>
    </row>
    <row r="77" spans="1:24" ht="15" customHeight="1" x14ac:dyDescent="0.2">
      <c r="A77" s="75"/>
      <c r="B77" s="75" t="s">
        <v>79</v>
      </c>
      <c r="C77" s="75" t="s">
        <v>776</v>
      </c>
      <c r="D77" s="320" t="s">
        <v>776</v>
      </c>
      <c r="E77" s="321" t="s">
        <v>229</v>
      </c>
      <c r="F77" s="320" t="s">
        <v>355</v>
      </c>
      <c r="G77" s="321">
        <v>403</v>
      </c>
      <c r="H77" s="353"/>
      <c r="I77" s="75" t="s">
        <v>207</v>
      </c>
      <c r="J77" s="322">
        <v>0</v>
      </c>
      <c r="K77" s="75" t="s">
        <v>269</v>
      </c>
      <c r="L77" s="322">
        <v>800</v>
      </c>
      <c r="M77" s="323">
        <f t="shared" si="15"/>
        <v>0</v>
      </c>
      <c r="N77" s="324">
        <v>0</v>
      </c>
      <c r="O77" s="325">
        <f t="shared" si="16"/>
        <v>0</v>
      </c>
      <c r="P77" s="324">
        <v>0.16</v>
      </c>
      <c r="Q77" s="323">
        <f t="shared" si="17"/>
        <v>0</v>
      </c>
      <c r="R77" s="323">
        <f t="shared" si="18"/>
        <v>0</v>
      </c>
      <c r="S77" s="323">
        <f>INDEX('Glosario Partidas'!$M$8:$M$10,MATCH(K77,'Glosario Partidas'!$L$8:$L$10,0))</f>
        <v>1</v>
      </c>
      <c r="T77" s="323">
        <f t="shared" si="19"/>
        <v>0</v>
      </c>
      <c r="U77" s="321"/>
      <c r="V77" s="321" t="s">
        <v>13</v>
      </c>
      <c r="W77" s="321" t="s">
        <v>491</v>
      </c>
      <c r="X77" s="321"/>
    </row>
    <row r="78" spans="1:24" ht="15" customHeight="1" x14ac:dyDescent="0.2">
      <c r="A78" s="75"/>
      <c r="B78" s="75" t="s">
        <v>79</v>
      </c>
      <c r="C78" s="75" t="s">
        <v>772</v>
      </c>
      <c r="D78" s="320" t="s">
        <v>777</v>
      </c>
      <c r="E78" s="321" t="s">
        <v>229</v>
      </c>
      <c r="F78" s="320" t="s">
        <v>355</v>
      </c>
      <c r="G78" s="321">
        <v>403</v>
      </c>
      <c r="H78" s="353"/>
      <c r="I78" s="75" t="s">
        <v>207</v>
      </c>
      <c r="J78" s="322">
        <v>73.569999999999993</v>
      </c>
      <c r="K78" s="75" t="s">
        <v>269</v>
      </c>
      <c r="L78" s="322">
        <v>500</v>
      </c>
      <c r="M78" s="323">
        <f t="shared" ref="M78:M85" si="20">J78*L78</f>
        <v>36785</v>
      </c>
      <c r="N78" s="324">
        <v>0</v>
      </c>
      <c r="O78" s="325">
        <f t="shared" ref="O78:O85" si="21">M78*N78</f>
        <v>0</v>
      </c>
      <c r="P78" s="324">
        <v>0.16</v>
      </c>
      <c r="Q78" s="323">
        <f t="shared" ref="Q78:Q85" si="22">(M78+O78)*P78</f>
        <v>5885.6</v>
      </c>
      <c r="R78" s="323">
        <f t="shared" ref="R78:R85" si="23">M78+O78+Q78</f>
        <v>42670.6</v>
      </c>
      <c r="S78" s="323">
        <f>INDEX('Glosario Partidas'!$M$8:$M$10,MATCH(K78,'Glosario Partidas'!$L$8:$L$10,0))</f>
        <v>1</v>
      </c>
      <c r="T78" s="323">
        <f t="shared" ref="T78:T85" si="24">R78*S78</f>
        <v>42670.6</v>
      </c>
      <c r="U78" s="321"/>
      <c r="V78" s="321" t="s">
        <v>13</v>
      </c>
      <c r="W78" s="321" t="s">
        <v>491</v>
      </c>
      <c r="X78" s="321"/>
    </row>
    <row r="79" spans="1:24" ht="15" customHeight="1" x14ac:dyDescent="0.2">
      <c r="A79" s="75"/>
      <c r="B79" s="75" t="s">
        <v>79</v>
      </c>
      <c r="C79" s="75" t="s">
        <v>772</v>
      </c>
      <c r="D79" s="320" t="s">
        <v>778</v>
      </c>
      <c r="E79" s="321" t="s">
        <v>229</v>
      </c>
      <c r="F79" s="320" t="s">
        <v>355</v>
      </c>
      <c r="G79" s="321">
        <v>403</v>
      </c>
      <c r="H79" s="353"/>
      <c r="I79" s="75" t="s">
        <v>207</v>
      </c>
      <c r="J79" s="322">
        <v>238.61</v>
      </c>
      <c r="K79" s="75" t="s">
        <v>269</v>
      </c>
      <c r="L79" s="322">
        <v>1800</v>
      </c>
      <c r="M79" s="323">
        <f t="shared" si="20"/>
        <v>429498</v>
      </c>
      <c r="N79" s="324">
        <v>0</v>
      </c>
      <c r="O79" s="325">
        <f t="shared" si="21"/>
        <v>0</v>
      </c>
      <c r="P79" s="324">
        <v>0.16</v>
      </c>
      <c r="Q79" s="323">
        <f t="shared" si="22"/>
        <v>68719.680000000008</v>
      </c>
      <c r="R79" s="323">
        <f t="shared" si="23"/>
        <v>498217.68</v>
      </c>
      <c r="S79" s="323">
        <f>INDEX('Glosario Partidas'!$M$8:$M$10,MATCH(K79,'Glosario Partidas'!$L$8:$L$10,0))</f>
        <v>1</v>
      </c>
      <c r="T79" s="323">
        <f t="shared" si="24"/>
        <v>498217.68</v>
      </c>
      <c r="U79" s="321"/>
      <c r="V79" s="321" t="s">
        <v>13</v>
      </c>
      <c r="W79" s="321" t="s">
        <v>491</v>
      </c>
      <c r="X79" s="321"/>
    </row>
    <row r="80" spans="1:24" ht="15" customHeight="1" x14ac:dyDescent="0.2">
      <c r="A80" s="75">
        <v>5</v>
      </c>
      <c r="B80" s="75" t="s">
        <v>79</v>
      </c>
      <c r="C80" s="75" t="s">
        <v>772</v>
      </c>
      <c r="D80" s="320" t="s">
        <v>773</v>
      </c>
      <c r="E80" s="321" t="s">
        <v>229</v>
      </c>
      <c r="F80" s="320" t="s">
        <v>355</v>
      </c>
      <c r="G80" s="321">
        <v>403</v>
      </c>
      <c r="H80" s="353"/>
      <c r="I80" s="75" t="s">
        <v>207</v>
      </c>
      <c r="J80" s="322">
        <f>59.67-J74</f>
        <v>11.760000000000005</v>
      </c>
      <c r="K80" s="75" t="s">
        <v>269</v>
      </c>
      <c r="L80" s="322"/>
      <c r="M80" s="323">
        <f t="shared" si="20"/>
        <v>0</v>
      </c>
      <c r="N80" s="324">
        <v>0</v>
      </c>
      <c r="O80" s="325">
        <f t="shared" si="21"/>
        <v>0</v>
      </c>
      <c r="P80" s="324">
        <v>0.16</v>
      </c>
      <c r="Q80" s="323">
        <f t="shared" si="22"/>
        <v>0</v>
      </c>
      <c r="R80" s="323">
        <f t="shared" si="23"/>
        <v>0</v>
      </c>
      <c r="S80" s="323">
        <f>INDEX('Glosario Partidas'!$M$8:$M$10,MATCH(K80,'Glosario Partidas'!$L$8:$L$10,0))</f>
        <v>1</v>
      </c>
      <c r="T80" s="323">
        <f t="shared" si="24"/>
        <v>0</v>
      </c>
      <c r="U80" s="321"/>
      <c r="V80" s="321" t="s">
        <v>13</v>
      </c>
      <c r="W80" s="321" t="s">
        <v>491</v>
      </c>
      <c r="X80" s="321"/>
    </row>
    <row r="81" spans="1:29" ht="15" customHeight="1" x14ac:dyDescent="0.2">
      <c r="A81" s="75">
        <v>5</v>
      </c>
      <c r="B81" s="75" t="s">
        <v>79</v>
      </c>
      <c r="C81" s="75" t="s">
        <v>772</v>
      </c>
      <c r="D81" s="320" t="s">
        <v>774</v>
      </c>
      <c r="E81" s="321" t="s">
        <v>229</v>
      </c>
      <c r="F81" s="320" t="s">
        <v>355</v>
      </c>
      <c r="G81" s="321">
        <v>403</v>
      </c>
      <c r="H81" s="353"/>
      <c r="I81" s="75" t="s">
        <v>207</v>
      </c>
      <c r="J81" s="322">
        <f>62.61-J75</f>
        <v>-0.28999999999999915</v>
      </c>
      <c r="K81" s="75" t="s">
        <v>269</v>
      </c>
      <c r="L81" s="322"/>
      <c r="M81" s="323">
        <f t="shared" si="20"/>
        <v>0</v>
      </c>
      <c r="N81" s="324">
        <v>0</v>
      </c>
      <c r="O81" s="325">
        <f t="shared" si="21"/>
        <v>0</v>
      </c>
      <c r="P81" s="324">
        <v>0.16</v>
      </c>
      <c r="Q81" s="323">
        <f t="shared" si="22"/>
        <v>0</v>
      </c>
      <c r="R81" s="323">
        <f t="shared" si="23"/>
        <v>0</v>
      </c>
      <c r="S81" s="323">
        <f>INDEX('Glosario Partidas'!$M$8:$M$10,MATCH(K81,'Glosario Partidas'!$L$8:$L$10,0))</f>
        <v>1</v>
      </c>
      <c r="T81" s="323">
        <f t="shared" si="24"/>
        <v>0</v>
      </c>
      <c r="U81" s="321"/>
      <c r="V81" s="321" t="s">
        <v>13</v>
      </c>
      <c r="W81" s="321" t="s">
        <v>491</v>
      </c>
      <c r="X81" s="321"/>
    </row>
    <row r="82" spans="1:29" ht="15" customHeight="1" x14ac:dyDescent="0.2">
      <c r="A82" s="75">
        <v>5</v>
      </c>
      <c r="B82" s="75" t="s">
        <v>79</v>
      </c>
      <c r="C82" s="75" t="s">
        <v>775</v>
      </c>
      <c r="D82" s="320" t="s">
        <v>366</v>
      </c>
      <c r="E82" s="321" t="s">
        <v>229</v>
      </c>
      <c r="F82" s="320" t="s">
        <v>355</v>
      </c>
      <c r="G82" s="321">
        <v>403</v>
      </c>
      <c r="H82" s="353"/>
      <c r="I82" s="75" t="s">
        <v>207</v>
      </c>
      <c r="J82" s="322">
        <f>119.3-J76</f>
        <v>20.36</v>
      </c>
      <c r="K82" s="75" t="s">
        <v>269</v>
      </c>
      <c r="L82" s="322"/>
      <c r="M82" s="323">
        <f t="shared" si="20"/>
        <v>0</v>
      </c>
      <c r="N82" s="324">
        <v>0</v>
      </c>
      <c r="O82" s="325">
        <f t="shared" si="21"/>
        <v>0</v>
      </c>
      <c r="P82" s="324">
        <v>0.16</v>
      </c>
      <c r="Q82" s="323">
        <f t="shared" si="22"/>
        <v>0</v>
      </c>
      <c r="R82" s="323">
        <f t="shared" si="23"/>
        <v>0</v>
      </c>
      <c r="S82" s="323">
        <f>INDEX('Glosario Partidas'!$M$8:$M$10,MATCH(K82,'Glosario Partidas'!$L$8:$L$10,0))</f>
        <v>1</v>
      </c>
      <c r="T82" s="323">
        <f t="shared" si="24"/>
        <v>0</v>
      </c>
      <c r="U82" s="321"/>
      <c r="V82" s="321" t="s">
        <v>13</v>
      </c>
      <c r="W82" s="321" t="s">
        <v>491</v>
      </c>
      <c r="X82" s="321"/>
    </row>
    <row r="83" spans="1:29" ht="15" customHeight="1" x14ac:dyDescent="0.2">
      <c r="A83" s="75">
        <v>5</v>
      </c>
      <c r="B83" s="75" t="s">
        <v>79</v>
      </c>
      <c r="C83" s="75" t="s">
        <v>776</v>
      </c>
      <c r="D83" s="320" t="s">
        <v>776</v>
      </c>
      <c r="E83" s="321" t="s">
        <v>229</v>
      </c>
      <c r="F83" s="320" t="s">
        <v>355</v>
      </c>
      <c r="G83" s="321">
        <v>403</v>
      </c>
      <c r="H83" s="353"/>
      <c r="I83" s="75" t="s">
        <v>207</v>
      </c>
      <c r="J83" s="322">
        <f>11.88-J77</f>
        <v>11.88</v>
      </c>
      <c r="K83" s="75" t="s">
        <v>269</v>
      </c>
      <c r="L83" s="322"/>
      <c r="M83" s="323">
        <f t="shared" si="20"/>
        <v>0</v>
      </c>
      <c r="N83" s="324">
        <v>0</v>
      </c>
      <c r="O83" s="325">
        <f t="shared" si="21"/>
        <v>0</v>
      </c>
      <c r="P83" s="324">
        <v>0.16</v>
      </c>
      <c r="Q83" s="323">
        <f t="shared" si="22"/>
        <v>0</v>
      </c>
      <c r="R83" s="323">
        <f t="shared" si="23"/>
        <v>0</v>
      </c>
      <c r="S83" s="323">
        <f>INDEX('Glosario Partidas'!$M$8:$M$10,MATCH(K83,'Glosario Partidas'!$L$8:$L$10,0))</f>
        <v>1</v>
      </c>
      <c r="T83" s="323">
        <f t="shared" si="24"/>
        <v>0</v>
      </c>
      <c r="U83" s="321"/>
      <c r="V83" s="321" t="s">
        <v>13</v>
      </c>
      <c r="W83" s="321" t="s">
        <v>491</v>
      </c>
      <c r="X83" s="321"/>
    </row>
    <row r="84" spans="1:29" ht="15" customHeight="1" x14ac:dyDescent="0.2">
      <c r="A84" s="75">
        <v>5</v>
      </c>
      <c r="B84" s="75" t="s">
        <v>79</v>
      </c>
      <c r="C84" s="75" t="s">
        <v>772</v>
      </c>
      <c r="D84" s="320" t="s">
        <v>777</v>
      </c>
      <c r="E84" s="321" t="s">
        <v>229</v>
      </c>
      <c r="F84" s="320" t="s">
        <v>355</v>
      </c>
      <c r="G84" s="321">
        <v>403</v>
      </c>
      <c r="H84" s="353"/>
      <c r="I84" s="75" t="s">
        <v>207</v>
      </c>
      <c r="J84" s="322">
        <f>97.52-J78</f>
        <v>23.950000000000003</v>
      </c>
      <c r="K84" s="75" t="s">
        <v>269</v>
      </c>
      <c r="L84" s="322"/>
      <c r="M84" s="323">
        <f t="shared" si="20"/>
        <v>0</v>
      </c>
      <c r="N84" s="324">
        <v>0</v>
      </c>
      <c r="O84" s="325">
        <f t="shared" si="21"/>
        <v>0</v>
      </c>
      <c r="P84" s="324">
        <v>0.16</v>
      </c>
      <c r="Q84" s="323">
        <f t="shared" si="22"/>
        <v>0</v>
      </c>
      <c r="R84" s="323">
        <f t="shared" si="23"/>
        <v>0</v>
      </c>
      <c r="S84" s="323">
        <f>INDEX('Glosario Partidas'!$M$8:$M$10,MATCH(K84,'Glosario Partidas'!$L$8:$L$10,0))</f>
        <v>1</v>
      </c>
      <c r="T84" s="323">
        <f t="shared" si="24"/>
        <v>0</v>
      </c>
      <c r="U84" s="321"/>
      <c r="V84" s="321" t="s">
        <v>13</v>
      </c>
      <c r="W84" s="321" t="s">
        <v>491</v>
      </c>
      <c r="X84" s="321"/>
    </row>
    <row r="85" spans="1:29" ht="15" customHeight="1" x14ac:dyDescent="0.2">
      <c r="A85" s="75">
        <v>5</v>
      </c>
      <c r="B85" s="75" t="s">
        <v>79</v>
      </c>
      <c r="C85" s="75" t="s">
        <v>772</v>
      </c>
      <c r="D85" s="320" t="s">
        <v>778</v>
      </c>
      <c r="E85" s="321" t="s">
        <v>229</v>
      </c>
      <c r="F85" s="320" t="s">
        <v>355</v>
      </c>
      <c r="G85" s="321">
        <v>403</v>
      </c>
      <c r="H85" s="353"/>
      <c r="I85" s="75" t="s">
        <v>207</v>
      </c>
      <c r="J85" s="322">
        <f>188.17-J79</f>
        <v>-50.440000000000026</v>
      </c>
      <c r="K85" s="75" t="s">
        <v>269</v>
      </c>
      <c r="L85" s="322"/>
      <c r="M85" s="323">
        <f t="shared" si="20"/>
        <v>0</v>
      </c>
      <c r="N85" s="324">
        <v>0</v>
      </c>
      <c r="O85" s="325">
        <f t="shared" si="21"/>
        <v>0</v>
      </c>
      <c r="P85" s="324">
        <v>0.16</v>
      </c>
      <c r="Q85" s="323">
        <f t="shared" si="22"/>
        <v>0</v>
      </c>
      <c r="R85" s="323">
        <f t="shared" si="23"/>
        <v>0</v>
      </c>
      <c r="S85" s="323">
        <f>INDEX('Glosario Partidas'!$M$8:$M$10,MATCH(K85,'Glosario Partidas'!$L$8:$L$10,0))</f>
        <v>1</v>
      </c>
      <c r="T85" s="323">
        <f t="shared" si="24"/>
        <v>0</v>
      </c>
      <c r="U85" s="321"/>
      <c r="V85" s="321" t="s">
        <v>13</v>
      </c>
      <c r="W85" s="321" t="s">
        <v>491</v>
      </c>
      <c r="X85" s="321"/>
    </row>
    <row r="86" spans="1:29" ht="15" customHeight="1" x14ac:dyDescent="0.2">
      <c r="AB86" s="254">
        <f>SUMIFS($T:$T,$W:$W,"Contratado")</f>
        <v>0</v>
      </c>
      <c r="AC86" s="254">
        <f>SUMIFS($T:$T,$W:$W,"No Contratado")</f>
        <v>16880129.760000005</v>
      </c>
    </row>
  </sheetData>
  <autoFilter ref="A1:V85" xr:uid="{00000000-0009-0000-0000-00002B000000}"/>
  <dataValidations count="2">
    <dataValidation type="list" allowBlank="1" errorTitle="Valor inválido" error="Selecciona Contratado o No Contratado" promptTitle="Contratado/No Contratado" prompt="Selecciona estado" sqref="W2:W85" xr:uid="{00000000-0002-0000-2B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85" xr:uid="{00000000-0002-0000-2B00-000001000000}">
      <formula1>"Sí,No"</formula1>
      <formula2>0</formula2>
    </dataValidation>
  </dataValidations>
  <hyperlinks>
    <hyperlink ref="A1" location="'BUY OUT'!A1" display="⬅ Resumen PU" xr:uid="{00000000-0004-0000-2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AC116"/>
  <sheetViews>
    <sheetView showGridLines="0" zoomScale="170" zoomScaleNormal="170" workbookViewId="0">
      <selection activeCell="W113" sqref="W113"/>
    </sheetView>
  </sheetViews>
  <sheetFormatPr baseColWidth="10" defaultColWidth="8.6640625" defaultRowHeight="15" customHeight="1" x14ac:dyDescent="0.2"/>
  <cols>
    <col min="2" max="2" width="28" customWidth="1"/>
    <col min="3" max="3" width="13.5" customWidth="1"/>
    <col min="4" max="4" width="30.33203125" customWidth="1"/>
    <col min="22" max="22" width="14.8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75"/>
      <c r="B2" s="211" t="s">
        <v>87</v>
      </c>
      <c r="C2" s="75" t="s">
        <v>768</v>
      </c>
      <c r="D2" s="320" t="s">
        <v>769</v>
      </c>
      <c r="E2" s="321" t="s">
        <v>220</v>
      </c>
      <c r="F2" s="320" t="s">
        <v>221</v>
      </c>
      <c r="G2" s="321">
        <v>101</v>
      </c>
      <c r="H2" s="353"/>
      <c r="I2" s="75" t="s">
        <v>207</v>
      </c>
      <c r="J2" s="322">
        <v>231.09</v>
      </c>
      <c r="K2" s="75" t="s">
        <v>153</v>
      </c>
      <c r="L2" s="322">
        <v>75</v>
      </c>
      <c r="M2" s="323">
        <f t="shared" ref="M2:M33" si="0">J2*L2</f>
        <v>17331.75</v>
      </c>
      <c r="N2" s="324">
        <v>0</v>
      </c>
      <c r="O2" s="325">
        <f t="shared" ref="O2:O33" si="1">M2*N2</f>
        <v>0</v>
      </c>
      <c r="P2" s="324">
        <v>0.16</v>
      </c>
      <c r="Q2" s="227">
        <f t="shared" ref="Q2:Q33" si="2">(M2+O2)*P2</f>
        <v>2773.08</v>
      </c>
      <c r="R2" s="227">
        <f t="shared" ref="R2:R33" si="3">M2+O2+Q2</f>
        <v>20104.830000000002</v>
      </c>
      <c r="S2" s="229">
        <f>INDEX('Glosario Partidas'!$M$8:$M$10,MATCH(K2,'Glosario Partidas'!$L$8:$L$10,0))</f>
        <v>17.5</v>
      </c>
      <c r="T2" s="227">
        <f t="shared" ref="T2:T33" si="4">R2*S2</f>
        <v>351834.52500000002</v>
      </c>
      <c r="U2" s="321"/>
      <c r="V2" s="321" t="s">
        <v>13</v>
      </c>
      <c r="W2" s="321" t="s">
        <v>491</v>
      </c>
      <c r="X2" s="321"/>
    </row>
    <row r="3" spans="1:29" ht="15" customHeight="1" x14ac:dyDescent="0.2">
      <c r="A3" s="75"/>
      <c r="B3" s="211" t="s">
        <v>87</v>
      </c>
      <c r="C3" s="75" t="s">
        <v>768</v>
      </c>
      <c r="D3" s="320" t="s">
        <v>770</v>
      </c>
      <c r="E3" s="321" t="s">
        <v>220</v>
      </c>
      <c r="F3" s="320" t="s">
        <v>221</v>
      </c>
      <c r="G3" s="321">
        <v>101</v>
      </c>
      <c r="H3" s="353"/>
      <c r="I3" s="75" t="s">
        <v>207</v>
      </c>
      <c r="J3" s="322">
        <v>130.27000000000001</v>
      </c>
      <c r="K3" s="75" t="s">
        <v>153</v>
      </c>
      <c r="L3" s="322">
        <v>75</v>
      </c>
      <c r="M3" s="323">
        <f t="shared" si="0"/>
        <v>9770.25</v>
      </c>
      <c r="N3" s="324">
        <v>0</v>
      </c>
      <c r="O3" s="325">
        <f t="shared" si="1"/>
        <v>0</v>
      </c>
      <c r="P3" s="324">
        <v>0.16</v>
      </c>
      <c r="Q3" s="227">
        <f t="shared" si="2"/>
        <v>1563.24</v>
      </c>
      <c r="R3" s="227">
        <f t="shared" si="3"/>
        <v>11333.49</v>
      </c>
      <c r="S3" s="229">
        <f>INDEX('Glosario Partidas'!$M$8:$M$10,MATCH(K3,'Glosario Partidas'!$L$8:$L$10,0))</f>
        <v>17.5</v>
      </c>
      <c r="T3" s="227">
        <f t="shared" si="4"/>
        <v>198336.07499999998</v>
      </c>
      <c r="U3" s="321"/>
      <c r="V3" s="321" t="s">
        <v>13</v>
      </c>
      <c r="W3" s="321" t="s">
        <v>491</v>
      </c>
      <c r="X3" s="321"/>
    </row>
    <row r="4" spans="1:29" ht="15" customHeight="1" x14ac:dyDescent="0.2">
      <c r="A4" s="75"/>
      <c r="B4" s="211" t="s">
        <v>87</v>
      </c>
      <c r="C4" s="75" t="s">
        <v>768</v>
      </c>
      <c r="D4" s="320" t="s">
        <v>771</v>
      </c>
      <c r="E4" s="321" t="s">
        <v>220</v>
      </c>
      <c r="F4" s="320" t="s">
        <v>221</v>
      </c>
      <c r="G4" s="321">
        <v>101</v>
      </c>
      <c r="H4" s="353"/>
      <c r="I4" s="75" t="s">
        <v>207</v>
      </c>
      <c r="J4" s="322">
        <v>140.44</v>
      </c>
      <c r="K4" s="75" t="s">
        <v>153</v>
      </c>
      <c r="L4" s="322">
        <v>75</v>
      </c>
      <c r="M4" s="323">
        <f t="shared" si="0"/>
        <v>10533</v>
      </c>
      <c r="N4" s="324">
        <v>0</v>
      </c>
      <c r="O4" s="325">
        <f t="shared" si="1"/>
        <v>0</v>
      </c>
      <c r="P4" s="324">
        <v>0.16</v>
      </c>
      <c r="Q4" s="227">
        <f t="shared" si="2"/>
        <v>1685.28</v>
      </c>
      <c r="R4" s="227">
        <f t="shared" si="3"/>
        <v>12218.28</v>
      </c>
      <c r="S4" s="229">
        <f>INDEX('Glosario Partidas'!$M$8:$M$10,MATCH(K4,'Glosario Partidas'!$L$8:$L$10,0))</f>
        <v>17.5</v>
      </c>
      <c r="T4" s="227">
        <f t="shared" si="4"/>
        <v>213819.90000000002</v>
      </c>
      <c r="U4" s="321"/>
      <c r="V4" s="321" t="s">
        <v>13</v>
      </c>
      <c r="W4" s="321" t="s">
        <v>491</v>
      </c>
      <c r="X4" s="321"/>
    </row>
    <row r="5" spans="1:29" ht="15" customHeight="1" x14ac:dyDescent="0.2">
      <c r="A5" s="75"/>
      <c r="B5" s="211" t="s">
        <v>87</v>
      </c>
      <c r="C5" s="75" t="s">
        <v>768</v>
      </c>
      <c r="D5" s="320" t="s">
        <v>192</v>
      </c>
      <c r="E5" s="321" t="s">
        <v>220</v>
      </c>
      <c r="F5" s="320" t="s">
        <v>221</v>
      </c>
      <c r="G5" s="321">
        <v>101</v>
      </c>
      <c r="H5" s="353"/>
      <c r="I5" s="75" t="s">
        <v>207</v>
      </c>
      <c r="J5" s="322">
        <v>196</v>
      </c>
      <c r="K5" s="75" t="s">
        <v>153</v>
      </c>
      <c r="L5" s="322">
        <v>75</v>
      </c>
      <c r="M5" s="323">
        <f t="shared" si="0"/>
        <v>14700</v>
      </c>
      <c r="N5" s="324">
        <v>0</v>
      </c>
      <c r="O5" s="325">
        <f t="shared" si="1"/>
        <v>0</v>
      </c>
      <c r="P5" s="324">
        <v>0.16</v>
      </c>
      <c r="Q5" s="227">
        <f t="shared" si="2"/>
        <v>2352</v>
      </c>
      <c r="R5" s="227">
        <f t="shared" si="3"/>
        <v>17052</v>
      </c>
      <c r="S5" s="229">
        <f>INDEX('Glosario Partidas'!$M$8:$M$10,MATCH(K5,'Glosario Partidas'!$L$8:$L$10,0))</f>
        <v>17.5</v>
      </c>
      <c r="T5" s="227">
        <f t="shared" si="4"/>
        <v>298410</v>
      </c>
      <c r="U5" s="321"/>
      <c r="V5" s="321" t="s">
        <v>13</v>
      </c>
      <c r="W5" s="321" t="s">
        <v>491</v>
      </c>
      <c r="X5" s="321"/>
    </row>
    <row r="6" spans="1:29" ht="15" customHeight="1" x14ac:dyDescent="0.2">
      <c r="A6" s="75"/>
      <c r="B6" s="211" t="s">
        <v>87</v>
      </c>
      <c r="C6" s="75" t="s">
        <v>768</v>
      </c>
      <c r="D6" s="320" t="s">
        <v>769</v>
      </c>
      <c r="E6" s="321" t="s">
        <v>220</v>
      </c>
      <c r="F6" s="320" t="s">
        <v>221</v>
      </c>
      <c r="G6" s="321">
        <v>201</v>
      </c>
      <c r="H6" s="353"/>
      <c r="I6" s="75" t="s">
        <v>207</v>
      </c>
      <c r="J6" s="322">
        <v>231.09</v>
      </c>
      <c r="K6" s="75" t="s">
        <v>153</v>
      </c>
      <c r="L6" s="322">
        <v>75</v>
      </c>
      <c r="M6" s="323">
        <f t="shared" si="0"/>
        <v>17331.75</v>
      </c>
      <c r="N6" s="324">
        <v>0</v>
      </c>
      <c r="O6" s="325">
        <f t="shared" si="1"/>
        <v>0</v>
      </c>
      <c r="P6" s="324">
        <v>0.16</v>
      </c>
      <c r="Q6" s="227">
        <f t="shared" si="2"/>
        <v>2773.08</v>
      </c>
      <c r="R6" s="227">
        <f t="shared" si="3"/>
        <v>20104.830000000002</v>
      </c>
      <c r="S6" s="229">
        <f>INDEX('Glosario Partidas'!$M$8:$M$10,MATCH(K6,'Glosario Partidas'!$L$8:$L$10,0))</f>
        <v>17.5</v>
      </c>
      <c r="T6" s="227">
        <f t="shared" si="4"/>
        <v>351834.52500000002</v>
      </c>
      <c r="U6" s="321"/>
      <c r="V6" s="321" t="s">
        <v>13</v>
      </c>
      <c r="W6" s="321" t="s">
        <v>491</v>
      </c>
      <c r="X6" s="321"/>
    </row>
    <row r="7" spans="1:29" ht="15" customHeight="1" x14ac:dyDescent="0.2">
      <c r="A7" s="75"/>
      <c r="B7" s="211" t="s">
        <v>87</v>
      </c>
      <c r="C7" s="75" t="s">
        <v>768</v>
      </c>
      <c r="D7" s="320" t="s">
        <v>770</v>
      </c>
      <c r="E7" s="321" t="s">
        <v>220</v>
      </c>
      <c r="F7" s="320" t="s">
        <v>221</v>
      </c>
      <c r="G7" s="321">
        <v>201</v>
      </c>
      <c r="H7" s="353"/>
      <c r="I7" s="75" t="s">
        <v>207</v>
      </c>
      <c r="J7" s="322">
        <v>130.27000000000001</v>
      </c>
      <c r="K7" s="75" t="s">
        <v>153</v>
      </c>
      <c r="L7" s="322">
        <v>75</v>
      </c>
      <c r="M7" s="323">
        <f t="shared" si="0"/>
        <v>9770.25</v>
      </c>
      <c r="N7" s="324">
        <v>0</v>
      </c>
      <c r="O7" s="325">
        <f t="shared" si="1"/>
        <v>0</v>
      </c>
      <c r="P7" s="324">
        <v>0.16</v>
      </c>
      <c r="Q7" s="227">
        <f t="shared" si="2"/>
        <v>1563.24</v>
      </c>
      <c r="R7" s="227">
        <f t="shared" si="3"/>
        <v>11333.49</v>
      </c>
      <c r="S7" s="229">
        <f>INDEX('Glosario Partidas'!$M$8:$M$10,MATCH(K7,'Glosario Partidas'!$L$8:$L$10,0))</f>
        <v>17.5</v>
      </c>
      <c r="T7" s="227">
        <f t="shared" si="4"/>
        <v>198336.07499999998</v>
      </c>
      <c r="U7" s="321"/>
      <c r="V7" s="321" t="s">
        <v>13</v>
      </c>
      <c r="W7" s="321" t="s">
        <v>491</v>
      </c>
      <c r="X7" s="321"/>
    </row>
    <row r="8" spans="1:29" ht="15" customHeight="1" x14ac:dyDescent="0.2">
      <c r="A8" s="75"/>
      <c r="B8" s="211" t="s">
        <v>87</v>
      </c>
      <c r="C8" s="75" t="s">
        <v>768</v>
      </c>
      <c r="D8" s="320" t="s">
        <v>771</v>
      </c>
      <c r="E8" s="321" t="s">
        <v>220</v>
      </c>
      <c r="F8" s="320" t="s">
        <v>221</v>
      </c>
      <c r="G8" s="321">
        <v>201</v>
      </c>
      <c r="H8" s="353"/>
      <c r="I8" s="75" t="s">
        <v>207</v>
      </c>
      <c r="J8" s="322">
        <v>140.44</v>
      </c>
      <c r="K8" s="75" t="s">
        <v>153</v>
      </c>
      <c r="L8" s="322">
        <v>75</v>
      </c>
      <c r="M8" s="323">
        <f t="shared" si="0"/>
        <v>10533</v>
      </c>
      <c r="N8" s="324">
        <v>0</v>
      </c>
      <c r="O8" s="325">
        <f t="shared" si="1"/>
        <v>0</v>
      </c>
      <c r="P8" s="324">
        <v>0.16</v>
      </c>
      <c r="Q8" s="227">
        <f t="shared" si="2"/>
        <v>1685.28</v>
      </c>
      <c r="R8" s="227">
        <f t="shared" si="3"/>
        <v>12218.28</v>
      </c>
      <c r="S8" s="229">
        <f>INDEX('Glosario Partidas'!$M$8:$M$10,MATCH(K8,'Glosario Partidas'!$L$8:$L$10,0))</f>
        <v>17.5</v>
      </c>
      <c r="T8" s="227">
        <f t="shared" si="4"/>
        <v>213819.90000000002</v>
      </c>
      <c r="U8" s="321"/>
      <c r="V8" s="321" t="s">
        <v>13</v>
      </c>
      <c r="W8" s="321" t="s">
        <v>491</v>
      </c>
      <c r="X8" s="321"/>
    </row>
    <row r="9" spans="1:29" ht="15" customHeight="1" x14ac:dyDescent="0.2">
      <c r="A9" s="75"/>
      <c r="B9" s="211" t="s">
        <v>87</v>
      </c>
      <c r="C9" s="75" t="s">
        <v>768</v>
      </c>
      <c r="D9" s="320" t="s">
        <v>192</v>
      </c>
      <c r="E9" s="321" t="s">
        <v>220</v>
      </c>
      <c r="F9" s="320" t="s">
        <v>221</v>
      </c>
      <c r="G9" s="321">
        <v>201</v>
      </c>
      <c r="H9" s="353"/>
      <c r="I9" s="75" t="s">
        <v>207</v>
      </c>
      <c r="J9" s="322">
        <v>196</v>
      </c>
      <c r="K9" s="75" t="s">
        <v>153</v>
      </c>
      <c r="L9" s="322">
        <v>75</v>
      </c>
      <c r="M9" s="323">
        <f t="shared" si="0"/>
        <v>14700</v>
      </c>
      <c r="N9" s="324">
        <v>0</v>
      </c>
      <c r="O9" s="325">
        <f t="shared" si="1"/>
        <v>0</v>
      </c>
      <c r="P9" s="324">
        <v>0.16</v>
      </c>
      <c r="Q9" s="227">
        <f t="shared" si="2"/>
        <v>2352</v>
      </c>
      <c r="R9" s="227">
        <f t="shared" si="3"/>
        <v>17052</v>
      </c>
      <c r="S9" s="229">
        <f>INDEX('Glosario Partidas'!$M$8:$M$10,MATCH(K9,'Glosario Partidas'!$L$8:$L$10,0))</f>
        <v>17.5</v>
      </c>
      <c r="T9" s="227">
        <f t="shared" si="4"/>
        <v>298410</v>
      </c>
      <c r="U9" s="321"/>
      <c r="V9" s="321" t="s">
        <v>13</v>
      </c>
      <c r="W9" s="321" t="s">
        <v>491</v>
      </c>
      <c r="X9" s="321"/>
    </row>
    <row r="10" spans="1:29" ht="15" customHeight="1" x14ac:dyDescent="0.2">
      <c r="A10" s="75"/>
      <c r="B10" s="211" t="s">
        <v>87</v>
      </c>
      <c r="C10" s="75" t="s">
        <v>768</v>
      </c>
      <c r="D10" s="320" t="s">
        <v>769</v>
      </c>
      <c r="E10" s="321" t="s">
        <v>220</v>
      </c>
      <c r="F10" s="320" t="s">
        <v>354</v>
      </c>
      <c r="G10" s="321">
        <v>102</v>
      </c>
      <c r="H10" s="353"/>
      <c r="I10" s="75" t="s">
        <v>207</v>
      </c>
      <c r="J10" s="322">
        <v>231.09</v>
      </c>
      <c r="K10" s="75" t="s">
        <v>153</v>
      </c>
      <c r="L10" s="322">
        <v>75</v>
      </c>
      <c r="M10" s="323">
        <f t="shared" si="0"/>
        <v>17331.75</v>
      </c>
      <c r="N10" s="324">
        <v>0</v>
      </c>
      <c r="O10" s="325">
        <f t="shared" si="1"/>
        <v>0</v>
      </c>
      <c r="P10" s="324">
        <v>0.16</v>
      </c>
      <c r="Q10" s="227">
        <f t="shared" si="2"/>
        <v>2773.08</v>
      </c>
      <c r="R10" s="227">
        <f t="shared" si="3"/>
        <v>20104.830000000002</v>
      </c>
      <c r="S10" s="229">
        <f>INDEX('Glosario Partidas'!$M$8:$M$10,MATCH(K10,'Glosario Partidas'!$L$8:$L$10,0))</f>
        <v>17.5</v>
      </c>
      <c r="T10" s="227">
        <f t="shared" si="4"/>
        <v>351834.52500000002</v>
      </c>
      <c r="U10" s="321"/>
      <c r="V10" s="321" t="s">
        <v>13</v>
      </c>
      <c r="W10" s="321" t="s">
        <v>491</v>
      </c>
      <c r="X10" s="321"/>
    </row>
    <row r="11" spans="1:29" ht="15" customHeight="1" x14ac:dyDescent="0.2">
      <c r="A11" s="75"/>
      <c r="B11" s="211" t="s">
        <v>87</v>
      </c>
      <c r="C11" s="75" t="s">
        <v>768</v>
      </c>
      <c r="D11" s="320" t="s">
        <v>770</v>
      </c>
      <c r="E11" s="321" t="s">
        <v>220</v>
      </c>
      <c r="F11" s="320" t="s">
        <v>354</v>
      </c>
      <c r="G11" s="321">
        <v>102</v>
      </c>
      <c r="H11" s="353"/>
      <c r="I11" s="75" t="s">
        <v>207</v>
      </c>
      <c r="J11" s="322">
        <v>123.43</v>
      </c>
      <c r="K11" s="75" t="s">
        <v>153</v>
      </c>
      <c r="L11" s="322">
        <v>75</v>
      </c>
      <c r="M11" s="323">
        <f t="shared" si="0"/>
        <v>9257.25</v>
      </c>
      <c r="N11" s="324">
        <v>0</v>
      </c>
      <c r="O11" s="325">
        <f t="shared" si="1"/>
        <v>0</v>
      </c>
      <c r="P11" s="324">
        <v>0.16</v>
      </c>
      <c r="Q11" s="227">
        <f t="shared" si="2"/>
        <v>1481.16</v>
      </c>
      <c r="R11" s="227">
        <f t="shared" si="3"/>
        <v>10738.41</v>
      </c>
      <c r="S11" s="229">
        <f>INDEX('Glosario Partidas'!$M$8:$M$10,MATCH(K11,'Glosario Partidas'!$L$8:$L$10,0))</f>
        <v>17.5</v>
      </c>
      <c r="T11" s="227">
        <f t="shared" si="4"/>
        <v>187922.17499999999</v>
      </c>
      <c r="U11" s="321"/>
      <c r="V11" s="321" t="s">
        <v>13</v>
      </c>
      <c r="W11" s="321" t="s">
        <v>491</v>
      </c>
      <c r="X11" s="321"/>
    </row>
    <row r="12" spans="1:29" ht="15" customHeight="1" x14ac:dyDescent="0.2">
      <c r="A12" s="75"/>
      <c r="B12" s="211" t="s">
        <v>87</v>
      </c>
      <c r="C12" s="75" t="s">
        <v>768</v>
      </c>
      <c r="D12" s="320" t="s">
        <v>771</v>
      </c>
      <c r="E12" s="321" t="s">
        <v>220</v>
      </c>
      <c r="F12" s="320" t="s">
        <v>354</v>
      </c>
      <c r="G12" s="321">
        <v>102</v>
      </c>
      <c r="H12" s="353"/>
      <c r="I12" s="75" t="s">
        <v>207</v>
      </c>
      <c r="J12" s="322">
        <v>152.82</v>
      </c>
      <c r="K12" s="75" t="s">
        <v>153</v>
      </c>
      <c r="L12" s="322">
        <v>75</v>
      </c>
      <c r="M12" s="323">
        <f t="shared" si="0"/>
        <v>11461.5</v>
      </c>
      <c r="N12" s="324">
        <v>0</v>
      </c>
      <c r="O12" s="325">
        <f t="shared" si="1"/>
        <v>0</v>
      </c>
      <c r="P12" s="324">
        <v>0.16</v>
      </c>
      <c r="Q12" s="227">
        <f t="shared" si="2"/>
        <v>1833.8400000000001</v>
      </c>
      <c r="R12" s="227">
        <f t="shared" si="3"/>
        <v>13295.34</v>
      </c>
      <c r="S12" s="229">
        <f>INDEX('Glosario Partidas'!$M$8:$M$10,MATCH(K12,'Glosario Partidas'!$L$8:$L$10,0))</f>
        <v>17.5</v>
      </c>
      <c r="T12" s="227">
        <f t="shared" si="4"/>
        <v>232668.45</v>
      </c>
      <c r="U12" s="321"/>
      <c r="V12" s="321" t="s">
        <v>13</v>
      </c>
      <c r="W12" s="321" t="s">
        <v>491</v>
      </c>
      <c r="X12" s="321"/>
    </row>
    <row r="13" spans="1:29" ht="15" customHeight="1" x14ac:dyDescent="0.2">
      <c r="A13" s="75"/>
      <c r="B13" s="211" t="s">
        <v>87</v>
      </c>
      <c r="C13" s="75" t="s">
        <v>768</v>
      </c>
      <c r="D13" s="320" t="s">
        <v>192</v>
      </c>
      <c r="E13" s="321" t="s">
        <v>220</v>
      </c>
      <c r="F13" s="320" t="s">
        <v>354</v>
      </c>
      <c r="G13" s="321">
        <v>102</v>
      </c>
      <c r="H13" s="353"/>
      <c r="I13" s="75" t="s">
        <v>207</v>
      </c>
      <c r="J13" s="322">
        <v>55.66</v>
      </c>
      <c r="K13" s="75" t="s">
        <v>153</v>
      </c>
      <c r="L13" s="322">
        <v>75</v>
      </c>
      <c r="M13" s="323">
        <f t="shared" si="0"/>
        <v>4174.5</v>
      </c>
      <c r="N13" s="324">
        <v>0</v>
      </c>
      <c r="O13" s="325">
        <f t="shared" si="1"/>
        <v>0</v>
      </c>
      <c r="P13" s="324">
        <v>0.16</v>
      </c>
      <c r="Q13" s="227">
        <f t="shared" si="2"/>
        <v>667.92</v>
      </c>
      <c r="R13" s="227">
        <f t="shared" si="3"/>
        <v>4842.42</v>
      </c>
      <c r="S13" s="229">
        <f>INDEX('Glosario Partidas'!$M$8:$M$10,MATCH(K13,'Glosario Partidas'!$L$8:$L$10,0))</f>
        <v>17.5</v>
      </c>
      <c r="T13" s="227">
        <f t="shared" si="4"/>
        <v>84742.35</v>
      </c>
      <c r="U13" s="321"/>
      <c r="V13" s="321" t="s">
        <v>13</v>
      </c>
      <c r="W13" s="321" t="s">
        <v>491</v>
      </c>
      <c r="X13" s="321"/>
    </row>
    <row r="14" spans="1:29" ht="15" customHeight="1" x14ac:dyDescent="0.2">
      <c r="A14" s="75"/>
      <c r="B14" s="211" t="s">
        <v>87</v>
      </c>
      <c r="C14" s="75" t="s">
        <v>768</v>
      </c>
      <c r="D14" s="320" t="s">
        <v>769</v>
      </c>
      <c r="E14" s="321" t="s">
        <v>220</v>
      </c>
      <c r="F14" s="320" t="s">
        <v>354</v>
      </c>
      <c r="G14" s="321">
        <v>202</v>
      </c>
      <c r="H14" s="353"/>
      <c r="I14" s="75" t="s">
        <v>207</v>
      </c>
      <c r="J14" s="322">
        <v>231.09</v>
      </c>
      <c r="K14" s="75" t="s">
        <v>153</v>
      </c>
      <c r="L14" s="322">
        <v>75</v>
      </c>
      <c r="M14" s="323">
        <f t="shared" si="0"/>
        <v>17331.75</v>
      </c>
      <c r="N14" s="324">
        <v>0</v>
      </c>
      <c r="O14" s="325">
        <f t="shared" si="1"/>
        <v>0</v>
      </c>
      <c r="P14" s="324">
        <v>0.16</v>
      </c>
      <c r="Q14" s="227">
        <f t="shared" si="2"/>
        <v>2773.08</v>
      </c>
      <c r="R14" s="227">
        <f t="shared" si="3"/>
        <v>20104.830000000002</v>
      </c>
      <c r="S14" s="229">
        <f>INDEX('Glosario Partidas'!$M$8:$M$10,MATCH(K14,'Glosario Partidas'!$L$8:$L$10,0))</f>
        <v>17.5</v>
      </c>
      <c r="T14" s="227">
        <f t="shared" si="4"/>
        <v>351834.52500000002</v>
      </c>
      <c r="U14" s="321"/>
      <c r="V14" s="321" t="s">
        <v>13</v>
      </c>
      <c r="W14" s="321" t="s">
        <v>491</v>
      </c>
      <c r="X14" s="321"/>
    </row>
    <row r="15" spans="1:29" ht="15" customHeight="1" x14ac:dyDescent="0.2">
      <c r="A15" s="75"/>
      <c r="B15" s="211" t="s">
        <v>87</v>
      </c>
      <c r="C15" s="75" t="s">
        <v>768</v>
      </c>
      <c r="D15" s="320" t="s">
        <v>770</v>
      </c>
      <c r="E15" s="321" t="s">
        <v>220</v>
      </c>
      <c r="F15" s="320" t="s">
        <v>354</v>
      </c>
      <c r="G15" s="321">
        <v>202</v>
      </c>
      <c r="H15" s="353"/>
      <c r="I15" s="75" t="s">
        <v>207</v>
      </c>
      <c r="J15" s="322">
        <v>123.43</v>
      </c>
      <c r="K15" s="75" t="s">
        <v>153</v>
      </c>
      <c r="L15" s="322">
        <v>75</v>
      </c>
      <c r="M15" s="323">
        <f t="shared" si="0"/>
        <v>9257.25</v>
      </c>
      <c r="N15" s="324">
        <v>0</v>
      </c>
      <c r="O15" s="325">
        <f t="shared" si="1"/>
        <v>0</v>
      </c>
      <c r="P15" s="324">
        <v>0.16</v>
      </c>
      <c r="Q15" s="227">
        <f t="shared" si="2"/>
        <v>1481.16</v>
      </c>
      <c r="R15" s="227">
        <f t="shared" si="3"/>
        <v>10738.41</v>
      </c>
      <c r="S15" s="229">
        <f>INDEX('Glosario Partidas'!$M$8:$M$10,MATCH(K15,'Glosario Partidas'!$L$8:$L$10,0))</f>
        <v>17.5</v>
      </c>
      <c r="T15" s="227">
        <f t="shared" si="4"/>
        <v>187922.17499999999</v>
      </c>
      <c r="U15" s="321"/>
      <c r="V15" s="321" t="s">
        <v>13</v>
      </c>
      <c r="W15" s="321" t="s">
        <v>491</v>
      </c>
      <c r="X15" s="321"/>
    </row>
    <row r="16" spans="1:29" ht="15" customHeight="1" x14ac:dyDescent="0.2">
      <c r="A16" s="75"/>
      <c r="B16" s="211" t="s">
        <v>87</v>
      </c>
      <c r="C16" s="75" t="s">
        <v>768</v>
      </c>
      <c r="D16" s="320" t="s">
        <v>771</v>
      </c>
      <c r="E16" s="321" t="s">
        <v>220</v>
      </c>
      <c r="F16" s="320" t="s">
        <v>354</v>
      </c>
      <c r="G16" s="321">
        <v>202</v>
      </c>
      <c r="H16" s="353"/>
      <c r="I16" s="75" t="s">
        <v>207</v>
      </c>
      <c r="J16" s="322">
        <v>152.82</v>
      </c>
      <c r="K16" s="75" t="s">
        <v>153</v>
      </c>
      <c r="L16" s="322">
        <v>75</v>
      </c>
      <c r="M16" s="323">
        <f t="shared" si="0"/>
        <v>11461.5</v>
      </c>
      <c r="N16" s="324">
        <v>0</v>
      </c>
      <c r="O16" s="325">
        <f t="shared" si="1"/>
        <v>0</v>
      </c>
      <c r="P16" s="324">
        <v>0.16</v>
      </c>
      <c r="Q16" s="227">
        <f t="shared" si="2"/>
        <v>1833.8400000000001</v>
      </c>
      <c r="R16" s="227">
        <f t="shared" si="3"/>
        <v>13295.34</v>
      </c>
      <c r="S16" s="229">
        <f>INDEX('Glosario Partidas'!$M$8:$M$10,MATCH(K16,'Glosario Partidas'!$L$8:$L$10,0))</f>
        <v>17.5</v>
      </c>
      <c r="T16" s="227">
        <f t="shared" si="4"/>
        <v>232668.45</v>
      </c>
      <c r="U16" s="321"/>
      <c r="V16" s="321" t="s">
        <v>13</v>
      </c>
      <c r="W16" s="321" t="s">
        <v>491</v>
      </c>
      <c r="X16" s="321"/>
    </row>
    <row r="17" spans="1:24" ht="15" customHeight="1" x14ac:dyDescent="0.2">
      <c r="A17" s="75"/>
      <c r="B17" s="211" t="s">
        <v>87</v>
      </c>
      <c r="C17" s="75" t="s">
        <v>768</v>
      </c>
      <c r="D17" s="320" t="s">
        <v>192</v>
      </c>
      <c r="E17" s="321" t="s">
        <v>220</v>
      </c>
      <c r="F17" s="320" t="s">
        <v>354</v>
      </c>
      <c r="G17" s="321">
        <v>202</v>
      </c>
      <c r="H17" s="353"/>
      <c r="I17" s="75" t="s">
        <v>207</v>
      </c>
      <c r="J17" s="322">
        <v>55.66</v>
      </c>
      <c r="K17" s="75" t="s">
        <v>153</v>
      </c>
      <c r="L17" s="322">
        <v>75</v>
      </c>
      <c r="M17" s="323">
        <f t="shared" si="0"/>
        <v>4174.5</v>
      </c>
      <c r="N17" s="324">
        <v>0</v>
      </c>
      <c r="O17" s="325">
        <f t="shared" si="1"/>
        <v>0</v>
      </c>
      <c r="P17" s="324">
        <v>0.16</v>
      </c>
      <c r="Q17" s="227">
        <f t="shared" si="2"/>
        <v>667.92</v>
      </c>
      <c r="R17" s="227">
        <f t="shared" si="3"/>
        <v>4842.42</v>
      </c>
      <c r="S17" s="229">
        <f>INDEX('Glosario Partidas'!$M$8:$M$10,MATCH(K17,'Glosario Partidas'!$L$8:$L$10,0))</f>
        <v>17.5</v>
      </c>
      <c r="T17" s="227">
        <f t="shared" si="4"/>
        <v>84742.35</v>
      </c>
      <c r="U17" s="321"/>
      <c r="V17" s="321" t="s">
        <v>13</v>
      </c>
      <c r="W17" s="321" t="s">
        <v>491</v>
      </c>
      <c r="X17" s="321"/>
    </row>
    <row r="18" spans="1:24" ht="15" customHeight="1" x14ac:dyDescent="0.2">
      <c r="A18" s="75"/>
      <c r="B18" s="211" t="s">
        <v>87</v>
      </c>
      <c r="C18" s="75" t="s">
        <v>768</v>
      </c>
      <c r="D18" s="320" t="s">
        <v>769</v>
      </c>
      <c r="E18" s="321" t="s">
        <v>220</v>
      </c>
      <c r="F18" s="320" t="s">
        <v>355</v>
      </c>
      <c r="G18" s="321">
        <v>103</v>
      </c>
      <c r="H18" s="353"/>
      <c r="I18" s="75" t="s">
        <v>207</v>
      </c>
      <c r="J18" s="322">
        <v>29.12</v>
      </c>
      <c r="K18" s="75" t="s">
        <v>153</v>
      </c>
      <c r="L18" s="322">
        <v>75</v>
      </c>
      <c r="M18" s="323">
        <f t="shared" si="0"/>
        <v>2184</v>
      </c>
      <c r="N18" s="324">
        <v>0</v>
      </c>
      <c r="O18" s="325">
        <f t="shared" si="1"/>
        <v>0</v>
      </c>
      <c r="P18" s="324">
        <v>0.16</v>
      </c>
      <c r="Q18" s="227">
        <f t="shared" si="2"/>
        <v>349.44</v>
      </c>
      <c r="R18" s="227">
        <f t="shared" si="3"/>
        <v>2533.44</v>
      </c>
      <c r="S18" s="229">
        <f>INDEX('Glosario Partidas'!$M$8:$M$10,MATCH(K18,'Glosario Partidas'!$L$8:$L$10,0))</f>
        <v>17.5</v>
      </c>
      <c r="T18" s="227">
        <f t="shared" si="4"/>
        <v>44335.200000000004</v>
      </c>
      <c r="U18" s="321"/>
      <c r="V18" s="321" t="s">
        <v>13</v>
      </c>
      <c r="W18" s="321" t="s">
        <v>491</v>
      </c>
      <c r="X18" s="321"/>
    </row>
    <row r="19" spans="1:24" ht="15" customHeight="1" x14ac:dyDescent="0.2">
      <c r="A19" s="75"/>
      <c r="B19" s="211" t="s">
        <v>87</v>
      </c>
      <c r="C19" s="75" t="s">
        <v>768</v>
      </c>
      <c r="D19" s="320" t="s">
        <v>770</v>
      </c>
      <c r="E19" s="321" t="s">
        <v>220</v>
      </c>
      <c r="F19" s="320" t="s">
        <v>355</v>
      </c>
      <c r="G19" s="321">
        <v>103</v>
      </c>
      <c r="H19" s="353"/>
      <c r="I19" s="75" t="s">
        <v>207</v>
      </c>
      <c r="J19" s="322">
        <v>0</v>
      </c>
      <c r="K19" s="75" t="s">
        <v>153</v>
      </c>
      <c r="L19" s="322">
        <v>75</v>
      </c>
      <c r="M19" s="323">
        <f t="shared" si="0"/>
        <v>0</v>
      </c>
      <c r="N19" s="324">
        <v>0</v>
      </c>
      <c r="O19" s="325">
        <f t="shared" si="1"/>
        <v>0</v>
      </c>
      <c r="P19" s="324">
        <v>0.16</v>
      </c>
      <c r="Q19" s="227">
        <f t="shared" si="2"/>
        <v>0</v>
      </c>
      <c r="R19" s="227">
        <f t="shared" si="3"/>
        <v>0</v>
      </c>
      <c r="S19" s="229">
        <f>INDEX('Glosario Partidas'!$M$8:$M$10,MATCH(K19,'Glosario Partidas'!$L$8:$L$10,0))</f>
        <v>17.5</v>
      </c>
      <c r="T19" s="227">
        <f t="shared" si="4"/>
        <v>0</v>
      </c>
      <c r="U19" s="321"/>
      <c r="V19" s="321" t="s">
        <v>13</v>
      </c>
      <c r="W19" s="321" t="s">
        <v>491</v>
      </c>
      <c r="X19" s="321"/>
    </row>
    <row r="20" spans="1:24" ht="15" customHeight="1" x14ac:dyDescent="0.2">
      <c r="A20" s="75"/>
      <c r="B20" s="211" t="s">
        <v>87</v>
      </c>
      <c r="C20" s="75" t="s">
        <v>768</v>
      </c>
      <c r="D20" s="320" t="s">
        <v>771</v>
      </c>
      <c r="E20" s="321" t="s">
        <v>220</v>
      </c>
      <c r="F20" s="320" t="s">
        <v>355</v>
      </c>
      <c r="G20" s="321">
        <v>103</v>
      </c>
      <c r="H20" s="353"/>
      <c r="I20" s="75" t="s">
        <v>207</v>
      </c>
      <c r="J20" s="322">
        <v>34.9</v>
      </c>
      <c r="K20" s="75" t="s">
        <v>153</v>
      </c>
      <c r="L20" s="322">
        <v>75</v>
      </c>
      <c r="M20" s="323">
        <f t="shared" si="0"/>
        <v>2617.5</v>
      </c>
      <c r="N20" s="324">
        <v>0</v>
      </c>
      <c r="O20" s="325">
        <f t="shared" si="1"/>
        <v>0</v>
      </c>
      <c r="P20" s="324">
        <v>0.16</v>
      </c>
      <c r="Q20" s="227">
        <f t="shared" si="2"/>
        <v>418.8</v>
      </c>
      <c r="R20" s="227">
        <f t="shared" si="3"/>
        <v>3036.3</v>
      </c>
      <c r="S20" s="229">
        <f>INDEX('Glosario Partidas'!$M$8:$M$10,MATCH(K20,'Glosario Partidas'!$L$8:$L$10,0))</f>
        <v>17.5</v>
      </c>
      <c r="T20" s="227">
        <f t="shared" si="4"/>
        <v>53135.25</v>
      </c>
      <c r="U20" s="321"/>
      <c r="V20" s="321" t="s">
        <v>13</v>
      </c>
      <c r="W20" s="321" t="s">
        <v>491</v>
      </c>
      <c r="X20" s="321"/>
    </row>
    <row r="21" spans="1:24" ht="15" customHeight="1" x14ac:dyDescent="0.2">
      <c r="A21" s="75"/>
      <c r="B21" s="211" t="s">
        <v>87</v>
      </c>
      <c r="C21" s="75" t="s">
        <v>768</v>
      </c>
      <c r="D21" s="320" t="s">
        <v>192</v>
      </c>
      <c r="E21" s="321" t="s">
        <v>220</v>
      </c>
      <c r="F21" s="320" t="s">
        <v>355</v>
      </c>
      <c r="G21" s="321">
        <v>103</v>
      </c>
      <c r="H21" s="353"/>
      <c r="I21" s="75" t="s">
        <v>207</v>
      </c>
      <c r="J21" s="322">
        <v>147</v>
      </c>
      <c r="K21" s="75" t="s">
        <v>153</v>
      </c>
      <c r="L21" s="322">
        <v>75</v>
      </c>
      <c r="M21" s="323">
        <f t="shared" si="0"/>
        <v>11025</v>
      </c>
      <c r="N21" s="324">
        <v>0</v>
      </c>
      <c r="O21" s="325">
        <f t="shared" si="1"/>
        <v>0</v>
      </c>
      <c r="P21" s="324">
        <v>0.16</v>
      </c>
      <c r="Q21" s="227">
        <f t="shared" si="2"/>
        <v>1764</v>
      </c>
      <c r="R21" s="227">
        <f t="shared" si="3"/>
        <v>12789</v>
      </c>
      <c r="S21" s="229">
        <f>INDEX('Glosario Partidas'!$M$8:$M$10,MATCH(K21,'Glosario Partidas'!$L$8:$L$10,0))</f>
        <v>17.5</v>
      </c>
      <c r="T21" s="227">
        <f t="shared" si="4"/>
        <v>223807.5</v>
      </c>
      <c r="U21" s="321"/>
      <c r="V21" s="321" t="s">
        <v>13</v>
      </c>
      <c r="W21" s="321" t="s">
        <v>491</v>
      </c>
      <c r="X21" s="321"/>
    </row>
    <row r="22" spans="1:24" ht="15" customHeight="1" x14ac:dyDescent="0.2">
      <c r="A22" s="75"/>
      <c r="B22" s="211" t="s">
        <v>87</v>
      </c>
      <c r="C22" s="75" t="s">
        <v>768</v>
      </c>
      <c r="D22" s="320" t="s">
        <v>769</v>
      </c>
      <c r="E22" s="321" t="s">
        <v>220</v>
      </c>
      <c r="F22" s="320" t="s">
        <v>355</v>
      </c>
      <c r="G22" s="321">
        <v>203</v>
      </c>
      <c r="H22" s="353"/>
      <c r="I22" s="75" t="s">
        <v>207</v>
      </c>
      <c r="J22" s="322">
        <v>29.12</v>
      </c>
      <c r="K22" s="75" t="s">
        <v>153</v>
      </c>
      <c r="L22" s="322">
        <v>75</v>
      </c>
      <c r="M22" s="323">
        <f t="shared" si="0"/>
        <v>2184</v>
      </c>
      <c r="N22" s="324">
        <v>0</v>
      </c>
      <c r="O22" s="325">
        <f t="shared" si="1"/>
        <v>0</v>
      </c>
      <c r="P22" s="324">
        <v>0.16</v>
      </c>
      <c r="Q22" s="227">
        <f t="shared" si="2"/>
        <v>349.44</v>
      </c>
      <c r="R22" s="227">
        <f t="shared" si="3"/>
        <v>2533.44</v>
      </c>
      <c r="S22" s="229">
        <f>INDEX('Glosario Partidas'!$M$8:$M$10,MATCH(K22,'Glosario Partidas'!$L$8:$L$10,0))</f>
        <v>17.5</v>
      </c>
      <c r="T22" s="227">
        <f t="shared" si="4"/>
        <v>44335.200000000004</v>
      </c>
      <c r="U22" s="321"/>
      <c r="V22" s="321" t="s">
        <v>13</v>
      </c>
      <c r="W22" s="321" t="s">
        <v>491</v>
      </c>
      <c r="X22" s="321"/>
    </row>
    <row r="23" spans="1:24" ht="15" customHeight="1" x14ac:dyDescent="0.2">
      <c r="A23" s="75"/>
      <c r="B23" s="211" t="s">
        <v>87</v>
      </c>
      <c r="C23" s="75" t="s">
        <v>768</v>
      </c>
      <c r="D23" s="320" t="s">
        <v>770</v>
      </c>
      <c r="E23" s="321" t="s">
        <v>220</v>
      </c>
      <c r="F23" s="320" t="s">
        <v>355</v>
      </c>
      <c r="G23" s="321">
        <v>203</v>
      </c>
      <c r="H23" s="353"/>
      <c r="I23" s="75" t="s">
        <v>207</v>
      </c>
      <c r="J23" s="322">
        <v>0</v>
      </c>
      <c r="K23" s="75" t="s">
        <v>153</v>
      </c>
      <c r="L23" s="322">
        <v>75</v>
      </c>
      <c r="M23" s="323">
        <f t="shared" si="0"/>
        <v>0</v>
      </c>
      <c r="N23" s="324">
        <v>0</v>
      </c>
      <c r="O23" s="325">
        <f t="shared" si="1"/>
        <v>0</v>
      </c>
      <c r="P23" s="324">
        <v>0.16</v>
      </c>
      <c r="Q23" s="227">
        <f t="shared" si="2"/>
        <v>0</v>
      </c>
      <c r="R23" s="227">
        <f t="shared" si="3"/>
        <v>0</v>
      </c>
      <c r="S23" s="229">
        <f>INDEX('Glosario Partidas'!$M$8:$M$10,MATCH(K23,'Glosario Partidas'!$L$8:$L$10,0))</f>
        <v>17.5</v>
      </c>
      <c r="T23" s="227">
        <f t="shared" si="4"/>
        <v>0</v>
      </c>
      <c r="U23" s="321"/>
      <c r="V23" s="321" t="s">
        <v>13</v>
      </c>
      <c r="W23" s="321" t="s">
        <v>491</v>
      </c>
      <c r="X23" s="321"/>
    </row>
    <row r="24" spans="1:24" ht="15" customHeight="1" x14ac:dyDescent="0.2">
      <c r="A24" s="75"/>
      <c r="B24" s="211" t="s">
        <v>87</v>
      </c>
      <c r="C24" s="75" t="s">
        <v>768</v>
      </c>
      <c r="D24" s="320" t="s">
        <v>771</v>
      </c>
      <c r="E24" s="321" t="s">
        <v>220</v>
      </c>
      <c r="F24" s="320" t="s">
        <v>355</v>
      </c>
      <c r="G24" s="321">
        <v>203</v>
      </c>
      <c r="H24" s="353"/>
      <c r="I24" s="75" t="s">
        <v>207</v>
      </c>
      <c r="J24" s="322">
        <v>34.9</v>
      </c>
      <c r="K24" s="75" t="s">
        <v>153</v>
      </c>
      <c r="L24" s="322">
        <v>75</v>
      </c>
      <c r="M24" s="323">
        <f t="shared" si="0"/>
        <v>2617.5</v>
      </c>
      <c r="N24" s="324">
        <v>0</v>
      </c>
      <c r="O24" s="325">
        <f t="shared" si="1"/>
        <v>0</v>
      </c>
      <c r="P24" s="324">
        <v>0.16</v>
      </c>
      <c r="Q24" s="227">
        <f t="shared" si="2"/>
        <v>418.8</v>
      </c>
      <c r="R24" s="227">
        <f t="shared" si="3"/>
        <v>3036.3</v>
      </c>
      <c r="S24" s="229">
        <f>INDEX('Glosario Partidas'!$M$8:$M$10,MATCH(K24,'Glosario Partidas'!$L$8:$L$10,0))</f>
        <v>17.5</v>
      </c>
      <c r="T24" s="227">
        <f t="shared" si="4"/>
        <v>53135.25</v>
      </c>
      <c r="U24" s="321"/>
      <c r="V24" s="321" t="s">
        <v>13</v>
      </c>
      <c r="W24" s="321" t="s">
        <v>491</v>
      </c>
      <c r="X24" s="321"/>
    </row>
    <row r="25" spans="1:24" ht="15" customHeight="1" x14ac:dyDescent="0.2">
      <c r="A25" s="75"/>
      <c r="B25" s="211" t="s">
        <v>87</v>
      </c>
      <c r="C25" s="75" t="s">
        <v>768</v>
      </c>
      <c r="D25" s="320" t="s">
        <v>192</v>
      </c>
      <c r="E25" s="321" t="s">
        <v>220</v>
      </c>
      <c r="F25" s="320" t="s">
        <v>355</v>
      </c>
      <c r="G25" s="321">
        <v>203</v>
      </c>
      <c r="H25" s="353"/>
      <c r="I25" s="75" t="s">
        <v>207</v>
      </c>
      <c r="J25" s="322">
        <v>147</v>
      </c>
      <c r="K25" s="75" t="s">
        <v>153</v>
      </c>
      <c r="L25" s="322">
        <v>75</v>
      </c>
      <c r="M25" s="323">
        <f t="shared" si="0"/>
        <v>11025</v>
      </c>
      <c r="N25" s="324">
        <v>0</v>
      </c>
      <c r="O25" s="325">
        <f t="shared" si="1"/>
        <v>0</v>
      </c>
      <c r="P25" s="324">
        <v>0.16</v>
      </c>
      <c r="Q25" s="227">
        <f t="shared" si="2"/>
        <v>1764</v>
      </c>
      <c r="R25" s="227">
        <f t="shared" si="3"/>
        <v>12789</v>
      </c>
      <c r="S25" s="229">
        <f>INDEX('Glosario Partidas'!$M$8:$M$10,MATCH(K25,'Glosario Partidas'!$L$8:$L$10,0))</f>
        <v>17.5</v>
      </c>
      <c r="T25" s="227">
        <f t="shared" si="4"/>
        <v>223807.5</v>
      </c>
      <c r="U25" s="321"/>
      <c r="V25" s="321" t="s">
        <v>13</v>
      </c>
      <c r="W25" s="321" t="s">
        <v>491</v>
      </c>
      <c r="X25" s="321"/>
    </row>
    <row r="26" spans="1:24" ht="15" customHeight="1" x14ac:dyDescent="0.2">
      <c r="A26" s="75"/>
      <c r="B26" s="211" t="s">
        <v>87</v>
      </c>
      <c r="C26" s="75" t="s">
        <v>768</v>
      </c>
      <c r="D26" s="320" t="s">
        <v>769</v>
      </c>
      <c r="E26" s="321" t="s">
        <v>229</v>
      </c>
      <c r="F26" s="320" t="s">
        <v>221</v>
      </c>
      <c r="G26" s="321">
        <v>301</v>
      </c>
      <c r="H26" s="353"/>
      <c r="I26" s="75" t="s">
        <v>207</v>
      </c>
      <c r="J26" s="322">
        <v>231.09</v>
      </c>
      <c r="K26" s="75" t="s">
        <v>153</v>
      </c>
      <c r="L26" s="322">
        <v>75</v>
      </c>
      <c r="M26" s="323">
        <f t="shared" si="0"/>
        <v>17331.75</v>
      </c>
      <c r="N26" s="324">
        <v>0</v>
      </c>
      <c r="O26" s="325">
        <f t="shared" si="1"/>
        <v>0</v>
      </c>
      <c r="P26" s="324">
        <v>0.16</v>
      </c>
      <c r="Q26" s="227">
        <f t="shared" si="2"/>
        <v>2773.08</v>
      </c>
      <c r="R26" s="227">
        <f t="shared" si="3"/>
        <v>20104.830000000002</v>
      </c>
      <c r="S26" s="229">
        <f>INDEX('Glosario Partidas'!$M$8:$M$10,MATCH(K26,'Glosario Partidas'!$L$8:$L$10,0))</f>
        <v>17.5</v>
      </c>
      <c r="T26" s="227">
        <f t="shared" si="4"/>
        <v>351834.52500000002</v>
      </c>
      <c r="U26" s="321"/>
      <c r="V26" s="321" t="s">
        <v>13</v>
      </c>
      <c r="W26" s="321" t="s">
        <v>491</v>
      </c>
      <c r="X26" s="321"/>
    </row>
    <row r="27" spans="1:24" ht="15" customHeight="1" x14ac:dyDescent="0.2">
      <c r="A27" s="75"/>
      <c r="B27" s="211" t="s">
        <v>87</v>
      </c>
      <c r="C27" s="75" t="s">
        <v>768</v>
      </c>
      <c r="D27" s="320" t="s">
        <v>770</v>
      </c>
      <c r="E27" s="321" t="s">
        <v>229</v>
      </c>
      <c r="F27" s="320" t="s">
        <v>221</v>
      </c>
      <c r="G27" s="321">
        <v>301</v>
      </c>
      <c r="H27" s="353"/>
      <c r="I27" s="75" t="s">
        <v>207</v>
      </c>
      <c r="J27" s="322">
        <v>130.27000000000001</v>
      </c>
      <c r="K27" s="75" t="s">
        <v>153</v>
      </c>
      <c r="L27" s="322">
        <v>75</v>
      </c>
      <c r="M27" s="323">
        <f t="shared" si="0"/>
        <v>9770.25</v>
      </c>
      <c r="N27" s="324">
        <v>0</v>
      </c>
      <c r="O27" s="325">
        <f t="shared" si="1"/>
        <v>0</v>
      </c>
      <c r="P27" s="324">
        <v>0.16</v>
      </c>
      <c r="Q27" s="227">
        <f t="shared" si="2"/>
        <v>1563.24</v>
      </c>
      <c r="R27" s="227">
        <f t="shared" si="3"/>
        <v>11333.49</v>
      </c>
      <c r="S27" s="229">
        <f>INDEX('Glosario Partidas'!$M$8:$M$10,MATCH(K27,'Glosario Partidas'!$L$8:$L$10,0))</f>
        <v>17.5</v>
      </c>
      <c r="T27" s="227">
        <f t="shared" si="4"/>
        <v>198336.07499999998</v>
      </c>
      <c r="U27" s="321"/>
      <c r="V27" s="321" t="s">
        <v>13</v>
      </c>
      <c r="W27" s="321" t="s">
        <v>491</v>
      </c>
      <c r="X27" s="321"/>
    </row>
    <row r="28" spans="1:24" ht="15" customHeight="1" x14ac:dyDescent="0.2">
      <c r="A28" s="75"/>
      <c r="B28" s="211" t="s">
        <v>87</v>
      </c>
      <c r="C28" s="75" t="s">
        <v>768</v>
      </c>
      <c r="D28" s="320" t="s">
        <v>771</v>
      </c>
      <c r="E28" s="321" t="s">
        <v>229</v>
      </c>
      <c r="F28" s="320" t="s">
        <v>221</v>
      </c>
      <c r="G28" s="321">
        <v>301</v>
      </c>
      <c r="H28" s="353"/>
      <c r="I28" s="75" t="s">
        <v>207</v>
      </c>
      <c r="J28" s="322">
        <v>140.44</v>
      </c>
      <c r="K28" s="75" t="s">
        <v>153</v>
      </c>
      <c r="L28" s="322">
        <v>75</v>
      </c>
      <c r="M28" s="323">
        <f t="shared" si="0"/>
        <v>10533</v>
      </c>
      <c r="N28" s="324">
        <v>0</v>
      </c>
      <c r="O28" s="325">
        <f t="shared" si="1"/>
        <v>0</v>
      </c>
      <c r="P28" s="324">
        <v>0.16</v>
      </c>
      <c r="Q28" s="227">
        <f t="shared" si="2"/>
        <v>1685.28</v>
      </c>
      <c r="R28" s="227">
        <f t="shared" si="3"/>
        <v>12218.28</v>
      </c>
      <c r="S28" s="229">
        <f>INDEX('Glosario Partidas'!$M$8:$M$10,MATCH(K28,'Glosario Partidas'!$L$8:$L$10,0))</f>
        <v>17.5</v>
      </c>
      <c r="T28" s="227">
        <f t="shared" si="4"/>
        <v>213819.90000000002</v>
      </c>
      <c r="U28" s="321"/>
      <c r="V28" s="321" t="s">
        <v>13</v>
      </c>
      <c r="W28" s="321" t="s">
        <v>491</v>
      </c>
      <c r="X28" s="321"/>
    </row>
    <row r="29" spans="1:24" ht="15" customHeight="1" x14ac:dyDescent="0.2">
      <c r="A29" s="75"/>
      <c r="B29" s="211" t="s">
        <v>87</v>
      </c>
      <c r="C29" s="75" t="s">
        <v>768</v>
      </c>
      <c r="D29" s="320" t="s">
        <v>192</v>
      </c>
      <c r="E29" s="321" t="s">
        <v>229</v>
      </c>
      <c r="F29" s="320" t="s">
        <v>221</v>
      </c>
      <c r="G29" s="321">
        <v>301</v>
      </c>
      <c r="H29" s="353"/>
      <c r="I29" s="75" t="s">
        <v>207</v>
      </c>
      <c r="J29" s="322">
        <v>196</v>
      </c>
      <c r="K29" s="75" t="s">
        <v>153</v>
      </c>
      <c r="L29" s="322">
        <v>75</v>
      </c>
      <c r="M29" s="323">
        <f t="shared" si="0"/>
        <v>14700</v>
      </c>
      <c r="N29" s="324">
        <v>0</v>
      </c>
      <c r="O29" s="325">
        <f t="shared" si="1"/>
        <v>0</v>
      </c>
      <c r="P29" s="324">
        <v>0.16</v>
      </c>
      <c r="Q29" s="227">
        <f t="shared" si="2"/>
        <v>2352</v>
      </c>
      <c r="R29" s="227">
        <f t="shared" si="3"/>
        <v>17052</v>
      </c>
      <c r="S29" s="229">
        <f>INDEX('Glosario Partidas'!$M$8:$M$10,MATCH(K29,'Glosario Partidas'!$L$8:$L$10,0))</f>
        <v>17.5</v>
      </c>
      <c r="T29" s="227">
        <f t="shared" si="4"/>
        <v>298410</v>
      </c>
      <c r="U29" s="321"/>
      <c r="V29" s="321" t="s">
        <v>13</v>
      </c>
      <c r="W29" s="321" t="s">
        <v>491</v>
      </c>
      <c r="X29" s="321"/>
    </row>
    <row r="30" spans="1:24" ht="15" customHeight="1" x14ac:dyDescent="0.2">
      <c r="A30" s="75"/>
      <c r="B30" s="211" t="s">
        <v>87</v>
      </c>
      <c r="C30" s="75" t="s">
        <v>768</v>
      </c>
      <c r="D30" s="320" t="s">
        <v>769</v>
      </c>
      <c r="E30" s="321" t="s">
        <v>229</v>
      </c>
      <c r="F30" s="320" t="s">
        <v>221</v>
      </c>
      <c r="G30" s="321">
        <v>401</v>
      </c>
      <c r="H30" s="353"/>
      <c r="I30" s="75" t="s">
        <v>207</v>
      </c>
      <c r="J30" s="322">
        <v>231.09</v>
      </c>
      <c r="K30" s="75" t="s">
        <v>153</v>
      </c>
      <c r="L30" s="322">
        <v>75</v>
      </c>
      <c r="M30" s="323">
        <f t="shared" si="0"/>
        <v>17331.75</v>
      </c>
      <c r="N30" s="324">
        <v>0</v>
      </c>
      <c r="O30" s="325">
        <f t="shared" si="1"/>
        <v>0</v>
      </c>
      <c r="P30" s="324">
        <v>0.16</v>
      </c>
      <c r="Q30" s="227">
        <f t="shared" si="2"/>
        <v>2773.08</v>
      </c>
      <c r="R30" s="227">
        <f t="shared" si="3"/>
        <v>20104.830000000002</v>
      </c>
      <c r="S30" s="229">
        <f>INDEX('Glosario Partidas'!$M$8:$M$10,MATCH(K30,'Glosario Partidas'!$L$8:$L$10,0))</f>
        <v>17.5</v>
      </c>
      <c r="T30" s="227">
        <f t="shared" si="4"/>
        <v>351834.52500000002</v>
      </c>
      <c r="U30" s="321"/>
      <c r="V30" s="321" t="s">
        <v>13</v>
      </c>
      <c r="W30" s="321" t="s">
        <v>491</v>
      </c>
      <c r="X30" s="321"/>
    </row>
    <row r="31" spans="1:24" ht="15" customHeight="1" x14ac:dyDescent="0.2">
      <c r="A31" s="75"/>
      <c r="B31" s="211" t="s">
        <v>87</v>
      </c>
      <c r="C31" s="75" t="s">
        <v>768</v>
      </c>
      <c r="D31" s="320" t="s">
        <v>770</v>
      </c>
      <c r="E31" s="321" t="s">
        <v>229</v>
      </c>
      <c r="F31" s="320" t="s">
        <v>221</v>
      </c>
      <c r="G31" s="321">
        <v>401</v>
      </c>
      <c r="H31" s="353"/>
      <c r="I31" s="75" t="s">
        <v>207</v>
      </c>
      <c r="J31" s="322">
        <v>130.27000000000001</v>
      </c>
      <c r="K31" s="75" t="s">
        <v>153</v>
      </c>
      <c r="L31" s="322">
        <v>75</v>
      </c>
      <c r="M31" s="323">
        <f t="shared" si="0"/>
        <v>9770.25</v>
      </c>
      <c r="N31" s="324">
        <v>0</v>
      </c>
      <c r="O31" s="325">
        <f t="shared" si="1"/>
        <v>0</v>
      </c>
      <c r="P31" s="324">
        <v>0.16</v>
      </c>
      <c r="Q31" s="227">
        <f t="shared" si="2"/>
        <v>1563.24</v>
      </c>
      <c r="R31" s="227">
        <f t="shared" si="3"/>
        <v>11333.49</v>
      </c>
      <c r="S31" s="229">
        <f>INDEX('Glosario Partidas'!$M$8:$M$10,MATCH(K31,'Glosario Partidas'!$L$8:$L$10,0))</f>
        <v>17.5</v>
      </c>
      <c r="T31" s="227">
        <f t="shared" si="4"/>
        <v>198336.07499999998</v>
      </c>
      <c r="U31" s="321"/>
      <c r="V31" s="321" t="s">
        <v>13</v>
      </c>
      <c r="W31" s="321" t="s">
        <v>491</v>
      </c>
      <c r="X31" s="321"/>
    </row>
    <row r="32" spans="1:24" ht="15" customHeight="1" x14ac:dyDescent="0.2">
      <c r="A32" s="75"/>
      <c r="B32" s="211" t="s">
        <v>87</v>
      </c>
      <c r="C32" s="75" t="s">
        <v>768</v>
      </c>
      <c r="D32" s="320" t="s">
        <v>771</v>
      </c>
      <c r="E32" s="321" t="s">
        <v>229</v>
      </c>
      <c r="F32" s="320" t="s">
        <v>221</v>
      </c>
      <c r="G32" s="321">
        <v>401</v>
      </c>
      <c r="H32" s="353"/>
      <c r="I32" s="75" t="s">
        <v>207</v>
      </c>
      <c r="J32" s="322">
        <v>140.44</v>
      </c>
      <c r="K32" s="75" t="s">
        <v>153</v>
      </c>
      <c r="L32" s="322">
        <v>75</v>
      </c>
      <c r="M32" s="323">
        <f t="shared" si="0"/>
        <v>10533</v>
      </c>
      <c r="N32" s="324">
        <v>0</v>
      </c>
      <c r="O32" s="325">
        <f t="shared" si="1"/>
        <v>0</v>
      </c>
      <c r="P32" s="324">
        <v>0.16</v>
      </c>
      <c r="Q32" s="227">
        <f t="shared" si="2"/>
        <v>1685.28</v>
      </c>
      <c r="R32" s="227">
        <f t="shared" si="3"/>
        <v>12218.28</v>
      </c>
      <c r="S32" s="229">
        <f>INDEX('Glosario Partidas'!$M$8:$M$10,MATCH(K32,'Glosario Partidas'!$L$8:$L$10,0))</f>
        <v>17.5</v>
      </c>
      <c r="T32" s="227">
        <f t="shared" si="4"/>
        <v>213819.90000000002</v>
      </c>
      <c r="U32" s="321"/>
      <c r="V32" s="321" t="s">
        <v>13</v>
      </c>
      <c r="W32" s="321" t="s">
        <v>491</v>
      </c>
      <c r="X32" s="321"/>
    </row>
    <row r="33" spans="1:24" ht="15" customHeight="1" x14ac:dyDescent="0.2">
      <c r="A33" s="75"/>
      <c r="B33" s="211" t="s">
        <v>87</v>
      </c>
      <c r="C33" s="75" t="s">
        <v>768</v>
      </c>
      <c r="D33" s="320" t="s">
        <v>192</v>
      </c>
      <c r="E33" s="321" t="s">
        <v>229</v>
      </c>
      <c r="F33" s="320" t="s">
        <v>221</v>
      </c>
      <c r="G33" s="321">
        <v>401</v>
      </c>
      <c r="H33" s="353"/>
      <c r="I33" s="75" t="s">
        <v>207</v>
      </c>
      <c r="J33" s="322">
        <v>196</v>
      </c>
      <c r="K33" s="75" t="s">
        <v>153</v>
      </c>
      <c r="L33" s="322">
        <v>75</v>
      </c>
      <c r="M33" s="323">
        <f t="shared" si="0"/>
        <v>14700</v>
      </c>
      <c r="N33" s="324">
        <v>0</v>
      </c>
      <c r="O33" s="325">
        <f t="shared" si="1"/>
        <v>0</v>
      </c>
      <c r="P33" s="324">
        <v>0.16</v>
      </c>
      <c r="Q33" s="227">
        <f t="shared" si="2"/>
        <v>2352</v>
      </c>
      <c r="R33" s="227">
        <f t="shared" si="3"/>
        <v>17052</v>
      </c>
      <c r="S33" s="229">
        <f>INDEX('Glosario Partidas'!$M$8:$M$10,MATCH(K33,'Glosario Partidas'!$L$8:$L$10,0))</f>
        <v>17.5</v>
      </c>
      <c r="T33" s="227">
        <f t="shared" si="4"/>
        <v>298410</v>
      </c>
      <c r="U33" s="321"/>
      <c r="V33" s="321" t="s">
        <v>13</v>
      </c>
      <c r="W33" s="321" t="s">
        <v>491</v>
      </c>
      <c r="X33" s="321"/>
    </row>
    <row r="34" spans="1:24" ht="15" customHeight="1" x14ac:dyDescent="0.2">
      <c r="A34" s="75">
        <v>5</v>
      </c>
      <c r="B34" s="211" t="s">
        <v>87</v>
      </c>
      <c r="C34" s="75" t="s">
        <v>768</v>
      </c>
      <c r="D34" s="320" t="s">
        <v>769</v>
      </c>
      <c r="E34" s="321" t="s">
        <v>229</v>
      </c>
      <c r="F34" s="320" t="s">
        <v>221</v>
      </c>
      <c r="G34" s="321">
        <v>401</v>
      </c>
      <c r="H34" s="353"/>
      <c r="I34" s="75" t="s">
        <v>207</v>
      </c>
      <c r="J34" s="322">
        <v>46.98</v>
      </c>
      <c r="K34" s="75" t="s">
        <v>153</v>
      </c>
      <c r="L34" s="322"/>
      <c r="M34" s="323">
        <f t="shared" ref="M34:M65" si="5">J34*L34</f>
        <v>0</v>
      </c>
      <c r="N34" s="324">
        <v>0</v>
      </c>
      <c r="O34" s="325">
        <f t="shared" ref="O34:O65" si="6">M34*N34</f>
        <v>0</v>
      </c>
      <c r="P34" s="324">
        <v>0.16</v>
      </c>
      <c r="Q34" s="227">
        <f t="shared" ref="Q34:Q65" si="7">(M34+O34)*P34</f>
        <v>0</v>
      </c>
      <c r="R34" s="227">
        <f t="shared" ref="R34:R65" si="8">M34+O34+Q34</f>
        <v>0</v>
      </c>
      <c r="S34" s="229">
        <f>INDEX('Glosario Partidas'!$M$8:$M$10,MATCH(K34,'Glosario Partidas'!$L$8:$L$10,0))</f>
        <v>17.5</v>
      </c>
      <c r="T34" s="227">
        <f t="shared" ref="T34:T65" si="9">R34*S34</f>
        <v>0</v>
      </c>
      <c r="U34" s="321"/>
      <c r="V34" s="321" t="s">
        <v>13</v>
      </c>
      <c r="W34" s="321" t="s">
        <v>491</v>
      </c>
      <c r="X34" s="321"/>
    </row>
    <row r="35" spans="1:24" ht="15" customHeight="1" x14ac:dyDescent="0.2">
      <c r="A35" s="75">
        <v>5</v>
      </c>
      <c r="B35" s="211" t="s">
        <v>87</v>
      </c>
      <c r="C35" s="75" t="s">
        <v>768</v>
      </c>
      <c r="D35" s="320" t="s">
        <v>770</v>
      </c>
      <c r="E35" s="321" t="s">
        <v>229</v>
      </c>
      <c r="F35" s="320" t="s">
        <v>221</v>
      </c>
      <c r="G35" s="321">
        <v>401</v>
      </c>
      <c r="H35" s="353"/>
      <c r="I35" s="75" t="s">
        <v>207</v>
      </c>
      <c r="J35" s="322">
        <v>23.7</v>
      </c>
      <c r="K35" s="75" t="s">
        <v>153</v>
      </c>
      <c r="L35" s="322"/>
      <c r="M35" s="323">
        <f t="shared" si="5"/>
        <v>0</v>
      </c>
      <c r="N35" s="324">
        <v>0</v>
      </c>
      <c r="O35" s="325">
        <f t="shared" si="6"/>
        <v>0</v>
      </c>
      <c r="P35" s="324">
        <v>0.16</v>
      </c>
      <c r="Q35" s="227">
        <f t="shared" si="7"/>
        <v>0</v>
      </c>
      <c r="R35" s="227">
        <f t="shared" si="8"/>
        <v>0</v>
      </c>
      <c r="S35" s="229">
        <f>INDEX('Glosario Partidas'!$M$8:$M$10,MATCH(K35,'Glosario Partidas'!$L$8:$L$10,0))</f>
        <v>17.5</v>
      </c>
      <c r="T35" s="227">
        <f t="shared" si="9"/>
        <v>0</v>
      </c>
      <c r="U35" s="321"/>
      <c r="V35" s="321" t="s">
        <v>13</v>
      </c>
      <c r="W35" s="321" t="s">
        <v>491</v>
      </c>
      <c r="X35" s="321"/>
    </row>
    <row r="36" spans="1:24" ht="15" customHeight="1" x14ac:dyDescent="0.2">
      <c r="A36" s="75">
        <v>5</v>
      </c>
      <c r="B36" s="211" t="s">
        <v>87</v>
      </c>
      <c r="C36" s="75" t="s">
        <v>768</v>
      </c>
      <c r="D36" s="320" t="s">
        <v>771</v>
      </c>
      <c r="E36" s="321" t="s">
        <v>229</v>
      </c>
      <c r="F36" s="320" t="s">
        <v>221</v>
      </c>
      <c r="G36" s="321">
        <v>401</v>
      </c>
      <c r="H36" s="353"/>
      <c r="I36" s="75" t="s">
        <v>207</v>
      </c>
      <c r="J36" s="322">
        <v>0</v>
      </c>
      <c r="K36" s="75" t="s">
        <v>153</v>
      </c>
      <c r="L36" s="322"/>
      <c r="M36" s="323">
        <f t="shared" si="5"/>
        <v>0</v>
      </c>
      <c r="N36" s="324">
        <v>0</v>
      </c>
      <c r="O36" s="325">
        <f t="shared" si="6"/>
        <v>0</v>
      </c>
      <c r="P36" s="324">
        <v>0.16</v>
      </c>
      <c r="Q36" s="227">
        <f t="shared" si="7"/>
        <v>0</v>
      </c>
      <c r="R36" s="227">
        <f t="shared" si="8"/>
        <v>0</v>
      </c>
      <c r="S36" s="229">
        <f>INDEX('Glosario Partidas'!$M$8:$M$10,MATCH(K36,'Glosario Partidas'!$L$8:$L$10,0))</f>
        <v>17.5</v>
      </c>
      <c r="T36" s="227">
        <f t="shared" si="9"/>
        <v>0</v>
      </c>
      <c r="U36" s="321"/>
      <c r="V36" s="321" t="s">
        <v>13</v>
      </c>
      <c r="W36" s="321" t="s">
        <v>491</v>
      </c>
      <c r="X36" s="321"/>
    </row>
    <row r="37" spans="1:24" ht="15" customHeight="1" x14ac:dyDescent="0.2">
      <c r="A37" s="75">
        <v>5</v>
      </c>
      <c r="B37" s="211" t="s">
        <v>87</v>
      </c>
      <c r="C37" s="75" t="s">
        <v>768</v>
      </c>
      <c r="D37" s="320" t="s">
        <v>192</v>
      </c>
      <c r="E37" s="321" t="s">
        <v>229</v>
      </c>
      <c r="F37" s="320" t="s">
        <v>221</v>
      </c>
      <c r="G37" s="321">
        <v>401</v>
      </c>
      <c r="H37" s="353"/>
      <c r="I37" s="75" t="s">
        <v>207</v>
      </c>
      <c r="J37" s="322">
        <v>6.9600000000000399</v>
      </c>
      <c r="K37" s="75" t="s">
        <v>153</v>
      </c>
      <c r="L37" s="322"/>
      <c r="M37" s="323">
        <f t="shared" si="5"/>
        <v>0</v>
      </c>
      <c r="N37" s="324">
        <v>0</v>
      </c>
      <c r="O37" s="325">
        <f t="shared" si="6"/>
        <v>0</v>
      </c>
      <c r="P37" s="324">
        <v>0.16</v>
      </c>
      <c r="Q37" s="227">
        <f t="shared" si="7"/>
        <v>0</v>
      </c>
      <c r="R37" s="227">
        <f t="shared" si="8"/>
        <v>0</v>
      </c>
      <c r="S37" s="229">
        <f>INDEX('Glosario Partidas'!$M$8:$M$10,MATCH(K37,'Glosario Partidas'!$L$8:$L$10,0))</f>
        <v>17.5</v>
      </c>
      <c r="T37" s="227">
        <f t="shared" si="9"/>
        <v>0</v>
      </c>
      <c r="U37" s="321"/>
      <c r="V37" s="321" t="s">
        <v>13</v>
      </c>
      <c r="W37" s="321" t="s">
        <v>491</v>
      </c>
      <c r="X37" s="321"/>
    </row>
    <row r="38" spans="1:24" ht="15" customHeight="1" x14ac:dyDescent="0.2">
      <c r="A38" s="75"/>
      <c r="B38" s="211" t="s">
        <v>87</v>
      </c>
      <c r="C38" s="75" t="s">
        <v>768</v>
      </c>
      <c r="D38" s="320" t="s">
        <v>769</v>
      </c>
      <c r="E38" s="321" t="s">
        <v>229</v>
      </c>
      <c r="F38" s="320" t="s">
        <v>354</v>
      </c>
      <c r="G38" s="321">
        <v>302</v>
      </c>
      <c r="H38" s="353"/>
      <c r="I38" s="75" t="s">
        <v>207</v>
      </c>
      <c r="J38" s="322">
        <v>231.09</v>
      </c>
      <c r="K38" s="75" t="s">
        <v>153</v>
      </c>
      <c r="L38" s="322">
        <v>75</v>
      </c>
      <c r="M38" s="323">
        <f t="shared" si="5"/>
        <v>17331.75</v>
      </c>
      <c r="N38" s="324">
        <v>0</v>
      </c>
      <c r="O38" s="325">
        <f t="shared" si="6"/>
        <v>0</v>
      </c>
      <c r="P38" s="324">
        <v>0.16</v>
      </c>
      <c r="Q38" s="227">
        <f t="shared" si="7"/>
        <v>2773.08</v>
      </c>
      <c r="R38" s="227">
        <f t="shared" si="8"/>
        <v>20104.830000000002</v>
      </c>
      <c r="S38" s="229">
        <f>INDEX('Glosario Partidas'!$M$8:$M$10,MATCH(K38,'Glosario Partidas'!$L$8:$L$10,0))</f>
        <v>17.5</v>
      </c>
      <c r="T38" s="227">
        <f t="shared" si="9"/>
        <v>351834.52500000002</v>
      </c>
      <c r="U38" s="321"/>
      <c r="V38" s="321" t="s">
        <v>13</v>
      </c>
      <c r="W38" s="321" t="s">
        <v>491</v>
      </c>
      <c r="X38" s="321"/>
    </row>
    <row r="39" spans="1:24" ht="15" customHeight="1" x14ac:dyDescent="0.2">
      <c r="A39" s="75"/>
      <c r="B39" s="211" t="s">
        <v>87</v>
      </c>
      <c r="C39" s="75" t="s">
        <v>768</v>
      </c>
      <c r="D39" s="320" t="s">
        <v>770</v>
      </c>
      <c r="E39" s="321" t="s">
        <v>229</v>
      </c>
      <c r="F39" s="320" t="s">
        <v>354</v>
      </c>
      <c r="G39" s="321">
        <v>302</v>
      </c>
      <c r="H39" s="353"/>
      <c r="I39" s="75" t="s">
        <v>207</v>
      </c>
      <c r="J39" s="322">
        <v>123.43</v>
      </c>
      <c r="K39" s="75" t="s">
        <v>153</v>
      </c>
      <c r="L39" s="322">
        <v>75</v>
      </c>
      <c r="M39" s="323">
        <f t="shared" si="5"/>
        <v>9257.25</v>
      </c>
      <c r="N39" s="324">
        <v>0</v>
      </c>
      <c r="O39" s="325">
        <f t="shared" si="6"/>
        <v>0</v>
      </c>
      <c r="P39" s="324">
        <v>0.16</v>
      </c>
      <c r="Q39" s="227">
        <f t="shared" si="7"/>
        <v>1481.16</v>
      </c>
      <c r="R39" s="227">
        <f t="shared" si="8"/>
        <v>10738.41</v>
      </c>
      <c r="S39" s="229">
        <f>INDEX('Glosario Partidas'!$M$8:$M$10,MATCH(K39,'Glosario Partidas'!$L$8:$L$10,0))</f>
        <v>17.5</v>
      </c>
      <c r="T39" s="227">
        <f t="shared" si="9"/>
        <v>187922.17499999999</v>
      </c>
      <c r="U39" s="321"/>
      <c r="V39" s="321" t="s">
        <v>13</v>
      </c>
      <c r="W39" s="321" t="s">
        <v>491</v>
      </c>
      <c r="X39" s="321"/>
    </row>
    <row r="40" spans="1:24" ht="15" customHeight="1" x14ac:dyDescent="0.2">
      <c r="A40" s="75"/>
      <c r="B40" s="211" t="s">
        <v>87</v>
      </c>
      <c r="C40" s="75" t="s">
        <v>768</v>
      </c>
      <c r="D40" s="320" t="s">
        <v>771</v>
      </c>
      <c r="E40" s="321" t="s">
        <v>229</v>
      </c>
      <c r="F40" s="320" t="s">
        <v>354</v>
      </c>
      <c r="G40" s="321">
        <v>302</v>
      </c>
      <c r="H40" s="353"/>
      <c r="I40" s="75" t="s">
        <v>207</v>
      </c>
      <c r="J40" s="322">
        <v>152.82</v>
      </c>
      <c r="K40" s="75" t="s">
        <v>153</v>
      </c>
      <c r="L40" s="322">
        <v>75</v>
      </c>
      <c r="M40" s="323">
        <f t="shared" si="5"/>
        <v>11461.5</v>
      </c>
      <c r="N40" s="324">
        <v>0</v>
      </c>
      <c r="O40" s="325">
        <f t="shared" si="6"/>
        <v>0</v>
      </c>
      <c r="P40" s="324">
        <v>0.16</v>
      </c>
      <c r="Q40" s="227">
        <f t="shared" si="7"/>
        <v>1833.8400000000001</v>
      </c>
      <c r="R40" s="227">
        <f t="shared" si="8"/>
        <v>13295.34</v>
      </c>
      <c r="S40" s="229">
        <f>INDEX('Glosario Partidas'!$M$8:$M$10,MATCH(K40,'Glosario Partidas'!$L$8:$L$10,0))</f>
        <v>17.5</v>
      </c>
      <c r="T40" s="227">
        <f t="shared" si="9"/>
        <v>232668.45</v>
      </c>
      <c r="U40" s="321"/>
      <c r="V40" s="321" t="s">
        <v>13</v>
      </c>
      <c r="W40" s="321" t="s">
        <v>491</v>
      </c>
      <c r="X40" s="321"/>
    </row>
    <row r="41" spans="1:24" ht="15" customHeight="1" x14ac:dyDescent="0.2">
      <c r="A41" s="75"/>
      <c r="B41" s="211" t="s">
        <v>87</v>
      </c>
      <c r="C41" s="75" t="s">
        <v>768</v>
      </c>
      <c r="D41" s="320" t="s">
        <v>192</v>
      </c>
      <c r="E41" s="321" t="s">
        <v>229</v>
      </c>
      <c r="F41" s="320" t="s">
        <v>354</v>
      </c>
      <c r="G41" s="321">
        <v>302</v>
      </c>
      <c r="H41" s="353"/>
      <c r="I41" s="75" t="s">
        <v>207</v>
      </c>
      <c r="J41" s="322">
        <v>55.66</v>
      </c>
      <c r="K41" s="75" t="s">
        <v>153</v>
      </c>
      <c r="L41" s="322">
        <v>75</v>
      </c>
      <c r="M41" s="323">
        <f t="shared" si="5"/>
        <v>4174.5</v>
      </c>
      <c r="N41" s="324">
        <v>0</v>
      </c>
      <c r="O41" s="325">
        <f t="shared" si="6"/>
        <v>0</v>
      </c>
      <c r="P41" s="324">
        <v>0.16</v>
      </c>
      <c r="Q41" s="227">
        <f t="shared" si="7"/>
        <v>667.92</v>
      </c>
      <c r="R41" s="227">
        <f t="shared" si="8"/>
        <v>4842.42</v>
      </c>
      <c r="S41" s="229">
        <f>INDEX('Glosario Partidas'!$M$8:$M$10,MATCH(K41,'Glosario Partidas'!$L$8:$L$10,0))</f>
        <v>17.5</v>
      </c>
      <c r="T41" s="227">
        <f t="shared" si="9"/>
        <v>84742.35</v>
      </c>
      <c r="U41" s="321"/>
      <c r="V41" s="321" t="s">
        <v>13</v>
      </c>
      <c r="W41" s="321" t="s">
        <v>491</v>
      </c>
      <c r="X41" s="321"/>
    </row>
    <row r="42" spans="1:24" ht="15" customHeight="1" x14ac:dyDescent="0.2">
      <c r="A42" s="75"/>
      <c r="B42" s="211" t="s">
        <v>87</v>
      </c>
      <c r="C42" s="75" t="s">
        <v>768</v>
      </c>
      <c r="D42" s="320" t="s">
        <v>769</v>
      </c>
      <c r="E42" s="321" t="s">
        <v>229</v>
      </c>
      <c r="F42" s="320" t="s">
        <v>354</v>
      </c>
      <c r="G42" s="321">
        <v>402</v>
      </c>
      <c r="H42" s="353"/>
      <c r="I42" s="75" t="s">
        <v>207</v>
      </c>
      <c r="J42" s="322">
        <v>231.09</v>
      </c>
      <c r="K42" s="75" t="s">
        <v>153</v>
      </c>
      <c r="L42" s="322">
        <v>75</v>
      </c>
      <c r="M42" s="323">
        <f t="shared" si="5"/>
        <v>17331.75</v>
      </c>
      <c r="N42" s="324">
        <v>0</v>
      </c>
      <c r="O42" s="325">
        <f t="shared" si="6"/>
        <v>0</v>
      </c>
      <c r="P42" s="324">
        <v>0.16</v>
      </c>
      <c r="Q42" s="227">
        <f t="shared" si="7"/>
        <v>2773.08</v>
      </c>
      <c r="R42" s="227">
        <f t="shared" si="8"/>
        <v>20104.830000000002</v>
      </c>
      <c r="S42" s="229">
        <f>INDEX('Glosario Partidas'!$M$8:$M$10,MATCH(K42,'Glosario Partidas'!$L$8:$L$10,0))</f>
        <v>17.5</v>
      </c>
      <c r="T42" s="227">
        <f t="shared" si="9"/>
        <v>351834.52500000002</v>
      </c>
      <c r="U42" s="321"/>
      <c r="V42" s="321" t="s">
        <v>13</v>
      </c>
      <c r="W42" s="321" t="s">
        <v>491</v>
      </c>
      <c r="X42" s="321"/>
    </row>
    <row r="43" spans="1:24" ht="15" customHeight="1" x14ac:dyDescent="0.2">
      <c r="A43" s="75"/>
      <c r="B43" s="211" t="s">
        <v>87</v>
      </c>
      <c r="C43" s="75" t="s">
        <v>768</v>
      </c>
      <c r="D43" s="320" t="s">
        <v>770</v>
      </c>
      <c r="E43" s="321" t="s">
        <v>229</v>
      </c>
      <c r="F43" s="320" t="s">
        <v>354</v>
      </c>
      <c r="G43" s="321">
        <v>402</v>
      </c>
      <c r="H43" s="353"/>
      <c r="I43" s="75" t="s">
        <v>207</v>
      </c>
      <c r="J43" s="322">
        <v>123.43</v>
      </c>
      <c r="K43" s="75" t="s">
        <v>153</v>
      </c>
      <c r="L43" s="322">
        <v>75</v>
      </c>
      <c r="M43" s="323">
        <f t="shared" si="5"/>
        <v>9257.25</v>
      </c>
      <c r="N43" s="324">
        <v>0</v>
      </c>
      <c r="O43" s="325">
        <f t="shared" si="6"/>
        <v>0</v>
      </c>
      <c r="P43" s="324">
        <v>0.16</v>
      </c>
      <c r="Q43" s="227">
        <f t="shared" si="7"/>
        <v>1481.16</v>
      </c>
      <c r="R43" s="227">
        <f t="shared" si="8"/>
        <v>10738.41</v>
      </c>
      <c r="S43" s="229">
        <f>INDEX('Glosario Partidas'!$M$8:$M$10,MATCH(K43,'Glosario Partidas'!$L$8:$L$10,0))</f>
        <v>17.5</v>
      </c>
      <c r="T43" s="227">
        <f t="shared" si="9"/>
        <v>187922.17499999999</v>
      </c>
      <c r="U43" s="321"/>
      <c r="V43" s="321" t="s">
        <v>13</v>
      </c>
      <c r="W43" s="321" t="s">
        <v>491</v>
      </c>
      <c r="X43" s="321"/>
    </row>
    <row r="44" spans="1:24" ht="15" customHeight="1" x14ac:dyDescent="0.2">
      <c r="A44" s="75"/>
      <c r="B44" s="211" t="s">
        <v>87</v>
      </c>
      <c r="C44" s="75" t="s">
        <v>768</v>
      </c>
      <c r="D44" s="320" t="s">
        <v>771</v>
      </c>
      <c r="E44" s="321" t="s">
        <v>229</v>
      </c>
      <c r="F44" s="320" t="s">
        <v>354</v>
      </c>
      <c r="G44" s="321">
        <v>402</v>
      </c>
      <c r="H44" s="353"/>
      <c r="I44" s="75" t="s">
        <v>207</v>
      </c>
      <c r="J44" s="322">
        <v>152.82</v>
      </c>
      <c r="K44" s="75" t="s">
        <v>153</v>
      </c>
      <c r="L44" s="322">
        <v>75</v>
      </c>
      <c r="M44" s="323">
        <f t="shared" si="5"/>
        <v>11461.5</v>
      </c>
      <c r="N44" s="324">
        <v>0</v>
      </c>
      <c r="O44" s="325">
        <f t="shared" si="6"/>
        <v>0</v>
      </c>
      <c r="P44" s="324">
        <v>0.16</v>
      </c>
      <c r="Q44" s="227">
        <f t="shared" si="7"/>
        <v>1833.8400000000001</v>
      </c>
      <c r="R44" s="227">
        <f t="shared" si="8"/>
        <v>13295.34</v>
      </c>
      <c r="S44" s="229">
        <f>INDEX('Glosario Partidas'!$M$8:$M$10,MATCH(K44,'Glosario Partidas'!$L$8:$L$10,0))</f>
        <v>17.5</v>
      </c>
      <c r="T44" s="227">
        <f t="shared" si="9"/>
        <v>232668.45</v>
      </c>
      <c r="U44" s="321"/>
      <c r="V44" s="321" t="s">
        <v>13</v>
      </c>
      <c r="W44" s="321" t="s">
        <v>491</v>
      </c>
      <c r="X44" s="321"/>
    </row>
    <row r="45" spans="1:24" ht="15" customHeight="1" x14ac:dyDescent="0.2">
      <c r="A45" s="75"/>
      <c r="B45" s="211" t="s">
        <v>87</v>
      </c>
      <c r="C45" s="75" t="s">
        <v>768</v>
      </c>
      <c r="D45" s="320" t="s">
        <v>192</v>
      </c>
      <c r="E45" s="321" t="s">
        <v>229</v>
      </c>
      <c r="F45" s="320" t="s">
        <v>354</v>
      </c>
      <c r="G45" s="321">
        <v>402</v>
      </c>
      <c r="H45" s="353"/>
      <c r="I45" s="75" t="s">
        <v>207</v>
      </c>
      <c r="J45" s="322">
        <v>55.66</v>
      </c>
      <c r="K45" s="75" t="s">
        <v>153</v>
      </c>
      <c r="L45" s="322">
        <v>75</v>
      </c>
      <c r="M45" s="323">
        <f t="shared" si="5"/>
        <v>4174.5</v>
      </c>
      <c r="N45" s="324">
        <v>0</v>
      </c>
      <c r="O45" s="325">
        <f t="shared" si="6"/>
        <v>0</v>
      </c>
      <c r="P45" s="324">
        <v>0.16</v>
      </c>
      <c r="Q45" s="227">
        <f t="shared" si="7"/>
        <v>667.92</v>
      </c>
      <c r="R45" s="227">
        <f t="shared" si="8"/>
        <v>4842.42</v>
      </c>
      <c r="S45" s="229">
        <f>INDEX('Glosario Partidas'!$M$8:$M$10,MATCH(K45,'Glosario Partidas'!$L$8:$L$10,0))</f>
        <v>17.5</v>
      </c>
      <c r="T45" s="227">
        <f t="shared" si="9"/>
        <v>84742.35</v>
      </c>
      <c r="U45" s="321"/>
      <c r="V45" s="321" t="s">
        <v>13</v>
      </c>
      <c r="W45" s="321" t="s">
        <v>491</v>
      </c>
      <c r="X45" s="321"/>
    </row>
    <row r="46" spans="1:24" ht="15" customHeight="1" x14ac:dyDescent="0.2">
      <c r="A46" s="75"/>
      <c r="B46" s="211" t="s">
        <v>87</v>
      </c>
      <c r="C46" s="75" t="s">
        <v>768</v>
      </c>
      <c r="D46" s="320" t="s">
        <v>769</v>
      </c>
      <c r="E46" s="321" t="s">
        <v>229</v>
      </c>
      <c r="F46" s="320" t="s">
        <v>355</v>
      </c>
      <c r="G46" s="321">
        <v>303</v>
      </c>
      <c r="H46" s="353"/>
      <c r="I46" s="75" t="s">
        <v>207</v>
      </c>
      <c r="J46" s="322">
        <v>29.12</v>
      </c>
      <c r="K46" s="75" t="s">
        <v>153</v>
      </c>
      <c r="L46" s="322">
        <v>75</v>
      </c>
      <c r="M46" s="323">
        <f t="shared" si="5"/>
        <v>2184</v>
      </c>
      <c r="N46" s="324">
        <v>0</v>
      </c>
      <c r="O46" s="325">
        <f t="shared" si="6"/>
        <v>0</v>
      </c>
      <c r="P46" s="324">
        <v>0.16</v>
      </c>
      <c r="Q46" s="227">
        <f t="shared" si="7"/>
        <v>349.44</v>
      </c>
      <c r="R46" s="227">
        <f t="shared" si="8"/>
        <v>2533.44</v>
      </c>
      <c r="S46" s="229">
        <f>INDEX('Glosario Partidas'!$M$8:$M$10,MATCH(K46,'Glosario Partidas'!$L$8:$L$10,0))</f>
        <v>17.5</v>
      </c>
      <c r="T46" s="227">
        <f t="shared" si="9"/>
        <v>44335.200000000004</v>
      </c>
      <c r="U46" s="321"/>
      <c r="V46" s="321" t="s">
        <v>13</v>
      </c>
      <c r="W46" s="321" t="s">
        <v>491</v>
      </c>
      <c r="X46" s="321"/>
    </row>
    <row r="47" spans="1:24" ht="15" customHeight="1" x14ac:dyDescent="0.2">
      <c r="A47" s="75"/>
      <c r="B47" s="211" t="s">
        <v>87</v>
      </c>
      <c r="C47" s="75" t="s">
        <v>768</v>
      </c>
      <c r="D47" s="320" t="s">
        <v>770</v>
      </c>
      <c r="E47" s="321" t="s">
        <v>229</v>
      </c>
      <c r="F47" s="320" t="s">
        <v>355</v>
      </c>
      <c r="G47" s="321">
        <v>303</v>
      </c>
      <c r="H47" s="353"/>
      <c r="I47" s="75" t="s">
        <v>207</v>
      </c>
      <c r="J47" s="322">
        <v>0</v>
      </c>
      <c r="K47" s="75" t="s">
        <v>153</v>
      </c>
      <c r="L47" s="322">
        <v>75</v>
      </c>
      <c r="M47" s="323">
        <f t="shared" si="5"/>
        <v>0</v>
      </c>
      <c r="N47" s="324">
        <v>0</v>
      </c>
      <c r="O47" s="325">
        <f t="shared" si="6"/>
        <v>0</v>
      </c>
      <c r="P47" s="324">
        <v>0.16</v>
      </c>
      <c r="Q47" s="227">
        <f t="shared" si="7"/>
        <v>0</v>
      </c>
      <c r="R47" s="227">
        <f t="shared" si="8"/>
        <v>0</v>
      </c>
      <c r="S47" s="229">
        <f>INDEX('Glosario Partidas'!$M$8:$M$10,MATCH(K47,'Glosario Partidas'!$L$8:$L$10,0))</f>
        <v>17.5</v>
      </c>
      <c r="T47" s="227">
        <f t="shared" si="9"/>
        <v>0</v>
      </c>
      <c r="U47" s="321"/>
      <c r="V47" s="321" t="s">
        <v>13</v>
      </c>
      <c r="W47" s="321" t="s">
        <v>491</v>
      </c>
      <c r="X47" s="321"/>
    </row>
    <row r="48" spans="1:24" ht="15" customHeight="1" x14ac:dyDescent="0.2">
      <c r="A48" s="75"/>
      <c r="B48" s="211" t="s">
        <v>87</v>
      </c>
      <c r="C48" s="75" t="s">
        <v>768</v>
      </c>
      <c r="D48" s="320" t="s">
        <v>771</v>
      </c>
      <c r="E48" s="321" t="s">
        <v>229</v>
      </c>
      <c r="F48" s="320" t="s">
        <v>355</v>
      </c>
      <c r="G48" s="321">
        <v>303</v>
      </c>
      <c r="H48" s="353"/>
      <c r="I48" s="75" t="s">
        <v>207</v>
      </c>
      <c r="J48" s="322">
        <v>34.9</v>
      </c>
      <c r="K48" s="75" t="s">
        <v>153</v>
      </c>
      <c r="L48" s="322">
        <v>75</v>
      </c>
      <c r="M48" s="323">
        <f t="shared" si="5"/>
        <v>2617.5</v>
      </c>
      <c r="N48" s="324">
        <v>0</v>
      </c>
      <c r="O48" s="325">
        <f t="shared" si="6"/>
        <v>0</v>
      </c>
      <c r="P48" s="324">
        <v>0.16</v>
      </c>
      <c r="Q48" s="227">
        <f t="shared" si="7"/>
        <v>418.8</v>
      </c>
      <c r="R48" s="227">
        <f t="shared" si="8"/>
        <v>3036.3</v>
      </c>
      <c r="S48" s="229">
        <f>INDEX('Glosario Partidas'!$M$8:$M$10,MATCH(K48,'Glosario Partidas'!$L$8:$L$10,0))</f>
        <v>17.5</v>
      </c>
      <c r="T48" s="227">
        <f t="shared" si="9"/>
        <v>53135.25</v>
      </c>
      <c r="U48" s="321"/>
      <c r="V48" s="321" t="s">
        <v>13</v>
      </c>
      <c r="W48" s="321" t="s">
        <v>491</v>
      </c>
      <c r="X48" s="321"/>
    </row>
    <row r="49" spans="1:24" ht="15" customHeight="1" x14ac:dyDescent="0.2">
      <c r="A49" s="75"/>
      <c r="B49" s="211" t="s">
        <v>87</v>
      </c>
      <c r="C49" s="75" t="s">
        <v>768</v>
      </c>
      <c r="D49" s="320" t="s">
        <v>192</v>
      </c>
      <c r="E49" s="321" t="s">
        <v>229</v>
      </c>
      <c r="F49" s="320" t="s">
        <v>355</v>
      </c>
      <c r="G49" s="321">
        <v>303</v>
      </c>
      <c r="H49" s="353"/>
      <c r="I49" s="75" t="s">
        <v>207</v>
      </c>
      <c r="J49" s="322">
        <v>147</v>
      </c>
      <c r="K49" s="75" t="s">
        <v>153</v>
      </c>
      <c r="L49" s="322">
        <v>75</v>
      </c>
      <c r="M49" s="323">
        <f t="shared" si="5"/>
        <v>11025</v>
      </c>
      <c r="N49" s="324">
        <v>0</v>
      </c>
      <c r="O49" s="325">
        <f t="shared" si="6"/>
        <v>0</v>
      </c>
      <c r="P49" s="324">
        <v>0.16</v>
      </c>
      <c r="Q49" s="227">
        <f t="shared" si="7"/>
        <v>1764</v>
      </c>
      <c r="R49" s="227">
        <f t="shared" si="8"/>
        <v>12789</v>
      </c>
      <c r="S49" s="229">
        <f>INDEX('Glosario Partidas'!$M$8:$M$10,MATCH(K49,'Glosario Partidas'!$L$8:$L$10,0))</f>
        <v>17.5</v>
      </c>
      <c r="T49" s="227">
        <f t="shared" si="9"/>
        <v>223807.5</v>
      </c>
      <c r="U49" s="321"/>
      <c r="V49" s="321" t="s">
        <v>13</v>
      </c>
      <c r="W49" s="321" t="s">
        <v>491</v>
      </c>
      <c r="X49" s="321"/>
    </row>
    <row r="50" spans="1:24" ht="15" customHeight="1" x14ac:dyDescent="0.2">
      <c r="A50" s="75"/>
      <c r="B50" s="211" t="s">
        <v>87</v>
      </c>
      <c r="C50" s="75" t="s">
        <v>768</v>
      </c>
      <c r="D50" s="320" t="s">
        <v>769</v>
      </c>
      <c r="E50" s="321" t="s">
        <v>229</v>
      </c>
      <c r="F50" s="320" t="s">
        <v>355</v>
      </c>
      <c r="G50" s="321">
        <v>403</v>
      </c>
      <c r="H50" s="353"/>
      <c r="I50" s="75" t="s">
        <v>207</v>
      </c>
      <c r="J50" s="322">
        <v>29.12</v>
      </c>
      <c r="K50" s="75" t="s">
        <v>153</v>
      </c>
      <c r="L50" s="322">
        <v>75</v>
      </c>
      <c r="M50" s="323">
        <f t="shared" si="5"/>
        <v>2184</v>
      </c>
      <c r="N50" s="324">
        <v>0</v>
      </c>
      <c r="O50" s="325">
        <f t="shared" si="6"/>
        <v>0</v>
      </c>
      <c r="P50" s="324">
        <v>0.16</v>
      </c>
      <c r="Q50" s="227">
        <f t="shared" si="7"/>
        <v>349.44</v>
      </c>
      <c r="R50" s="227">
        <f t="shared" si="8"/>
        <v>2533.44</v>
      </c>
      <c r="S50" s="229">
        <f>INDEX('Glosario Partidas'!$M$8:$M$10,MATCH(K50,'Glosario Partidas'!$L$8:$L$10,0))</f>
        <v>17.5</v>
      </c>
      <c r="T50" s="227">
        <f t="shared" si="9"/>
        <v>44335.200000000004</v>
      </c>
      <c r="U50" s="321"/>
      <c r="V50" s="321" t="s">
        <v>13</v>
      </c>
      <c r="W50" s="321" t="s">
        <v>491</v>
      </c>
      <c r="X50" s="321"/>
    </row>
    <row r="51" spans="1:24" ht="15" customHeight="1" x14ac:dyDescent="0.2">
      <c r="A51" s="75"/>
      <c r="B51" s="211" t="s">
        <v>87</v>
      </c>
      <c r="C51" s="75" t="s">
        <v>768</v>
      </c>
      <c r="D51" s="320" t="s">
        <v>770</v>
      </c>
      <c r="E51" s="321" t="s">
        <v>229</v>
      </c>
      <c r="F51" s="320" t="s">
        <v>355</v>
      </c>
      <c r="G51" s="321">
        <v>403</v>
      </c>
      <c r="H51" s="353"/>
      <c r="I51" s="75" t="s">
        <v>207</v>
      </c>
      <c r="J51" s="322">
        <v>0</v>
      </c>
      <c r="K51" s="75" t="s">
        <v>153</v>
      </c>
      <c r="L51" s="322">
        <v>75</v>
      </c>
      <c r="M51" s="323">
        <f t="shared" si="5"/>
        <v>0</v>
      </c>
      <c r="N51" s="324">
        <v>0</v>
      </c>
      <c r="O51" s="325">
        <f t="shared" si="6"/>
        <v>0</v>
      </c>
      <c r="P51" s="324">
        <v>0.16</v>
      </c>
      <c r="Q51" s="227">
        <f t="shared" si="7"/>
        <v>0</v>
      </c>
      <c r="R51" s="227">
        <f t="shared" si="8"/>
        <v>0</v>
      </c>
      <c r="S51" s="229">
        <f>INDEX('Glosario Partidas'!$M$8:$M$10,MATCH(K51,'Glosario Partidas'!$L$8:$L$10,0))</f>
        <v>17.5</v>
      </c>
      <c r="T51" s="227">
        <f t="shared" si="9"/>
        <v>0</v>
      </c>
      <c r="U51" s="321"/>
      <c r="V51" s="321" t="s">
        <v>13</v>
      </c>
      <c r="W51" s="321" t="s">
        <v>491</v>
      </c>
      <c r="X51" s="321"/>
    </row>
    <row r="52" spans="1:24" ht="15" customHeight="1" x14ac:dyDescent="0.2">
      <c r="A52" s="75"/>
      <c r="B52" s="211" t="s">
        <v>87</v>
      </c>
      <c r="C52" s="75" t="s">
        <v>768</v>
      </c>
      <c r="D52" s="320" t="s">
        <v>771</v>
      </c>
      <c r="E52" s="321" t="s">
        <v>229</v>
      </c>
      <c r="F52" s="320" t="s">
        <v>355</v>
      </c>
      <c r="G52" s="321">
        <v>403</v>
      </c>
      <c r="H52" s="353"/>
      <c r="I52" s="75" t="s">
        <v>207</v>
      </c>
      <c r="J52" s="322">
        <v>34.9</v>
      </c>
      <c r="K52" s="75" t="s">
        <v>153</v>
      </c>
      <c r="L52" s="322">
        <v>75</v>
      </c>
      <c r="M52" s="323">
        <f t="shared" si="5"/>
        <v>2617.5</v>
      </c>
      <c r="N52" s="324">
        <v>0</v>
      </c>
      <c r="O52" s="325">
        <f t="shared" si="6"/>
        <v>0</v>
      </c>
      <c r="P52" s="324">
        <v>0.16</v>
      </c>
      <c r="Q52" s="227">
        <f t="shared" si="7"/>
        <v>418.8</v>
      </c>
      <c r="R52" s="227">
        <f t="shared" si="8"/>
        <v>3036.3</v>
      </c>
      <c r="S52" s="229">
        <f>INDEX('Glosario Partidas'!$M$8:$M$10,MATCH(K52,'Glosario Partidas'!$L$8:$L$10,0))</f>
        <v>17.5</v>
      </c>
      <c r="T52" s="227">
        <f t="shared" si="9"/>
        <v>53135.25</v>
      </c>
      <c r="U52" s="321"/>
      <c r="V52" s="321" t="s">
        <v>13</v>
      </c>
      <c r="W52" s="321" t="s">
        <v>491</v>
      </c>
      <c r="X52" s="321"/>
    </row>
    <row r="53" spans="1:24" ht="15" customHeight="1" x14ac:dyDescent="0.2">
      <c r="A53" s="75"/>
      <c r="B53" s="211" t="s">
        <v>87</v>
      </c>
      <c r="C53" s="75" t="s">
        <v>768</v>
      </c>
      <c r="D53" s="320" t="s">
        <v>192</v>
      </c>
      <c r="E53" s="321" t="s">
        <v>229</v>
      </c>
      <c r="F53" s="320" t="s">
        <v>355</v>
      </c>
      <c r="G53" s="321">
        <v>403</v>
      </c>
      <c r="H53" s="353"/>
      <c r="I53" s="75" t="s">
        <v>207</v>
      </c>
      <c r="J53" s="322">
        <v>147</v>
      </c>
      <c r="K53" s="75" t="s">
        <v>153</v>
      </c>
      <c r="L53" s="322"/>
      <c r="M53" s="323">
        <f t="shared" si="5"/>
        <v>0</v>
      </c>
      <c r="N53" s="324">
        <v>0</v>
      </c>
      <c r="O53" s="325">
        <f t="shared" si="6"/>
        <v>0</v>
      </c>
      <c r="P53" s="324">
        <v>0.16</v>
      </c>
      <c r="Q53" s="227">
        <f t="shared" si="7"/>
        <v>0</v>
      </c>
      <c r="R53" s="227">
        <f t="shared" si="8"/>
        <v>0</v>
      </c>
      <c r="S53" s="229">
        <f>INDEX('Glosario Partidas'!$M$8:$M$10,MATCH(K53,'Glosario Partidas'!$L$8:$L$10,0))</f>
        <v>17.5</v>
      </c>
      <c r="T53" s="227">
        <f t="shared" si="9"/>
        <v>0</v>
      </c>
      <c r="U53" s="321"/>
      <c r="V53" s="321" t="s">
        <v>13</v>
      </c>
      <c r="W53" s="321" t="s">
        <v>491</v>
      </c>
      <c r="X53" s="321"/>
    </row>
    <row r="54" spans="1:24" ht="15" customHeight="1" x14ac:dyDescent="0.2">
      <c r="A54" s="75">
        <v>5</v>
      </c>
      <c r="B54" s="211" t="s">
        <v>87</v>
      </c>
      <c r="C54" s="75" t="s">
        <v>768</v>
      </c>
      <c r="D54" s="320" t="s">
        <v>769</v>
      </c>
      <c r="E54" s="321" t="s">
        <v>229</v>
      </c>
      <c r="F54" s="320" t="s">
        <v>355</v>
      </c>
      <c r="G54" s="321">
        <v>403</v>
      </c>
      <c r="H54" s="353"/>
      <c r="I54" s="75" t="s">
        <v>207</v>
      </c>
      <c r="J54" s="322">
        <v>34.630000000000003</v>
      </c>
      <c r="K54" s="75" t="s">
        <v>153</v>
      </c>
      <c r="L54" s="322"/>
      <c r="M54" s="323">
        <f t="shared" si="5"/>
        <v>0</v>
      </c>
      <c r="N54" s="324">
        <v>0</v>
      </c>
      <c r="O54" s="325">
        <f t="shared" si="6"/>
        <v>0</v>
      </c>
      <c r="P54" s="324">
        <v>0.16</v>
      </c>
      <c r="Q54" s="227">
        <f t="shared" si="7"/>
        <v>0</v>
      </c>
      <c r="R54" s="227">
        <f t="shared" si="8"/>
        <v>0</v>
      </c>
      <c r="S54" s="229">
        <f>INDEX('Glosario Partidas'!$M$8:$M$10,MATCH(K54,'Glosario Partidas'!$L$8:$L$10,0))</f>
        <v>17.5</v>
      </c>
      <c r="T54" s="227">
        <f t="shared" si="9"/>
        <v>0</v>
      </c>
      <c r="U54" s="321"/>
      <c r="V54" s="321" t="s">
        <v>13</v>
      </c>
      <c r="W54" s="321" t="s">
        <v>491</v>
      </c>
      <c r="X54" s="321"/>
    </row>
    <row r="55" spans="1:24" ht="15" customHeight="1" x14ac:dyDescent="0.2">
      <c r="A55" s="75">
        <v>5</v>
      </c>
      <c r="B55" s="211" t="s">
        <v>87</v>
      </c>
      <c r="C55" s="75" t="s">
        <v>768</v>
      </c>
      <c r="D55" s="320" t="s">
        <v>770</v>
      </c>
      <c r="E55" s="321" t="s">
        <v>229</v>
      </c>
      <c r="F55" s="320" t="s">
        <v>355</v>
      </c>
      <c r="G55" s="321">
        <v>403</v>
      </c>
      <c r="H55" s="353"/>
      <c r="I55" s="75" t="s">
        <v>207</v>
      </c>
      <c r="J55" s="322">
        <v>14.5</v>
      </c>
      <c r="K55" s="75" t="s">
        <v>153</v>
      </c>
      <c r="L55" s="322"/>
      <c r="M55" s="323">
        <f t="shared" si="5"/>
        <v>0</v>
      </c>
      <c r="N55" s="324">
        <v>0</v>
      </c>
      <c r="O55" s="325">
        <f t="shared" si="6"/>
        <v>0</v>
      </c>
      <c r="P55" s="324">
        <v>0.16</v>
      </c>
      <c r="Q55" s="227">
        <f t="shared" si="7"/>
        <v>0</v>
      </c>
      <c r="R55" s="227">
        <f t="shared" si="8"/>
        <v>0</v>
      </c>
      <c r="S55" s="229">
        <f>INDEX('Glosario Partidas'!$M$8:$M$10,MATCH(K55,'Glosario Partidas'!$L$8:$L$10,0))</f>
        <v>17.5</v>
      </c>
      <c r="T55" s="227">
        <f t="shared" si="9"/>
        <v>0</v>
      </c>
      <c r="U55" s="321"/>
      <c r="V55" s="321" t="s">
        <v>13</v>
      </c>
      <c r="W55" s="321" t="s">
        <v>491</v>
      </c>
      <c r="X55" s="321"/>
    </row>
    <row r="56" spans="1:24" ht="15" customHeight="1" x14ac:dyDescent="0.2">
      <c r="A56" s="75">
        <v>5</v>
      </c>
      <c r="B56" s="211" t="s">
        <v>87</v>
      </c>
      <c r="C56" s="75" t="s">
        <v>768</v>
      </c>
      <c r="D56" s="320" t="s">
        <v>771</v>
      </c>
      <c r="E56" s="321" t="s">
        <v>229</v>
      </c>
      <c r="F56" s="320" t="s">
        <v>355</v>
      </c>
      <c r="G56" s="321">
        <v>403</v>
      </c>
      <c r="H56" s="353"/>
      <c r="I56" s="75" t="s">
        <v>207</v>
      </c>
      <c r="J56" s="322">
        <v>-1.83</v>
      </c>
      <c r="K56" s="75" t="s">
        <v>153</v>
      </c>
      <c r="L56" s="322"/>
      <c r="M56" s="323">
        <f t="shared" si="5"/>
        <v>0</v>
      </c>
      <c r="N56" s="324">
        <v>0</v>
      </c>
      <c r="O56" s="325">
        <f t="shared" si="6"/>
        <v>0</v>
      </c>
      <c r="P56" s="324">
        <v>0.16</v>
      </c>
      <c r="Q56" s="227">
        <f t="shared" si="7"/>
        <v>0</v>
      </c>
      <c r="R56" s="227">
        <f t="shared" si="8"/>
        <v>0</v>
      </c>
      <c r="S56" s="229">
        <f>INDEX('Glosario Partidas'!$M$8:$M$10,MATCH(K56,'Glosario Partidas'!$L$8:$L$10,0))</f>
        <v>17.5</v>
      </c>
      <c r="T56" s="227">
        <f t="shared" si="9"/>
        <v>0</v>
      </c>
      <c r="U56" s="321"/>
      <c r="V56" s="321" t="s">
        <v>13</v>
      </c>
      <c r="W56" s="321" t="s">
        <v>491</v>
      </c>
      <c r="X56" s="321"/>
    </row>
    <row r="57" spans="1:24" ht="15" customHeight="1" x14ac:dyDescent="0.2">
      <c r="A57" s="75">
        <v>5</v>
      </c>
      <c r="B57" s="211" t="s">
        <v>87</v>
      </c>
      <c r="C57" s="75" t="s">
        <v>768</v>
      </c>
      <c r="D57" s="320" t="s">
        <v>192</v>
      </c>
      <c r="E57" s="321" t="s">
        <v>229</v>
      </c>
      <c r="F57" s="320" t="s">
        <v>355</v>
      </c>
      <c r="G57" s="321">
        <v>403</v>
      </c>
      <c r="H57" s="353"/>
      <c r="I57" s="75" t="s">
        <v>207</v>
      </c>
      <c r="J57" s="322">
        <v>1.71999999999997</v>
      </c>
      <c r="K57" s="75" t="s">
        <v>153</v>
      </c>
      <c r="L57" s="322"/>
      <c r="M57" s="323">
        <f t="shared" si="5"/>
        <v>0</v>
      </c>
      <c r="N57" s="324">
        <v>0</v>
      </c>
      <c r="O57" s="325">
        <f t="shared" si="6"/>
        <v>0</v>
      </c>
      <c r="P57" s="324">
        <v>0.16</v>
      </c>
      <c r="Q57" s="227">
        <f t="shared" si="7"/>
        <v>0</v>
      </c>
      <c r="R57" s="227">
        <f t="shared" si="8"/>
        <v>0</v>
      </c>
      <c r="S57" s="229">
        <f>INDEX('Glosario Partidas'!$M$8:$M$10,MATCH(K57,'Glosario Partidas'!$L$8:$L$10,0))</f>
        <v>17.5</v>
      </c>
      <c r="T57" s="227">
        <f t="shared" si="9"/>
        <v>0</v>
      </c>
      <c r="U57" s="321"/>
      <c r="V57" s="321" t="s">
        <v>13</v>
      </c>
      <c r="W57" s="321" t="s">
        <v>491</v>
      </c>
      <c r="X57" s="321"/>
    </row>
    <row r="58" spans="1:24" ht="15" customHeight="1" x14ac:dyDescent="0.2">
      <c r="A58" s="75"/>
      <c r="B58" s="211" t="s">
        <v>88</v>
      </c>
      <c r="C58" s="75" t="s">
        <v>768</v>
      </c>
      <c r="D58" s="320" t="s">
        <v>769</v>
      </c>
      <c r="E58" s="321" t="s">
        <v>220</v>
      </c>
      <c r="F58" s="320" t="s">
        <v>221</v>
      </c>
      <c r="G58" s="321">
        <v>101</v>
      </c>
      <c r="H58" s="353"/>
      <c r="I58" s="75" t="s">
        <v>207</v>
      </c>
      <c r="J58" s="322">
        <v>231.09</v>
      </c>
      <c r="K58" s="75" t="s">
        <v>269</v>
      </c>
      <c r="L58" s="322">
        <v>1850</v>
      </c>
      <c r="M58" s="323">
        <f t="shared" si="5"/>
        <v>427516.5</v>
      </c>
      <c r="N58" s="324">
        <v>0</v>
      </c>
      <c r="O58" s="325">
        <f t="shared" si="6"/>
        <v>0</v>
      </c>
      <c r="P58" s="324">
        <v>0.16</v>
      </c>
      <c r="Q58" s="227">
        <f t="shared" si="7"/>
        <v>68402.64</v>
      </c>
      <c r="R58" s="227">
        <f t="shared" si="8"/>
        <v>495919.14</v>
      </c>
      <c r="S58" s="229">
        <f>INDEX('Glosario Partidas'!$M$8:$M$10,MATCH(K58,'Glosario Partidas'!$L$8:$L$10,0))</f>
        <v>1</v>
      </c>
      <c r="T58" s="227">
        <f t="shared" si="9"/>
        <v>495919.14</v>
      </c>
      <c r="U58" s="321"/>
      <c r="V58" s="321" t="s">
        <v>13</v>
      </c>
      <c r="W58" s="321" t="s">
        <v>491</v>
      </c>
      <c r="X58" s="321"/>
    </row>
    <row r="59" spans="1:24" ht="15" customHeight="1" x14ac:dyDescent="0.2">
      <c r="A59" s="75"/>
      <c r="B59" s="211" t="s">
        <v>88</v>
      </c>
      <c r="C59" s="75" t="s">
        <v>768</v>
      </c>
      <c r="D59" s="320" t="s">
        <v>770</v>
      </c>
      <c r="E59" s="321" t="s">
        <v>220</v>
      </c>
      <c r="F59" s="320" t="s">
        <v>221</v>
      </c>
      <c r="G59" s="321">
        <v>101</v>
      </c>
      <c r="H59" s="353"/>
      <c r="I59" s="75" t="s">
        <v>207</v>
      </c>
      <c r="J59" s="322">
        <v>130.27000000000001</v>
      </c>
      <c r="K59" s="75" t="s">
        <v>269</v>
      </c>
      <c r="L59" s="322">
        <v>1850</v>
      </c>
      <c r="M59" s="323">
        <f t="shared" si="5"/>
        <v>240999.50000000003</v>
      </c>
      <c r="N59" s="324">
        <v>0</v>
      </c>
      <c r="O59" s="325">
        <f t="shared" si="6"/>
        <v>0</v>
      </c>
      <c r="P59" s="324">
        <v>0.16</v>
      </c>
      <c r="Q59" s="227">
        <f t="shared" si="7"/>
        <v>38559.920000000006</v>
      </c>
      <c r="R59" s="227">
        <f t="shared" si="8"/>
        <v>279559.42000000004</v>
      </c>
      <c r="S59" s="229">
        <f>INDEX('Glosario Partidas'!$M$8:$M$10,MATCH(K59,'Glosario Partidas'!$L$8:$L$10,0))</f>
        <v>1</v>
      </c>
      <c r="T59" s="227">
        <f t="shared" si="9"/>
        <v>279559.42000000004</v>
      </c>
      <c r="U59" s="321"/>
      <c r="V59" s="321" t="s">
        <v>13</v>
      </c>
      <c r="W59" s="321" t="s">
        <v>491</v>
      </c>
      <c r="X59" s="321"/>
    </row>
    <row r="60" spans="1:24" ht="15" customHeight="1" x14ac:dyDescent="0.2">
      <c r="A60" s="75"/>
      <c r="B60" s="211" t="s">
        <v>88</v>
      </c>
      <c r="C60" s="75" t="s">
        <v>768</v>
      </c>
      <c r="D60" s="320" t="s">
        <v>771</v>
      </c>
      <c r="E60" s="321" t="s">
        <v>220</v>
      </c>
      <c r="F60" s="320" t="s">
        <v>221</v>
      </c>
      <c r="G60" s="321">
        <v>101</v>
      </c>
      <c r="H60" s="353"/>
      <c r="I60" s="75" t="s">
        <v>207</v>
      </c>
      <c r="J60" s="322">
        <v>140.44</v>
      </c>
      <c r="K60" s="75" t="s">
        <v>269</v>
      </c>
      <c r="L60" s="322">
        <v>1850</v>
      </c>
      <c r="M60" s="323">
        <f t="shared" si="5"/>
        <v>259814</v>
      </c>
      <c r="N60" s="324">
        <v>0</v>
      </c>
      <c r="O60" s="325">
        <f t="shared" si="6"/>
        <v>0</v>
      </c>
      <c r="P60" s="324">
        <v>0.16</v>
      </c>
      <c r="Q60" s="227">
        <f t="shared" si="7"/>
        <v>41570.239999999998</v>
      </c>
      <c r="R60" s="227">
        <f t="shared" si="8"/>
        <v>301384.24</v>
      </c>
      <c r="S60" s="229">
        <f>INDEX('Glosario Partidas'!$M$8:$M$10,MATCH(K60,'Glosario Partidas'!$L$8:$L$10,0))</f>
        <v>1</v>
      </c>
      <c r="T60" s="227">
        <f t="shared" si="9"/>
        <v>301384.24</v>
      </c>
      <c r="U60" s="321"/>
      <c r="V60" s="321" t="s">
        <v>13</v>
      </c>
      <c r="W60" s="321" t="s">
        <v>491</v>
      </c>
      <c r="X60" s="321"/>
    </row>
    <row r="61" spans="1:24" ht="15" customHeight="1" x14ac:dyDescent="0.2">
      <c r="A61" s="75"/>
      <c r="B61" s="211" t="s">
        <v>88</v>
      </c>
      <c r="C61" s="75" t="s">
        <v>768</v>
      </c>
      <c r="D61" s="320" t="s">
        <v>192</v>
      </c>
      <c r="E61" s="321" t="s">
        <v>220</v>
      </c>
      <c r="F61" s="320" t="s">
        <v>221</v>
      </c>
      <c r="G61" s="321">
        <v>101</v>
      </c>
      <c r="H61" s="353"/>
      <c r="I61" s="75" t="s">
        <v>207</v>
      </c>
      <c r="J61" s="322">
        <v>196</v>
      </c>
      <c r="K61" s="75" t="s">
        <v>269</v>
      </c>
      <c r="L61" s="322">
        <v>1850</v>
      </c>
      <c r="M61" s="323">
        <f t="shared" si="5"/>
        <v>362600</v>
      </c>
      <c r="N61" s="324">
        <v>0</v>
      </c>
      <c r="O61" s="325">
        <f t="shared" si="6"/>
        <v>0</v>
      </c>
      <c r="P61" s="324">
        <v>0.16</v>
      </c>
      <c r="Q61" s="227">
        <f t="shared" si="7"/>
        <v>58016</v>
      </c>
      <c r="R61" s="227">
        <f t="shared" si="8"/>
        <v>420616</v>
      </c>
      <c r="S61" s="229">
        <f>INDEX('Glosario Partidas'!$M$8:$M$10,MATCH(K61,'Glosario Partidas'!$L$8:$L$10,0))</f>
        <v>1</v>
      </c>
      <c r="T61" s="227">
        <f t="shared" si="9"/>
        <v>420616</v>
      </c>
      <c r="U61" s="321"/>
      <c r="V61" s="321" t="s">
        <v>13</v>
      </c>
      <c r="W61" s="321" t="s">
        <v>491</v>
      </c>
      <c r="X61" s="321"/>
    </row>
    <row r="62" spans="1:24" ht="15" customHeight="1" x14ac:dyDescent="0.2">
      <c r="A62" s="75"/>
      <c r="B62" s="211" t="s">
        <v>88</v>
      </c>
      <c r="C62" s="75" t="s">
        <v>768</v>
      </c>
      <c r="D62" s="320" t="s">
        <v>769</v>
      </c>
      <c r="E62" s="321" t="s">
        <v>220</v>
      </c>
      <c r="F62" s="320" t="s">
        <v>221</v>
      </c>
      <c r="G62" s="321">
        <v>201</v>
      </c>
      <c r="H62" s="353"/>
      <c r="I62" s="75" t="s">
        <v>207</v>
      </c>
      <c r="J62" s="322">
        <v>231.09</v>
      </c>
      <c r="K62" s="75" t="s">
        <v>269</v>
      </c>
      <c r="L62" s="322">
        <v>1850</v>
      </c>
      <c r="M62" s="323">
        <f t="shared" si="5"/>
        <v>427516.5</v>
      </c>
      <c r="N62" s="324">
        <v>0</v>
      </c>
      <c r="O62" s="325">
        <f t="shared" si="6"/>
        <v>0</v>
      </c>
      <c r="P62" s="324">
        <v>0.16</v>
      </c>
      <c r="Q62" s="227">
        <f t="shared" si="7"/>
        <v>68402.64</v>
      </c>
      <c r="R62" s="227">
        <f t="shared" si="8"/>
        <v>495919.14</v>
      </c>
      <c r="S62" s="229">
        <f>INDEX('Glosario Partidas'!$M$8:$M$10,MATCH(K62,'Glosario Partidas'!$L$8:$L$10,0))</f>
        <v>1</v>
      </c>
      <c r="T62" s="227">
        <f t="shared" si="9"/>
        <v>495919.14</v>
      </c>
      <c r="U62" s="321"/>
      <c r="V62" s="321" t="s">
        <v>13</v>
      </c>
      <c r="W62" s="321" t="s">
        <v>491</v>
      </c>
      <c r="X62" s="321"/>
    </row>
    <row r="63" spans="1:24" ht="15" customHeight="1" x14ac:dyDescent="0.2">
      <c r="A63" s="75"/>
      <c r="B63" s="211" t="s">
        <v>88</v>
      </c>
      <c r="C63" s="75" t="s">
        <v>768</v>
      </c>
      <c r="D63" s="320" t="s">
        <v>770</v>
      </c>
      <c r="E63" s="321" t="s">
        <v>220</v>
      </c>
      <c r="F63" s="320" t="s">
        <v>221</v>
      </c>
      <c r="G63" s="321">
        <v>201</v>
      </c>
      <c r="H63" s="353"/>
      <c r="I63" s="75" t="s">
        <v>207</v>
      </c>
      <c r="J63" s="322">
        <v>130.27000000000001</v>
      </c>
      <c r="K63" s="75" t="s">
        <v>269</v>
      </c>
      <c r="L63" s="322">
        <v>1850</v>
      </c>
      <c r="M63" s="323">
        <f t="shared" si="5"/>
        <v>240999.50000000003</v>
      </c>
      <c r="N63" s="324">
        <v>0</v>
      </c>
      <c r="O63" s="325">
        <f t="shared" si="6"/>
        <v>0</v>
      </c>
      <c r="P63" s="324">
        <v>0.16</v>
      </c>
      <c r="Q63" s="227">
        <f t="shared" si="7"/>
        <v>38559.920000000006</v>
      </c>
      <c r="R63" s="227">
        <f t="shared" si="8"/>
        <v>279559.42000000004</v>
      </c>
      <c r="S63" s="229">
        <f>INDEX('Glosario Partidas'!$M$8:$M$10,MATCH(K63,'Glosario Partidas'!$L$8:$L$10,0))</f>
        <v>1</v>
      </c>
      <c r="T63" s="227">
        <f t="shared" si="9"/>
        <v>279559.42000000004</v>
      </c>
      <c r="U63" s="321"/>
      <c r="V63" s="321" t="s">
        <v>13</v>
      </c>
      <c r="W63" s="321" t="s">
        <v>491</v>
      </c>
      <c r="X63" s="321"/>
    </row>
    <row r="64" spans="1:24" ht="15" customHeight="1" x14ac:dyDescent="0.2">
      <c r="A64" s="75"/>
      <c r="B64" s="211" t="s">
        <v>88</v>
      </c>
      <c r="C64" s="75" t="s">
        <v>768</v>
      </c>
      <c r="D64" s="320" t="s">
        <v>771</v>
      </c>
      <c r="E64" s="321" t="s">
        <v>220</v>
      </c>
      <c r="F64" s="320" t="s">
        <v>221</v>
      </c>
      <c r="G64" s="321">
        <v>201</v>
      </c>
      <c r="H64" s="353"/>
      <c r="I64" s="75" t="s">
        <v>207</v>
      </c>
      <c r="J64" s="322">
        <v>140.44</v>
      </c>
      <c r="K64" s="75" t="s">
        <v>269</v>
      </c>
      <c r="L64" s="322">
        <v>1850</v>
      </c>
      <c r="M64" s="323">
        <f t="shared" si="5"/>
        <v>259814</v>
      </c>
      <c r="N64" s="324">
        <v>0</v>
      </c>
      <c r="O64" s="325">
        <f t="shared" si="6"/>
        <v>0</v>
      </c>
      <c r="P64" s="324">
        <v>0.16</v>
      </c>
      <c r="Q64" s="227">
        <f t="shared" si="7"/>
        <v>41570.239999999998</v>
      </c>
      <c r="R64" s="227">
        <f t="shared" si="8"/>
        <v>301384.24</v>
      </c>
      <c r="S64" s="229">
        <f>INDEX('Glosario Partidas'!$M$8:$M$10,MATCH(K64,'Glosario Partidas'!$L$8:$L$10,0))</f>
        <v>1</v>
      </c>
      <c r="T64" s="227">
        <f t="shared" si="9"/>
        <v>301384.24</v>
      </c>
      <c r="U64" s="321"/>
      <c r="V64" s="321" t="s">
        <v>13</v>
      </c>
      <c r="W64" s="321" t="s">
        <v>491</v>
      </c>
      <c r="X64" s="321"/>
    </row>
    <row r="65" spans="1:24" ht="15" customHeight="1" x14ac:dyDescent="0.2">
      <c r="A65" s="75"/>
      <c r="B65" s="211" t="s">
        <v>88</v>
      </c>
      <c r="C65" s="75" t="s">
        <v>768</v>
      </c>
      <c r="D65" s="320" t="s">
        <v>192</v>
      </c>
      <c r="E65" s="321" t="s">
        <v>220</v>
      </c>
      <c r="F65" s="320" t="s">
        <v>221</v>
      </c>
      <c r="G65" s="321">
        <v>201</v>
      </c>
      <c r="H65" s="353"/>
      <c r="I65" s="75" t="s">
        <v>207</v>
      </c>
      <c r="J65" s="322">
        <v>196</v>
      </c>
      <c r="K65" s="75" t="s">
        <v>269</v>
      </c>
      <c r="L65" s="322">
        <v>1850</v>
      </c>
      <c r="M65" s="323">
        <f t="shared" si="5"/>
        <v>362600</v>
      </c>
      <c r="N65" s="324">
        <v>0</v>
      </c>
      <c r="O65" s="325">
        <f t="shared" si="6"/>
        <v>0</v>
      </c>
      <c r="P65" s="324">
        <v>0.16</v>
      </c>
      <c r="Q65" s="227">
        <f t="shared" si="7"/>
        <v>58016</v>
      </c>
      <c r="R65" s="227">
        <f t="shared" si="8"/>
        <v>420616</v>
      </c>
      <c r="S65" s="229">
        <f>INDEX('Glosario Partidas'!$M$8:$M$10,MATCH(K65,'Glosario Partidas'!$L$8:$L$10,0))</f>
        <v>1</v>
      </c>
      <c r="T65" s="227">
        <f t="shared" si="9"/>
        <v>420616</v>
      </c>
      <c r="U65" s="321"/>
      <c r="V65" s="321" t="s">
        <v>13</v>
      </c>
      <c r="W65" s="321" t="s">
        <v>491</v>
      </c>
      <c r="X65" s="321"/>
    </row>
    <row r="66" spans="1:24" ht="15" customHeight="1" x14ac:dyDescent="0.2">
      <c r="A66" s="75"/>
      <c r="B66" s="211" t="s">
        <v>88</v>
      </c>
      <c r="C66" s="75" t="s">
        <v>768</v>
      </c>
      <c r="D66" s="320" t="s">
        <v>769</v>
      </c>
      <c r="E66" s="321" t="s">
        <v>220</v>
      </c>
      <c r="F66" s="320" t="s">
        <v>354</v>
      </c>
      <c r="G66" s="321">
        <v>102</v>
      </c>
      <c r="H66" s="353"/>
      <c r="I66" s="75" t="s">
        <v>207</v>
      </c>
      <c r="J66" s="322">
        <v>231.09</v>
      </c>
      <c r="K66" s="75" t="s">
        <v>269</v>
      </c>
      <c r="L66" s="322">
        <v>1850</v>
      </c>
      <c r="M66" s="323">
        <f t="shared" ref="M66:M97" si="10">J66*L66</f>
        <v>427516.5</v>
      </c>
      <c r="N66" s="324">
        <v>0</v>
      </c>
      <c r="O66" s="325">
        <f t="shared" ref="O66:O97" si="11">M66*N66</f>
        <v>0</v>
      </c>
      <c r="P66" s="324">
        <v>0.16</v>
      </c>
      <c r="Q66" s="227">
        <f t="shared" ref="Q66:Q97" si="12">(M66+O66)*P66</f>
        <v>68402.64</v>
      </c>
      <c r="R66" s="227">
        <f t="shared" ref="R66:R97" si="13">M66+O66+Q66</f>
        <v>495919.14</v>
      </c>
      <c r="S66" s="229">
        <f>INDEX('Glosario Partidas'!$M$8:$M$10,MATCH(K66,'Glosario Partidas'!$L$8:$L$10,0))</f>
        <v>1</v>
      </c>
      <c r="T66" s="227">
        <f t="shared" ref="T66:T97" si="14">R66*S66</f>
        <v>495919.14</v>
      </c>
      <c r="U66" s="321"/>
      <c r="V66" s="321" t="s">
        <v>13</v>
      </c>
      <c r="W66" s="321" t="s">
        <v>491</v>
      </c>
      <c r="X66" s="321"/>
    </row>
    <row r="67" spans="1:24" ht="15" customHeight="1" x14ac:dyDescent="0.2">
      <c r="A67" s="75"/>
      <c r="B67" s="211" t="s">
        <v>88</v>
      </c>
      <c r="C67" s="75" t="s">
        <v>768</v>
      </c>
      <c r="D67" s="320" t="s">
        <v>770</v>
      </c>
      <c r="E67" s="321" t="s">
        <v>220</v>
      </c>
      <c r="F67" s="320" t="s">
        <v>354</v>
      </c>
      <c r="G67" s="321">
        <v>102</v>
      </c>
      <c r="H67" s="353"/>
      <c r="I67" s="75" t="s">
        <v>207</v>
      </c>
      <c r="J67" s="322">
        <v>123.43</v>
      </c>
      <c r="K67" s="75" t="s">
        <v>269</v>
      </c>
      <c r="L67" s="322">
        <v>1850</v>
      </c>
      <c r="M67" s="323">
        <f t="shared" si="10"/>
        <v>228345.5</v>
      </c>
      <c r="N67" s="324">
        <v>0</v>
      </c>
      <c r="O67" s="325">
        <f t="shared" si="11"/>
        <v>0</v>
      </c>
      <c r="P67" s="324">
        <v>0.16</v>
      </c>
      <c r="Q67" s="227">
        <f t="shared" si="12"/>
        <v>36535.279999999999</v>
      </c>
      <c r="R67" s="227">
        <f t="shared" si="13"/>
        <v>264880.78000000003</v>
      </c>
      <c r="S67" s="229">
        <f>INDEX('Glosario Partidas'!$M$8:$M$10,MATCH(K67,'Glosario Partidas'!$L$8:$L$10,0))</f>
        <v>1</v>
      </c>
      <c r="T67" s="227">
        <f t="shared" si="14"/>
        <v>264880.78000000003</v>
      </c>
      <c r="U67" s="321"/>
      <c r="V67" s="321" t="s">
        <v>13</v>
      </c>
      <c r="W67" s="321" t="s">
        <v>491</v>
      </c>
      <c r="X67" s="321"/>
    </row>
    <row r="68" spans="1:24" ht="15" customHeight="1" x14ac:dyDescent="0.2">
      <c r="A68" s="75"/>
      <c r="B68" s="211" t="s">
        <v>88</v>
      </c>
      <c r="C68" s="75" t="s">
        <v>768</v>
      </c>
      <c r="D68" s="320" t="s">
        <v>771</v>
      </c>
      <c r="E68" s="321" t="s">
        <v>220</v>
      </c>
      <c r="F68" s="320" t="s">
        <v>354</v>
      </c>
      <c r="G68" s="321">
        <v>102</v>
      </c>
      <c r="H68" s="353"/>
      <c r="I68" s="75" t="s">
        <v>207</v>
      </c>
      <c r="J68" s="322">
        <v>152.82</v>
      </c>
      <c r="K68" s="75" t="s">
        <v>269</v>
      </c>
      <c r="L68" s="322">
        <v>1850</v>
      </c>
      <c r="M68" s="323">
        <f t="shared" si="10"/>
        <v>282717</v>
      </c>
      <c r="N68" s="324">
        <v>0</v>
      </c>
      <c r="O68" s="325">
        <f t="shared" si="11"/>
        <v>0</v>
      </c>
      <c r="P68" s="324">
        <v>0.16</v>
      </c>
      <c r="Q68" s="227">
        <f t="shared" si="12"/>
        <v>45234.720000000001</v>
      </c>
      <c r="R68" s="227">
        <f t="shared" si="13"/>
        <v>327951.71999999997</v>
      </c>
      <c r="S68" s="229">
        <f>INDEX('Glosario Partidas'!$M$8:$M$10,MATCH(K68,'Glosario Partidas'!$L$8:$L$10,0))</f>
        <v>1</v>
      </c>
      <c r="T68" s="227">
        <f t="shared" si="14"/>
        <v>327951.71999999997</v>
      </c>
      <c r="U68" s="321"/>
      <c r="V68" s="321" t="s">
        <v>13</v>
      </c>
      <c r="W68" s="321" t="s">
        <v>491</v>
      </c>
      <c r="X68" s="321"/>
    </row>
    <row r="69" spans="1:24" ht="15" customHeight="1" x14ac:dyDescent="0.2">
      <c r="A69" s="75"/>
      <c r="B69" s="211" t="s">
        <v>88</v>
      </c>
      <c r="C69" s="75" t="s">
        <v>768</v>
      </c>
      <c r="D69" s="320" t="s">
        <v>192</v>
      </c>
      <c r="E69" s="321" t="s">
        <v>220</v>
      </c>
      <c r="F69" s="320" t="s">
        <v>354</v>
      </c>
      <c r="G69" s="321">
        <v>102</v>
      </c>
      <c r="H69" s="353"/>
      <c r="I69" s="75" t="s">
        <v>207</v>
      </c>
      <c r="J69" s="322">
        <v>55.66</v>
      </c>
      <c r="K69" s="75" t="s">
        <v>269</v>
      </c>
      <c r="L69" s="322">
        <v>1850</v>
      </c>
      <c r="M69" s="323">
        <f t="shared" si="10"/>
        <v>102971</v>
      </c>
      <c r="N69" s="324">
        <v>0</v>
      </c>
      <c r="O69" s="325">
        <f t="shared" si="11"/>
        <v>0</v>
      </c>
      <c r="P69" s="324">
        <v>0.16</v>
      </c>
      <c r="Q69" s="227">
        <f t="shared" si="12"/>
        <v>16475.36</v>
      </c>
      <c r="R69" s="227">
        <f t="shared" si="13"/>
        <v>119446.36</v>
      </c>
      <c r="S69" s="229">
        <f>INDEX('Glosario Partidas'!$M$8:$M$10,MATCH(K69,'Glosario Partidas'!$L$8:$L$10,0))</f>
        <v>1</v>
      </c>
      <c r="T69" s="227">
        <f t="shared" si="14"/>
        <v>119446.36</v>
      </c>
      <c r="U69" s="321"/>
      <c r="V69" s="321" t="s">
        <v>13</v>
      </c>
      <c r="W69" s="321" t="s">
        <v>491</v>
      </c>
      <c r="X69" s="321"/>
    </row>
    <row r="70" spans="1:24" ht="15" customHeight="1" x14ac:dyDescent="0.2">
      <c r="A70" s="75"/>
      <c r="B70" s="211" t="s">
        <v>88</v>
      </c>
      <c r="C70" s="75" t="s">
        <v>768</v>
      </c>
      <c r="D70" s="320" t="s">
        <v>769</v>
      </c>
      <c r="E70" s="321" t="s">
        <v>220</v>
      </c>
      <c r="F70" s="320" t="s">
        <v>354</v>
      </c>
      <c r="G70" s="321">
        <v>202</v>
      </c>
      <c r="H70" s="353"/>
      <c r="I70" s="75" t="s">
        <v>207</v>
      </c>
      <c r="J70" s="322">
        <v>231.09</v>
      </c>
      <c r="K70" s="75" t="s">
        <v>269</v>
      </c>
      <c r="L70" s="322">
        <v>1850</v>
      </c>
      <c r="M70" s="323">
        <f t="shared" si="10"/>
        <v>427516.5</v>
      </c>
      <c r="N70" s="324">
        <v>0</v>
      </c>
      <c r="O70" s="325">
        <f t="shared" si="11"/>
        <v>0</v>
      </c>
      <c r="P70" s="324">
        <v>0.16</v>
      </c>
      <c r="Q70" s="227">
        <f t="shared" si="12"/>
        <v>68402.64</v>
      </c>
      <c r="R70" s="227">
        <f t="shared" si="13"/>
        <v>495919.14</v>
      </c>
      <c r="S70" s="229">
        <f>INDEX('Glosario Partidas'!$M$8:$M$10,MATCH(K70,'Glosario Partidas'!$L$8:$L$10,0))</f>
        <v>1</v>
      </c>
      <c r="T70" s="227">
        <f t="shared" si="14"/>
        <v>495919.14</v>
      </c>
      <c r="U70" s="321"/>
      <c r="V70" s="321" t="s">
        <v>13</v>
      </c>
      <c r="W70" s="321" t="s">
        <v>491</v>
      </c>
      <c r="X70" s="321"/>
    </row>
    <row r="71" spans="1:24" ht="15" customHeight="1" x14ac:dyDescent="0.2">
      <c r="A71" s="75"/>
      <c r="B71" s="211" t="s">
        <v>88</v>
      </c>
      <c r="C71" s="75" t="s">
        <v>768</v>
      </c>
      <c r="D71" s="320" t="s">
        <v>770</v>
      </c>
      <c r="E71" s="321" t="s">
        <v>220</v>
      </c>
      <c r="F71" s="320" t="s">
        <v>354</v>
      </c>
      <c r="G71" s="321">
        <v>202</v>
      </c>
      <c r="H71" s="353"/>
      <c r="I71" s="75" t="s">
        <v>207</v>
      </c>
      <c r="J71" s="322">
        <v>123.43</v>
      </c>
      <c r="K71" s="75" t="s">
        <v>269</v>
      </c>
      <c r="L71" s="322">
        <v>1850</v>
      </c>
      <c r="M71" s="323">
        <f t="shared" si="10"/>
        <v>228345.5</v>
      </c>
      <c r="N71" s="324">
        <v>0</v>
      </c>
      <c r="O71" s="325">
        <f t="shared" si="11"/>
        <v>0</v>
      </c>
      <c r="P71" s="324">
        <v>0.16</v>
      </c>
      <c r="Q71" s="227">
        <f t="shared" si="12"/>
        <v>36535.279999999999</v>
      </c>
      <c r="R71" s="227">
        <f t="shared" si="13"/>
        <v>264880.78000000003</v>
      </c>
      <c r="S71" s="229">
        <f>INDEX('Glosario Partidas'!$M$8:$M$10,MATCH(K71,'Glosario Partidas'!$L$8:$L$10,0))</f>
        <v>1</v>
      </c>
      <c r="T71" s="227">
        <f t="shared" si="14"/>
        <v>264880.78000000003</v>
      </c>
      <c r="U71" s="321"/>
      <c r="V71" s="321" t="s">
        <v>13</v>
      </c>
      <c r="W71" s="321" t="s">
        <v>491</v>
      </c>
      <c r="X71" s="321"/>
    </row>
    <row r="72" spans="1:24" ht="15" customHeight="1" x14ac:dyDescent="0.2">
      <c r="A72" s="75"/>
      <c r="B72" s="211" t="s">
        <v>88</v>
      </c>
      <c r="C72" s="75" t="s">
        <v>768</v>
      </c>
      <c r="D72" s="320" t="s">
        <v>771</v>
      </c>
      <c r="E72" s="321" t="s">
        <v>220</v>
      </c>
      <c r="F72" s="320" t="s">
        <v>354</v>
      </c>
      <c r="G72" s="321">
        <v>202</v>
      </c>
      <c r="H72" s="353"/>
      <c r="I72" s="75" t="s">
        <v>207</v>
      </c>
      <c r="J72" s="322">
        <v>152.82</v>
      </c>
      <c r="K72" s="75" t="s">
        <v>269</v>
      </c>
      <c r="L72" s="322">
        <v>1850</v>
      </c>
      <c r="M72" s="323">
        <f t="shared" si="10"/>
        <v>282717</v>
      </c>
      <c r="N72" s="324">
        <v>0</v>
      </c>
      <c r="O72" s="325">
        <f t="shared" si="11"/>
        <v>0</v>
      </c>
      <c r="P72" s="324">
        <v>0.16</v>
      </c>
      <c r="Q72" s="227">
        <f t="shared" si="12"/>
        <v>45234.720000000001</v>
      </c>
      <c r="R72" s="227">
        <f t="shared" si="13"/>
        <v>327951.71999999997</v>
      </c>
      <c r="S72" s="229">
        <f>INDEX('Glosario Partidas'!$M$8:$M$10,MATCH(K72,'Glosario Partidas'!$L$8:$L$10,0))</f>
        <v>1</v>
      </c>
      <c r="T72" s="227">
        <f t="shared" si="14"/>
        <v>327951.71999999997</v>
      </c>
      <c r="U72" s="321"/>
      <c r="V72" s="321" t="s">
        <v>13</v>
      </c>
      <c r="W72" s="321" t="s">
        <v>491</v>
      </c>
      <c r="X72" s="321"/>
    </row>
    <row r="73" spans="1:24" ht="15" customHeight="1" x14ac:dyDescent="0.2">
      <c r="A73" s="75"/>
      <c r="B73" s="211" t="s">
        <v>88</v>
      </c>
      <c r="C73" s="75" t="s">
        <v>768</v>
      </c>
      <c r="D73" s="320" t="s">
        <v>192</v>
      </c>
      <c r="E73" s="321" t="s">
        <v>220</v>
      </c>
      <c r="F73" s="320" t="s">
        <v>354</v>
      </c>
      <c r="G73" s="321">
        <v>202</v>
      </c>
      <c r="H73" s="353"/>
      <c r="I73" s="75" t="s">
        <v>207</v>
      </c>
      <c r="J73" s="322">
        <v>55.66</v>
      </c>
      <c r="K73" s="75" t="s">
        <v>269</v>
      </c>
      <c r="L73" s="322">
        <v>1850</v>
      </c>
      <c r="M73" s="323">
        <f t="shared" si="10"/>
        <v>102971</v>
      </c>
      <c r="N73" s="324">
        <v>0</v>
      </c>
      <c r="O73" s="325">
        <f t="shared" si="11"/>
        <v>0</v>
      </c>
      <c r="P73" s="324">
        <v>0.16</v>
      </c>
      <c r="Q73" s="227">
        <f t="shared" si="12"/>
        <v>16475.36</v>
      </c>
      <c r="R73" s="227">
        <f t="shared" si="13"/>
        <v>119446.36</v>
      </c>
      <c r="S73" s="229">
        <f>INDEX('Glosario Partidas'!$M$8:$M$10,MATCH(K73,'Glosario Partidas'!$L$8:$L$10,0))</f>
        <v>1</v>
      </c>
      <c r="T73" s="227">
        <f t="shared" si="14"/>
        <v>119446.36</v>
      </c>
      <c r="U73" s="321"/>
      <c r="V73" s="321" t="s">
        <v>13</v>
      </c>
      <c r="W73" s="321" t="s">
        <v>491</v>
      </c>
      <c r="X73" s="321"/>
    </row>
    <row r="74" spans="1:24" ht="15" customHeight="1" x14ac:dyDescent="0.2">
      <c r="A74" s="75"/>
      <c r="B74" s="211" t="s">
        <v>88</v>
      </c>
      <c r="C74" s="75" t="s">
        <v>768</v>
      </c>
      <c r="D74" s="320" t="s">
        <v>769</v>
      </c>
      <c r="E74" s="321" t="s">
        <v>220</v>
      </c>
      <c r="F74" s="320" t="s">
        <v>355</v>
      </c>
      <c r="G74" s="321">
        <v>103</v>
      </c>
      <c r="H74" s="353"/>
      <c r="I74" s="75" t="s">
        <v>207</v>
      </c>
      <c r="J74" s="322">
        <v>29.12</v>
      </c>
      <c r="K74" s="75" t="s">
        <v>269</v>
      </c>
      <c r="L74" s="322">
        <v>1850</v>
      </c>
      <c r="M74" s="323">
        <f t="shared" si="10"/>
        <v>53872</v>
      </c>
      <c r="N74" s="324">
        <v>0</v>
      </c>
      <c r="O74" s="325">
        <f t="shared" si="11"/>
        <v>0</v>
      </c>
      <c r="P74" s="324">
        <v>0.16</v>
      </c>
      <c r="Q74" s="227">
        <f t="shared" si="12"/>
        <v>8619.52</v>
      </c>
      <c r="R74" s="227">
        <f t="shared" si="13"/>
        <v>62491.520000000004</v>
      </c>
      <c r="S74" s="229">
        <f>INDEX('Glosario Partidas'!$M$8:$M$10,MATCH(K74,'Glosario Partidas'!$L$8:$L$10,0))</f>
        <v>1</v>
      </c>
      <c r="T74" s="227">
        <f t="shared" si="14"/>
        <v>62491.520000000004</v>
      </c>
      <c r="U74" s="321"/>
      <c r="V74" s="321" t="s">
        <v>13</v>
      </c>
      <c r="W74" s="321" t="s">
        <v>491</v>
      </c>
      <c r="X74" s="321"/>
    </row>
    <row r="75" spans="1:24" ht="15" customHeight="1" x14ac:dyDescent="0.2">
      <c r="A75" s="75"/>
      <c r="B75" s="211" t="s">
        <v>88</v>
      </c>
      <c r="C75" s="75" t="s">
        <v>768</v>
      </c>
      <c r="D75" s="320" t="s">
        <v>770</v>
      </c>
      <c r="E75" s="321" t="s">
        <v>220</v>
      </c>
      <c r="F75" s="320" t="s">
        <v>355</v>
      </c>
      <c r="G75" s="321">
        <v>103</v>
      </c>
      <c r="H75" s="353"/>
      <c r="I75" s="75" t="s">
        <v>207</v>
      </c>
      <c r="J75" s="322">
        <v>0</v>
      </c>
      <c r="K75" s="75" t="s">
        <v>269</v>
      </c>
      <c r="L75" s="322">
        <v>1850</v>
      </c>
      <c r="M75" s="323">
        <f t="shared" si="10"/>
        <v>0</v>
      </c>
      <c r="N75" s="324">
        <v>0</v>
      </c>
      <c r="O75" s="325">
        <f t="shared" si="11"/>
        <v>0</v>
      </c>
      <c r="P75" s="324">
        <v>0.16</v>
      </c>
      <c r="Q75" s="227">
        <f t="shared" si="12"/>
        <v>0</v>
      </c>
      <c r="R75" s="227">
        <f t="shared" si="13"/>
        <v>0</v>
      </c>
      <c r="S75" s="229">
        <f>INDEX('Glosario Partidas'!$M$8:$M$10,MATCH(K75,'Glosario Partidas'!$L$8:$L$10,0))</f>
        <v>1</v>
      </c>
      <c r="T75" s="227">
        <f t="shared" si="14"/>
        <v>0</v>
      </c>
      <c r="U75" s="321"/>
      <c r="V75" s="321" t="s">
        <v>13</v>
      </c>
      <c r="W75" s="321" t="s">
        <v>491</v>
      </c>
      <c r="X75" s="321"/>
    </row>
    <row r="76" spans="1:24" ht="15" customHeight="1" x14ac:dyDescent="0.2">
      <c r="A76" s="75"/>
      <c r="B76" s="211" t="s">
        <v>88</v>
      </c>
      <c r="C76" s="75" t="s">
        <v>768</v>
      </c>
      <c r="D76" s="320" t="s">
        <v>771</v>
      </c>
      <c r="E76" s="321" t="s">
        <v>220</v>
      </c>
      <c r="F76" s="320" t="s">
        <v>355</v>
      </c>
      <c r="G76" s="321">
        <v>103</v>
      </c>
      <c r="H76" s="353"/>
      <c r="I76" s="75" t="s">
        <v>207</v>
      </c>
      <c r="J76" s="322">
        <v>34.9</v>
      </c>
      <c r="K76" s="75" t="s">
        <v>269</v>
      </c>
      <c r="L76" s="322">
        <v>1850</v>
      </c>
      <c r="M76" s="323">
        <f t="shared" si="10"/>
        <v>64565</v>
      </c>
      <c r="N76" s="324">
        <v>0</v>
      </c>
      <c r="O76" s="325">
        <f t="shared" si="11"/>
        <v>0</v>
      </c>
      <c r="P76" s="324">
        <v>0.16</v>
      </c>
      <c r="Q76" s="227">
        <f t="shared" si="12"/>
        <v>10330.4</v>
      </c>
      <c r="R76" s="227">
        <f t="shared" si="13"/>
        <v>74895.399999999994</v>
      </c>
      <c r="S76" s="229">
        <f>INDEX('Glosario Partidas'!$M$8:$M$10,MATCH(K76,'Glosario Partidas'!$L$8:$L$10,0))</f>
        <v>1</v>
      </c>
      <c r="T76" s="227">
        <f t="shared" si="14"/>
        <v>74895.399999999994</v>
      </c>
      <c r="U76" s="321"/>
      <c r="V76" s="321" t="s">
        <v>13</v>
      </c>
      <c r="W76" s="321" t="s">
        <v>491</v>
      </c>
      <c r="X76" s="321"/>
    </row>
    <row r="77" spans="1:24" ht="15" customHeight="1" x14ac:dyDescent="0.2">
      <c r="A77" s="75"/>
      <c r="B77" s="211" t="s">
        <v>88</v>
      </c>
      <c r="C77" s="75" t="s">
        <v>768</v>
      </c>
      <c r="D77" s="320" t="s">
        <v>192</v>
      </c>
      <c r="E77" s="321" t="s">
        <v>220</v>
      </c>
      <c r="F77" s="320" t="s">
        <v>355</v>
      </c>
      <c r="G77" s="321">
        <v>103</v>
      </c>
      <c r="H77" s="353"/>
      <c r="I77" s="75" t="s">
        <v>207</v>
      </c>
      <c r="J77" s="322">
        <v>147</v>
      </c>
      <c r="K77" s="75" t="s">
        <v>269</v>
      </c>
      <c r="L77" s="322">
        <v>1850</v>
      </c>
      <c r="M77" s="323">
        <f t="shared" si="10"/>
        <v>271950</v>
      </c>
      <c r="N77" s="324">
        <v>0</v>
      </c>
      <c r="O77" s="325">
        <f t="shared" si="11"/>
        <v>0</v>
      </c>
      <c r="P77" s="324">
        <v>0.16</v>
      </c>
      <c r="Q77" s="227">
        <f t="shared" si="12"/>
        <v>43512</v>
      </c>
      <c r="R77" s="227">
        <f t="shared" si="13"/>
        <v>315462</v>
      </c>
      <c r="S77" s="229">
        <f>INDEX('Glosario Partidas'!$M$8:$M$10,MATCH(K77,'Glosario Partidas'!$L$8:$L$10,0))</f>
        <v>1</v>
      </c>
      <c r="T77" s="227">
        <f t="shared" si="14"/>
        <v>315462</v>
      </c>
      <c r="U77" s="321"/>
      <c r="V77" s="321" t="s">
        <v>13</v>
      </c>
      <c r="W77" s="321" t="s">
        <v>491</v>
      </c>
      <c r="X77" s="321"/>
    </row>
    <row r="78" spans="1:24" ht="15" customHeight="1" x14ac:dyDescent="0.2">
      <c r="A78" s="75"/>
      <c r="B78" s="211" t="s">
        <v>88</v>
      </c>
      <c r="C78" s="75" t="s">
        <v>768</v>
      </c>
      <c r="D78" s="320" t="s">
        <v>769</v>
      </c>
      <c r="E78" s="321" t="s">
        <v>220</v>
      </c>
      <c r="F78" s="320" t="s">
        <v>355</v>
      </c>
      <c r="G78" s="321">
        <v>203</v>
      </c>
      <c r="H78" s="353"/>
      <c r="I78" s="75" t="s">
        <v>207</v>
      </c>
      <c r="J78" s="322">
        <v>29.12</v>
      </c>
      <c r="K78" s="75" t="s">
        <v>269</v>
      </c>
      <c r="L78" s="322">
        <v>1850</v>
      </c>
      <c r="M78" s="323">
        <f t="shared" si="10"/>
        <v>53872</v>
      </c>
      <c r="N78" s="324">
        <v>0</v>
      </c>
      <c r="O78" s="325">
        <f t="shared" si="11"/>
        <v>0</v>
      </c>
      <c r="P78" s="324">
        <v>0.16</v>
      </c>
      <c r="Q78" s="227">
        <f t="shared" si="12"/>
        <v>8619.52</v>
      </c>
      <c r="R78" s="227">
        <f t="shared" si="13"/>
        <v>62491.520000000004</v>
      </c>
      <c r="S78" s="229">
        <f>INDEX('Glosario Partidas'!$M$8:$M$10,MATCH(K78,'Glosario Partidas'!$L$8:$L$10,0))</f>
        <v>1</v>
      </c>
      <c r="T78" s="227">
        <f t="shared" si="14"/>
        <v>62491.520000000004</v>
      </c>
      <c r="U78" s="321"/>
      <c r="V78" s="321" t="s">
        <v>13</v>
      </c>
      <c r="W78" s="321" t="s">
        <v>491</v>
      </c>
      <c r="X78" s="321"/>
    </row>
    <row r="79" spans="1:24" ht="15" customHeight="1" x14ac:dyDescent="0.2">
      <c r="A79" s="75"/>
      <c r="B79" s="211" t="s">
        <v>88</v>
      </c>
      <c r="C79" s="75" t="s">
        <v>768</v>
      </c>
      <c r="D79" s="320" t="s">
        <v>770</v>
      </c>
      <c r="E79" s="321" t="s">
        <v>220</v>
      </c>
      <c r="F79" s="320" t="s">
        <v>355</v>
      </c>
      <c r="G79" s="321">
        <v>203</v>
      </c>
      <c r="H79" s="353"/>
      <c r="I79" s="75" t="s">
        <v>207</v>
      </c>
      <c r="J79" s="322">
        <v>0</v>
      </c>
      <c r="K79" s="75" t="s">
        <v>269</v>
      </c>
      <c r="L79" s="322">
        <v>1850</v>
      </c>
      <c r="M79" s="323">
        <f t="shared" si="10"/>
        <v>0</v>
      </c>
      <c r="N79" s="324">
        <v>0</v>
      </c>
      <c r="O79" s="325">
        <f t="shared" si="11"/>
        <v>0</v>
      </c>
      <c r="P79" s="324">
        <v>0.16</v>
      </c>
      <c r="Q79" s="227">
        <f t="shared" si="12"/>
        <v>0</v>
      </c>
      <c r="R79" s="227">
        <f t="shared" si="13"/>
        <v>0</v>
      </c>
      <c r="S79" s="229">
        <f>INDEX('Glosario Partidas'!$M$8:$M$10,MATCH(K79,'Glosario Partidas'!$L$8:$L$10,0))</f>
        <v>1</v>
      </c>
      <c r="T79" s="227">
        <f t="shared" si="14"/>
        <v>0</v>
      </c>
      <c r="U79" s="321"/>
      <c r="V79" s="321" t="s">
        <v>13</v>
      </c>
      <c r="W79" s="321" t="s">
        <v>491</v>
      </c>
      <c r="X79" s="321"/>
    </row>
    <row r="80" spans="1:24" ht="15" customHeight="1" x14ac:dyDescent="0.2">
      <c r="A80" s="75"/>
      <c r="B80" s="211" t="s">
        <v>88</v>
      </c>
      <c r="C80" s="75" t="s">
        <v>768</v>
      </c>
      <c r="D80" s="320" t="s">
        <v>771</v>
      </c>
      <c r="E80" s="321" t="s">
        <v>220</v>
      </c>
      <c r="F80" s="320" t="s">
        <v>355</v>
      </c>
      <c r="G80" s="321">
        <v>203</v>
      </c>
      <c r="H80" s="353"/>
      <c r="I80" s="75" t="s">
        <v>207</v>
      </c>
      <c r="J80" s="322">
        <v>34.9</v>
      </c>
      <c r="K80" s="75" t="s">
        <v>269</v>
      </c>
      <c r="L80" s="322">
        <v>1850</v>
      </c>
      <c r="M80" s="323">
        <f t="shared" si="10"/>
        <v>64565</v>
      </c>
      <c r="N80" s="324">
        <v>0</v>
      </c>
      <c r="O80" s="325">
        <f t="shared" si="11"/>
        <v>0</v>
      </c>
      <c r="P80" s="324">
        <v>0.16</v>
      </c>
      <c r="Q80" s="227">
        <f t="shared" si="12"/>
        <v>10330.4</v>
      </c>
      <c r="R80" s="227">
        <f t="shared" si="13"/>
        <v>74895.399999999994</v>
      </c>
      <c r="S80" s="229">
        <f>INDEX('Glosario Partidas'!$M$8:$M$10,MATCH(K80,'Glosario Partidas'!$L$8:$L$10,0))</f>
        <v>1</v>
      </c>
      <c r="T80" s="227">
        <f t="shared" si="14"/>
        <v>74895.399999999994</v>
      </c>
      <c r="U80" s="321"/>
      <c r="V80" s="321" t="s">
        <v>13</v>
      </c>
      <c r="W80" s="321" t="s">
        <v>491</v>
      </c>
      <c r="X80" s="321"/>
    </row>
    <row r="81" spans="1:24" ht="15" customHeight="1" x14ac:dyDescent="0.2">
      <c r="A81" s="75"/>
      <c r="B81" s="211" t="s">
        <v>88</v>
      </c>
      <c r="C81" s="75" t="s">
        <v>768</v>
      </c>
      <c r="D81" s="320" t="s">
        <v>192</v>
      </c>
      <c r="E81" s="321" t="s">
        <v>220</v>
      </c>
      <c r="F81" s="320" t="s">
        <v>355</v>
      </c>
      <c r="G81" s="321">
        <v>203</v>
      </c>
      <c r="H81" s="353"/>
      <c r="I81" s="75" t="s">
        <v>207</v>
      </c>
      <c r="J81" s="322">
        <v>147</v>
      </c>
      <c r="K81" s="75" t="s">
        <v>269</v>
      </c>
      <c r="L81" s="322">
        <v>1850</v>
      </c>
      <c r="M81" s="323">
        <f t="shared" si="10"/>
        <v>271950</v>
      </c>
      <c r="N81" s="324">
        <v>0</v>
      </c>
      <c r="O81" s="325">
        <f t="shared" si="11"/>
        <v>0</v>
      </c>
      <c r="P81" s="324">
        <v>0.16</v>
      </c>
      <c r="Q81" s="227">
        <f t="shared" si="12"/>
        <v>43512</v>
      </c>
      <c r="R81" s="227">
        <f t="shared" si="13"/>
        <v>315462</v>
      </c>
      <c r="S81" s="229">
        <f>INDEX('Glosario Partidas'!$M$8:$M$10,MATCH(K81,'Glosario Partidas'!$L$8:$L$10,0))</f>
        <v>1</v>
      </c>
      <c r="T81" s="227">
        <f t="shared" si="14"/>
        <v>315462</v>
      </c>
      <c r="U81" s="321"/>
      <c r="V81" s="321" t="s">
        <v>13</v>
      </c>
      <c r="W81" s="321" t="s">
        <v>491</v>
      </c>
      <c r="X81" s="321"/>
    </row>
    <row r="82" spans="1:24" ht="15" customHeight="1" x14ac:dyDescent="0.2">
      <c r="A82" s="75"/>
      <c r="B82" s="211" t="s">
        <v>88</v>
      </c>
      <c r="C82" s="75" t="s">
        <v>768</v>
      </c>
      <c r="D82" s="320" t="s">
        <v>769</v>
      </c>
      <c r="E82" s="321" t="s">
        <v>229</v>
      </c>
      <c r="F82" s="320" t="s">
        <v>221</v>
      </c>
      <c r="G82" s="321">
        <v>301</v>
      </c>
      <c r="H82" s="353"/>
      <c r="I82" s="75" t="s">
        <v>207</v>
      </c>
      <c r="J82" s="322">
        <v>231.09</v>
      </c>
      <c r="K82" s="75" t="s">
        <v>269</v>
      </c>
      <c r="L82" s="322">
        <v>1850</v>
      </c>
      <c r="M82" s="323">
        <f t="shared" si="10"/>
        <v>427516.5</v>
      </c>
      <c r="N82" s="324">
        <v>0</v>
      </c>
      <c r="O82" s="325">
        <f t="shared" si="11"/>
        <v>0</v>
      </c>
      <c r="P82" s="324">
        <v>0.16</v>
      </c>
      <c r="Q82" s="227">
        <f t="shared" si="12"/>
        <v>68402.64</v>
      </c>
      <c r="R82" s="227">
        <f t="shared" si="13"/>
        <v>495919.14</v>
      </c>
      <c r="S82" s="229">
        <f>INDEX('Glosario Partidas'!$M$8:$M$10,MATCH(K82,'Glosario Partidas'!$L$8:$L$10,0))</f>
        <v>1</v>
      </c>
      <c r="T82" s="227">
        <f t="shared" si="14"/>
        <v>495919.14</v>
      </c>
      <c r="U82" s="321"/>
      <c r="V82" s="321" t="s">
        <v>13</v>
      </c>
      <c r="W82" s="321" t="s">
        <v>491</v>
      </c>
      <c r="X82" s="321"/>
    </row>
    <row r="83" spans="1:24" ht="15" customHeight="1" x14ac:dyDescent="0.2">
      <c r="A83" s="75"/>
      <c r="B83" s="211" t="s">
        <v>88</v>
      </c>
      <c r="C83" s="75" t="s">
        <v>768</v>
      </c>
      <c r="D83" s="320" t="s">
        <v>770</v>
      </c>
      <c r="E83" s="321" t="s">
        <v>229</v>
      </c>
      <c r="F83" s="320" t="s">
        <v>221</v>
      </c>
      <c r="G83" s="321">
        <v>301</v>
      </c>
      <c r="H83" s="353"/>
      <c r="I83" s="75" t="s">
        <v>207</v>
      </c>
      <c r="J83" s="322">
        <v>130.27000000000001</v>
      </c>
      <c r="K83" s="75" t="s">
        <v>269</v>
      </c>
      <c r="L83" s="322">
        <v>1850</v>
      </c>
      <c r="M83" s="323">
        <f t="shared" si="10"/>
        <v>240999.50000000003</v>
      </c>
      <c r="N83" s="324">
        <v>0</v>
      </c>
      <c r="O83" s="325">
        <f t="shared" si="11"/>
        <v>0</v>
      </c>
      <c r="P83" s="324">
        <v>0.16</v>
      </c>
      <c r="Q83" s="227">
        <f t="shared" si="12"/>
        <v>38559.920000000006</v>
      </c>
      <c r="R83" s="227">
        <f t="shared" si="13"/>
        <v>279559.42000000004</v>
      </c>
      <c r="S83" s="229">
        <f>INDEX('Glosario Partidas'!$M$8:$M$10,MATCH(K83,'Glosario Partidas'!$L$8:$L$10,0))</f>
        <v>1</v>
      </c>
      <c r="T83" s="227">
        <f t="shared" si="14"/>
        <v>279559.42000000004</v>
      </c>
      <c r="U83" s="321"/>
      <c r="V83" s="321" t="s">
        <v>13</v>
      </c>
      <c r="W83" s="321" t="s">
        <v>491</v>
      </c>
      <c r="X83" s="321"/>
    </row>
    <row r="84" spans="1:24" ht="15" customHeight="1" x14ac:dyDescent="0.2">
      <c r="A84" s="75"/>
      <c r="B84" s="211" t="s">
        <v>88</v>
      </c>
      <c r="C84" s="75" t="s">
        <v>768</v>
      </c>
      <c r="D84" s="320" t="s">
        <v>771</v>
      </c>
      <c r="E84" s="321" t="s">
        <v>229</v>
      </c>
      <c r="F84" s="320" t="s">
        <v>221</v>
      </c>
      <c r="G84" s="321">
        <v>301</v>
      </c>
      <c r="H84" s="353"/>
      <c r="I84" s="75" t="s">
        <v>207</v>
      </c>
      <c r="J84" s="322">
        <v>140.44</v>
      </c>
      <c r="K84" s="75" t="s">
        <v>269</v>
      </c>
      <c r="L84" s="322">
        <v>1850</v>
      </c>
      <c r="M84" s="323">
        <f t="shared" si="10"/>
        <v>259814</v>
      </c>
      <c r="N84" s="324">
        <v>0</v>
      </c>
      <c r="O84" s="325">
        <f t="shared" si="11"/>
        <v>0</v>
      </c>
      <c r="P84" s="324">
        <v>0.16</v>
      </c>
      <c r="Q84" s="227">
        <f t="shared" si="12"/>
        <v>41570.239999999998</v>
      </c>
      <c r="R84" s="227">
        <f t="shared" si="13"/>
        <v>301384.24</v>
      </c>
      <c r="S84" s="229">
        <f>INDEX('Glosario Partidas'!$M$8:$M$10,MATCH(K84,'Glosario Partidas'!$L$8:$L$10,0))</f>
        <v>1</v>
      </c>
      <c r="T84" s="227">
        <f t="shared" si="14"/>
        <v>301384.24</v>
      </c>
      <c r="U84" s="321"/>
      <c r="V84" s="321" t="s">
        <v>13</v>
      </c>
      <c r="W84" s="321" t="s">
        <v>491</v>
      </c>
      <c r="X84" s="321"/>
    </row>
    <row r="85" spans="1:24" ht="15" customHeight="1" x14ac:dyDescent="0.2">
      <c r="A85" s="75"/>
      <c r="B85" s="211" t="s">
        <v>88</v>
      </c>
      <c r="C85" s="75" t="s">
        <v>768</v>
      </c>
      <c r="D85" s="320" t="s">
        <v>192</v>
      </c>
      <c r="E85" s="321" t="s">
        <v>229</v>
      </c>
      <c r="F85" s="320" t="s">
        <v>221</v>
      </c>
      <c r="G85" s="321">
        <v>301</v>
      </c>
      <c r="H85" s="353"/>
      <c r="I85" s="75" t="s">
        <v>207</v>
      </c>
      <c r="J85" s="322">
        <v>196</v>
      </c>
      <c r="K85" s="75" t="s">
        <v>269</v>
      </c>
      <c r="L85" s="322">
        <v>1850</v>
      </c>
      <c r="M85" s="323">
        <f t="shared" si="10"/>
        <v>362600</v>
      </c>
      <c r="N85" s="324">
        <v>0</v>
      </c>
      <c r="O85" s="325">
        <f t="shared" si="11"/>
        <v>0</v>
      </c>
      <c r="P85" s="324">
        <v>0.16</v>
      </c>
      <c r="Q85" s="227">
        <f t="shared" si="12"/>
        <v>58016</v>
      </c>
      <c r="R85" s="227">
        <f t="shared" si="13"/>
        <v>420616</v>
      </c>
      <c r="S85" s="229">
        <f>INDEX('Glosario Partidas'!$M$8:$M$10,MATCH(K85,'Glosario Partidas'!$L$8:$L$10,0))</f>
        <v>1</v>
      </c>
      <c r="T85" s="227">
        <f t="shared" si="14"/>
        <v>420616</v>
      </c>
      <c r="U85" s="321"/>
      <c r="V85" s="321" t="s">
        <v>13</v>
      </c>
      <c r="W85" s="321" t="s">
        <v>491</v>
      </c>
      <c r="X85" s="321"/>
    </row>
    <row r="86" spans="1:24" ht="15" customHeight="1" x14ac:dyDescent="0.2">
      <c r="A86" s="75"/>
      <c r="B86" s="211" t="s">
        <v>88</v>
      </c>
      <c r="C86" s="75" t="s">
        <v>768</v>
      </c>
      <c r="D86" s="320" t="s">
        <v>769</v>
      </c>
      <c r="E86" s="321" t="s">
        <v>229</v>
      </c>
      <c r="F86" s="320" t="s">
        <v>221</v>
      </c>
      <c r="G86" s="321">
        <v>401</v>
      </c>
      <c r="H86" s="353"/>
      <c r="I86" s="75" t="s">
        <v>207</v>
      </c>
      <c r="J86" s="322">
        <v>231.09</v>
      </c>
      <c r="K86" s="75" t="s">
        <v>269</v>
      </c>
      <c r="L86" s="322">
        <v>1850</v>
      </c>
      <c r="M86" s="323">
        <f t="shared" si="10"/>
        <v>427516.5</v>
      </c>
      <c r="N86" s="324">
        <v>0</v>
      </c>
      <c r="O86" s="325">
        <f t="shared" si="11"/>
        <v>0</v>
      </c>
      <c r="P86" s="324">
        <v>0.16</v>
      </c>
      <c r="Q86" s="227">
        <f t="shared" si="12"/>
        <v>68402.64</v>
      </c>
      <c r="R86" s="227">
        <f t="shared" si="13"/>
        <v>495919.14</v>
      </c>
      <c r="S86" s="229">
        <f>INDEX('Glosario Partidas'!$M$8:$M$10,MATCH(K86,'Glosario Partidas'!$L$8:$L$10,0))</f>
        <v>1</v>
      </c>
      <c r="T86" s="227">
        <f t="shared" si="14"/>
        <v>495919.14</v>
      </c>
      <c r="U86" s="321"/>
      <c r="V86" s="321" t="s">
        <v>13</v>
      </c>
      <c r="W86" s="321" t="s">
        <v>491</v>
      </c>
      <c r="X86" s="321"/>
    </row>
    <row r="87" spans="1:24" ht="15" customHeight="1" x14ac:dyDescent="0.2">
      <c r="A87" s="75"/>
      <c r="B87" s="211" t="s">
        <v>88</v>
      </c>
      <c r="C87" s="75" t="s">
        <v>768</v>
      </c>
      <c r="D87" s="320" t="s">
        <v>770</v>
      </c>
      <c r="E87" s="321" t="s">
        <v>229</v>
      </c>
      <c r="F87" s="320" t="s">
        <v>221</v>
      </c>
      <c r="G87" s="321">
        <v>401</v>
      </c>
      <c r="H87" s="353"/>
      <c r="I87" s="75" t="s">
        <v>207</v>
      </c>
      <c r="J87" s="322">
        <v>130.27000000000001</v>
      </c>
      <c r="K87" s="75" t="s">
        <v>269</v>
      </c>
      <c r="L87" s="322">
        <v>1850</v>
      </c>
      <c r="M87" s="323">
        <f t="shared" si="10"/>
        <v>240999.50000000003</v>
      </c>
      <c r="N87" s="324">
        <v>0</v>
      </c>
      <c r="O87" s="325">
        <f t="shared" si="11"/>
        <v>0</v>
      </c>
      <c r="P87" s="324">
        <v>0.16</v>
      </c>
      <c r="Q87" s="227">
        <f t="shared" si="12"/>
        <v>38559.920000000006</v>
      </c>
      <c r="R87" s="227">
        <f t="shared" si="13"/>
        <v>279559.42000000004</v>
      </c>
      <c r="S87" s="229">
        <f>INDEX('Glosario Partidas'!$M$8:$M$10,MATCH(K87,'Glosario Partidas'!$L$8:$L$10,0))</f>
        <v>1</v>
      </c>
      <c r="T87" s="227">
        <f t="shared" si="14"/>
        <v>279559.42000000004</v>
      </c>
      <c r="U87" s="321"/>
      <c r="V87" s="321" t="s">
        <v>13</v>
      </c>
      <c r="W87" s="321" t="s">
        <v>491</v>
      </c>
      <c r="X87" s="321"/>
    </row>
    <row r="88" spans="1:24" ht="15" customHeight="1" x14ac:dyDescent="0.2">
      <c r="A88" s="75"/>
      <c r="B88" s="211" t="s">
        <v>88</v>
      </c>
      <c r="C88" s="75" t="s">
        <v>768</v>
      </c>
      <c r="D88" s="320" t="s">
        <v>771</v>
      </c>
      <c r="E88" s="321" t="s">
        <v>229</v>
      </c>
      <c r="F88" s="320" t="s">
        <v>221</v>
      </c>
      <c r="G88" s="321">
        <v>401</v>
      </c>
      <c r="H88" s="353"/>
      <c r="I88" s="75" t="s">
        <v>207</v>
      </c>
      <c r="J88" s="322">
        <v>140.44</v>
      </c>
      <c r="K88" s="75" t="s">
        <v>269</v>
      </c>
      <c r="L88" s="322">
        <v>1850</v>
      </c>
      <c r="M88" s="323">
        <f t="shared" si="10"/>
        <v>259814</v>
      </c>
      <c r="N88" s="324">
        <v>0</v>
      </c>
      <c r="O88" s="325">
        <f t="shared" si="11"/>
        <v>0</v>
      </c>
      <c r="P88" s="324">
        <v>0.16</v>
      </c>
      <c r="Q88" s="227">
        <f t="shared" si="12"/>
        <v>41570.239999999998</v>
      </c>
      <c r="R88" s="227">
        <f t="shared" si="13"/>
        <v>301384.24</v>
      </c>
      <c r="S88" s="229">
        <f>INDEX('Glosario Partidas'!$M$8:$M$10,MATCH(K88,'Glosario Partidas'!$L$8:$L$10,0))</f>
        <v>1</v>
      </c>
      <c r="T88" s="227">
        <f t="shared" si="14"/>
        <v>301384.24</v>
      </c>
      <c r="U88" s="321"/>
      <c r="V88" s="321" t="s">
        <v>13</v>
      </c>
      <c r="W88" s="321" t="s">
        <v>491</v>
      </c>
      <c r="X88" s="321"/>
    </row>
    <row r="89" spans="1:24" ht="15" customHeight="1" x14ac:dyDescent="0.2">
      <c r="A89" s="75"/>
      <c r="B89" s="211" t="s">
        <v>88</v>
      </c>
      <c r="C89" s="75" t="s">
        <v>768</v>
      </c>
      <c r="D89" s="320" t="s">
        <v>192</v>
      </c>
      <c r="E89" s="321" t="s">
        <v>229</v>
      </c>
      <c r="F89" s="320" t="s">
        <v>221</v>
      </c>
      <c r="G89" s="321">
        <v>401</v>
      </c>
      <c r="H89" s="353"/>
      <c r="I89" s="75" t="s">
        <v>207</v>
      </c>
      <c r="J89" s="322">
        <v>196</v>
      </c>
      <c r="K89" s="75" t="s">
        <v>269</v>
      </c>
      <c r="L89" s="322">
        <v>1850</v>
      </c>
      <c r="M89" s="323">
        <f t="shared" si="10"/>
        <v>362600</v>
      </c>
      <c r="N89" s="324">
        <v>0</v>
      </c>
      <c r="O89" s="325">
        <f t="shared" si="11"/>
        <v>0</v>
      </c>
      <c r="P89" s="324">
        <v>0.16</v>
      </c>
      <c r="Q89" s="227">
        <f t="shared" si="12"/>
        <v>58016</v>
      </c>
      <c r="R89" s="227">
        <f t="shared" si="13"/>
        <v>420616</v>
      </c>
      <c r="S89" s="229">
        <f>INDEX('Glosario Partidas'!$M$8:$M$10,MATCH(K89,'Glosario Partidas'!$L$8:$L$10,0))</f>
        <v>1</v>
      </c>
      <c r="T89" s="227">
        <f t="shared" si="14"/>
        <v>420616</v>
      </c>
      <c r="U89" s="321"/>
      <c r="V89" s="321" t="s">
        <v>13</v>
      </c>
      <c r="W89" s="321" t="s">
        <v>491</v>
      </c>
      <c r="X89" s="321"/>
    </row>
    <row r="90" spans="1:24" ht="15" customHeight="1" x14ac:dyDescent="0.2">
      <c r="A90" s="75">
        <v>5</v>
      </c>
      <c r="B90" s="211" t="s">
        <v>88</v>
      </c>
      <c r="C90" s="75" t="s">
        <v>768</v>
      </c>
      <c r="D90" s="320" t="s">
        <v>769</v>
      </c>
      <c r="E90" s="321" t="s">
        <v>229</v>
      </c>
      <c r="F90" s="320" t="s">
        <v>221</v>
      </c>
      <c r="G90" s="321">
        <v>401</v>
      </c>
      <c r="H90" s="353"/>
      <c r="I90" s="75" t="s">
        <v>207</v>
      </c>
      <c r="J90" s="322">
        <v>46.98</v>
      </c>
      <c r="K90" s="75" t="s">
        <v>269</v>
      </c>
      <c r="L90" s="322"/>
      <c r="M90" s="323">
        <f t="shared" si="10"/>
        <v>0</v>
      </c>
      <c r="N90" s="324">
        <v>0</v>
      </c>
      <c r="O90" s="325">
        <f t="shared" si="11"/>
        <v>0</v>
      </c>
      <c r="P90" s="324">
        <v>0.16</v>
      </c>
      <c r="Q90" s="227">
        <f t="shared" si="12"/>
        <v>0</v>
      </c>
      <c r="R90" s="227">
        <f t="shared" si="13"/>
        <v>0</v>
      </c>
      <c r="S90" s="229">
        <f>INDEX('Glosario Partidas'!$M$8:$M$10,MATCH(K90,'Glosario Partidas'!$L$8:$L$10,0))</f>
        <v>1</v>
      </c>
      <c r="T90" s="227">
        <f t="shared" si="14"/>
        <v>0</v>
      </c>
      <c r="U90" s="321"/>
      <c r="V90" s="321" t="s">
        <v>13</v>
      </c>
      <c r="W90" s="321" t="s">
        <v>491</v>
      </c>
      <c r="X90" s="321"/>
    </row>
    <row r="91" spans="1:24" ht="15" customHeight="1" x14ac:dyDescent="0.2">
      <c r="A91" s="75">
        <v>5</v>
      </c>
      <c r="B91" s="211" t="s">
        <v>88</v>
      </c>
      <c r="C91" s="75" t="s">
        <v>768</v>
      </c>
      <c r="D91" s="320" t="s">
        <v>770</v>
      </c>
      <c r="E91" s="321" t="s">
        <v>229</v>
      </c>
      <c r="F91" s="320" t="s">
        <v>221</v>
      </c>
      <c r="G91" s="321">
        <v>401</v>
      </c>
      <c r="H91" s="353"/>
      <c r="I91" s="75" t="s">
        <v>207</v>
      </c>
      <c r="J91" s="322">
        <v>23.7</v>
      </c>
      <c r="K91" s="75" t="s">
        <v>269</v>
      </c>
      <c r="L91" s="322"/>
      <c r="M91" s="323">
        <f t="shared" si="10"/>
        <v>0</v>
      </c>
      <c r="N91" s="324">
        <v>0</v>
      </c>
      <c r="O91" s="325">
        <f t="shared" si="11"/>
        <v>0</v>
      </c>
      <c r="P91" s="324">
        <v>0.16</v>
      </c>
      <c r="Q91" s="227">
        <f t="shared" si="12"/>
        <v>0</v>
      </c>
      <c r="R91" s="227">
        <f t="shared" si="13"/>
        <v>0</v>
      </c>
      <c r="S91" s="229">
        <f>INDEX('Glosario Partidas'!$M$8:$M$10,MATCH(K91,'Glosario Partidas'!$L$8:$L$10,0))</f>
        <v>1</v>
      </c>
      <c r="T91" s="227">
        <f t="shared" si="14"/>
        <v>0</v>
      </c>
      <c r="U91" s="321"/>
      <c r="V91" s="321" t="s">
        <v>13</v>
      </c>
      <c r="W91" s="321" t="s">
        <v>491</v>
      </c>
      <c r="X91" s="321"/>
    </row>
    <row r="92" spans="1:24" ht="15" customHeight="1" x14ac:dyDescent="0.2">
      <c r="A92" s="75">
        <v>5</v>
      </c>
      <c r="B92" s="211" t="s">
        <v>88</v>
      </c>
      <c r="C92" s="75" t="s">
        <v>768</v>
      </c>
      <c r="D92" s="320" t="s">
        <v>771</v>
      </c>
      <c r="E92" s="321" t="s">
        <v>229</v>
      </c>
      <c r="F92" s="320" t="s">
        <v>221</v>
      </c>
      <c r="G92" s="321">
        <v>401</v>
      </c>
      <c r="H92" s="353"/>
      <c r="I92" s="75" t="s">
        <v>207</v>
      </c>
      <c r="J92" s="322">
        <v>0</v>
      </c>
      <c r="K92" s="75" t="s">
        <v>269</v>
      </c>
      <c r="L92" s="322"/>
      <c r="M92" s="323">
        <f t="shared" si="10"/>
        <v>0</v>
      </c>
      <c r="N92" s="324">
        <v>0</v>
      </c>
      <c r="O92" s="325">
        <f t="shared" si="11"/>
        <v>0</v>
      </c>
      <c r="P92" s="324">
        <v>0.16</v>
      </c>
      <c r="Q92" s="227">
        <f t="shared" si="12"/>
        <v>0</v>
      </c>
      <c r="R92" s="227">
        <f t="shared" si="13"/>
        <v>0</v>
      </c>
      <c r="S92" s="229">
        <f>INDEX('Glosario Partidas'!$M$8:$M$10,MATCH(K92,'Glosario Partidas'!$L$8:$L$10,0))</f>
        <v>1</v>
      </c>
      <c r="T92" s="227">
        <f t="shared" si="14"/>
        <v>0</v>
      </c>
      <c r="U92" s="321"/>
      <c r="V92" s="321" t="s">
        <v>13</v>
      </c>
      <c r="W92" s="321" t="s">
        <v>491</v>
      </c>
      <c r="X92" s="321"/>
    </row>
    <row r="93" spans="1:24" ht="15" customHeight="1" x14ac:dyDescent="0.2">
      <c r="A93" s="75">
        <v>5</v>
      </c>
      <c r="B93" s="211" t="s">
        <v>88</v>
      </c>
      <c r="C93" s="75" t="s">
        <v>768</v>
      </c>
      <c r="D93" s="320" t="s">
        <v>192</v>
      </c>
      <c r="E93" s="321" t="s">
        <v>229</v>
      </c>
      <c r="F93" s="320" t="s">
        <v>221</v>
      </c>
      <c r="G93" s="321">
        <v>401</v>
      </c>
      <c r="H93" s="353"/>
      <c r="I93" s="75" t="s">
        <v>207</v>
      </c>
      <c r="J93" s="322">
        <v>6.9600000000000399</v>
      </c>
      <c r="K93" s="75" t="s">
        <v>269</v>
      </c>
      <c r="L93" s="322"/>
      <c r="M93" s="323">
        <f t="shared" si="10"/>
        <v>0</v>
      </c>
      <c r="N93" s="324">
        <v>0</v>
      </c>
      <c r="O93" s="325">
        <f t="shared" si="11"/>
        <v>0</v>
      </c>
      <c r="P93" s="324">
        <v>0.16</v>
      </c>
      <c r="Q93" s="227">
        <f t="shared" si="12"/>
        <v>0</v>
      </c>
      <c r="R93" s="227">
        <f t="shared" si="13"/>
        <v>0</v>
      </c>
      <c r="S93" s="229">
        <f>INDEX('Glosario Partidas'!$M$8:$M$10,MATCH(K93,'Glosario Partidas'!$L$8:$L$10,0))</f>
        <v>1</v>
      </c>
      <c r="T93" s="227">
        <f t="shared" si="14"/>
        <v>0</v>
      </c>
      <c r="U93" s="321"/>
      <c r="V93" s="321" t="s">
        <v>13</v>
      </c>
      <c r="W93" s="321" t="s">
        <v>491</v>
      </c>
      <c r="X93" s="321"/>
    </row>
    <row r="94" spans="1:24" ht="15" customHeight="1" x14ac:dyDescent="0.2">
      <c r="A94" s="75"/>
      <c r="B94" s="211" t="s">
        <v>88</v>
      </c>
      <c r="C94" s="75" t="s">
        <v>768</v>
      </c>
      <c r="D94" s="320" t="s">
        <v>769</v>
      </c>
      <c r="E94" s="321" t="s">
        <v>229</v>
      </c>
      <c r="F94" s="320" t="s">
        <v>354</v>
      </c>
      <c r="G94" s="321">
        <v>302</v>
      </c>
      <c r="H94" s="353"/>
      <c r="I94" s="75" t="s">
        <v>207</v>
      </c>
      <c r="J94" s="322">
        <v>231.09</v>
      </c>
      <c r="K94" s="75" t="s">
        <v>269</v>
      </c>
      <c r="L94" s="322">
        <v>1850</v>
      </c>
      <c r="M94" s="323">
        <f t="shared" si="10"/>
        <v>427516.5</v>
      </c>
      <c r="N94" s="324">
        <v>0</v>
      </c>
      <c r="O94" s="325">
        <f t="shared" si="11"/>
        <v>0</v>
      </c>
      <c r="P94" s="324">
        <v>0.16</v>
      </c>
      <c r="Q94" s="227">
        <f t="shared" si="12"/>
        <v>68402.64</v>
      </c>
      <c r="R94" s="227">
        <f t="shared" si="13"/>
        <v>495919.14</v>
      </c>
      <c r="S94" s="229">
        <f>INDEX('Glosario Partidas'!$M$8:$M$10,MATCH(K94,'Glosario Partidas'!$L$8:$L$10,0))</f>
        <v>1</v>
      </c>
      <c r="T94" s="227">
        <f t="shared" si="14"/>
        <v>495919.14</v>
      </c>
      <c r="U94" s="321"/>
      <c r="V94" s="321" t="s">
        <v>13</v>
      </c>
      <c r="W94" s="321" t="s">
        <v>491</v>
      </c>
      <c r="X94" s="321"/>
    </row>
    <row r="95" spans="1:24" ht="15" customHeight="1" x14ac:dyDescent="0.2">
      <c r="A95" s="75"/>
      <c r="B95" s="211" t="s">
        <v>88</v>
      </c>
      <c r="C95" s="75" t="s">
        <v>768</v>
      </c>
      <c r="D95" s="320" t="s">
        <v>770</v>
      </c>
      <c r="E95" s="321" t="s">
        <v>229</v>
      </c>
      <c r="F95" s="320" t="s">
        <v>354</v>
      </c>
      <c r="G95" s="321">
        <v>302</v>
      </c>
      <c r="H95" s="353"/>
      <c r="I95" s="75" t="s">
        <v>207</v>
      </c>
      <c r="J95" s="322">
        <v>123.43</v>
      </c>
      <c r="K95" s="75" t="s">
        <v>269</v>
      </c>
      <c r="L95" s="322">
        <v>1850</v>
      </c>
      <c r="M95" s="323">
        <f t="shared" si="10"/>
        <v>228345.5</v>
      </c>
      <c r="N95" s="324">
        <v>0</v>
      </c>
      <c r="O95" s="325">
        <f t="shared" si="11"/>
        <v>0</v>
      </c>
      <c r="P95" s="324">
        <v>0.16</v>
      </c>
      <c r="Q95" s="227">
        <f t="shared" si="12"/>
        <v>36535.279999999999</v>
      </c>
      <c r="R95" s="227">
        <f t="shared" si="13"/>
        <v>264880.78000000003</v>
      </c>
      <c r="S95" s="229">
        <f>INDEX('Glosario Partidas'!$M$8:$M$10,MATCH(K95,'Glosario Partidas'!$L$8:$L$10,0))</f>
        <v>1</v>
      </c>
      <c r="T95" s="227">
        <f t="shared" si="14"/>
        <v>264880.78000000003</v>
      </c>
      <c r="U95" s="321"/>
      <c r="V95" s="321" t="s">
        <v>13</v>
      </c>
      <c r="W95" s="321" t="s">
        <v>491</v>
      </c>
      <c r="X95" s="321"/>
    </row>
    <row r="96" spans="1:24" ht="15" customHeight="1" x14ac:dyDescent="0.2">
      <c r="A96" s="75"/>
      <c r="B96" s="211" t="s">
        <v>88</v>
      </c>
      <c r="C96" s="75" t="s">
        <v>768</v>
      </c>
      <c r="D96" s="320" t="s">
        <v>771</v>
      </c>
      <c r="E96" s="321" t="s">
        <v>229</v>
      </c>
      <c r="F96" s="320" t="s">
        <v>354</v>
      </c>
      <c r="G96" s="321">
        <v>302</v>
      </c>
      <c r="H96" s="353"/>
      <c r="I96" s="75" t="s">
        <v>207</v>
      </c>
      <c r="J96" s="322">
        <v>152.82</v>
      </c>
      <c r="K96" s="75" t="s">
        <v>269</v>
      </c>
      <c r="L96" s="322">
        <v>1850</v>
      </c>
      <c r="M96" s="323">
        <f t="shared" si="10"/>
        <v>282717</v>
      </c>
      <c r="N96" s="324">
        <v>0</v>
      </c>
      <c r="O96" s="325">
        <f t="shared" si="11"/>
        <v>0</v>
      </c>
      <c r="P96" s="324">
        <v>0.16</v>
      </c>
      <c r="Q96" s="227">
        <f t="shared" si="12"/>
        <v>45234.720000000001</v>
      </c>
      <c r="R96" s="227">
        <f t="shared" si="13"/>
        <v>327951.71999999997</v>
      </c>
      <c r="S96" s="229">
        <f>INDEX('Glosario Partidas'!$M$8:$M$10,MATCH(K96,'Glosario Partidas'!$L$8:$L$10,0))</f>
        <v>1</v>
      </c>
      <c r="T96" s="227">
        <f t="shared" si="14"/>
        <v>327951.71999999997</v>
      </c>
      <c r="U96" s="321"/>
      <c r="V96" s="321" t="s">
        <v>13</v>
      </c>
      <c r="W96" s="321" t="s">
        <v>491</v>
      </c>
      <c r="X96" s="321"/>
    </row>
    <row r="97" spans="1:24" ht="15" customHeight="1" x14ac:dyDescent="0.2">
      <c r="A97" s="75"/>
      <c r="B97" s="211" t="s">
        <v>88</v>
      </c>
      <c r="C97" s="75" t="s">
        <v>768</v>
      </c>
      <c r="D97" s="320" t="s">
        <v>192</v>
      </c>
      <c r="E97" s="321" t="s">
        <v>229</v>
      </c>
      <c r="F97" s="320" t="s">
        <v>354</v>
      </c>
      <c r="G97" s="321">
        <v>302</v>
      </c>
      <c r="H97" s="353"/>
      <c r="I97" s="75" t="s">
        <v>207</v>
      </c>
      <c r="J97" s="322">
        <v>55.66</v>
      </c>
      <c r="K97" s="75" t="s">
        <v>269</v>
      </c>
      <c r="L97" s="322">
        <v>1850</v>
      </c>
      <c r="M97" s="323">
        <f t="shared" si="10"/>
        <v>102971</v>
      </c>
      <c r="N97" s="324">
        <v>0</v>
      </c>
      <c r="O97" s="325">
        <f t="shared" si="11"/>
        <v>0</v>
      </c>
      <c r="P97" s="324">
        <v>0.16</v>
      </c>
      <c r="Q97" s="227">
        <f t="shared" si="12"/>
        <v>16475.36</v>
      </c>
      <c r="R97" s="227">
        <f t="shared" si="13"/>
        <v>119446.36</v>
      </c>
      <c r="S97" s="229">
        <f>INDEX('Glosario Partidas'!$M$8:$M$10,MATCH(K97,'Glosario Partidas'!$L$8:$L$10,0))</f>
        <v>1</v>
      </c>
      <c r="T97" s="227">
        <f t="shared" si="14"/>
        <v>119446.36</v>
      </c>
      <c r="U97" s="321"/>
      <c r="V97" s="321" t="s">
        <v>13</v>
      </c>
      <c r="W97" s="321" t="s">
        <v>491</v>
      </c>
      <c r="X97" s="321"/>
    </row>
    <row r="98" spans="1:24" ht="15" customHeight="1" x14ac:dyDescent="0.2">
      <c r="A98" s="75"/>
      <c r="B98" s="211" t="s">
        <v>88</v>
      </c>
      <c r="C98" s="75" t="s">
        <v>768</v>
      </c>
      <c r="D98" s="320" t="s">
        <v>769</v>
      </c>
      <c r="E98" s="321" t="s">
        <v>229</v>
      </c>
      <c r="F98" s="320" t="s">
        <v>354</v>
      </c>
      <c r="G98" s="321">
        <v>402</v>
      </c>
      <c r="H98" s="353"/>
      <c r="I98" s="75" t="s">
        <v>207</v>
      </c>
      <c r="J98" s="322">
        <v>231.09</v>
      </c>
      <c r="K98" s="75" t="s">
        <v>269</v>
      </c>
      <c r="L98" s="322">
        <v>1850</v>
      </c>
      <c r="M98" s="323">
        <f t="shared" ref="M98:M113" si="15">J98*L98</f>
        <v>427516.5</v>
      </c>
      <c r="N98" s="324">
        <v>0</v>
      </c>
      <c r="O98" s="325">
        <f t="shared" ref="O98:O113" si="16">M98*N98</f>
        <v>0</v>
      </c>
      <c r="P98" s="324">
        <v>0.16</v>
      </c>
      <c r="Q98" s="227">
        <f t="shared" ref="Q98:Q113" si="17">(M98+O98)*P98</f>
        <v>68402.64</v>
      </c>
      <c r="R98" s="227">
        <f t="shared" ref="R98:R113" si="18">M98+O98+Q98</f>
        <v>495919.14</v>
      </c>
      <c r="S98" s="229">
        <f>INDEX('Glosario Partidas'!$M$8:$M$10,MATCH(K98,'Glosario Partidas'!$L$8:$L$10,0))</f>
        <v>1</v>
      </c>
      <c r="T98" s="227">
        <f t="shared" ref="T98:T113" si="19">R98*S98</f>
        <v>495919.14</v>
      </c>
      <c r="U98" s="321"/>
      <c r="V98" s="321" t="s">
        <v>13</v>
      </c>
      <c r="W98" s="321" t="s">
        <v>491</v>
      </c>
      <c r="X98" s="321"/>
    </row>
    <row r="99" spans="1:24" ht="15" customHeight="1" x14ac:dyDescent="0.2">
      <c r="A99" s="75"/>
      <c r="B99" s="211" t="s">
        <v>88</v>
      </c>
      <c r="C99" s="75" t="s">
        <v>768</v>
      </c>
      <c r="D99" s="320" t="s">
        <v>770</v>
      </c>
      <c r="E99" s="321" t="s">
        <v>229</v>
      </c>
      <c r="F99" s="320" t="s">
        <v>354</v>
      </c>
      <c r="G99" s="321">
        <v>402</v>
      </c>
      <c r="H99" s="353"/>
      <c r="I99" s="75" t="s">
        <v>207</v>
      </c>
      <c r="J99" s="322">
        <v>123.43</v>
      </c>
      <c r="K99" s="75" t="s">
        <v>269</v>
      </c>
      <c r="L99" s="322">
        <v>1850</v>
      </c>
      <c r="M99" s="323">
        <f t="shared" si="15"/>
        <v>228345.5</v>
      </c>
      <c r="N99" s="324">
        <v>0</v>
      </c>
      <c r="O99" s="325">
        <f t="shared" si="16"/>
        <v>0</v>
      </c>
      <c r="P99" s="324">
        <v>0.16</v>
      </c>
      <c r="Q99" s="227">
        <f t="shared" si="17"/>
        <v>36535.279999999999</v>
      </c>
      <c r="R99" s="227">
        <f t="shared" si="18"/>
        <v>264880.78000000003</v>
      </c>
      <c r="S99" s="229">
        <f>INDEX('Glosario Partidas'!$M$8:$M$10,MATCH(K99,'Glosario Partidas'!$L$8:$L$10,0))</f>
        <v>1</v>
      </c>
      <c r="T99" s="227">
        <f t="shared" si="19"/>
        <v>264880.78000000003</v>
      </c>
      <c r="U99" s="321"/>
      <c r="V99" s="321" t="s">
        <v>13</v>
      </c>
      <c r="W99" s="321" t="s">
        <v>491</v>
      </c>
      <c r="X99" s="321"/>
    </row>
    <row r="100" spans="1:24" ht="15" customHeight="1" x14ac:dyDescent="0.2">
      <c r="A100" s="75"/>
      <c r="B100" s="211" t="s">
        <v>88</v>
      </c>
      <c r="C100" s="75" t="s">
        <v>768</v>
      </c>
      <c r="D100" s="320" t="s">
        <v>771</v>
      </c>
      <c r="E100" s="321" t="s">
        <v>229</v>
      </c>
      <c r="F100" s="320" t="s">
        <v>354</v>
      </c>
      <c r="G100" s="321">
        <v>402</v>
      </c>
      <c r="H100" s="353"/>
      <c r="I100" s="75" t="s">
        <v>207</v>
      </c>
      <c r="J100" s="322">
        <v>152.82</v>
      </c>
      <c r="K100" s="75" t="s">
        <v>269</v>
      </c>
      <c r="L100" s="322">
        <v>1850</v>
      </c>
      <c r="M100" s="323">
        <f t="shared" si="15"/>
        <v>282717</v>
      </c>
      <c r="N100" s="324">
        <v>0</v>
      </c>
      <c r="O100" s="325">
        <f t="shared" si="16"/>
        <v>0</v>
      </c>
      <c r="P100" s="324">
        <v>0.16</v>
      </c>
      <c r="Q100" s="227">
        <f t="shared" si="17"/>
        <v>45234.720000000001</v>
      </c>
      <c r="R100" s="227">
        <f t="shared" si="18"/>
        <v>327951.71999999997</v>
      </c>
      <c r="S100" s="229">
        <f>INDEX('Glosario Partidas'!$M$8:$M$10,MATCH(K100,'Glosario Partidas'!$L$8:$L$10,0))</f>
        <v>1</v>
      </c>
      <c r="T100" s="227">
        <f t="shared" si="19"/>
        <v>327951.71999999997</v>
      </c>
      <c r="U100" s="321"/>
      <c r="V100" s="321" t="s">
        <v>13</v>
      </c>
      <c r="W100" s="321" t="s">
        <v>491</v>
      </c>
      <c r="X100" s="321"/>
    </row>
    <row r="101" spans="1:24" ht="15" customHeight="1" x14ac:dyDescent="0.2">
      <c r="A101" s="75"/>
      <c r="B101" s="211" t="s">
        <v>88</v>
      </c>
      <c r="C101" s="75" t="s">
        <v>768</v>
      </c>
      <c r="D101" s="320" t="s">
        <v>192</v>
      </c>
      <c r="E101" s="321" t="s">
        <v>229</v>
      </c>
      <c r="F101" s="320" t="s">
        <v>354</v>
      </c>
      <c r="G101" s="321">
        <v>402</v>
      </c>
      <c r="H101" s="353"/>
      <c r="I101" s="75" t="s">
        <v>207</v>
      </c>
      <c r="J101" s="322">
        <v>55.66</v>
      </c>
      <c r="K101" s="75" t="s">
        <v>269</v>
      </c>
      <c r="L101" s="322">
        <v>1850</v>
      </c>
      <c r="M101" s="323">
        <f t="shared" si="15"/>
        <v>102971</v>
      </c>
      <c r="N101" s="324">
        <v>0</v>
      </c>
      <c r="O101" s="325">
        <f t="shared" si="16"/>
        <v>0</v>
      </c>
      <c r="P101" s="324">
        <v>0.16</v>
      </c>
      <c r="Q101" s="227">
        <f t="shared" si="17"/>
        <v>16475.36</v>
      </c>
      <c r="R101" s="227">
        <f t="shared" si="18"/>
        <v>119446.36</v>
      </c>
      <c r="S101" s="229">
        <f>INDEX('Glosario Partidas'!$M$8:$M$10,MATCH(K101,'Glosario Partidas'!$L$8:$L$10,0))</f>
        <v>1</v>
      </c>
      <c r="T101" s="227">
        <f t="shared" si="19"/>
        <v>119446.36</v>
      </c>
      <c r="U101" s="321"/>
      <c r="V101" s="321" t="s">
        <v>13</v>
      </c>
      <c r="W101" s="321" t="s">
        <v>491</v>
      </c>
      <c r="X101" s="321"/>
    </row>
    <row r="102" spans="1:24" ht="15" customHeight="1" x14ac:dyDescent="0.2">
      <c r="A102" s="75"/>
      <c r="B102" s="211" t="s">
        <v>88</v>
      </c>
      <c r="C102" s="75" t="s">
        <v>768</v>
      </c>
      <c r="D102" s="320" t="s">
        <v>769</v>
      </c>
      <c r="E102" s="321" t="s">
        <v>229</v>
      </c>
      <c r="F102" s="320" t="s">
        <v>355</v>
      </c>
      <c r="G102" s="321">
        <v>303</v>
      </c>
      <c r="H102" s="353"/>
      <c r="I102" s="75" t="s">
        <v>207</v>
      </c>
      <c r="J102" s="322">
        <v>29.12</v>
      </c>
      <c r="K102" s="75" t="s">
        <v>269</v>
      </c>
      <c r="L102" s="322">
        <v>1850</v>
      </c>
      <c r="M102" s="323">
        <f t="shared" si="15"/>
        <v>53872</v>
      </c>
      <c r="N102" s="324">
        <v>0</v>
      </c>
      <c r="O102" s="325">
        <f t="shared" si="16"/>
        <v>0</v>
      </c>
      <c r="P102" s="324">
        <v>0.16</v>
      </c>
      <c r="Q102" s="227">
        <f t="shared" si="17"/>
        <v>8619.52</v>
      </c>
      <c r="R102" s="227">
        <f t="shared" si="18"/>
        <v>62491.520000000004</v>
      </c>
      <c r="S102" s="229">
        <f>INDEX('Glosario Partidas'!$M$8:$M$10,MATCH(K102,'Glosario Partidas'!$L$8:$L$10,0))</f>
        <v>1</v>
      </c>
      <c r="T102" s="227">
        <f t="shared" si="19"/>
        <v>62491.520000000004</v>
      </c>
      <c r="U102" s="321"/>
      <c r="V102" s="321" t="s">
        <v>13</v>
      </c>
      <c r="W102" s="321" t="s">
        <v>491</v>
      </c>
      <c r="X102" s="321"/>
    </row>
    <row r="103" spans="1:24" ht="15" customHeight="1" x14ac:dyDescent="0.2">
      <c r="A103" s="75"/>
      <c r="B103" s="211" t="s">
        <v>88</v>
      </c>
      <c r="C103" s="75" t="s">
        <v>768</v>
      </c>
      <c r="D103" s="320" t="s">
        <v>770</v>
      </c>
      <c r="E103" s="321" t="s">
        <v>229</v>
      </c>
      <c r="F103" s="320" t="s">
        <v>355</v>
      </c>
      <c r="G103" s="321">
        <v>303</v>
      </c>
      <c r="H103" s="353"/>
      <c r="I103" s="75" t="s">
        <v>207</v>
      </c>
      <c r="J103" s="322">
        <v>0</v>
      </c>
      <c r="K103" s="75" t="s">
        <v>269</v>
      </c>
      <c r="L103" s="322">
        <v>1850</v>
      </c>
      <c r="M103" s="323">
        <f t="shared" si="15"/>
        <v>0</v>
      </c>
      <c r="N103" s="324">
        <v>0</v>
      </c>
      <c r="O103" s="325">
        <f t="shared" si="16"/>
        <v>0</v>
      </c>
      <c r="P103" s="324">
        <v>0.16</v>
      </c>
      <c r="Q103" s="227">
        <f t="shared" si="17"/>
        <v>0</v>
      </c>
      <c r="R103" s="227">
        <f t="shared" si="18"/>
        <v>0</v>
      </c>
      <c r="S103" s="229">
        <f>INDEX('Glosario Partidas'!$M$8:$M$10,MATCH(K103,'Glosario Partidas'!$L$8:$L$10,0))</f>
        <v>1</v>
      </c>
      <c r="T103" s="227">
        <f t="shared" si="19"/>
        <v>0</v>
      </c>
      <c r="U103" s="321"/>
      <c r="V103" s="321" t="s">
        <v>13</v>
      </c>
      <c r="W103" s="321" t="s">
        <v>491</v>
      </c>
      <c r="X103" s="321"/>
    </row>
    <row r="104" spans="1:24" ht="15" customHeight="1" x14ac:dyDescent="0.2">
      <c r="A104" s="75"/>
      <c r="B104" s="211" t="s">
        <v>88</v>
      </c>
      <c r="C104" s="75" t="s">
        <v>768</v>
      </c>
      <c r="D104" s="320" t="s">
        <v>771</v>
      </c>
      <c r="E104" s="321" t="s">
        <v>229</v>
      </c>
      <c r="F104" s="320" t="s">
        <v>355</v>
      </c>
      <c r="G104" s="321">
        <v>303</v>
      </c>
      <c r="H104" s="353"/>
      <c r="I104" s="75" t="s">
        <v>207</v>
      </c>
      <c r="J104" s="322">
        <v>34.9</v>
      </c>
      <c r="K104" s="75" t="s">
        <v>269</v>
      </c>
      <c r="L104" s="322">
        <v>1850</v>
      </c>
      <c r="M104" s="323">
        <f t="shared" si="15"/>
        <v>64565</v>
      </c>
      <c r="N104" s="324">
        <v>0</v>
      </c>
      <c r="O104" s="325">
        <f t="shared" si="16"/>
        <v>0</v>
      </c>
      <c r="P104" s="324">
        <v>0.16</v>
      </c>
      <c r="Q104" s="227">
        <f t="shared" si="17"/>
        <v>10330.4</v>
      </c>
      <c r="R104" s="227">
        <f t="shared" si="18"/>
        <v>74895.399999999994</v>
      </c>
      <c r="S104" s="229">
        <f>INDEX('Glosario Partidas'!$M$8:$M$10,MATCH(K104,'Glosario Partidas'!$L$8:$L$10,0))</f>
        <v>1</v>
      </c>
      <c r="T104" s="227">
        <f t="shared" si="19"/>
        <v>74895.399999999994</v>
      </c>
      <c r="U104" s="321"/>
      <c r="V104" s="321" t="s">
        <v>13</v>
      </c>
      <c r="W104" s="321" t="s">
        <v>491</v>
      </c>
      <c r="X104" s="321"/>
    </row>
    <row r="105" spans="1:24" ht="15" customHeight="1" x14ac:dyDescent="0.2">
      <c r="A105" s="75"/>
      <c r="B105" s="211" t="s">
        <v>88</v>
      </c>
      <c r="C105" s="75" t="s">
        <v>768</v>
      </c>
      <c r="D105" s="320" t="s">
        <v>192</v>
      </c>
      <c r="E105" s="321" t="s">
        <v>229</v>
      </c>
      <c r="F105" s="320" t="s">
        <v>355</v>
      </c>
      <c r="G105" s="321">
        <v>303</v>
      </c>
      <c r="H105" s="353"/>
      <c r="I105" s="75" t="s">
        <v>207</v>
      </c>
      <c r="J105" s="322">
        <v>147</v>
      </c>
      <c r="K105" s="75" t="s">
        <v>269</v>
      </c>
      <c r="L105" s="322">
        <v>1850</v>
      </c>
      <c r="M105" s="323">
        <f t="shared" si="15"/>
        <v>271950</v>
      </c>
      <c r="N105" s="324">
        <v>0</v>
      </c>
      <c r="O105" s="325">
        <f t="shared" si="16"/>
        <v>0</v>
      </c>
      <c r="P105" s="324">
        <v>0.16</v>
      </c>
      <c r="Q105" s="227">
        <f t="shared" si="17"/>
        <v>43512</v>
      </c>
      <c r="R105" s="227">
        <f t="shared" si="18"/>
        <v>315462</v>
      </c>
      <c r="S105" s="229">
        <f>INDEX('Glosario Partidas'!$M$8:$M$10,MATCH(K105,'Glosario Partidas'!$L$8:$L$10,0))</f>
        <v>1</v>
      </c>
      <c r="T105" s="227">
        <f t="shared" si="19"/>
        <v>315462</v>
      </c>
      <c r="U105" s="321"/>
      <c r="V105" s="321" t="s">
        <v>13</v>
      </c>
      <c r="W105" s="321" t="s">
        <v>491</v>
      </c>
      <c r="X105" s="321"/>
    </row>
    <row r="106" spans="1:24" ht="15" customHeight="1" x14ac:dyDescent="0.2">
      <c r="A106" s="75"/>
      <c r="B106" s="211" t="s">
        <v>88</v>
      </c>
      <c r="C106" s="75" t="s">
        <v>768</v>
      </c>
      <c r="D106" s="320" t="s">
        <v>769</v>
      </c>
      <c r="E106" s="321" t="s">
        <v>229</v>
      </c>
      <c r="F106" s="320" t="s">
        <v>355</v>
      </c>
      <c r="G106" s="321">
        <v>403</v>
      </c>
      <c r="H106" s="353"/>
      <c r="I106" s="75" t="s">
        <v>207</v>
      </c>
      <c r="J106" s="322">
        <v>29.12</v>
      </c>
      <c r="K106" s="75" t="s">
        <v>269</v>
      </c>
      <c r="L106" s="322">
        <v>1850</v>
      </c>
      <c r="M106" s="323">
        <f t="shared" si="15"/>
        <v>53872</v>
      </c>
      <c r="N106" s="324">
        <v>0</v>
      </c>
      <c r="O106" s="325">
        <f t="shared" si="16"/>
        <v>0</v>
      </c>
      <c r="P106" s="324">
        <v>0.16</v>
      </c>
      <c r="Q106" s="227">
        <f t="shared" si="17"/>
        <v>8619.52</v>
      </c>
      <c r="R106" s="227">
        <f t="shared" si="18"/>
        <v>62491.520000000004</v>
      </c>
      <c r="S106" s="229">
        <f>INDEX('Glosario Partidas'!$M$8:$M$10,MATCH(K106,'Glosario Partidas'!$L$8:$L$10,0))</f>
        <v>1</v>
      </c>
      <c r="T106" s="227">
        <f t="shared" si="19"/>
        <v>62491.520000000004</v>
      </c>
      <c r="U106" s="321"/>
      <c r="V106" s="321" t="s">
        <v>13</v>
      </c>
      <c r="W106" s="321" t="s">
        <v>491</v>
      </c>
      <c r="X106" s="321"/>
    </row>
    <row r="107" spans="1:24" ht="15" customHeight="1" x14ac:dyDescent="0.2">
      <c r="A107" s="75"/>
      <c r="B107" s="211" t="s">
        <v>88</v>
      </c>
      <c r="C107" s="75" t="s">
        <v>768</v>
      </c>
      <c r="D107" s="320" t="s">
        <v>770</v>
      </c>
      <c r="E107" s="321" t="s">
        <v>229</v>
      </c>
      <c r="F107" s="320" t="s">
        <v>355</v>
      </c>
      <c r="G107" s="321">
        <v>403</v>
      </c>
      <c r="H107" s="353"/>
      <c r="I107" s="75" t="s">
        <v>207</v>
      </c>
      <c r="J107" s="322">
        <v>0</v>
      </c>
      <c r="K107" s="75" t="s">
        <v>269</v>
      </c>
      <c r="L107" s="322">
        <v>1850</v>
      </c>
      <c r="M107" s="323">
        <f t="shared" si="15"/>
        <v>0</v>
      </c>
      <c r="N107" s="324">
        <v>0</v>
      </c>
      <c r="O107" s="325">
        <f t="shared" si="16"/>
        <v>0</v>
      </c>
      <c r="P107" s="324">
        <v>0.16</v>
      </c>
      <c r="Q107" s="227">
        <f t="shared" si="17"/>
        <v>0</v>
      </c>
      <c r="R107" s="227">
        <f t="shared" si="18"/>
        <v>0</v>
      </c>
      <c r="S107" s="229">
        <f>INDEX('Glosario Partidas'!$M$8:$M$10,MATCH(K107,'Glosario Partidas'!$L$8:$L$10,0))</f>
        <v>1</v>
      </c>
      <c r="T107" s="227">
        <f t="shared" si="19"/>
        <v>0</v>
      </c>
      <c r="U107" s="321"/>
      <c r="V107" s="321" t="s">
        <v>13</v>
      </c>
      <c r="W107" s="321" t="s">
        <v>491</v>
      </c>
      <c r="X107" s="321"/>
    </row>
    <row r="108" spans="1:24" ht="15" customHeight="1" x14ac:dyDescent="0.2">
      <c r="A108" s="75"/>
      <c r="B108" s="211" t="s">
        <v>88</v>
      </c>
      <c r="C108" s="75" t="s">
        <v>768</v>
      </c>
      <c r="D108" s="320" t="s">
        <v>771</v>
      </c>
      <c r="E108" s="321" t="s">
        <v>229</v>
      </c>
      <c r="F108" s="320" t="s">
        <v>355</v>
      </c>
      <c r="G108" s="321">
        <v>403</v>
      </c>
      <c r="H108" s="353"/>
      <c r="I108" s="75" t="s">
        <v>207</v>
      </c>
      <c r="J108" s="322">
        <v>34.9</v>
      </c>
      <c r="K108" s="75" t="s">
        <v>269</v>
      </c>
      <c r="L108" s="322">
        <v>1850</v>
      </c>
      <c r="M108" s="323">
        <f t="shared" si="15"/>
        <v>64565</v>
      </c>
      <c r="N108" s="324">
        <v>0</v>
      </c>
      <c r="O108" s="325">
        <f t="shared" si="16"/>
        <v>0</v>
      </c>
      <c r="P108" s="324">
        <v>0.16</v>
      </c>
      <c r="Q108" s="227">
        <f t="shared" si="17"/>
        <v>10330.4</v>
      </c>
      <c r="R108" s="227">
        <f t="shared" si="18"/>
        <v>74895.399999999994</v>
      </c>
      <c r="S108" s="229">
        <f>INDEX('Glosario Partidas'!$M$8:$M$10,MATCH(K108,'Glosario Partidas'!$L$8:$L$10,0))</f>
        <v>1</v>
      </c>
      <c r="T108" s="227">
        <f t="shared" si="19"/>
        <v>74895.399999999994</v>
      </c>
      <c r="U108" s="321"/>
      <c r="V108" s="321" t="s">
        <v>13</v>
      </c>
      <c r="W108" s="321" t="s">
        <v>491</v>
      </c>
      <c r="X108" s="321"/>
    </row>
    <row r="109" spans="1:24" ht="15" customHeight="1" x14ac:dyDescent="0.2">
      <c r="A109" s="75"/>
      <c r="B109" s="211" t="s">
        <v>88</v>
      </c>
      <c r="C109" s="75" t="s">
        <v>768</v>
      </c>
      <c r="D109" s="320" t="s">
        <v>192</v>
      </c>
      <c r="E109" s="321" t="s">
        <v>229</v>
      </c>
      <c r="F109" s="320" t="s">
        <v>355</v>
      </c>
      <c r="G109" s="321">
        <v>403</v>
      </c>
      <c r="H109" s="353"/>
      <c r="I109" s="75" t="s">
        <v>207</v>
      </c>
      <c r="J109" s="322">
        <v>147</v>
      </c>
      <c r="K109" s="75" t="s">
        <v>269</v>
      </c>
      <c r="L109" s="322">
        <v>1850</v>
      </c>
      <c r="M109" s="323">
        <f t="shared" si="15"/>
        <v>271950</v>
      </c>
      <c r="N109" s="324">
        <v>0</v>
      </c>
      <c r="O109" s="325">
        <f t="shared" si="16"/>
        <v>0</v>
      </c>
      <c r="P109" s="324">
        <v>0.16</v>
      </c>
      <c r="Q109" s="227">
        <f t="shared" si="17"/>
        <v>43512</v>
      </c>
      <c r="R109" s="227">
        <f t="shared" si="18"/>
        <v>315462</v>
      </c>
      <c r="S109" s="229">
        <f>INDEX('Glosario Partidas'!$M$8:$M$10,MATCH(K109,'Glosario Partidas'!$L$8:$L$10,0))</f>
        <v>1</v>
      </c>
      <c r="T109" s="227">
        <f t="shared" si="19"/>
        <v>315462</v>
      </c>
      <c r="U109" s="321"/>
      <c r="V109" s="321" t="s">
        <v>13</v>
      </c>
      <c r="W109" s="321" t="s">
        <v>491</v>
      </c>
      <c r="X109" s="321"/>
    </row>
    <row r="110" spans="1:24" ht="15" customHeight="1" x14ac:dyDescent="0.2">
      <c r="A110" s="75">
        <v>5</v>
      </c>
      <c r="B110" s="211" t="s">
        <v>88</v>
      </c>
      <c r="C110" s="75" t="s">
        <v>768</v>
      </c>
      <c r="D110" s="320" t="s">
        <v>769</v>
      </c>
      <c r="E110" s="321" t="s">
        <v>229</v>
      </c>
      <c r="F110" s="320" t="s">
        <v>355</v>
      </c>
      <c r="G110" s="321">
        <v>403</v>
      </c>
      <c r="H110" s="353"/>
      <c r="I110" s="75" t="s">
        <v>207</v>
      </c>
      <c r="J110" s="322">
        <v>34.630000000000003</v>
      </c>
      <c r="K110" s="75" t="s">
        <v>269</v>
      </c>
      <c r="L110" s="322"/>
      <c r="M110" s="323">
        <f t="shared" si="15"/>
        <v>0</v>
      </c>
      <c r="N110" s="324">
        <v>0</v>
      </c>
      <c r="O110" s="325">
        <f t="shared" si="16"/>
        <v>0</v>
      </c>
      <c r="P110" s="324">
        <v>0.16</v>
      </c>
      <c r="Q110" s="227">
        <f t="shared" si="17"/>
        <v>0</v>
      </c>
      <c r="R110" s="227">
        <f t="shared" si="18"/>
        <v>0</v>
      </c>
      <c r="S110" s="229">
        <f>INDEX('Glosario Partidas'!$M$8:$M$10,MATCH(K110,'Glosario Partidas'!$L$8:$L$10,0))</f>
        <v>1</v>
      </c>
      <c r="T110" s="227">
        <f t="shared" si="19"/>
        <v>0</v>
      </c>
      <c r="U110" s="321"/>
      <c r="V110" s="321" t="s">
        <v>13</v>
      </c>
      <c r="W110" s="321" t="s">
        <v>491</v>
      </c>
      <c r="X110" s="321"/>
    </row>
    <row r="111" spans="1:24" ht="15" customHeight="1" x14ac:dyDescent="0.2">
      <c r="A111" s="75">
        <v>5</v>
      </c>
      <c r="B111" s="211" t="s">
        <v>88</v>
      </c>
      <c r="C111" s="75" t="s">
        <v>768</v>
      </c>
      <c r="D111" s="320" t="s">
        <v>770</v>
      </c>
      <c r="E111" s="321" t="s">
        <v>229</v>
      </c>
      <c r="F111" s="320" t="s">
        <v>355</v>
      </c>
      <c r="G111" s="321">
        <v>403</v>
      </c>
      <c r="H111" s="353"/>
      <c r="I111" s="75" t="s">
        <v>207</v>
      </c>
      <c r="J111" s="322">
        <v>14.5</v>
      </c>
      <c r="K111" s="75" t="s">
        <v>269</v>
      </c>
      <c r="L111" s="322"/>
      <c r="M111" s="323">
        <f t="shared" si="15"/>
        <v>0</v>
      </c>
      <c r="N111" s="324">
        <v>0</v>
      </c>
      <c r="O111" s="325">
        <f t="shared" si="16"/>
        <v>0</v>
      </c>
      <c r="P111" s="324">
        <v>0.16</v>
      </c>
      <c r="Q111" s="227">
        <f t="shared" si="17"/>
        <v>0</v>
      </c>
      <c r="R111" s="227">
        <f t="shared" si="18"/>
        <v>0</v>
      </c>
      <c r="S111" s="229">
        <f>INDEX('Glosario Partidas'!$M$8:$M$10,MATCH(K111,'Glosario Partidas'!$L$8:$L$10,0))</f>
        <v>1</v>
      </c>
      <c r="T111" s="227">
        <f t="shared" si="19"/>
        <v>0</v>
      </c>
      <c r="U111" s="321"/>
      <c r="V111" s="321" t="s">
        <v>13</v>
      </c>
      <c r="W111" s="321" t="s">
        <v>491</v>
      </c>
      <c r="X111" s="321"/>
    </row>
    <row r="112" spans="1:24" ht="15" customHeight="1" x14ac:dyDescent="0.2">
      <c r="A112" s="75">
        <v>5</v>
      </c>
      <c r="B112" s="211" t="s">
        <v>88</v>
      </c>
      <c r="C112" s="75" t="s">
        <v>768</v>
      </c>
      <c r="D112" s="320" t="s">
        <v>771</v>
      </c>
      <c r="E112" s="321" t="s">
        <v>229</v>
      </c>
      <c r="F112" s="320" t="s">
        <v>355</v>
      </c>
      <c r="G112" s="321">
        <v>403</v>
      </c>
      <c r="H112" s="353"/>
      <c r="I112" s="75" t="s">
        <v>207</v>
      </c>
      <c r="J112" s="322">
        <v>-1.83</v>
      </c>
      <c r="K112" s="75" t="s">
        <v>269</v>
      </c>
      <c r="L112" s="322"/>
      <c r="M112" s="323">
        <f t="shared" si="15"/>
        <v>0</v>
      </c>
      <c r="N112" s="324">
        <v>0</v>
      </c>
      <c r="O112" s="325">
        <f t="shared" si="16"/>
        <v>0</v>
      </c>
      <c r="P112" s="324">
        <v>0.16</v>
      </c>
      <c r="Q112" s="227">
        <f t="shared" si="17"/>
        <v>0</v>
      </c>
      <c r="R112" s="227">
        <f t="shared" si="18"/>
        <v>0</v>
      </c>
      <c r="S112" s="229">
        <f>INDEX('Glosario Partidas'!$M$8:$M$10,MATCH(K112,'Glosario Partidas'!$L$8:$L$10,0))</f>
        <v>1</v>
      </c>
      <c r="T112" s="227">
        <f t="shared" si="19"/>
        <v>0</v>
      </c>
      <c r="U112" s="321"/>
      <c r="V112" s="321" t="s">
        <v>13</v>
      </c>
      <c r="W112" s="321" t="s">
        <v>491</v>
      </c>
      <c r="X112" s="321"/>
    </row>
    <row r="113" spans="1:29" ht="15" customHeight="1" x14ac:dyDescent="0.2">
      <c r="A113" s="75">
        <v>5</v>
      </c>
      <c r="B113" s="211" t="s">
        <v>88</v>
      </c>
      <c r="C113" s="75" t="s">
        <v>768</v>
      </c>
      <c r="D113" s="320" t="s">
        <v>192</v>
      </c>
      <c r="E113" s="321" t="s">
        <v>229</v>
      </c>
      <c r="F113" s="320" t="s">
        <v>355</v>
      </c>
      <c r="G113" s="321">
        <v>403</v>
      </c>
      <c r="H113" s="353"/>
      <c r="I113" s="75" t="s">
        <v>207</v>
      </c>
      <c r="J113" s="322">
        <v>1.71999999999997</v>
      </c>
      <c r="K113" s="75" t="s">
        <v>269</v>
      </c>
      <c r="L113" s="322"/>
      <c r="M113" s="323">
        <f t="shared" si="15"/>
        <v>0</v>
      </c>
      <c r="N113" s="324">
        <v>0</v>
      </c>
      <c r="O113" s="325">
        <f t="shared" si="16"/>
        <v>0</v>
      </c>
      <c r="P113" s="324">
        <v>0.16</v>
      </c>
      <c r="Q113" s="227">
        <f t="shared" si="17"/>
        <v>0</v>
      </c>
      <c r="R113" s="227">
        <f t="shared" si="18"/>
        <v>0</v>
      </c>
      <c r="S113" s="229">
        <f>INDEX('Glosario Partidas'!$M$8:$M$10,MATCH(K113,'Glosario Partidas'!$L$8:$L$10,0))</f>
        <v>1</v>
      </c>
      <c r="T113" s="227">
        <f t="shared" si="19"/>
        <v>0</v>
      </c>
      <c r="U113" s="321"/>
      <c r="V113" s="321" t="s">
        <v>13</v>
      </c>
      <c r="W113" s="321" t="s">
        <v>491</v>
      </c>
      <c r="X113" s="321"/>
    </row>
    <row r="114" spans="1:29" ht="15" customHeight="1" x14ac:dyDescent="0.2">
      <c r="A114" s="189"/>
      <c r="B114" s="189" t="s">
        <v>185</v>
      </c>
      <c r="C114" s="189"/>
      <c r="D114" s="189"/>
      <c r="E114" s="189"/>
      <c r="F114" s="189"/>
      <c r="G114" s="189"/>
      <c r="H114" s="189"/>
      <c r="I114" s="189"/>
      <c r="J114" s="189"/>
      <c r="K114" s="189"/>
      <c r="L114" s="303"/>
      <c r="M114" s="303"/>
      <c r="N114" s="304"/>
      <c r="O114" s="304"/>
      <c r="P114" s="304"/>
      <c r="Q114" s="303"/>
      <c r="R114" s="303"/>
      <c r="S114" s="303"/>
      <c r="T114" s="305">
        <f>SUM(T2:T113)</f>
        <v>21373679.18</v>
      </c>
      <c r="U114" s="189"/>
      <c r="V114" s="253"/>
      <c r="AB114" s="254">
        <f>SUMIFS($T:$T,$W:$W,"Contratado")</f>
        <v>0</v>
      </c>
      <c r="AC114" s="254">
        <f>SUMIFS($T:$T,$W:$W,"No Contratado")</f>
        <v>21373679.18</v>
      </c>
    </row>
    <row r="116" spans="1:29" ht="15" customHeight="1" x14ac:dyDescent="0.2">
      <c r="B116" s="211"/>
    </row>
  </sheetData>
  <autoFilter ref="A1:V114" xr:uid="{00000000-0009-0000-0000-00002C000000}"/>
  <dataValidations count="2">
    <dataValidation type="list" allowBlank="1" errorTitle="Valor inválido" error="Selecciona Contratado o No Contratado" promptTitle="Contratado/No Contratado" prompt="Selecciona estado" sqref="W2:W113" xr:uid="{00000000-0002-0000-2C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113" xr:uid="{00000000-0002-0000-2C00-000001000000}">
      <formula1>"Sí,No"</formula1>
      <formula2>0</formula2>
    </dataValidation>
  </dataValidations>
  <hyperlinks>
    <hyperlink ref="A1" location="'BUY OUT'!A1" display="⬅ Resumen PU" xr:uid="{00000000-0004-0000-2C00-000000000000}"/>
  </hyperlink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AC62"/>
  <sheetViews>
    <sheetView topLeftCell="A34" zoomScaleNormal="100" workbookViewId="0">
      <selection activeCell="W61" sqref="W61"/>
    </sheetView>
  </sheetViews>
  <sheetFormatPr baseColWidth="10" defaultColWidth="8.6640625" defaultRowHeight="15" customHeight="1" x14ac:dyDescent="0.2"/>
  <cols>
    <col min="2" max="2" width="17.33203125" customWidth="1"/>
    <col min="3" max="3" width="12.5" customWidth="1"/>
    <col min="4" max="4" width="36.3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203</v>
      </c>
      <c r="C2" s="211" t="s">
        <v>91</v>
      </c>
      <c r="D2" s="78" t="s">
        <v>389</v>
      </c>
      <c r="E2" s="307" t="s">
        <v>220</v>
      </c>
      <c r="F2" s="78" t="s">
        <v>221</v>
      </c>
      <c r="G2" s="307" t="s">
        <v>342</v>
      </c>
      <c r="H2" s="315" t="s">
        <v>293</v>
      </c>
      <c r="I2" s="211" t="s">
        <v>207</v>
      </c>
      <c r="J2" s="315">
        <v>0</v>
      </c>
      <c r="K2" s="211" t="s">
        <v>153</v>
      </c>
      <c r="L2" s="316">
        <v>0</v>
      </c>
      <c r="M2" s="310">
        <f t="shared" ref="M2:M33" si="0">J2*L2</f>
        <v>0</v>
      </c>
      <c r="N2" s="317">
        <v>0</v>
      </c>
      <c r="O2" s="318">
        <f t="shared" ref="O2:O33" si="1">M2*N2</f>
        <v>0</v>
      </c>
      <c r="P2" s="317">
        <v>0.16</v>
      </c>
      <c r="Q2" s="310">
        <f t="shared" ref="Q2:Q33" si="2">(M2+O2)*P2</f>
        <v>0</v>
      </c>
      <c r="R2" s="310">
        <f t="shared" ref="R2:R33" si="3">M2+O2+Q2</f>
        <v>0</v>
      </c>
      <c r="S2" s="310">
        <f>INDEX('Glosario Partidas'!$M$8:$M$10,MATCH(K2,'Glosario Partidas'!$L$8:$L$10,0))</f>
        <v>17.5</v>
      </c>
      <c r="T2" s="310">
        <f t="shared" ref="T2:T33" si="4">R2*S2</f>
        <v>0</v>
      </c>
      <c r="U2" s="307" t="s">
        <v>315</v>
      </c>
      <c r="V2" s="249" t="s">
        <v>13</v>
      </c>
      <c r="W2" s="249" t="s">
        <v>491</v>
      </c>
      <c r="X2" s="249"/>
    </row>
    <row r="3" spans="1:29" ht="15" customHeight="1" x14ac:dyDescent="0.2">
      <c r="A3" s="211"/>
      <c r="B3" s="211" t="s">
        <v>203</v>
      </c>
      <c r="C3" s="211" t="s">
        <v>91</v>
      </c>
      <c r="D3" s="78" t="s">
        <v>389</v>
      </c>
      <c r="E3" s="307" t="s">
        <v>220</v>
      </c>
      <c r="F3" s="78" t="s">
        <v>354</v>
      </c>
      <c r="G3" s="307" t="s">
        <v>342</v>
      </c>
      <c r="H3" s="315" t="s">
        <v>293</v>
      </c>
      <c r="I3" s="211" t="s">
        <v>207</v>
      </c>
      <c r="J3" s="315">
        <v>0</v>
      </c>
      <c r="K3" s="211" t="s">
        <v>153</v>
      </c>
      <c r="L3" s="316">
        <v>0</v>
      </c>
      <c r="M3" s="310">
        <f t="shared" si="0"/>
        <v>0</v>
      </c>
      <c r="N3" s="317">
        <v>0</v>
      </c>
      <c r="O3" s="318">
        <f t="shared" si="1"/>
        <v>0</v>
      </c>
      <c r="P3" s="317">
        <v>0.16</v>
      </c>
      <c r="Q3" s="310">
        <f t="shared" si="2"/>
        <v>0</v>
      </c>
      <c r="R3" s="310">
        <f t="shared" si="3"/>
        <v>0</v>
      </c>
      <c r="S3" s="310">
        <f>INDEX('Glosario Partidas'!$M$8:$M$10,MATCH(K3,'Glosario Partidas'!$L$8:$L$10,0))</f>
        <v>17.5</v>
      </c>
      <c r="T3" s="310">
        <f t="shared" si="4"/>
        <v>0</v>
      </c>
      <c r="U3" s="307" t="s">
        <v>315</v>
      </c>
      <c r="V3" s="249" t="s">
        <v>13</v>
      </c>
      <c r="W3" s="249" t="s">
        <v>491</v>
      </c>
      <c r="X3" s="249"/>
    </row>
    <row r="4" spans="1:29" ht="15" customHeight="1" x14ac:dyDescent="0.2">
      <c r="A4" s="211"/>
      <c r="B4" s="211" t="s">
        <v>203</v>
      </c>
      <c r="C4" s="211" t="s">
        <v>91</v>
      </c>
      <c r="D4" s="78" t="s">
        <v>389</v>
      </c>
      <c r="E4" s="307" t="s">
        <v>220</v>
      </c>
      <c r="F4" s="78" t="s">
        <v>355</v>
      </c>
      <c r="G4" s="307" t="s">
        <v>342</v>
      </c>
      <c r="H4" s="315" t="s">
        <v>293</v>
      </c>
      <c r="I4" s="211" t="s">
        <v>207</v>
      </c>
      <c r="J4" s="315">
        <v>0</v>
      </c>
      <c r="K4" s="211" t="s">
        <v>153</v>
      </c>
      <c r="L4" s="316">
        <v>0</v>
      </c>
      <c r="M4" s="310">
        <f t="shared" si="0"/>
        <v>0</v>
      </c>
      <c r="N4" s="317">
        <v>0</v>
      </c>
      <c r="O4" s="318">
        <f t="shared" si="1"/>
        <v>0</v>
      </c>
      <c r="P4" s="317">
        <v>0.16</v>
      </c>
      <c r="Q4" s="310">
        <f t="shared" si="2"/>
        <v>0</v>
      </c>
      <c r="R4" s="310">
        <f t="shared" si="3"/>
        <v>0</v>
      </c>
      <c r="S4" s="310">
        <f>INDEX('Glosario Partidas'!$M$8:$M$10,MATCH(K4,'Glosario Partidas'!$L$8:$L$10,0))</f>
        <v>17.5</v>
      </c>
      <c r="T4" s="310">
        <f t="shared" si="4"/>
        <v>0</v>
      </c>
      <c r="U4" s="307" t="s">
        <v>315</v>
      </c>
      <c r="V4" s="249" t="s">
        <v>13</v>
      </c>
      <c r="W4" s="249" t="s">
        <v>491</v>
      </c>
      <c r="X4" s="249"/>
    </row>
    <row r="5" spans="1:29" ht="15" customHeight="1" x14ac:dyDescent="0.2">
      <c r="A5" s="211"/>
      <c r="B5" s="211" t="s">
        <v>203</v>
      </c>
      <c r="C5" s="211" t="s">
        <v>91</v>
      </c>
      <c r="D5" s="78" t="s">
        <v>390</v>
      </c>
      <c r="E5" s="307" t="s">
        <v>220</v>
      </c>
      <c r="F5" s="78" t="s">
        <v>221</v>
      </c>
      <c r="G5" s="307" t="s">
        <v>342</v>
      </c>
      <c r="H5" s="315" t="s">
        <v>293</v>
      </c>
      <c r="I5" s="211" t="s">
        <v>207</v>
      </c>
      <c r="J5" s="315">
        <v>0</v>
      </c>
      <c r="K5" s="211" t="s">
        <v>269</v>
      </c>
      <c r="L5" s="316">
        <v>0</v>
      </c>
      <c r="M5" s="310">
        <f t="shared" si="0"/>
        <v>0</v>
      </c>
      <c r="N5" s="317">
        <v>0</v>
      </c>
      <c r="O5" s="318">
        <f t="shared" si="1"/>
        <v>0</v>
      </c>
      <c r="P5" s="317">
        <v>0.16</v>
      </c>
      <c r="Q5" s="310">
        <f t="shared" si="2"/>
        <v>0</v>
      </c>
      <c r="R5" s="310">
        <f t="shared" si="3"/>
        <v>0</v>
      </c>
      <c r="S5" s="310">
        <f>INDEX('Glosario Partidas'!$M$8:$M$10,MATCH(K5,'Glosario Partidas'!$L$8:$L$10,0))</f>
        <v>1</v>
      </c>
      <c r="T5" s="310">
        <f t="shared" si="4"/>
        <v>0</v>
      </c>
      <c r="U5" s="307" t="s">
        <v>315</v>
      </c>
      <c r="V5" s="249" t="s">
        <v>13</v>
      </c>
      <c r="W5" s="249" t="s">
        <v>491</v>
      </c>
      <c r="X5" s="249"/>
    </row>
    <row r="6" spans="1:29" ht="15" customHeight="1" x14ac:dyDescent="0.2">
      <c r="A6" s="211"/>
      <c r="B6" s="211" t="s">
        <v>203</v>
      </c>
      <c r="C6" s="211" t="s">
        <v>91</v>
      </c>
      <c r="D6" s="78" t="s">
        <v>390</v>
      </c>
      <c r="E6" s="307" t="s">
        <v>220</v>
      </c>
      <c r="F6" s="78" t="s">
        <v>354</v>
      </c>
      <c r="G6" s="307" t="s">
        <v>342</v>
      </c>
      <c r="H6" s="315" t="s">
        <v>293</v>
      </c>
      <c r="I6" s="211" t="s">
        <v>207</v>
      </c>
      <c r="J6" s="315">
        <v>0</v>
      </c>
      <c r="K6" s="211" t="s">
        <v>269</v>
      </c>
      <c r="L6" s="316">
        <v>0</v>
      </c>
      <c r="M6" s="310">
        <f t="shared" si="0"/>
        <v>0</v>
      </c>
      <c r="N6" s="317">
        <v>0</v>
      </c>
      <c r="O6" s="318">
        <f t="shared" si="1"/>
        <v>0</v>
      </c>
      <c r="P6" s="317">
        <v>0.16</v>
      </c>
      <c r="Q6" s="310">
        <f t="shared" si="2"/>
        <v>0</v>
      </c>
      <c r="R6" s="310">
        <f t="shared" si="3"/>
        <v>0</v>
      </c>
      <c r="S6" s="310">
        <f>INDEX('Glosario Partidas'!$M$8:$M$10,MATCH(K6,'Glosario Partidas'!$L$8:$L$10,0))</f>
        <v>1</v>
      </c>
      <c r="T6" s="310">
        <f t="shared" si="4"/>
        <v>0</v>
      </c>
      <c r="U6" s="307" t="s">
        <v>315</v>
      </c>
      <c r="V6" s="249" t="s">
        <v>13</v>
      </c>
      <c r="W6" s="249" t="s">
        <v>491</v>
      </c>
      <c r="X6" s="249"/>
    </row>
    <row r="7" spans="1:29" ht="15" customHeight="1" x14ac:dyDescent="0.2">
      <c r="A7" s="211"/>
      <c r="B7" s="211" t="s">
        <v>203</v>
      </c>
      <c r="C7" s="211" t="s">
        <v>91</v>
      </c>
      <c r="D7" s="78" t="s">
        <v>390</v>
      </c>
      <c r="E7" s="307" t="s">
        <v>220</v>
      </c>
      <c r="F7" s="78" t="s">
        <v>355</v>
      </c>
      <c r="G7" s="307" t="s">
        <v>342</v>
      </c>
      <c r="H7" s="315" t="s">
        <v>293</v>
      </c>
      <c r="I7" s="211" t="s">
        <v>207</v>
      </c>
      <c r="J7" s="315">
        <v>0</v>
      </c>
      <c r="K7" s="211" t="s">
        <v>269</v>
      </c>
      <c r="L7" s="316">
        <v>0</v>
      </c>
      <c r="M7" s="310">
        <f t="shared" si="0"/>
        <v>0</v>
      </c>
      <c r="N7" s="317">
        <v>0</v>
      </c>
      <c r="O7" s="318">
        <f t="shared" si="1"/>
        <v>0</v>
      </c>
      <c r="P7" s="317">
        <v>0.16</v>
      </c>
      <c r="Q7" s="310">
        <f t="shared" si="2"/>
        <v>0</v>
      </c>
      <c r="R7" s="310">
        <f t="shared" si="3"/>
        <v>0</v>
      </c>
      <c r="S7" s="310">
        <f>INDEX('Glosario Partidas'!$M$8:$M$10,MATCH(K7,'Glosario Partidas'!$L$8:$L$10,0))</f>
        <v>1</v>
      </c>
      <c r="T7" s="310">
        <f t="shared" si="4"/>
        <v>0</v>
      </c>
      <c r="U7" s="307" t="s">
        <v>315</v>
      </c>
      <c r="V7" s="249" t="s">
        <v>13</v>
      </c>
      <c r="W7" s="249" t="s">
        <v>491</v>
      </c>
      <c r="X7" s="249"/>
    </row>
    <row r="8" spans="1:29" ht="15" customHeight="1" x14ac:dyDescent="0.2">
      <c r="A8" s="211"/>
      <c r="B8" s="211" t="s">
        <v>203</v>
      </c>
      <c r="C8" s="211" t="s">
        <v>91</v>
      </c>
      <c r="D8" s="78" t="s">
        <v>391</v>
      </c>
      <c r="E8" s="307" t="s">
        <v>220</v>
      </c>
      <c r="F8" s="78" t="s">
        <v>391</v>
      </c>
      <c r="G8" s="307" t="s">
        <v>342</v>
      </c>
      <c r="H8" s="315" t="s">
        <v>293</v>
      </c>
      <c r="I8" s="211" t="s">
        <v>314</v>
      </c>
      <c r="J8" s="315">
        <v>0</v>
      </c>
      <c r="K8" s="211" t="s">
        <v>269</v>
      </c>
      <c r="L8" s="316">
        <v>0</v>
      </c>
      <c r="M8" s="310">
        <f t="shared" si="0"/>
        <v>0</v>
      </c>
      <c r="N8" s="317">
        <v>0</v>
      </c>
      <c r="O8" s="318">
        <f t="shared" si="1"/>
        <v>0</v>
      </c>
      <c r="P8" s="317">
        <v>0.16</v>
      </c>
      <c r="Q8" s="310">
        <f t="shared" si="2"/>
        <v>0</v>
      </c>
      <c r="R8" s="310">
        <f t="shared" si="3"/>
        <v>0</v>
      </c>
      <c r="S8" s="310">
        <f>INDEX('Glosario Partidas'!$M$8:$M$10,MATCH(K8,'Glosario Partidas'!$L$8:$L$10,0))</f>
        <v>1</v>
      </c>
      <c r="T8" s="310">
        <f t="shared" si="4"/>
        <v>0</v>
      </c>
      <c r="U8" s="307" t="s">
        <v>315</v>
      </c>
      <c r="V8" s="249" t="s">
        <v>13</v>
      </c>
      <c r="W8" s="249" t="s">
        <v>491</v>
      </c>
      <c r="X8" s="249"/>
    </row>
    <row r="9" spans="1:29" ht="15" customHeight="1" x14ac:dyDescent="0.2">
      <c r="A9" s="211"/>
      <c r="B9" s="211" t="s">
        <v>203</v>
      </c>
      <c r="C9" s="211" t="s">
        <v>91</v>
      </c>
      <c r="D9" s="78" t="s">
        <v>392</v>
      </c>
      <c r="E9" s="307" t="s">
        <v>220</v>
      </c>
      <c r="F9" s="78" t="s">
        <v>392</v>
      </c>
      <c r="G9" s="307" t="s">
        <v>342</v>
      </c>
      <c r="H9" s="315" t="s">
        <v>293</v>
      </c>
      <c r="I9" s="211" t="s">
        <v>207</v>
      </c>
      <c r="J9" s="315">
        <v>0</v>
      </c>
      <c r="K9" s="211" t="s">
        <v>269</v>
      </c>
      <c r="L9" s="316">
        <v>0</v>
      </c>
      <c r="M9" s="310">
        <f t="shared" si="0"/>
        <v>0</v>
      </c>
      <c r="N9" s="317">
        <v>0</v>
      </c>
      <c r="O9" s="318">
        <f t="shared" si="1"/>
        <v>0</v>
      </c>
      <c r="P9" s="317">
        <v>0.16</v>
      </c>
      <c r="Q9" s="310">
        <f t="shared" si="2"/>
        <v>0</v>
      </c>
      <c r="R9" s="310">
        <f t="shared" si="3"/>
        <v>0</v>
      </c>
      <c r="S9" s="310">
        <f>INDEX('Glosario Partidas'!$M$8:$M$10,MATCH(K9,'Glosario Partidas'!$L$8:$L$10,0))</f>
        <v>1</v>
      </c>
      <c r="T9" s="310">
        <f t="shared" si="4"/>
        <v>0</v>
      </c>
      <c r="U9" s="307" t="s">
        <v>315</v>
      </c>
      <c r="V9" s="249" t="s">
        <v>13</v>
      </c>
      <c r="W9" s="249" t="s">
        <v>491</v>
      </c>
      <c r="X9" s="249"/>
    </row>
    <row r="10" spans="1:29" ht="15" customHeight="1" x14ac:dyDescent="0.2">
      <c r="A10" s="211"/>
      <c r="B10" s="211" t="s">
        <v>203</v>
      </c>
      <c r="C10" s="211" t="s">
        <v>91</v>
      </c>
      <c r="D10" s="78" t="s">
        <v>393</v>
      </c>
      <c r="E10" s="307" t="s">
        <v>220</v>
      </c>
      <c r="F10" s="78" t="s">
        <v>393</v>
      </c>
      <c r="G10" s="307" t="s">
        <v>342</v>
      </c>
      <c r="H10" s="315" t="s">
        <v>293</v>
      </c>
      <c r="I10" s="211" t="s">
        <v>207</v>
      </c>
      <c r="J10" s="315">
        <v>0</v>
      </c>
      <c r="K10" s="211" t="s">
        <v>269</v>
      </c>
      <c r="L10" s="316">
        <v>0</v>
      </c>
      <c r="M10" s="310">
        <f t="shared" si="0"/>
        <v>0</v>
      </c>
      <c r="N10" s="317">
        <v>0</v>
      </c>
      <c r="O10" s="318">
        <f t="shared" si="1"/>
        <v>0</v>
      </c>
      <c r="P10" s="317">
        <v>0.16</v>
      </c>
      <c r="Q10" s="310">
        <f t="shared" si="2"/>
        <v>0</v>
      </c>
      <c r="R10" s="310">
        <f t="shared" si="3"/>
        <v>0</v>
      </c>
      <c r="S10" s="310">
        <f>INDEX('Glosario Partidas'!$M$8:$M$10,MATCH(K10,'Glosario Partidas'!$L$8:$L$10,0))</f>
        <v>1</v>
      </c>
      <c r="T10" s="310">
        <f t="shared" si="4"/>
        <v>0</v>
      </c>
      <c r="U10" s="307" t="s">
        <v>315</v>
      </c>
      <c r="V10" s="249" t="s">
        <v>13</v>
      </c>
      <c r="W10" s="249" t="s">
        <v>491</v>
      </c>
      <c r="X10" s="249"/>
    </row>
    <row r="11" spans="1:29" ht="15" customHeight="1" x14ac:dyDescent="0.2">
      <c r="A11" s="211"/>
      <c r="B11" s="211" t="s">
        <v>203</v>
      </c>
      <c r="C11" s="211" t="s">
        <v>92</v>
      </c>
      <c r="D11" s="78" t="s">
        <v>394</v>
      </c>
      <c r="E11" s="307" t="s">
        <v>220</v>
      </c>
      <c r="F11" s="78" t="s">
        <v>221</v>
      </c>
      <c r="G11" s="307" t="s">
        <v>342</v>
      </c>
      <c r="H11" s="315" t="s">
        <v>293</v>
      </c>
      <c r="I11" s="211" t="s">
        <v>207</v>
      </c>
      <c r="J11" s="315">
        <v>109.56</v>
      </c>
      <c r="K11" s="211" t="s">
        <v>153</v>
      </c>
      <c r="L11" s="316">
        <v>0</v>
      </c>
      <c r="M11" s="310">
        <f t="shared" si="0"/>
        <v>0</v>
      </c>
      <c r="N11" s="317">
        <v>0</v>
      </c>
      <c r="O11" s="318">
        <f t="shared" si="1"/>
        <v>0</v>
      </c>
      <c r="P11" s="317">
        <v>0.16</v>
      </c>
      <c r="Q11" s="310">
        <f t="shared" si="2"/>
        <v>0</v>
      </c>
      <c r="R11" s="310">
        <f t="shared" si="3"/>
        <v>0</v>
      </c>
      <c r="S11" s="310">
        <f>INDEX('Glosario Partidas'!$M$8:$M$10,MATCH(K11,'Glosario Partidas'!$L$8:$L$10,0))</f>
        <v>17.5</v>
      </c>
      <c r="T11" s="310">
        <f t="shared" si="4"/>
        <v>0</v>
      </c>
      <c r="U11" s="307" t="s">
        <v>315</v>
      </c>
      <c r="V11" s="249" t="s">
        <v>13</v>
      </c>
      <c r="W11" s="249" t="s">
        <v>491</v>
      </c>
      <c r="X11" s="249"/>
    </row>
    <row r="12" spans="1:29" ht="15" customHeight="1" x14ac:dyDescent="0.2">
      <c r="A12" s="211"/>
      <c r="B12" s="211" t="s">
        <v>203</v>
      </c>
      <c r="C12" s="211" t="s">
        <v>92</v>
      </c>
      <c r="D12" s="78" t="s">
        <v>394</v>
      </c>
      <c r="E12" s="307" t="s">
        <v>220</v>
      </c>
      <c r="F12" s="78" t="s">
        <v>354</v>
      </c>
      <c r="G12" s="307" t="s">
        <v>342</v>
      </c>
      <c r="H12" s="315" t="s">
        <v>293</v>
      </c>
      <c r="I12" s="211" t="s">
        <v>207</v>
      </c>
      <c r="J12" s="315">
        <v>109.56</v>
      </c>
      <c r="K12" s="211" t="s">
        <v>153</v>
      </c>
      <c r="L12" s="316">
        <v>0</v>
      </c>
      <c r="M12" s="310">
        <f t="shared" si="0"/>
        <v>0</v>
      </c>
      <c r="N12" s="317">
        <v>0</v>
      </c>
      <c r="O12" s="318">
        <f t="shared" si="1"/>
        <v>0</v>
      </c>
      <c r="P12" s="317">
        <v>0.16</v>
      </c>
      <c r="Q12" s="310">
        <f t="shared" si="2"/>
        <v>0</v>
      </c>
      <c r="R12" s="310">
        <f t="shared" si="3"/>
        <v>0</v>
      </c>
      <c r="S12" s="310">
        <f>INDEX('Glosario Partidas'!$M$8:$M$10,MATCH(K12,'Glosario Partidas'!$L$8:$L$10,0))</f>
        <v>17.5</v>
      </c>
      <c r="T12" s="310">
        <f t="shared" si="4"/>
        <v>0</v>
      </c>
      <c r="U12" s="307" t="s">
        <v>315</v>
      </c>
      <c r="V12" s="249" t="s">
        <v>13</v>
      </c>
      <c r="W12" s="249" t="s">
        <v>491</v>
      </c>
      <c r="X12" s="249"/>
    </row>
    <row r="13" spans="1:29" ht="15" customHeight="1" x14ac:dyDescent="0.2">
      <c r="A13" s="211"/>
      <c r="B13" s="211" t="s">
        <v>203</v>
      </c>
      <c r="C13" s="211" t="s">
        <v>92</v>
      </c>
      <c r="D13" s="78" t="s">
        <v>394</v>
      </c>
      <c r="E13" s="307" t="s">
        <v>220</v>
      </c>
      <c r="F13" s="78" t="s">
        <v>355</v>
      </c>
      <c r="G13" s="307" t="s">
        <v>342</v>
      </c>
      <c r="H13" s="315" t="s">
        <v>293</v>
      </c>
      <c r="I13" s="211" t="s">
        <v>207</v>
      </c>
      <c r="J13" s="315">
        <v>16.5</v>
      </c>
      <c r="K13" s="211" t="s">
        <v>153</v>
      </c>
      <c r="L13" s="316">
        <v>0</v>
      </c>
      <c r="M13" s="310">
        <f t="shared" si="0"/>
        <v>0</v>
      </c>
      <c r="N13" s="317">
        <v>0</v>
      </c>
      <c r="O13" s="318">
        <f t="shared" si="1"/>
        <v>0</v>
      </c>
      <c r="P13" s="317">
        <v>0.16</v>
      </c>
      <c r="Q13" s="310">
        <f t="shared" si="2"/>
        <v>0</v>
      </c>
      <c r="R13" s="310">
        <f t="shared" si="3"/>
        <v>0</v>
      </c>
      <c r="S13" s="310">
        <f>INDEX('Glosario Partidas'!$M$8:$M$10,MATCH(K13,'Glosario Partidas'!$L$8:$L$10,0))</f>
        <v>17.5</v>
      </c>
      <c r="T13" s="310">
        <f t="shared" si="4"/>
        <v>0</v>
      </c>
      <c r="U13" s="307" t="s">
        <v>315</v>
      </c>
      <c r="V13" s="249" t="s">
        <v>13</v>
      </c>
      <c r="W13" s="249" t="s">
        <v>491</v>
      </c>
      <c r="X13" s="249"/>
    </row>
    <row r="14" spans="1:29" ht="15" customHeight="1" x14ac:dyDescent="0.2">
      <c r="A14" s="211"/>
      <c r="B14" s="211" t="s">
        <v>203</v>
      </c>
      <c r="C14" s="211" t="s">
        <v>92</v>
      </c>
      <c r="D14" s="78" t="s">
        <v>390</v>
      </c>
      <c r="E14" s="307" t="s">
        <v>220</v>
      </c>
      <c r="F14" s="78" t="s">
        <v>221</v>
      </c>
      <c r="G14" s="307" t="s">
        <v>342</v>
      </c>
      <c r="H14" s="315" t="s">
        <v>293</v>
      </c>
      <c r="I14" s="211" t="s">
        <v>207</v>
      </c>
      <c r="J14" s="315">
        <v>99.6</v>
      </c>
      <c r="K14" s="211" t="s">
        <v>269</v>
      </c>
      <c r="L14" s="316">
        <v>0</v>
      </c>
      <c r="M14" s="310">
        <f t="shared" si="0"/>
        <v>0</v>
      </c>
      <c r="N14" s="317">
        <v>0</v>
      </c>
      <c r="O14" s="318">
        <f t="shared" si="1"/>
        <v>0</v>
      </c>
      <c r="P14" s="317">
        <v>0.16</v>
      </c>
      <c r="Q14" s="310">
        <f t="shared" si="2"/>
        <v>0</v>
      </c>
      <c r="R14" s="310">
        <f t="shared" si="3"/>
        <v>0</v>
      </c>
      <c r="S14" s="310">
        <f>INDEX('Glosario Partidas'!$M$8:$M$10,MATCH(K14,'Glosario Partidas'!$L$8:$L$10,0))</f>
        <v>1</v>
      </c>
      <c r="T14" s="310">
        <f t="shared" si="4"/>
        <v>0</v>
      </c>
      <c r="U14" s="307" t="s">
        <v>315</v>
      </c>
      <c r="V14" s="249" t="s">
        <v>13</v>
      </c>
      <c r="W14" s="249" t="s">
        <v>491</v>
      </c>
      <c r="X14" s="249"/>
    </row>
    <row r="15" spans="1:29" ht="15" customHeight="1" x14ac:dyDescent="0.2">
      <c r="A15" s="211"/>
      <c r="B15" s="211" t="s">
        <v>203</v>
      </c>
      <c r="C15" s="211" t="s">
        <v>92</v>
      </c>
      <c r="D15" s="78" t="s">
        <v>390</v>
      </c>
      <c r="E15" s="307" t="s">
        <v>220</v>
      </c>
      <c r="F15" s="78" t="s">
        <v>354</v>
      </c>
      <c r="G15" s="307" t="s">
        <v>342</v>
      </c>
      <c r="H15" s="315" t="s">
        <v>293</v>
      </c>
      <c r="I15" s="211" t="s">
        <v>207</v>
      </c>
      <c r="J15" s="315">
        <v>99.6</v>
      </c>
      <c r="K15" s="211" t="s">
        <v>269</v>
      </c>
      <c r="L15" s="316">
        <v>0</v>
      </c>
      <c r="M15" s="310">
        <f t="shared" si="0"/>
        <v>0</v>
      </c>
      <c r="N15" s="317">
        <v>0</v>
      </c>
      <c r="O15" s="318">
        <f t="shared" si="1"/>
        <v>0</v>
      </c>
      <c r="P15" s="317">
        <v>0.16</v>
      </c>
      <c r="Q15" s="310">
        <f t="shared" si="2"/>
        <v>0</v>
      </c>
      <c r="R15" s="310">
        <f t="shared" si="3"/>
        <v>0</v>
      </c>
      <c r="S15" s="310">
        <f>INDEX('Glosario Partidas'!$M$8:$M$10,MATCH(K15,'Glosario Partidas'!$L$8:$L$10,0))</f>
        <v>1</v>
      </c>
      <c r="T15" s="310">
        <f t="shared" si="4"/>
        <v>0</v>
      </c>
      <c r="U15" s="307" t="s">
        <v>315</v>
      </c>
      <c r="V15" s="249" t="s">
        <v>13</v>
      </c>
      <c r="W15" s="249" t="s">
        <v>491</v>
      </c>
      <c r="X15" s="249"/>
    </row>
    <row r="16" spans="1:29" ht="15" customHeight="1" x14ac:dyDescent="0.2">
      <c r="A16" s="211"/>
      <c r="B16" s="211" t="s">
        <v>203</v>
      </c>
      <c r="C16" s="211" t="s">
        <v>92</v>
      </c>
      <c r="D16" s="78" t="s">
        <v>390</v>
      </c>
      <c r="E16" s="307" t="s">
        <v>220</v>
      </c>
      <c r="F16" s="78" t="s">
        <v>355</v>
      </c>
      <c r="G16" s="307" t="s">
        <v>342</v>
      </c>
      <c r="H16" s="315" t="s">
        <v>293</v>
      </c>
      <c r="I16" s="211" t="s">
        <v>207</v>
      </c>
      <c r="J16" s="315">
        <v>15</v>
      </c>
      <c r="K16" s="211" t="s">
        <v>269</v>
      </c>
      <c r="L16" s="316">
        <v>0</v>
      </c>
      <c r="M16" s="310">
        <f t="shared" si="0"/>
        <v>0</v>
      </c>
      <c r="N16" s="317">
        <v>0</v>
      </c>
      <c r="O16" s="318">
        <f t="shared" si="1"/>
        <v>0</v>
      </c>
      <c r="P16" s="317">
        <v>0.16</v>
      </c>
      <c r="Q16" s="310">
        <f t="shared" si="2"/>
        <v>0</v>
      </c>
      <c r="R16" s="310">
        <f t="shared" si="3"/>
        <v>0</v>
      </c>
      <c r="S16" s="310">
        <f>INDEX('Glosario Partidas'!$M$8:$M$10,MATCH(K16,'Glosario Partidas'!$L$8:$L$10,0))</f>
        <v>1</v>
      </c>
      <c r="T16" s="310">
        <f t="shared" si="4"/>
        <v>0</v>
      </c>
      <c r="U16" s="307" t="s">
        <v>315</v>
      </c>
      <c r="V16" s="249" t="s">
        <v>13</v>
      </c>
      <c r="W16" s="249" t="s">
        <v>491</v>
      </c>
      <c r="X16" s="249"/>
    </row>
    <row r="17" spans="1:24" ht="15" customHeight="1" x14ac:dyDescent="0.2">
      <c r="A17" s="211"/>
      <c r="B17" s="211" t="s">
        <v>203</v>
      </c>
      <c r="C17" s="211" t="s">
        <v>91</v>
      </c>
      <c r="D17" s="78" t="s">
        <v>389</v>
      </c>
      <c r="E17" s="307" t="s">
        <v>220</v>
      </c>
      <c r="F17" s="78" t="s">
        <v>221</v>
      </c>
      <c r="G17" s="307" t="s">
        <v>487</v>
      </c>
      <c r="H17" s="315" t="s">
        <v>293</v>
      </c>
      <c r="I17" s="211" t="s">
        <v>207</v>
      </c>
      <c r="J17" s="315">
        <v>0</v>
      </c>
      <c r="K17" s="211" t="s">
        <v>153</v>
      </c>
      <c r="L17" s="316">
        <v>0</v>
      </c>
      <c r="M17" s="310">
        <f t="shared" si="0"/>
        <v>0</v>
      </c>
      <c r="N17" s="317">
        <v>0</v>
      </c>
      <c r="O17" s="318">
        <f t="shared" si="1"/>
        <v>0</v>
      </c>
      <c r="P17" s="317">
        <v>0.16</v>
      </c>
      <c r="Q17" s="310">
        <f t="shared" si="2"/>
        <v>0</v>
      </c>
      <c r="R17" s="310">
        <f t="shared" si="3"/>
        <v>0</v>
      </c>
      <c r="S17" s="310">
        <f>INDEX('Glosario Partidas'!$M$8:$M$10,MATCH(K17,'Glosario Partidas'!$L$8:$L$10,0))</f>
        <v>17.5</v>
      </c>
      <c r="T17" s="310">
        <f t="shared" si="4"/>
        <v>0</v>
      </c>
      <c r="U17" s="307" t="s">
        <v>315</v>
      </c>
      <c r="V17" s="249" t="s">
        <v>13</v>
      </c>
      <c r="W17" s="249" t="s">
        <v>491</v>
      </c>
      <c r="X17" s="249"/>
    </row>
    <row r="18" spans="1:24" ht="15" customHeight="1" x14ac:dyDescent="0.2">
      <c r="A18" s="211"/>
      <c r="B18" s="211" t="s">
        <v>203</v>
      </c>
      <c r="C18" s="211" t="s">
        <v>91</v>
      </c>
      <c r="D18" s="78" t="s">
        <v>389</v>
      </c>
      <c r="E18" s="307" t="s">
        <v>220</v>
      </c>
      <c r="F18" s="78" t="s">
        <v>354</v>
      </c>
      <c r="G18" s="307" t="s">
        <v>487</v>
      </c>
      <c r="H18" s="315" t="s">
        <v>293</v>
      </c>
      <c r="I18" s="211" t="s">
        <v>207</v>
      </c>
      <c r="J18" s="315">
        <v>0</v>
      </c>
      <c r="K18" s="211" t="s">
        <v>153</v>
      </c>
      <c r="L18" s="316">
        <v>0</v>
      </c>
      <c r="M18" s="310">
        <f t="shared" si="0"/>
        <v>0</v>
      </c>
      <c r="N18" s="317">
        <v>0</v>
      </c>
      <c r="O18" s="318">
        <f t="shared" si="1"/>
        <v>0</v>
      </c>
      <c r="P18" s="317">
        <v>0.16</v>
      </c>
      <c r="Q18" s="310">
        <f t="shared" si="2"/>
        <v>0</v>
      </c>
      <c r="R18" s="310">
        <f t="shared" si="3"/>
        <v>0</v>
      </c>
      <c r="S18" s="310">
        <f>INDEX('Glosario Partidas'!$M$8:$M$10,MATCH(K18,'Glosario Partidas'!$L$8:$L$10,0))</f>
        <v>17.5</v>
      </c>
      <c r="T18" s="310">
        <f t="shared" si="4"/>
        <v>0</v>
      </c>
      <c r="U18" s="307" t="s">
        <v>315</v>
      </c>
      <c r="V18" s="249" t="s">
        <v>13</v>
      </c>
      <c r="W18" s="249" t="s">
        <v>491</v>
      </c>
      <c r="X18" s="249"/>
    </row>
    <row r="19" spans="1:24" ht="15" customHeight="1" x14ac:dyDescent="0.2">
      <c r="A19" s="211"/>
      <c r="B19" s="211" t="s">
        <v>203</v>
      </c>
      <c r="C19" s="211" t="s">
        <v>91</v>
      </c>
      <c r="D19" s="78" t="s">
        <v>389</v>
      </c>
      <c r="E19" s="307" t="s">
        <v>220</v>
      </c>
      <c r="F19" s="78" t="s">
        <v>355</v>
      </c>
      <c r="G19" s="307" t="s">
        <v>487</v>
      </c>
      <c r="H19" s="315" t="s">
        <v>293</v>
      </c>
      <c r="I19" s="211" t="s">
        <v>207</v>
      </c>
      <c r="J19" s="315">
        <v>0</v>
      </c>
      <c r="K19" s="211" t="s">
        <v>153</v>
      </c>
      <c r="L19" s="316">
        <v>0</v>
      </c>
      <c r="M19" s="310">
        <f t="shared" si="0"/>
        <v>0</v>
      </c>
      <c r="N19" s="317">
        <v>0</v>
      </c>
      <c r="O19" s="318">
        <f t="shared" si="1"/>
        <v>0</v>
      </c>
      <c r="P19" s="317">
        <v>0.16</v>
      </c>
      <c r="Q19" s="310">
        <f t="shared" si="2"/>
        <v>0</v>
      </c>
      <c r="R19" s="310">
        <f t="shared" si="3"/>
        <v>0</v>
      </c>
      <c r="S19" s="310">
        <f>INDEX('Glosario Partidas'!$M$8:$M$10,MATCH(K19,'Glosario Partidas'!$L$8:$L$10,0))</f>
        <v>17.5</v>
      </c>
      <c r="T19" s="310">
        <f t="shared" si="4"/>
        <v>0</v>
      </c>
      <c r="U19" s="307" t="s">
        <v>315</v>
      </c>
      <c r="V19" s="249" t="s">
        <v>13</v>
      </c>
      <c r="W19" s="249" t="s">
        <v>491</v>
      </c>
      <c r="X19" s="249"/>
    </row>
    <row r="20" spans="1:24" ht="15" customHeight="1" x14ac:dyDescent="0.2">
      <c r="A20" s="211"/>
      <c r="B20" s="211" t="s">
        <v>203</v>
      </c>
      <c r="C20" s="211" t="s">
        <v>91</v>
      </c>
      <c r="D20" s="78" t="s">
        <v>390</v>
      </c>
      <c r="E20" s="307" t="s">
        <v>220</v>
      </c>
      <c r="F20" s="78" t="s">
        <v>221</v>
      </c>
      <c r="G20" s="307" t="s">
        <v>487</v>
      </c>
      <c r="H20" s="315" t="s">
        <v>293</v>
      </c>
      <c r="I20" s="211" t="s">
        <v>207</v>
      </c>
      <c r="J20" s="315">
        <v>0</v>
      </c>
      <c r="K20" s="211" t="s">
        <v>269</v>
      </c>
      <c r="L20" s="316">
        <v>0</v>
      </c>
      <c r="M20" s="310">
        <f t="shared" si="0"/>
        <v>0</v>
      </c>
      <c r="N20" s="317">
        <v>0</v>
      </c>
      <c r="O20" s="318">
        <f t="shared" si="1"/>
        <v>0</v>
      </c>
      <c r="P20" s="317">
        <v>0.16</v>
      </c>
      <c r="Q20" s="310">
        <f t="shared" si="2"/>
        <v>0</v>
      </c>
      <c r="R20" s="310">
        <f t="shared" si="3"/>
        <v>0</v>
      </c>
      <c r="S20" s="310">
        <f>INDEX('Glosario Partidas'!$M$8:$M$10,MATCH(K20,'Glosario Partidas'!$L$8:$L$10,0))</f>
        <v>1</v>
      </c>
      <c r="T20" s="310">
        <f t="shared" si="4"/>
        <v>0</v>
      </c>
      <c r="U20" s="307" t="s">
        <v>315</v>
      </c>
      <c r="V20" s="249" t="s">
        <v>13</v>
      </c>
      <c r="W20" s="249" t="s">
        <v>491</v>
      </c>
      <c r="X20" s="249"/>
    </row>
    <row r="21" spans="1:24" ht="15" customHeight="1" x14ac:dyDescent="0.2">
      <c r="A21" s="211"/>
      <c r="B21" s="211" t="s">
        <v>203</v>
      </c>
      <c r="C21" s="211" t="s">
        <v>91</v>
      </c>
      <c r="D21" s="78" t="s">
        <v>390</v>
      </c>
      <c r="E21" s="307" t="s">
        <v>220</v>
      </c>
      <c r="F21" s="78" t="s">
        <v>354</v>
      </c>
      <c r="G21" s="307" t="s">
        <v>487</v>
      </c>
      <c r="H21" s="315" t="s">
        <v>293</v>
      </c>
      <c r="I21" s="211" t="s">
        <v>207</v>
      </c>
      <c r="J21" s="315">
        <v>0</v>
      </c>
      <c r="K21" s="211" t="s">
        <v>269</v>
      </c>
      <c r="L21" s="316">
        <v>0</v>
      </c>
      <c r="M21" s="310">
        <f t="shared" si="0"/>
        <v>0</v>
      </c>
      <c r="N21" s="317">
        <v>0</v>
      </c>
      <c r="O21" s="318">
        <f t="shared" si="1"/>
        <v>0</v>
      </c>
      <c r="P21" s="317">
        <v>0.16</v>
      </c>
      <c r="Q21" s="310">
        <f t="shared" si="2"/>
        <v>0</v>
      </c>
      <c r="R21" s="310">
        <f t="shared" si="3"/>
        <v>0</v>
      </c>
      <c r="S21" s="310">
        <f>INDEX('Glosario Partidas'!$M$8:$M$10,MATCH(K21,'Glosario Partidas'!$L$8:$L$10,0))</f>
        <v>1</v>
      </c>
      <c r="T21" s="310">
        <f t="shared" si="4"/>
        <v>0</v>
      </c>
      <c r="U21" s="307" t="s">
        <v>315</v>
      </c>
      <c r="V21" s="249" t="s">
        <v>13</v>
      </c>
      <c r="W21" s="249" t="s">
        <v>491</v>
      </c>
      <c r="X21" s="249"/>
    </row>
    <row r="22" spans="1:24" ht="15" customHeight="1" x14ac:dyDescent="0.2">
      <c r="A22" s="211"/>
      <c r="B22" s="211" t="s">
        <v>203</v>
      </c>
      <c r="C22" s="211" t="s">
        <v>91</v>
      </c>
      <c r="D22" s="78" t="s">
        <v>390</v>
      </c>
      <c r="E22" s="307" t="s">
        <v>220</v>
      </c>
      <c r="F22" s="78" t="s">
        <v>355</v>
      </c>
      <c r="G22" s="307" t="s">
        <v>487</v>
      </c>
      <c r="H22" s="315" t="s">
        <v>293</v>
      </c>
      <c r="I22" s="211" t="s">
        <v>207</v>
      </c>
      <c r="J22" s="315">
        <v>0</v>
      </c>
      <c r="K22" s="211" t="s">
        <v>269</v>
      </c>
      <c r="L22" s="316">
        <v>0</v>
      </c>
      <c r="M22" s="310">
        <f t="shared" si="0"/>
        <v>0</v>
      </c>
      <c r="N22" s="317">
        <v>0</v>
      </c>
      <c r="O22" s="318">
        <f t="shared" si="1"/>
        <v>0</v>
      </c>
      <c r="P22" s="317">
        <v>0.16</v>
      </c>
      <c r="Q22" s="310">
        <f t="shared" si="2"/>
        <v>0</v>
      </c>
      <c r="R22" s="310">
        <f t="shared" si="3"/>
        <v>0</v>
      </c>
      <c r="S22" s="310">
        <f>INDEX('Glosario Partidas'!$M$8:$M$10,MATCH(K22,'Glosario Partidas'!$L$8:$L$10,0))</f>
        <v>1</v>
      </c>
      <c r="T22" s="310">
        <f t="shared" si="4"/>
        <v>0</v>
      </c>
      <c r="U22" s="307" t="s">
        <v>315</v>
      </c>
      <c r="V22" s="249" t="s">
        <v>13</v>
      </c>
      <c r="W22" s="249" t="s">
        <v>491</v>
      </c>
      <c r="X22" s="249"/>
    </row>
    <row r="23" spans="1:24" ht="15" customHeight="1" x14ac:dyDescent="0.2">
      <c r="A23" s="211"/>
      <c r="B23" s="211" t="s">
        <v>203</v>
      </c>
      <c r="C23" s="211" t="s">
        <v>91</v>
      </c>
      <c r="D23" s="78" t="s">
        <v>391</v>
      </c>
      <c r="E23" s="307" t="s">
        <v>220</v>
      </c>
      <c r="F23" s="78" t="s">
        <v>391</v>
      </c>
      <c r="G23" s="307" t="s">
        <v>487</v>
      </c>
      <c r="H23" s="315" t="s">
        <v>293</v>
      </c>
      <c r="I23" s="211" t="s">
        <v>314</v>
      </c>
      <c r="J23" s="315">
        <v>0</v>
      </c>
      <c r="K23" s="211" t="s">
        <v>269</v>
      </c>
      <c r="L23" s="316">
        <v>0</v>
      </c>
      <c r="M23" s="310">
        <f t="shared" si="0"/>
        <v>0</v>
      </c>
      <c r="N23" s="317">
        <v>0</v>
      </c>
      <c r="O23" s="318">
        <f t="shared" si="1"/>
        <v>0</v>
      </c>
      <c r="P23" s="317">
        <v>0.16</v>
      </c>
      <c r="Q23" s="310">
        <f t="shared" si="2"/>
        <v>0</v>
      </c>
      <c r="R23" s="310">
        <f t="shared" si="3"/>
        <v>0</v>
      </c>
      <c r="S23" s="310">
        <f>INDEX('Glosario Partidas'!$M$8:$M$10,MATCH(K23,'Glosario Partidas'!$L$8:$L$10,0))</f>
        <v>1</v>
      </c>
      <c r="T23" s="310">
        <f t="shared" si="4"/>
        <v>0</v>
      </c>
      <c r="U23" s="307" t="s">
        <v>315</v>
      </c>
      <c r="V23" s="249" t="s">
        <v>13</v>
      </c>
      <c r="W23" s="249" t="s">
        <v>491</v>
      </c>
      <c r="X23" s="249"/>
    </row>
    <row r="24" spans="1:24" ht="15" customHeight="1" x14ac:dyDescent="0.2">
      <c r="A24" s="211"/>
      <c r="B24" s="211" t="s">
        <v>203</v>
      </c>
      <c r="C24" s="211" t="s">
        <v>91</v>
      </c>
      <c r="D24" s="78" t="s">
        <v>392</v>
      </c>
      <c r="E24" s="307" t="s">
        <v>220</v>
      </c>
      <c r="F24" s="78" t="s">
        <v>392</v>
      </c>
      <c r="G24" s="307" t="s">
        <v>487</v>
      </c>
      <c r="H24" s="315" t="s">
        <v>293</v>
      </c>
      <c r="I24" s="211" t="s">
        <v>207</v>
      </c>
      <c r="J24" s="315">
        <v>0</v>
      </c>
      <c r="K24" s="211" t="s">
        <v>269</v>
      </c>
      <c r="L24" s="316">
        <v>0</v>
      </c>
      <c r="M24" s="310">
        <f t="shared" si="0"/>
        <v>0</v>
      </c>
      <c r="N24" s="317">
        <v>0</v>
      </c>
      <c r="O24" s="318">
        <f t="shared" si="1"/>
        <v>0</v>
      </c>
      <c r="P24" s="317">
        <v>0.16</v>
      </c>
      <c r="Q24" s="310">
        <f t="shared" si="2"/>
        <v>0</v>
      </c>
      <c r="R24" s="310">
        <f t="shared" si="3"/>
        <v>0</v>
      </c>
      <c r="S24" s="310">
        <f>INDEX('Glosario Partidas'!$M$8:$M$10,MATCH(K24,'Glosario Partidas'!$L$8:$L$10,0))</f>
        <v>1</v>
      </c>
      <c r="T24" s="310">
        <f t="shared" si="4"/>
        <v>0</v>
      </c>
      <c r="U24" s="307" t="s">
        <v>315</v>
      </c>
      <c r="V24" s="249" t="s">
        <v>13</v>
      </c>
      <c r="W24" s="249" t="s">
        <v>491</v>
      </c>
      <c r="X24" s="249"/>
    </row>
    <row r="25" spans="1:24" ht="15" customHeight="1" x14ac:dyDescent="0.2">
      <c r="A25" s="211"/>
      <c r="B25" s="211" t="s">
        <v>203</v>
      </c>
      <c r="C25" s="211" t="s">
        <v>91</v>
      </c>
      <c r="D25" s="78" t="s">
        <v>393</v>
      </c>
      <c r="E25" s="307" t="s">
        <v>220</v>
      </c>
      <c r="F25" s="78" t="s">
        <v>393</v>
      </c>
      <c r="G25" s="307" t="s">
        <v>487</v>
      </c>
      <c r="H25" s="315" t="s">
        <v>293</v>
      </c>
      <c r="I25" s="211" t="s">
        <v>207</v>
      </c>
      <c r="J25" s="315">
        <v>0</v>
      </c>
      <c r="K25" s="211" t="s">
        <v>269</v>
      </c>
      <c r="L25" s="316">
        <v>0</v>
      </c>
      <c r="M25" s="310">
        <f t="shared" si="0"/>
        <v>0</v>
      </c>
      <c r="N25" s="317">
        <v>0</v>
      </c>
      <c r="O25" s="318">
        <f t="shared" si="1"/>
        <v>0</v>
      </c>
      <c r="P25" s="317">
        <v>0.16</v>
      </c>
      <c r="Q25" s="310">
        <f t="shared" si="2"/>
        <v>0</v>
      </c>
      <c r="R25" s="310">
        <f t="shared" si="3"/>
        <v>0</v>
      </c>
      <c r="S25" s="310">
        <f>INDEX('Glosario Partidas'!$M$8:$M$10,MATCH(K25,'Glosario Partidas'!$L$8:$L$10,0))</f>
        <v>1</v>
      </c>
      <c r="T25" s="310">
        <f t="shared" si="4"/>
        <v>0</v>
      </c>
      <c r="U25" s="307" t="s">
        <v>315</v>
      </c>
      <c r="V25" s="249" t="s">
        <v>13</v>
      </c>
      <c r="W25" s="249" t="s">
        <v>491</v>
      </c>
      <c r="X25" s="249"/>
    </row>
    <row r="26" spans="1:24" ht="15" customHeight="1" x14ac:dyDescent="0.2">
      <c r="A26" s="211"/>
      <c r="B26" s="211" t="s">
        <v>203</v>
      </c>
      <c r="C26" s="211" t="s">
        <v>92</v>
      </c>
      <c r="D26" s="78" t="s">
        <v>394</v>
      </c>
      <c r="E26" s="307" t="s">
        <v>220</v>
      </c>
      <c r="F26" s="78" t="s">
        <v>221</v>
      </c>
      <c r="G26" s="307" t="s">
        <v>487</v>
      </c>
      <c r="H26" s="315" t="s">
        <v>293</v>
      </c>
      <c r="I26" s="211" t="s">
        <v>207</v>
      </c>
      <c r="J26" s="315">
        <v>109.56</v>
      </c>
      <c r="K26" s="211" t="s">
        <v>153</v>
      </c>
      <c r="L26" s="316">
        <v>0</v>
      </c>
      <c r="M26" s="310">
        <f t="shared" si="0"/>
        <v>0</v>
      </c>
      <c r="N26" s="317">
        <v>0</v>
      </c>
      <c r="O26" s="318">
        <f t="shared" si="1"/>
        <v>0</v>
      </c>
      <c r="P26" s="317">
        <v>0.16</v>
      </c>
      <c r="Q26" s="310">
        <f t="shared" si="2"/>
        <v>0</v>
      </c>
      <c r="R26" s="310">
        <f t="shared" si="3"/>
        <v>0</v>
      </c>
      <c r="S26" s="310">
        <f>INDEX('Glosario Partidas'!$M$8:$M$10,MATCH(K26,'Glosario Partidas'!$L$8:$L$10,0))</f>
        <v>17.5</v>
      </c>
      <c r="T26" s="310">
        <f t="shared" si="4"/>
        <v>0</v>
      </c>
      <c r="U26" s="307" t="s">
        <v>315</v>
      </c>
      <c r="V26" s="249" t="s">
        <v>13</v>
      </c>
      <c r="W26" s="249" t="s">
        <v>491</v>
      </c>
      <c r="X26" s="249"/>
    </row>
    <row r="27" spans="1:24" ht="15" customHeight="1" x14ac:dyDescent="0.2">
      <c r="A27" s="211"/>
      <c r="B27" s="211" t="s">
        <v>203</v>
      </c>
      <c r="C27" s="211" t="s">
        <v>92</v>
      </c>
      <c r="D27" s="78" t="s">
        <v>394</v>
      </c>
      <c r="E27" s="307" t="s">
        <v>220</v>
      </c>
      <c r="F27" s="78" t="s">
        <v>354</v>
      </c>
      <c r="G27" s="307" t="s">
        <v>487</v>
      </c>
      <c r="H27" s="315" t="s">
        <v>293</v>
      </c>
      <c r="I27" s="211" t="s">
        <v>207</v>
      </c>
      <c r="J27" s="315">
        <v>109.56</v>
      </c>
      <c r="K27" s="211" t="s">
        <v>153</v>
      </c>
      <c r="L27" s="316">
        <v>0</v>
      </c>
      <c r="M27" s="310">
        <f t="shared" si="0"/>
        <v>0</v>
      </c>
      <c r="N27" s="317">
        <v>0</v>
      </c>
      <c r="O27" s="318">
        <f t="shared" si="1"/>
        <v>0</v>
      </c>
      <c r="P27" s="317">
        <v>0.16</v>
      </c>
      <c r="Q27" s="310">
        <f t="shared" si="2"/>
        <v>0</v>
      </c>
      <c r="R27" s="310">
        <f t="shared" si="3"/>
        <v>0</v>
      </c>
      <c r="S27" s="310">
        <f>INDEX('Glosario Partidas'!$M$8:$M$10,MATCH(K27,'Glosario Partidas'!$L$8:$L$10,0))</f>
        <v>17.5</v>
      </c>
      <c r="T27" s="310">
        <f t="shared" si="4"/>
        <v>0</v>
      </c>
      <c r="U27" s="307" t="s">
        <v>315</v>
      </c>
      <c r="V27" s="249" t="s">
        <v>13</v>
      </c>
      <c r="W27" s="249" t="s">
        <v>491</v>
      </c>
      <c r="X27" s="249"/>
    </row>
    <row r="28" spans="1:24" ht="15" customHeight="1" x14ac:dyDescent="0.2">
      <c r="A28" s="211"/>
      <c r="B28" s="211" t="s">
        <v>203</v>
      </c>
      <c r="C28" s="211" t="s">
        <v>92</v>
      </c>
      <c r="D28" s="78" t="s">
        <v>394</v>
      </c>
      <c r="E28" s="307" t="s">
        <v>220</v>
      </c>
      <c r="F28" s="78" t="s">
        <v>355</v>
      </c>
      <c r="G28" s="307" t="s">
        <v>487</v>
      </c>
      <c r="H28" s="315" t="s">
        <v>293</v>
      </c>
      <c r="I28" s="211" t="s">
        <v>207</v>
      </c>
      <c r="J28" s="315">
        <v>16.5</v>
      </c>
      <c r="K28" s="211" t="s">
        <v>153</v>
      </c>
      <c r="L28" s="316">
        <v>0</v>
      </c>
      <c r="M28" s="310">
        <f t="shared" si="0"/>
        <v>0</v>
      </c>
      <c r="N28" s="317">
        <v>0</v>
      </c>
      <c r="O28" s="318">
        <f t="shared" si="1"/>
        <v>0</v>
      </c>
      <c r="P28" s="317">
        <v>0.16</v>
      </c>
      <c r="Q28" s="310">
        <f t="shared" si="2"/>
        <v>0</v>
      </c>
      <c r="R28" s="310">
        <f t="shared" si="3"/>
        <v>0</v>
      </c>
      <c r="S28" s="310">
        <f>INDEX('Glosario Partidas'!$M$8:$M$10,MATCH(K28,'Glosario Partidas'!$L$8:$L$10,0))</f>
        <v>17.5</v>
      </c>
      <c r="T28" s="310">
        <f t="shared" si="4"/>
        <v>0</v>
      </c>
      <c r="U28" s="307" t="s">
        <v>315</v>
      </c>
      <c r="V28" s="249" t="s">
        <v>13</v>
      </c>
      <c r="W28" s="249" t="s">
        <v>491</v>
      </c>
      <c r="X28" s="249"/>
    </row>
    <row r="29" spans="1:24" ht="15" customHeight="1" x14ac:dyDescent="0.2">
      <c r="A29" s="211"/>
      <c r="B29" s="211" t="s">
        <v>203</v>
      </c>
      <c r="C29" s="211" t="s">
        <v>92</v>
      </c>
      <c r="D29" s="78" t="s">
        <v>390</v>
      </c>
      <c r="E29" s="307" t="s">
        <v>220</v>
      </c>
      <c r="F29" s="78" t="s">
        <v>221</v>
      </c>
      <c r="G29" s="307" t="s">
        <v>487</v>
      </c>
      <c r="H29" s="315" t="s">
        <v>293</v>
      </c>
      <c r="I29" s="211" t="s">
        <v>207</v>
      </c>
      <c r="J29" s="315">
        <v>99.6</v>
      </c>
      <c r="K29" s="211" t="s">
        <v>269</v>
      </c>
      <c r="L29" s="316">
        <v>0</v>
      </c>
      <c r="M29" s="310">
        <f t="shared" si="0"/>
        <v>0</v>
      </c>
      <c r="N29" s="317">
        <v>0</v>
      </c>
      <c r="O29" s="318">
        <f t="shared" si="1"/>
        <v>0</v>
      </c>
      <c r="P29" s="317">
        <v>0.16</v>
      </c>
      <c r="Q29" s="310">
        <f t="shared" si="2"/>
        <v>0</v>
      </c>
      <c r="R29" s="310">
        <f t="shared" si="3"/>
        <v>0</v>
      </c>
      <c r="S29" s="310">
        <f>INDEX('Glosario Partidas'!$M$8:$M$10,MATCH(K29,'Glosario Partidas'!$L$8:$L$10,0))</f>
        <v>1</v>
      </c>
      <c r="T29" s="310">
        <f t="shared" si="4"/>
        <v>0</v>
      </c>
      <c r="U29" s="307" t="s">
        <v>315</v>
      </c>
      <c r="V29" s="249" t="s">
        <v>13</v>
      </c>
      <c r="W29" s="249" t="s">
        <v>491</v>
      </c>
      <c r="X29" s="249"/>
    </row>
    <row r="30" spans="1:24" ht="15" customHeight="1" x14ac:dyDescent="0.2">
      <c r="A30" s="211"/>
      <c r="B30" s="211" t="s">
        <v>203</v>
      </c>
      <c r="C30" s="211" t="s">
        <v>92</v>
      </c>
      <c r="D30" s="78" t="s">
        <v>390</v>
      </c>
      <c r="E30" s="307" t="s">
        <v>220</v>
      </c>
      <c r="F30" s="78" t="s">
        <v>354</v>
      </c>
      <c r="G30" s="307" t="s">
        <v>487</v>
      </c>
      <c r="H30" s="315" t="s">
        <v>293</v>
      </c>
      <c r="I30" s="211" t="s">
        <v>207</v>
      </c>
      <c r="J30" s="315">
        <v>99.6</v>
      </c>
      <c r="K30" s="211" t="s">
        <v>269</v>
      </c>
      <c r="L30" s="316">
        <v>0</v>
      </c>
      <c r="M30" s="310">
        <f t="shared" si="0"/>
        <v>0</v>
      </c>
      <c r="N30" s="317">
        <v>0</v>
      </c>
      <c r="O30" s="318">
        <f t="shared" si="1"/>
        <v>0</v>
      </c>
      <c r="P30" s="317">
        <v>0.16</v>
      </c>
      <c r="Q30" s="310">
        <f t="shared" si="2"/>
        <v>0</v>
      </c>
      <c r="R30" s="310">
        <f t="shared" si="3"/>
        <v>0</v>
      </c>
      <c r="S30" s="310">
        <f>INDEX('Glosario Partidas'!$M$8:$M$10,MATCH(K30,'Glosario Partidas'!$L$8:$L$10,0))</f>
        <v>1</v>
      </c>
      <c r="T30" s="310">
        <f t="shared" si="4"/>
        <v>0</v>
      </c>
      <c r="U30" s="307" t="s">
        <v>315</v>
      </c>
      <c r="V30" s="249" t="s">
        <v>13</v>
      </c>
      <c r="W30" s="249" t="s">
        <v>491</v>
      </c>
      <c r="X30" s="249"/>
    </row>
    <row r="31" spans="1:24" ht="15" customHeight="1" x14ac:dyDescent="0.2">
      <c r="A31" s="211"/>
      <c r="B31" s="211" t="s">
        <v>203</v>
      </c>
      <c r="C31" s="211" t="s">
        <v>92</v>
      </c>
      <c r="D31" s="78" t="s">
        <v>390</v>
      </c>
      <c r="E31" s="307" t="s">
        <v>220</v>
      </c>
      <c r="F31" s="78" t="s">
        <v>355</v>
      </c>
      <c r="G31" s="307" t="s">
        <v>487</v>
      </c>
      <c r="H31" s="315" t="s">
        <v>293</v>
      </c>
      <c r="I31" s="211" t="s">
        <v>207</v>
      </c>
      <c r="J31" s="315">
        <v>15</v>
      </c>
      <c r="K31" s="211" t="s">
        <v>269</v>
      </c>
      <c r="L31" s="316">
        <v>0</v>
      </c>
      <c r="M31" s="310">
        <f t="shared" si="0"/>
        <v>0</v>
      </c>
      <c r="N31" s="317">
        <v>0</v>
      </c>
      <c r="O31" s="318">
        <f t="shared" si="1"/>
        <v>0</v>
      </c>
      <c r="P31" s="317">
        <v>0.16</v>
      </c>
      <c r="Q31" s="310">
        <f t="shared" si="2"/>
        <v>0</v>
      </c>
      <c r="R31" s="310">
        <f t="shared" si="3"/>
        <v>0</v>
      </c>
      <c r="S31" s="310">
        <f>INDEX('Glosario Partidas'!$M$8:$M$10,MATCH(K31,'Glosario Partidas'!$L$8:$L$10,0))</f>
        <v>1</v>
      </c>
      <c r="T31" s="310">
        <f t="shared" si="4"/>
        <v>0</v>
      </c>
      <c r="U31" s="307" t="s">
        <v>315</v>
      </c>
      <c r="V31" s="249" t="s">
        <v>13</v>
      </c>
      <c r="W31" s="249" t="s">
        <v>491</v>
      </c>
      <c r="X31" s="249"/>
    </row>
    <row r="32" spans="1:24" ht="15" customHeight="1" x14ac:dyDescent="0.2">
      <c r="A32" s="211"/>
      <c r="B32" s="211" t="s">
        <v>203</v>
      </c>
      <c r="C32" s="211" t="s">
        <v>91</v>
      </c>
      <c r="D32" s="78" t="s">
        <v>389</v>
      </c>
      <c r="E32" s="307" t="s">
        <v>229</v>
      </c>
      <c r="F32" s="78" t="s">
        <v>221</v>
      </c>
      <c r="G32" s="307" t="s">
        <v>342</v>
      </c>
      <c r="H32" s="315" t="s">
        <v>293</v>
      </c>
      <c r="I32" s="211" t="s">
        <v>207</v>
      </c>
      <c r="J32" s="315">
        <v>0</v>
      </c>
      <c r="K32" s="211" t="s">
        <v>153</v>
      </c>
      <c r="L32" s="316">
        <v>0</v>
      </c>
      <c r="M32" s="310">
        <f t="shared" si="0"/>
        <v>0</v>
      </c>
      <c r="N32" s="317">
        <v>0</v>
      </c>
      <c r="O32" s="318">
        <f t="shared" si="1"/>
        <v>0</v>
      </c>
      <c r="P32" s="317">
        <v>0.16</v>
      </c>
      <c r="Q32" s="310">
        <f t="shared" si="2"/>
        <v>0</v>
      </c>
      <c r="R32" s="310">
        <f t="shared" si="3"/>
        <v>0</v>
      </c>
      <c r="S32" s="310">
        <f>INDEX('Glosario Partidas'!$M$8:$M$10,MATCH(K32,'Glosario Partidas'!$L$8:$L$10,0))</f>
        <v>17.5</v>
      </c>
      <c r="T32" s="310">
        <f t="shared" si="4"/>
        <v>0</v>
      </c>
      <c r="U32" s="307" t="s">
        <v>315</v>
      </c>
      <c r="V32" s="249" t="s">
        <v>13</v>
      </c>
      <c r="W32" s="249" t="s">
        <v>491</v>
      </c>
      <c r="X32" s="249"/>
    </row>
    <row r="33" spans="1:24" ht="15" customHeight="1" x14ac:dyDescent="0.2">
      <c r="A33" s="211"/>
      <c r="B33" s="211" t="s">
        <v>203</v>
      </c>
      <c r="C33" s="211" t="s">
        <v>91</v>
      </c>
      <c r="D33" s="78" t="s">
        <v>389</v>
      </c>
      <c r="E33" s="307" t="s">
        <v>229</v>
      </c>
      <c r="F33" s="78" t="s">
        <v>354</v>
      </c>
      <c r="G33" s="307" t="s">
        <v>342</v>
      </c>
      <c r="H33" s="315" t="s">
        <v>293</v>
      </c>
      <c r="I33" s="211" t="s">
        <v>207</v>
      </c>
      <c r="J33" s="315">
        <v>0</v>
      </c>
      <c r="K33" s="211" t="s">
        <v>153</v>
      </c>
      <c r="L33" s="316">
        <v>0</v>
      </c>
      <c r="M33" s="310">
        <f t="shared" si="0"/>
        <v>0</v>
      </c>
      <c r="N33" s="317">
        <v>0</v>
      </c>
      <c r="O33" s="318">
        <f t="shared" si="1"/>
        <v>0</v>
      </c>
      <c r="P33" s="317">
        <v>0.16</v>
      </c>
      <c r="Q33" s="310">
        <f t="shared" si="2"/>
        <v>0</v>
      </c>
      <c r="R33" s="310">
        <f t="shared" si="3"/>
        <v>0</v>
      </c>
      <c r="S33" s="310">
        <f>INDEX('Glosario Partidas'!$M$8:$M$10,MATCH(K33,'Glosario Partidas'!$L$8:$L$10,0))</f>
        <v>17.5</v>
      </c>
      <c r="T33" s="310">
        <f t="shared" si="4"/>
        <v>0</v>
      </c>
      <c r="U33" s="307" t="s">
        <v>315</v>
      </c>
      <c r="V33" s="249" t="s">
        <v>13</v>
      </c>
      <c r="W33" s="249" t="s">
        <v>491</v>
      </c>
      <c r="X33" s="249"/>
    </row>
    <row r="34" spans="1:24" ht="15" customHeight="1" x14ac:dyDescent="0.2">
      <c r="A34" s="211"/>
      <c r="B34" s="211" t="s">
        <v>203</v>
      </c>
      <c r="C34" s="211" t="s">
        <v>91</v>
      </c>
      <c r="D34" s="78" t="s">
        <v>389</v>
      </c>
      <c r="E34" s="307" t="s">
        <v>229</v>
      </c>
      <c r="F34" s="78" t="s">
        <v>355</v>
      </c>
      <c r="G34" s="307" t="s">
        <v>342</v>
      </c>
      <c r="H34" s="315" t="s">
        <v>293</v>
      </c>
      <c r="I34" s="211" t="s">
        <v>207</v>
      </c>
      <c r="J34" s="315">
        <v>0</v>
      </c>
      <c r="K34" s="211" t="s">
        <v>153</v>
      </c>
      <c r="L34" s="316">
        <v>0</v>
      </c>
      <c r="M34" s="310">
        <f t="shared" ref="M34:M61" si="5">J34*L34</f>
        <v>0</v>
      </c>
      <c r="N34" s="317">
        <v>0</v>
      </c>
      <c r="O34" s="318">
        <f t="shared" ref="O34:O61" si="6">M34*N34</f>
        <v>0</v>
      </c>
      <c r="P34" s="317">
        <v>0.16</v>
      </c>
      <c r="Q34" s="310">
        <f t="shared" ref="Q34:Q61" si="7">(M34+O34)*P34</f>
        <v>0</v>
      </c>
      <c r="R34" s="310">
        <f t="shared" ref="R34:R61" si="8">M34+O34+Q34</f>
        <v>0</v>
      </c>
      <c r="S34" s="310">
        <f>INDEX('Glosario Partidas'!$M$8:$M$10,MATCH(K34,'Glosario Partidas'!$L$8:$L$10,0))</f>
        <v>17.5</v>
      </c>
      <c r="T34" s="310">
        <f t="shared" ref="T34:T61" si="9">R34*S34</f>
        <v>0</v>
      </c>
      <c r="U34" s="307" t="s">
        <v>315</v>
      </c>
      <c r="V34" s="249" t="s">
        <v>13</v>
      </c>
      <c r="W34" s="249" t="s">
        <v>491</v>
      </c>
      <c r="X34" s="249"/>
    </row>
    <row r="35" spans="1:24" ht="15" customHeight="1" x14ac:dyDescent="0.2">
      <c r="A35" s="211"/>
      <c r="B35" s="211" t="s">
        <v>203</v>
      </c>
      <c r="C35" s="211" t="s">
        <v>91</v>
      </c>
      <c r="D35" s="78" t="s">
        <v>390</v>
      </c>
      <c r="E35" s="307" t="s">
        <v>229</v>
      </c>
      <c r="F35" s="78" t="s">
        <v>221</v>
      </c>
      <c r="G35" s="307" t="s">
        <v>342</v>
      </c>
      <c r="H35" s="315" t="s">
        <v>293</v>
      </c>
      <c r="I35" s="211" t="s">
        <v>207</v>
      </c>
      <c r="J35" s="315">
        <v>0</v>
      </c>
      <c r="K35" s="211" t="s">
        <v>269</v>
      </c>
      <c r="L35" s="316">
        <v>0</v>
      </c>
      <c r="M35" s="310">
        <f t="shared" si="5"/>
        <v>0</v>
      </c>
      <c r="N35" s="317">
        <v>0</v>
      </c>
      <c r="O35" s="318">
        <f t="shared" si="6"/>
        <v>0</v>
      </c>
      <c r="P35" s="317">
        <v>0.16</v>
      </c>
      <c r="Q35" s="310">
        <f t="shared" si="7"/>
        <v>0</v>
      </c>
      <c r="R35" s="310">
        <f t="shared" si="8"/>
        <v>0</v>
      </c>
      <c r="S35" s="310">
        <f>INDEX('Glosario Partidas'!$M$8:$M$10,MATCH(K35,'Glosario Partidas'!$L$8:$L$10,0))</f>
        <v>1</v>
      </c>
      <c r="T35" s="310">
        <f t="shared" si="9"/>
        <v>0</v>
      </c>
      <c r="U35" s="307" t="s">
        <v>315</v>
      </c>
      <c r="V35" s="249" t="s">
        <v>13</v>
      </c>
      <c r="W35" s="249" t="s">
        <v>491</v>
      </c>
      <c r="X35" s="249"/>
    </row>
    <row r="36" spans="1:24" ht="15" customHeight="1" x14ac:dyDescent="0.2">
      <c r="A36" s="211"/>
      <c r="B36" s="211" t="s">
        <v>203</v>
      </c>
      <c r="C36" s="211" t="s">
        <v>91</v>
      </c>
      <c r="D36" s="78" t="s">
        <v>390</v>
      </c>
      <c r="E36" s="307" t="s">
        <v>229</v>
      </c>
      <c r="F36" s="78" t="s">
        <v>354</v>
      </c>
      <c r="G36" s="307" t="s">
        <v>342</v>
      </c>
      <c r="H36" s="315" t="s">
        <v>293</v>
      </c>
      <c r="I36" s="211" t="s">
        <v>207</v>
      </c>
      <c r="J36" s="315">
        <v>0</v>
      </c>
      <c r="K36" s="211" t="s">
        <v>269</v>
      </c>
      <c r="L36" s="316">
        <v>0</v>
      </c>
      <c r="M36" s="310">
        <f t="shared" si="5"/>
        <v>0</v>
      </c>
      <c r="N36" s="317">
        <v>0</v>
      </c>
      <c r="O36" s="318">
        <f t="shared" si="6"/>
        <v>0</v>
      </c>
      <c r="P36" s="317">
        <v>0.16</v>
      </c>
      <c r="Q36" s="310">
        <f t="shared" si="7"/>
        <v>0</v>
      </c>
      <c r="R36" s="310">
        <f t="shared" si="8"/>
        <v>0</v>
      </c>
      <c r="S36" s="310">
        <f>INDEX('Glosario Partidas'!$M$8:$M$10,MATCH(K36,'Glosario Partidas'!$L$8:$L$10,0))</f>
        <v>1</v>
      </c>
      <c r="T36" s="310">
        <f t="shared" si="9"/>
        <v>0</v>
      </c>
      <c r="U36" s="307" t="s">
        <v>315</v>
      </c>
      <c r="V36" s="249" t="s">
        <v>13</v>
      </c>
      <c r="W36" s="249" t="s">
        <v>491</v>
      </c>
      <c r="X36" s="249"/>
    </row>
    <row r="37" spans="1:24" ht="15" customHeight="1" x14ac:dyDescent="0.2">
      <c r="A37" s="211"/>
      <c r="B37" s="211" t="s">
        <v>203</v>
      </c>
      <c r="C37" s="211" t="s">
        <v>91</v>
      </c>
      <c r="D37" s="78" t="s">
        <v>390</v>
      </c>
      <c r="E37" s="307" t="s">
        <v>229</v>
      </c>
      <c r="F37" s="78" t="s">
        <v>355</v>
      </c>
      <c r="G37" s="307" t="s">
        <v>342</v>
      </c>
      <c r="H37" s="315" t="s">
        <v>293</v>
      </c>
      <c r="I37" s="211" t="s">
        <v>207</v>
      </c>
      <c r="J37" s="315">
        <v>0</v>
      </c>
      <c r="K37" s="211" t="s">
        <v>269</v>
      </c>
      <c r="L37" s="316">
        <v>0</v>
      </c>
      <c r="M37" s="310">
        <f t="shared" si="5"/>
        <v>0</v>
      </c>
      <c r="N37" s="317">
        <v>0</v>
      </c>
      <c r="O37" s="318">
        <f t="shared" si="6"/>
        <v>0</v>
      </c>
      <c r="P37" s="317">
        <v>0.16</v>
      </c>
      <c r="Q37" s="310">
        <f t="shared" si="7"/>
        <v>0</v>
      </c>
      <c r="R37" s="310">
        <f t="shared" si="8"/>
        <v>0</v>
      </c>
      <c r="S37" s="310">
        <f>INDEX('Glosario Partidas'!$M$8:$M$10,MATCH(K37,'Glosario Partidas'!$L$8:$L$10,0))</f>
        <v>1</v>
      </c>
      <c r="T37" s="310">
        <f t="shared" si="9"/>
        <v>0</v>
      </c>
      <c r="U37" s="307" t="s">
        <v>315</v>
      </c>
      <c r="V37" s="249" t="s">
        <v>13</v>
      </c>
      <c r="W37" s="249" t="s">
        <v>491</v>
      </c>
      <c r="X37" s="249"/>
    </row>
    <row r="38" spans="1:24" ht="15" customHeight="1" x14ac:dyDescent="0.2">
      <c r="A38" s="211"/>
      <c r="B38" s="211" t="s">
        <v>203</v>
      </c>
      <c r="C38" s="211" t="s">
        <v>91</v>
      </c>
      <c r="D38" s="78" t="s">
        <v>391</v>
      </c>
      <c r="E38" s="307" t="s">
        <v>229</v>
      </c>
      <c r="F38" s="78" t="s">
        <v>391</v>
      </c>
      <c r="G38" s="307" t="s">
        <v>342</v>
      </c>
      <c r="H38" s="315" t="s">
        <v>293</v>
      </c>
      <c r="I38" s="211" t="s">
        <v>314</v>
      </c>
      <c r="J38" s="315">
        <v>0</v>
      </c>
      <c r="K38" s="211" t="s">
        <v>269</v>
      </c>
      <c r="L38" s="316">
        <v>0</v>
      </c>
      <c r="M38" s="310">
        <f t="shared" si="5"/>
        <v>0</v>
      </c>
      <c r="N38" s="317">
        <v>0</v>
      </c>
      <c r="O38" s="318">
        <f t="shared" si="6"/>
        <v>0</v>
      </c>
      <c r="P38" s="317">
        <v>0.16</v>
      </c>
      <c r="Q38" s="310">
        <f t="shared" si="7"/>
        <v>0</v>
      </c>
      <c r="R38" s="310">
        <f t="shared" si="8"/>
        <v>0</v>
      </c>
      <c r="S38" s="310">
        <f>INDEX('Glosario Partidas'!$M$8:$M$10,MATCH(K38,'Glosario Partidas'!$L$8:$L$10,0))</f>
        <v>1</v>
      </c>
      <c r="T38" s="310">
        <f t="shared" si="9"/>
        <v>0</v>
      </c>
      <c r="U38" s="307" t="s">
        <v>315</v>
      </c>
      <c r="V38" s="249" t="s">
        <v>13</v>
      </c>
      <c r="W38" s="249" t="s">
        <v>491</v>
      </c>
      <c r="X38" s="249"/>
    </row>
    <row r="39" spans="1:24" ht="15" customHeight="1" x14ac:dyDescent="0.2">
      <c r="A39" s="211"/>
      <c r="B39" s="211" t="s">
        <v>203</v>
      </c>
      <c r="C39" s="211" t="s">
        <v>91</v>
      </c>
      <c r="D39" s="78" t="s">
        <v>392</v>
      </c>
      <c r="E39" s="307" t="s">
        <v>229</v>
      </c>
      <c r="F39" s="78" t="s">
        <v>392</v>
      </c>
      <c r="G39" s="307" t="s">
        <v>342</v>
      </c>
      <c r="H39" s="315" t="s">
        <v>293</v>
      </c>
      <c r="I39" s="211" t="s">
        <v>207</v>
      </c>
      <c r="J39" s="315">
        <v>0</v>
      </c>
      <c r="K39" s="211" t="s">
        <v>269</v>
      </c>
      <c r="L39" s="316">
        <v>0</v>
      </c>
      <c r="M39" s="310">
        <f t="shared" si="5"/>
        <v>0</v>
      </c>
      <c r="N39" s="317">
        <v>0</v>
      </c>
      <c r="O39" s="318">
        <f t="shared" si="6"/>
        <v>0</v>
      </c>
      <c r="P39" s="317">
        <v>0.16</v>
      </c>
      <c r="Q39" s="310">
        <f t="shared" si="7"/>
        <v>0</v>
      </c>
      <c r="R39" s="310">
        <f t="shared" si="8"/>
        <v>0</v>
      </c>
      <c r="S39" s="310">
        <f>INDEX('Glosario Partidas'!$M$8:$M$10,MATCH(K39,'Glosario Partidas'!$L$8:$L$10,0))</f>
        <v>1</v>
      </c>
      <c r="T39" s="310">
        <f t="shared" si="9"/>
        <v>0</v>
      </c>
      <c r="U39" s="307" t="s">
        <v>315</v>
      </c>
      <c r="V39" s="249" t="s">
        <v>13</v>
      </c>
      <c r="W39" s="249" t="s">
        <v>491</v>
      </c>
      <c r="X39" s="249"/>
    </row>
    <row r="40" spans="1:24" ht="15" customHeight="1" x14ac:dyDescent="0.2">
      <c r="A40" s="211"/>
      <c r="B40" s="211" t="s">
        <v>203</v>
      </c>
      <c r="C40" s="211" t="s">
        <v>91</v>
      </c>
      <c r="D40" s="78" t="s">
        <v>393</v>
      </c>
      <c r="E40" s="307" t="s">
        <v>229</v>
      </c>
      <c r="F40" s="78" t="s">
        <v>393</v>
      </c>
      <c r="G40" s="307" t="s">
        <v>342</v>
      </c>
      <c r="H40" s="315" t="s">
        <v>293</v>
      </c>
      <c r="I40" s="211" t="s">
        <v>207</v>
      </c>
      <c r="J40" s="315">
        <v>0</v>
      </c>
      <c r="K40" s="211" t="s">
        <v>269</v>
      </c>
      <c r="L40" s="316">
        <v>0</v>
      </c>
      <c r="M40" s="310">
        <f t="shared" si="5"/>
        <v>0</v>
      </c>
      <c r="N40" s="317">
        <v>0</v>
      </c>
      <c r="O40" s="318">
        <f t="shared" si="6"/>
        <v>0</v>
      </c>
      <c r="P40" s="317">
        <v>0.16</v>
      </c>
      <c r="Q40" s="310">
        <f t="shared" si="7"/>
        <v>0</v>
      </c>
      <c r="R40" s="310">
        <f t="shared" si="8"/>
        <v>0</v>
      </c>
      <c r="S40" s="310">
        <f>INDEX('Glosario Partidas'!$M$8:$M$10,MATCH(K40,'Glosario Partidas'!$L$8:$L$10,0))</f>
        <v>1</v>
      </c>
      <c r="T40" s="310">
        <f t="shared" si="9"/>
        <v>0</v>
      </c>
      <c r="U40" s="307" t="s">
        <v>315</v>
      </c>
      <c r="V40" s="249" t="s">
        <v>13</v>
      </c>
      <c r="W40" s="249" t="s">
        <v>491</v>
      </c>
      <c r="X40" s="249"/>
    </row>
    <row r="41" spans="1:24" ht="15" customHeight="1" x14ac:dyDescent="0.2">
      <c r="A41" s="211"/>
      <c r="B41" s="211" t="s">
        <v>203</v>
      </c>
      <c r="C41" s="211" t="s">
        <v>92</v>
      </c>
      <c r="D41" s="78" t="s">
        <v>394</v>
      </c>
      <c r="E41" s="307" t="s">
        <v>229</v>
      </c>
      <c r="F41" s="78" t="s">
        <v>221</v>
      </c>
      <c r="G41" s="307" t="s">
        <v>342</v>
      </c>
      <c r="H41" s="315" t="s">
        <v>293</v>
      </c>
      <c r="I41" s="211" t="s">
        <v>207</v>
      </c>
      <c r="J41" s="315">
        <v>109.56</v>
      </c>
      <c r="K41" s="211" t="s">
        <v>153</v>
      </c>
      <c r="L41" s="316">
        <v>0</v>
      </c>
      <c r="M41" s="310">
        <f t="shared" si="5"/>
        <v>0</v>
      </c>
      <c r="N41" s="317">
        <v>0</v>
      </c>
      <c r="O41" s="318">
        <f t="shared" si="6"/>
        <v>0</v>
      </c>
      <c r="P41" s="317">
        <v>0.16</v>
      </c>
      <c r="Q41" s="310">
        <f t="shared" si="7"/>
        <v>0</v>
      </c>
      <c r="R41" s="310">
        <f t="shared" si="8"/>
        <v>0</v>
      </c>
      <c r="S41" s="310">
        <f>INDEX('Glosario Partidas'!$M$8:$M$10,MATCH(K41,'Glosario Partidas'!$L$8:$L$10,0))</f>
        <v>17.5</v>
      </c>
      <c r="T41" s="310">
        <f t="shared" si="9"/>
        <v>0</v>
      </c>
      <c r="U41" s="307" t="s">
        <v>315</v>
      </c>
      <c r="V41" s="249" t="s">
        <v>13</v>
      </c>
      <c r="W41" s="249" t="s">
        <v>491</v>
      </c>
      <c r="X41" s="249"/>
    </row>
    <row r="42" spans="1:24" ht="15" customHeight="1" x14ac:dyDescent="0.2">
      <c r="A42" s="211"/>
      <c r="B42" s="211" t="s">
        <v>203</v>
      </c>
      <c r="C42" s="211" t="s">
        <v>92</v>
      </c>
      <c r="D42" s="78" t="s">
        <v>394</v>
      </c>
      <c r="E42" s="307" t="s">
        <v>229</v>
      </c>
      <c r="F42" s="78" t="s">
        <v>354</v>
      </c>
      <c r="G42" s="307" t="s">
        <v>342</v>
      </c>
      <c r="H42" s="315" t="s">
        <v>293</v>
      </c>
      <c r="I42" s="211" t="s">
        <v>207</v>
      </c>
      <c r="J42" s="315">
        <v>109.56</v>
      </c>
      <c r="K42" s="211" t="s">
        <v>153</v>
      </c>
      <c r="L42" s="316">
        <v>0</v>
      </c>
      <c r="M42" s="310">
        <f t="shared" si="5"/>
        <v>0</v>
      </c>
      <c r="N42" s="317">
        <v>0</v>
      </c>
      <c r="O42" s="318">
        <f t="shared" si="6"/>
        <v>0</v>
      </c>
      <c r="P42" s="317">
        <v>0.16</v>
      </c>
      <c r="Q42" s="310">
        <f t="shared" si="7"/>
        <v>0</v>
      </c>
      <c r="R42" s="310">
        <f t="shared" si="8"/>
        <v>0</v>
      </c>
      <c r="S42" s="310">
        <f>INDEX('Glosario Partidas'!$M$8:$M$10,MATCH(K42,'Glosario Partidas'!$L$8:$L$10,0))</f>
        <v>17.5</v>
      </c>
      <c r="T42" s="310">
        <f t="shared" si="9"/>
        <v>0</v>
      </c>
      <c r="U42" s="307" t="s">
        <v>315</v>
      </c>
      <c r="V42" s="249" t="s">
        <v>13</v>
      </c>
      <c r="W42" s="249" t="s">
        <v>491</v>
      </c>
      <c r="X42" s="249"/>
    </row>
    <row r="43" spans="1:24" ht="15" customHeight="1" x14ac:dyDescent="0.2">
      <c r="A43" s="211"/>
      <c r="B43" s="211" t="s">
        <v>203</v>
      </c>
      <c r="C43" s="211" t="s">
        <v>92</v>
      </c>
      <c r="D43" s="78" t="s">
        <v>394</v>
      </c>
      <c r="E43" s="307" t="s">
        <v>229</v>
      </c>
      <c r="F43" s="78" t="s">
        <v>355</v>
      </c>
      <c r="G43" s="307" t="s">
        <v>342</v>
      </c>
      <c r="H43" s="315" t="s">
        <v>293</v>
      </c>
      <c r="I43" s="211" t="s">
        <v>207</v>
      </c>
      <c r="J43" s="315">
        <v>16.5</v>
      </c>
      <c r="K43" s="211" t="s">
        <v>153</v>
      </c>
      <c r="L43" s="316">
        <v>0</v>
      </c>
      <c r="M43" s="310">
        <f t="shared" si="5"/>
        <v>0</v>
      </c>
      <c r="N43" s="317">
        <v>0</v>
      </c>
      <c r="O43" s="318">
        <f t="shared" si="6"/>
        <v>0</v>
      </c>
      <c r="P43" s="317">
        <v>0.16</v>
      </c>
      <c r="Q43" s="310">
        <f t="shared" si="7"/>
        <v>0</v>
      </c>
      <c r="R43" s="310">
        <f t="shared" si="8"/>
        <v>0</v>
      </c>
      <c r="S43" s="310">
        <f>INDEX('Glosario Partidas'!$M$8:$M$10,MATCH(K43,'Glosario Partidas'!$L$8:$L$10,0))</f>
        <v>17.5</v>
      </c>
      <c r="T43" s="310">
        <f t="shared" si="9"/>
        <v>0</v>
      </c>
      <c r="U43" s="307" t="s">
        <v>315</v>
      </c>
      <c r="V43" s="249" t="s">
        <v>13</v>
      </c>
      <c r="W43" s="249" t="s">
        <v>491</v>
      </c>
      <c r="X43" s="249"/>
    </row>
    <row r="44" spans="1:24" ht="15" customHeight="1" x14ac:dyDescent="0.2">
      <c r="A44" s="211"/>
      <c r="B44" s="211" t="s">
        <v>203</v>
      </c>
      <c r="C44" s="211" t="s">
        <v>92</v>
      </c>
      <c r="D44" s="78" t="s">
        <v>390</v>
      </c>
      <c r="E44" s="307" t="s">
        <v>229</v>
      </c>
      <c r="F44" s="78" t="s">
        <v>221</v>
      </c>
      <c r="G44" s="307" t="s">
        <v>342</v>
      </c>
      <c r="H44" s="315" t="s">
        <v>293</v>
      </c>
      <c r="I44" s="211" t="s">
        <v>207</v>
      </c>
      <c r="J44" s="315">
        <v>99.6</v>
      </c>
      <c r="K44" s="211" t="s">
        <v>269</v>
      </c>
      <c r="L44" s="316">
        <v>0</v>
      </c>
      <c r="M44" s="310">
        <f t="shared" si="5"/>
        <v>0</v>
      </c>
      <c r="N44" s="317">
        <v>0</v>
      </c>
      <c r="O44" s="318">
        <f t="shared" si="6"/>
        <v>0</v>
      </c>
      <c r="P44" s="317">
        <v>0.16</v>
      </c>
      <c r="Q44" s="310">
        <f t="shared" si="7"/>
        <v>0</v>
      </c>
      <c r="R44" s="310">
        <f t="shared" si="8"/>
        <v>0</v>
      </c>
      <c r="S44" s="310">
        <f>INDEX('Glosario Partidas'!$M$8:$M$10,MATCH(K44,'Glosario Partidas'!$L$8:$L$10,0))</f>
        <v>1</v>
      </c>
      <c r="T44" s="310">
        <f t="shared" si="9"/>
        <v>0</v>
      </c>
      <c r="U44" s="307" t="s">
        <v>315</v>
      </c>
      <c r="V44" s="249" t="s">
        <v>13</v>
      </c>
      <c r="W44" s="249" t="s">
        <v>491</v>
      </c>
      <c r="X44" s="249"/>
    </row>
    <row r="45" spans="1:24" ht="15" customHeight="1" x14ac:dyDescent="0.2">
      <c r="A45" s="211"/>
      <c r="B45" s="211" t="s">
        <v>203</v>
      </c>
      <c r="C45" s="211" t="s">
        <v>92</v>
      </c>
      <c r="D45" s="78" t="s">
        <v>390</v>
      </c>
      <c r="E45" s="307" t="s">
        <v>229</v>
      </c>
      <c r="F45" s="78" t="s">
        <v>354</v>
      </c>
      <c r="G45" s="307" t="s">
        <v>342</v>
      </c>
      <c r="H45" s="315" t="s">
        <v>293</v>
      </c>
      <c r="I45" s="211" t="s">
        <v>207</v>
      </c>
      <c r="J45" s="315">
        <v>99.6</v>
      </c>
      <c r="K45" s="211" t="s">
        <v>269</v>
      </c>
      <c r="L45" s="316">
        <v>0</v>
      </c>
      <c r="M45" s="310">
        <f t="shared" si="5"/>
        <v>0</v>
      </c>
      <c r="N45" s="317">
        <v>0</v>
      </c>
      <c r="O45" s="318">
        <f t="shared" si="6"/>
        <v>0</v>
      </c>
      <c r="P45" s="317">
        <v>0.16</v>
      </c>
      <c r="Q45" s="310">
        <f t="shared" si="7"/>
        <v>0</v>
      </c>
      <c r="R45" s="310">
        <f t="shared" si="8"/>
        <v>0</v>
      </c>
      <c r="S45" s="310">
        <f>INDEX('Glosario Partidas'!$M$8:$M$10,MATCH(K45,'Glosario Partidas'!$L$8:$L$10,0))</f>
        <v>1</v>
      </c>
      <c r="T45" s="310">
        <f t="shared" si="9"/>
        <v>0</v>
      </c>
      <c r="U45" s="307" t="s">
        <v>315</v>
      </c>
      <c r="V45" s="249" t="s">
        <v>13</v>
      </c>
      <c r="W45" s="249" t="s">
        <v>491</v>
      </c>
      <c r="X45" s="249"/>
    </row>
    <row r="46" spans="1:24" ht="15" customHeight="1" x14ac:dyDescent="0.2">
      <c r="A46" s="211"/>
      <c r="B46" s="211" t="s">
        <v>203</v>
      </c>
      <c r="C46" s="211" t="s">
        <v>92</v>
      </c>
      <c r="D46" s="78" t="s">
        <v>390</v>
      </c>
      <c r="E46" s="307" t="s">
        <v>229</v>
      </c>
      <c r="F46" s="78" t="s">
        <v>355</v>
      </c>
      <c r="G46" s="307" t="s">
        <v>342</v>
      </c>
      <c r="H46" s="315" t="s">
        <v>293</v>
      </c>
      <c r="I46" s="211" t="s">
        <v>207</v>
      </c>
      <c r="J46" s="315">
        <v>15</v>
      </c>
      <c r="K46" s="211" t="s">
        <v>269</v>
      </c>
      <c r="L46" s="316">
        <v>0</v>
      </c>
      <c r="M46" s="310">
        <f t="shared" si="5"/>
        <v>0</v>
      </c>
      <c r="N46" s="317">
        <v>0</v>
      </c>
      <c r="O46" s="318">
        <f t="shared" si="6"/>
        <v>0</v>
      </c>
      <c r="P46" s="317">
        <v>0.16</v>
      </c>
      <c r="Q46" s="310">
        <f t="shared" si="7"/>
        <v>0</v>
      </c>
      <c r="R46" s="310">
        <f t="shared" si="8"/>
        <v>0</v>
      </c>
      <c r="S46" s="310">
        <f>INDEX('Glosario Partidas'!$M$8:$M$10,MATCH(K46,'Glosario Partidas'!$L$8:$L$10,0))</f>
        <v>1</v>
      </c>
      <c r="T46" s="310">
        <f t="shared" si="9"/>
        <v>0</v>
      </c>
      <c r="U46" s="307" t="s">
        <v>315</v>
      </c>
      <c r="V46" s="249" t="s">
        <v>13</v>
      </c>
      <c r="W46" s="249" t="s">
        <v>491</v>
      </c>
      <c r="X46" s="249"/>
    </row>
    <row r="47" spans="1:24" ht="15" customHeight="1" x14ac:dyDescent="0.2">
      <c r="A47" s="211"/>
      <c r="B47" s="211" t="s">
        <v>203</v>
      </c>
      <c r="C47" s="211" t="s">
        <v>91</v>
      </c>
      <c r="D47" s="78" t="s">
        <v>389</v>
      </c>
      <c r="E47" s="307" t="s">
        <v>229</v>
      </c>
      <c r="F47" s="78" t="s">
        <v>221</v>
      </c>
      <c r="G47" s="307" t="s">
        <v>487</v>
      </c>
      <c r="H47" s="315" t="s">
        <v>293</v>
      </c>
      <c r="I47" s="211" t="s">
        <v>207</v>
      </c>
      <c r="J47" s="315">
        <v>0</v>
      </c>
      <c r="K47" s="211" t="s">
        <v>153</v>
      </c>
      <c r="L47" s="316">
        <v>0</v>
      </c>
      <c r="M47" s="310">
        <f t="shared" si="5"/>
        <v>0</v>
      </c>
      <c r="N47" s="317">
        <v>0</v>
      </c>
      <c r="O47" s="318">
        <f t="shared" si="6"/>
        <v>0</v>
      </c>
      <c r="P47" s="317">
        <v>0.16</v>
      </c>
      <c r="Q47" s="310">
        <f t="shared" si="7"/>
        <v>0</v>
      </c>
      <c r="R47" s="310">
        <f t="shared" si="8"/>
        <v>0</v>
      </c>
      <c r="S47" s="310">
        <f>INDEX('Glosario Partidas'!$M$8:$M$10,MATCH(K47,'Glosario Partidas'!$L$8:$L$10,0))</f>
        <v>17.5</v>
      </c>
      <c r="T47" s="310">
        <f t="shared" si="9"/>
        <v>0</v>
      </c>
      <c r="U47" s="307" t="s">
        <v>315</v>
      </c>
      <c r="V47" s="249" t="s">
        <v>13</v>
      </c>
      <c r="W47" s="249" t="s">
        <v>491</v>
      </c>
      <c r="X47" s="249"/>
    </row>
    <row r="48" spans="1:24" ht="15" customHeight="1" x14ac:dyDescent="0.2">
      <c r="A48" s="211"/>
      <c r="B48" s="211" t="s">
        <v>203</v>
      </c>
      <c r="C48" s="211" t="s">
        <v>91</v>
      </c>
      <c r="D48" s="78" t="s">
        <v>389</v>
      </c>
      <c r="E48" s="307" t="s">
        <v>229</v>
      </c>
      <c r="F48" s="78" t="s">
        <v>354</v>
      </c>
      <c r="G48" s="307" t="s">
        <v>487</v>
      </c>
      <c r="H48" s="315" t="s">
        <v>293</v>
      </c>
      <c r="I48" s="211" t="s">
        <v>207</v>
      </c>
      <c r="J48" s="315">
        <v>0</v>
      </c>
      <c r="K48" s="211" t="s">
        <v>153</v>
      </c>
      <c r="L48" s="316">
        <v>0</v>
      </c>
      <c r="M48" s="310">
        <f t="shared" si="5"/>
        <v>0</v>
      </c>
      <c r="N48" s="317">
        <v>0</v>
      </c>
      <c r="O48" s="318">
        <f t="shared" si="6"/>
        <v>0</v>
      </c>
      <c r="P48" s="317">
        <v>0.16</v>
      </c>
      <c r="Q48" s="310">
        <f t="shared" si="7"/>
        <v>0</v>
      </c>
      <c r="R48" s="310">
        <f t="shared" si="8"/>
        <v>0</v>
      </c>
      <c r="S48" s="310">
        <f>INDEX('Glosario Partidas'!$M$8:$M$10,MATCH(K48,'Glosario Partidas'!$L$8:$L$10,0))</f>
        <v>17.5</v>
      </c>
      <c r="T48" s="310">
        <f t="shared" si="9"/>
        <v>0</v>
      </c>
      <c r="U48" s="307" t="s">
        <v>315</v>
      </c>
      <c r="V48" s="249" t="s">
        <v>13</v>
      </c>
      <c r="W48" s="249" t="s">
        <v>491</v>
      </c>
      <c r="X48" s="249"/>
    </row>
    <row r="49" spans="1:29" ht="15" customHeight="1" x14ac:dyDescent="0.2">
      <c r="A49" s="211"/>
      <c r="B49" s="211" t="s">
        <v>203</v>
      </c>
      <c r="C49" s="211" t="s">
        <v>91</v>
      </c>
      <c r="D49" s="78" t="s">
        <v>389</v>
      </c>
      <c r="E49" s="307" t="s">
        <v>229</v>
      </c>
      <c r="F49" s="78" t="s">
        <v>355</v>
      </c>
      <c r="G49" s="307" t="s">
        <v>487</v>
      </c>
      <c r="H49" s="315" t="s">
        <v>293</v>
      </c>
      <c r="I49" s="211" t="s">
        <v>207</v>
      </c>
      <c r="J49" s="315">
        <v>0</v>
      </c>
      <c r="K49" s="211" t="s">
        <v>153</v>
      </c>
      <c r="L49" s="316">
        <v>0</v>
      </c>
      <c r="M49" s="310">
        <f t="shared" si="5"/>
        <v>0</v>
      </c>
      <c r="N49" s="317">
        <v>0</v>
      </c>
      <c r="O49" s="318">
        <f t="shared" si="6"/>
        <v>0</v>
      </c>
      <c r="P49" s="317">
        <v>0.16</v>
      </c>
      <c r="Q49" s="310">
        <f t="shared" si="7"/>
        <v>0</v>
      </c>
      <c r="R49" s="310">
        <f t="shared" si="8"/>
        <v>0</v>
      </c>
      <c r="S49" s="310">
        <f>INDEX('Glosario Partidas'!$M$8:$M$10,MATCH(K49,'Glosario Partidas'!$L$8:$L$10,0))</f>
        <v>17.5</v>
      </c>
      <c r="T49" s="310">
        <f t="shared" si="9"/>
        <v>0</v>
      </c>
      <c r="U49" s="307" t="s">
        <v>315</v>
      </c>
      <c r="V49" s="249" t="s">
        <v>13</v>
      </c>
      <c r="W49" s="249" t="s">
        <v>491</v>
      </c>
      <c r="X49" s="249"/>
    </row>
    <row r="50" spans="1:29" ht="15" customHeight="1" x14ac:dyDescent="0.2">
      <c r="A50" s="211"/>
      <c r="B50" s="211" t="s">
        <v>203</v>
      </c>
      <c r="C50" s="211" t="s">
        <v>91</v>
      </c>
      <c r="D50" s="78" t="s">
        <v>390</v>
      </c>
      <c r="E50" s="307" t="s">
        <v>229</v>
      </c>
      <c r="F50" s="78" t="s">
        <v>221</v>
      </c>
      <c r="G50" s="307" t="s">
        <v>487</v>
      </c>
      <c r="H50" s="315" t="s">
        <v>293</v>
      </c>
      <c r="I50" s="211" t="s">
        <v>207</v>
      </c>
      <c r="J50" s="315">
        <v>0</v>
      </c>
      <c r="K50" s="211" t="s">
        <v>269</v>
      </c>
      <c r="L50" s="316">
        <v>0</v>
      </c>
      <c r="M50" s="310">
        <f t="shared" si="5"/>
        <v>0</v>
      </c>
      <c r="N50" s="317">
        <v>0</v>
      </c>
      <c r="O50" s="318">
        <f t="shared" si="6"/>
        <v>0</v>
      </c>
      <c r="P50" s="317">
        <v>0.16</v>
      </c>
      <c r="Q50" s="310">
        <f t="shared" si="7"/>
        <v>0</v>
      </c>
      <c r="R50" s="310">
        <f t="shared" si="8"/>
        <v>0</v>
      </c>
      <c r="S50" s="310">
        <f>INDEX('Glosario Partidas'!$M$8:$M$10,MATCH(K50,'Glosario Partidas'!$L$8:$L$10,0))</f>
        <v>1</v>
      </c>
      <c r="T50" s="310">
        <f t="shared" si="9"/>
        <v>0</v>
      </c>
      <c r="U50" s="307" t="s">
        <v>315</v>
      </c>
      <c r="V50" s="249" t="s">
        <v>13</v>
      </c>
      <c r="W50" s="249" t="s">
        <v>491</v>
      </c>
      <c r="X50" s="249"/>
    </row>
    <row r="51" spans="1:29" ht="15" customHeight="1" x14ac:dyDescent="0.2">
      <c r="A51" s="211"/>
      <c r="B51" s="211" t="s">
        <v>203</v>
      </c>
      <c r="C51" s="211" t="s">
        <v>91</v>
      </c>
      <c r="D51" s="78" t="s">
        <v>390</v>
      </c>
      <c r="E51" s="307" t="s">
        <v>229</v>
      </c>
      <c r="F51" s="78" t="s">
        <v>354</v>
      </c>
      <c r="G51" s="307" t="s">
        <v>487</v>
      </c>
      <c r="H51" s="315" t="s">
        <v>293</v>
      </c>
      <c r="I51" s="211" t="s">
        <v>207</v>
      </c>
      <c r="J51" s="315">
        <v>0</v>
      </c>
      <c r="K51" s="211" t="s">
        <v>269</v>
      </c>
      <c r="L51" s="316">
        <v>0</v>
      </c>
      <c r="M51" s="310">
        <f t="shared" si="5"/>
        <v>0</v>
      </c>
      <c r="N51" s="317">
        <v>0</v>
      </c>
      <c r="O51" s="318">
        <f t="shared" si="6"/>
        <v>0</v>
      </c>
      <c r="P51" s="317">
        <v>0.16</v>
      </c>
      <c r="Q51" s="310">
        <f t="shared" si="7"/>
        <v>0</v>
      </c>
      <c r="R51" s="310">
        <f t="shared" si="8"/>
        <v>0</v>
      </c>
      <c r="S51" s="310">
        <f>INDEX('Glosario Partidas'!$M$8:$M$10,MATCH(K51,'Glosario Partidas'!$L$8:$L$10,0))</f>
        <v>1</v>
      </c>
      <c r="T51" s="310">
        <f t="shared" si="9"/>
        <v>0</v>
      </c>
      <c r="U51" s="307" t="s">
        <v>315</v>
      </c>
      <c r="V51" s="249" t="s">
        <v>13</v>
      </c>
      <c r="W51" s="249" t="s">
        <v>491</v>
      </c>
      <c r="X51" s="249"/>
    </row>
    <row r="52" spans="1:29" ht="15" customHeight="1" x14ac:dyDescent="0.2">
      <c r="A52" s="211"/>
      <c r="B52" s="211" t="s">
        <v>203</v>
      </c>
      <c r="C52" s="211" t="s">
        <v>91</v>
      </c>
      <c r="D52" s="78" t="s">
        <v>390</v>
      </c>
      <c r="E52" s="307" t="s">
        <v>229</v>
      </c>
      <c r="F52" s="78" t="s">
        <v>355</v>
      </c>
      <c r="G52" s="307" t="s">
        <v>487</v>
      </c>
      <c r="H52" s="315" t="s">
        <v>293</v>
      </c>
      <c r="I52" s="211" t="s">
        <v>207</v>
      </c>
      <c r="J52" s="315">
        <v>0</v>
      </c>
      <c r="K52" s="211" t="s">
        <v>269</v>
      </c>
      <c r="L52" s="316">
        <v>0</v>
      </c>
      <c r="M52" s="310">
        <f t="shared" si="5"/>
        <v>0</v>
      </c>
      <c r="N52" s="317">
        <v>0</v>
      </c>
      <c r="O52" s="318">
        <f t="shared" si="6"/>
        <v>0</v>
      </c>
      <c r="P52" s="317">
        <v>0.16</v>
      </c>
      <c r="Q52" s="310">
        <f t="shared" si="7"/>
        <v>0</v>
      </c>
      <c r="R52" s="310">
        <f t="shared" si="8"/>
        <v>0</v>
      </c>
      <c r="S52" s="310">
        <f>INDEX('Glosario Partidas'!$M$8:$M$10,MATCH(K52,'Glosario Partidas'!$L$8:$L$10,0))</f>
        <v>1</v>
      </c>
      <c r="T52" s="310">
        <f t="shared" si="9"/>
        <v>0</v>
      </c>
      <c r="U52" s="307" t="s">
        <v>315</v>
      </c>
      <c r="V52" s="249" t="s">
        <v>13</v>
      </c>
      <c r="W52" s="249" t="s">
        <v>491</v>
      </c>
      <c r="X52" s="249"/>
    </row>
    <row r="53" spans="1:29" ht="15" customHeight="1" x14ac:dyDescent="0.2">
      <c r="A53" s="211"/>
      <c r="B53" s="211" t="s">
        <v>203</v>
      </c>
      <c r="C53" s="211" t="s">
        <v>91</v>
      </c>
      <c r="D53" s="78" t="s">
        <v>391</v>
      </c>
      <c r="E53" s="307" t="s">
        <v>229</v>
      </c>
      <c r="F53" s="78" t="s">
        <v>391</v>
      </c>
      <c r="G53" s="307" t="s">
        <v>487</v>
      </c>
      <c r="H53" s="315" t="s">
        <v>293</v>
      </c>
      <c r="I53" s="211" t="s">
        <v>314</v>
      </c>
      <c r="J53" s="315">
        <v>0</v>
      </c>
      <c r="K53" s="211" t="s">
        <v>269</v>
      </c>
      <c r="L53" s="316">
        <v>0</v>
      </c>
      <c r="M53" s="310">
        <f t="shared" si="5"/>
        <v>0</v>
      </c>
      <c r="N53" s="317">
        <v>0</v>
      </c>
      <c r="O53" s="318">
        <f t="shared" si="6"/>
        <v>0</v>
      </c>
      <c r="P53" s="317">
        <v>0.16</v>
      </c>
      <c r="Q53" s="310">
        <f t="shared" si="7"/>
        <v>0</v>
      </c>
      <c r="R53" s="310">
        <f t="shared" si="8"/>
        <v>0</v>
      </c>
      <c r="S53" s="310">
        <f>INDEX('Glosario Partidas'!$M$8:$M$10,MATCH(K53,'Glosario Partidas'!$L$8:$L$10,0))</f>
        <v>1</v>
      </c>
      <c r="T53" s="310">
        <f t="shared" si="9"/>
        <v>0</v>
      </c>
      <c r="U53" s="307" t="s">
        <v>315</v>
      </c>
      <c r="V53" s="249" t="s">
        <v>13</v>
      </c>
      <c r="W53" s="249" t="s">
        <v>491</v>
      </c>
      <c r="X53" s="249"/>
    </row>
    <row r="54" spans="1:29" ht="15" customHeight="1" x14ac:dyDescent="0.2">
      <c r="A54" s="211"/>
      <c r="B54" s="211" t="s">
        <v>203</v>
      </c>
      <c r="C54" s="211" t="s">
        <v>91</v>
      </c>
      <c r="D54" s="78" t="s">
        <v>392</v>
      </c>
      <c r="E54" s="307" t="s">
        <v>229</v>
      </c>
      <c r="F54" s="78" t="s">
        <v>392</v>
      </c>
      <c r="G54" s="307" t="s">
        <v>487</v>
      </c>
      <c r="H54" s="315" t="s">
        <v>293</v>
      </c>
      <c r="I54" s="211" t="s">
        <v>207</v>
      </c>
      <c r="J54" s="315">
        <v>0</v>
      </c>
      <c r="K54" s="211" t="s">
        <v>269</v>
      </c>
      <c r="L54" s="316">
        <v>0</v>
      </c>
      <c r="M54" s="310">
        <f t="shared" si="5"/>
        <v>0</v>
      </c>
      <c r="N54" s="317">
        <v>0</v>
      </c>
      <c r="O54" s="318">
        <f t="shared" si="6"/>
        <v>0</v>
      </c>
      <c r="P54" s="317">
        <v>0.16</v>
      </c>
      <c r="Q54" s="310">
        <f t="shared" si="7"/>
        <v>0</v>
      </c>
      <c r="R54" s="310">
        <f t="shared" si="8"/>
        <v>0</v>
      </c>
      <c r="S54" s="310">
        <f>INDEX('Glosario Partidas'!$M$8:$M$10,MATCH(K54,'Glosario Partidas'!$L$8:$L$10,0))</f>
        <v>1</v>
      </c>
      <c r="T54" s="310">
        <f t="shared" si="9"/>
        <v>0</v>
      </c>
      <c r="U54" s="307" t="s">
        <v>315</v>
      </c>
      <c r="V54" s="249" t="s">
        <v>13</v>
      </c>
      <c r="W54" s="249" t="s">
        <v>491</v>
      </c>
      <c r="X54" s="249"/>
    </row>
    <row r="55" spans="1:29" ht="15" customHeight="1" x14ac:dyDescent="0.2">
      <c r="A55" s="211"/>
      <c r="B55" s="211" t="s">
        <v>203</v>
      </c>
      <c r="C55" s="211" t="s">
        <v>91</v>
      </c>
      <c r="D55" s="78" t="s">
        <v>393</v>
      </c>
      <c r="E55" s="307" t="s">
        <v>229</v>
      </c>
      <c r="F55" s="78" t="s">
        <v>393</v>
      </c>
      <c r="G55" s="307" t="s">
        <v>487</v>
      </c>
      <c r="H55" s="315" t="s">
        <v>293</v>
      </c>
      <c r="I55" s="211" t="s">
        <v>207</v>
      </c>
      <c r="J55" s="315">
        <v>0</v>
      </c>
      <c r="K55" s="211" t="s">
        <v>269</v>
      </c>
      <c r="L55" s="316">
        <v>0</v>
      </c>
      <c r="M55" s="310">
        <f t="shared" si="5"/>
        <v>0</v>
      </c>
      <c r="N55" s="317">
        <v>0</v>
      </c>
      <c r="O55" s="318">
        <f t="shared" si="6"/>
        <v>0</v>
      </c>
      <c r="P55" s="317">
        <v>0.16</v>
      </c>
      <c r="Q55" s="310">
        <f t="shared" si="7"/>
        <v>0</v>
      </c>
      <c r="R55" s="310">
        <f t="shared" si="8"/>
        <v>0</v>
      </c>
      <c r="S55" s="310">
        <f>INDEX('Glosario Partidas'!$M$8:$M$10,MATCH(K55,'Glosario Partidas'!$L$8:$L$10,0))</f>
        <v>1</v>
      </c>
      <c r="T55" s="310">
        <f t="shared" si="9"/>
        <v>0</v>
      </c>
      <c r="U55" s="307" t="s">
        <v>315</v>
      </c>
      <c r="V55" s="249" t="s">
        <v>13</v>
      </c>
      <c r="W55" s="249" t="s">
        <v>491</v>
      </c>
      <c r="X55" s="249"/>
    </row>
    <row r="56" spans="1:29" ht="15" customHeight="1" x14ac:dyDescent="0.2">
      <c r="A56" s="211"/>
      <c r="B56" s="211" t="s">
        <v>203</v>
      </c>
      <c r="C56" s="211" t="s">
        <v>92</v>
      </c>
      <c r="D56" s="78" t="s">
        <v>394</v>
      </c>
      <c r="E56" s="307" t="s">
        <v>229</v>
      </c>
      <c r="F56" s="78" t="s">
        <v>221</v>
      </c>
      <c r="G56" s="307" t="s">
        <v>487</v>
      </c>
      <c r="H56" s="315" t="s">
        <v>293</v>
      </c>
      <c r="I56" s="211" t="s">
        <v>207</v>
      </c>
      <c r="J56" s="315">
        <v>109.56</v>
      </c>
      <c r="K56" s="211" t="s">
        <v>153</v>
      </c>
      <c r="L56" s="316">
        <v>0</v>
      </c>
      <c r="M56" s="310">
        <f t="shared" si="5"/>
        <v>0</v>
      </c>
      <c r="N56" s="317">
        <v>0</v>
      </c>
      <c r="O56" s="318">
        <f t="shared" si="6"/>
        <v>0</v>
      </c>
      <c r="P56" s="317">
        <v>0.16</v>
      </c>
      <c r="Q56" s="310">
        <f t="shared" si="7"/>
        <v>0</v>
      </c>
      <c r="R56" s="310">
        <f t="shared" si="8"/>
        <v>0</v>
      </c>
      <c r="S56" s="310">
        <f>INDEX('Glosario Partidas'!$M$8:$M$10,MATCH(K56,'Glosario Partidas'!$L$8:$L$10,0))</f>
        <v>17.5</v>
      </c>
      <c r="T56" s="310">
        <f t="shared" si="9"/>
        <v>0</v>
      </c>
      <c r="U56" s="307" t="s">
        <v>315</v>
      </c>
      <c r="V56" s="249" t="s">
        <v>13</v>
      </c>
      <c r="W56" s="249" t="s">
        <v>491</v>
      </c>
      <c r="X56" s="249"/>
    </row>
    <row r="57" spans="1:29" ht="15" customHeight="1" x14ac:dyDescent="0.2">
      <c r="A57" s="211"/>
      <c r="B57" s="211" t="s">
        <v>203</v>
      </c>
      <c r="C57" s="211" t="s">
        <v>92</v>
      </c>
      <c r="D57" s="78" t="s">
        <v>394</v>
      </c>
      <c r="E57" s="307" t="s">
        <v>229</v>
      </c>
      <c r="F57" s="78" t="s">
        <v>354</v>
      </c>
      <c r="G57" s="307" t="s">
        <v>487</v>
      </c>
      <c r="H57" s="315" t="s">
        <v>293</v>
      </c>
      <c r="I57" s="211" t="s">
        <v>207</v>
      </c>
      <c r="J57" s="315">
        <v>109.56</v>
      </c>
      <c r="K57" s="211" t="s">
        <v>153</v>
      </c>
      <c r="L57" s="316">
        <v>0</v>
      </c>
      <c r="M57" s="310">
        <f t="shared" si="5"/>
        <v>0</v>
      </c>
      <c r="N57" s="317">
        <v>0</v>
      </c>
      <c r="O57" s="318">
        <f t="shared" si="6"/>
        <v>0</v>
      </c>
      <c r="P57" s="317">
        <v>0.16</v>
      </c>
      <c r="Q57" s="310">
        <f t="shared" si="7"/>
        <v>0</v>
      </c>
      <c r="R57" s="310">
        <f t="shared" si="8"/>
        <v>0</v>
      </c>
      <c r="S57" s="310">
        <f>INDEX('Glosario Partidas'!$M$8:$M$10,MATCH(K57,'Glosario Partidas'!$L$8:$L$10,0))</f>
        <v>17.5</v>
      </c>
      <c r="T57" s="310">
        <f t="shared" si="9"/>
        <v>0</v>
      </c>
      <c r="U57" s="307" t="s">
        <v>315</v>
      </c>
      <c r="V57" s="249" t="s">
        <v>13</v>
      </c>
      <c r="W57" s="249" t="s">
        <v>491</v>
      </c>
      <c r="X57" s="249"/>
    </row>
    <row r="58" spans="1:29" ht="15" customHeight="1" x14ac:dyDescent="0.2">
      <c r="A58" s="211"/>
      <c r="B58" s="211" t="s">
        <v>203</v>
      </c>
      <c r="C58" s="211" t="s">
        <v>92</v>
      </c>
      <c r="D58" s="78" t="s">
        <v>394</v>
      </c>
      <c r="E58" s="307" t="s">
        <v>229</v>
      </c>
      <c r="F58" s="78" t="s">
        <v>355</v>
      </c>
      <c r="G58" s="307" t="s">
        <v>487</v>
      </c>
      <c r="H58" s="315" t="s">
        <v>293</v>
      </c>
      <c r="I58" s="211" t="s">
        <v>207</v>
      </c>
      <c r="J58" s="315">
        <v>16.5</v>
      </c>
      <c r="K58" s="211" t="s">
        <v>153</v>
      </c>
      <c r="L58" s="316">
        <v>0</v>
      </c>
      <c r="M58" s="310">
        <f t="shared" si="5"/>
        <v>0</v>
      </c>
      <c r="N58" s="317">
        <v>0</v>
      </c>
      <c r="O58" s="318">
        <f t="shared" si="6"/>
        <v>0</v>
      </c>
      <c r="P58" s="317">
        <v>0.16</v>
      </c>
      <c r="Q58" s="310">
        <f t="shared" si="7"/>
        <v>0</v>
      </c>
      <c r="R58" s="310">
        <f t="shared" si="8"/>
        <v>0</v>
      </c>
      <c r="S58" s="310">
        <f>INDEX('Glosario Partidas'!$M$8:$M$10,MATCH(K58,'Glosario Partidas'!$L$8:$L$10,0))</f>
        <v>17.5</v>
      </c>
      <c r="T58" s="310">
        <f t="shared" si="9"/>
        <v>0</v>
      </c>
      <c r="U58" s="307" t="s">
        <v>315</v>
      </c>
      <c r="V58" s="249" t="s">
        <v>13</v>
      </c>
      <c r="W58" s="249" t="s">
        <v>491</v>
      </c>
      <c r="X58" s="249"/>
    </row>
    <row r="59" spans="1:29" ht="15" customHeight="1" x14ac:dyDescent="0.2">
      <c r="A59" s="211"/>
      <c r="B59" s="211" t="s">
        <v>203</v>
      </c>
      <c r="C59" s="211" t="s">
        <v>92</v>
      </c>
      <c r="D59" s="78" t="s">
        <v>390</v>
      </c>
      <c r="E59" s="307" t="s">
        <v>229</v>
      </c>
      <c r="F59" s="78" t="s">
        <v>221</v>
      </c>
      <c r="G59" s="307" t="s">
        <v>487</v>
      </c>
      <c r="H59" s="315" t="s">
        <v>293</v>
      </c>
      <c r="I59" s="211" t="s">
        <v>207</v>
      </c>
      <c r="J59" s="315">
        <v>99.6</v>
      </c>
      <c r="K59" s="211" t="s">
        <v>269</v>
      </c>
      <c r="L59" s="316">
        <v>0</v>
      </c>
      <c r="M59" s="310">
        <f t="shared" si="5"/>
        <v>0</v>
      </c>
      <c r="N59" s="317">
        <v>0</v>
      </c>
      <c r="O59" s="318">
        <f t="shared" si="6"/>
        <v>0</v>
      </c>
      <c r="P59" s="317">
        <v>0.16</v>
      </c>
      <c r="Q59" s="310">
        <f t="shared" si="7"/>
        <v>0</v>
      </c>
      <c r="R59" s="310">
        <f t="shared" si="8"/>
        <v>0</v>
      </c>
      <c r="S59" s="310">
        <f>INDEX('Glosario Partidas'!$M$8:$M$10,MATCH(K59,'Glosario Partidas'!$L$8:$L$10,0))</f>
        <v>1</v>
      </c>
      <c r="T59" s="310">
        <f t="shared" si="9"/>
        <v>0</v>
      </c>
      <c r="U59" s="307" t="s">
        <v>315</v>
      </c>
      <c r="V59" s="249" t="s">
        <v>13</v>
      </c>
      <c r="W59" s="249" t="s">
        <v>491</v>
      </c>
      <c r="X59" s="249"/>
    </row>
    <row r="60" spans="1:29" ht="15" customHeight="1" x14ac:dyDescent="0.2">
      <c r="A60" s="211"/>
      <c r="B60" s="211" t="s">
        <v>203</v>
      </c>
      <c r="C60" s="211" t="s">
        <v>92</v>
      </c>
      <c r="D60" s="78" t="s">
        <v>390</v>
      </c>
      <c r="E60" s="307" t="s">
        <v>229</v>
      </c>
      <c r="F60" s="78" t="s">
        <v>354</v>
      </c>
      <c r="G60" s="307" t="s">
        <v>487</v>
      </c>
      <c r="H60" s="315" t="s">
        <v>293</v>
      </c>
      <c r="I60" s="211" t="s">
        <v>207</v>
      </c>
      <c r="J60" s="315">
        <v>99.6</v>
      </c>
      <c r="K60" s="211" t="s">
        <v>269</v>
      </c>
      <c r="L60" s="316">
        <v>0</v>
      </c>
      <c r="M60" s="310">
        <f t="shared" si="5"/>
        <v>0</v>
      </c>
      <c r="N60" s="317">
        <v>0</v>
      </c>
      <c r="O60" s="318">
        <f t="shared" si="6"/>
        <v>0</v>
      </c>
      <c r="P60" s="317">
        <v>0.16</v>
      </c>
      <c r="Q60" s="310">
        <f t="shared" si="7"/>
        <v>0</v>
      </c>
      <c r="R60" s="310">
        <f t="shared" si="8"/>
        <v>0</v>
      </c>
      <c r="S60" s="310">
        <f>INDEX('Glosario Partidas'!$M$8:$M$10,MATCH(K60,'Glosario Partidas'!$L$8:$L$10,0))</f>
        <v>1</v>
      </c>
      <c r="T60" s="310">
        <f t="shared" si="9"/>
        <v>0</v>
      </c>
      <c r="U60" s="307" t="s">
        <v>315</v>
      </c>
      <c r="V60" s="249" t="s">
        <v>13</v>
      </c>
      <c r="W60" s="249" t="s">
        <v>491</v>
      </c>
      <c r="X60" s="249"/>
    </row>
    <row r="61" spans="1:29" ht="15" customHeight="1" x14ac:dyDescent="0.2">
      <c r="A61" s="211"/>
      <c r="B61" s="211" t="s">
        <v>203</v>
      </c>
      <c r="C61" s="211" t="s">
        <v>92</v>
      </c>
      <c r="D61" s="78" t="s">
        <v>390</v>
      </c>
      <c r="E61" s="307" t="s">
        <v>229</v>
      </c>
      <c r="F61" s="78" t="s">
        <v>355</v>
      </c>
      <c r="G61" s="307" t="s">
        <v>487</v>
      </c>
      <c r="H61" s="315" t="s">
        <v>293</v>
      </c>
      <c r="I61" s="211" t="s">
        <v>207</v>
      </c>
      <c r="J61" s="315">
        <v>15</v>
      </c>
      <c r="K61" s="211" t="s">
        <v>269</v>
      </c>
      <c r="L61" s="316">
        <v>0</v>
      </c>
      <c r="M61" s="310">
        <f t="shared" si="5"/>
        <v>0</v>
      </c>
      <c r="N61" s="317">
        <v>0</v>
      </c>
      <c r="O61" s="318">
        <f t="shared" si="6"/>
        <v>0</v>
      </c>
      <c r="P61" s="317">
        <v>0.16</v>
      </c>
      <c r="Q61" s="310">
        <f t="shared" si="7"/>
        <v>0</v>
      </c>
      <c r="R61" s="310">
        <f t="shared" si="8"/>
        <v>0</v>
      </c>
      <c r="S61" s="310">
        <f>INDEX('Glosario Partidas'!$M$8:$M$10,MATCH(K61,'Glosario Partidas'!$L$8:$L$10,0))</f>
        <v>1</v>
      </c>
      <c r="T61" s="310">
        <f t="shared" si="9"/>
        <v>0</v>
      </c>
      <c r="U61" s="307" t="s">
        <v>315</v>
      </c>
      <c r="V61" s="249" t="s">
        <v>13</v>
      </c>
      <c r="W61" s="249" t="s">
        <v>491</v>
      </c>
      <c r="X61" s="249"/>
    </row>
    <row r="62" spans="1:29" ht="15" customHeight="1" x14ac:dyDescent="0.2">
      <c r="A62" s="189"/>
      <c r="B62" s="189" t="s">
        <v>185</v>
      </c>
      <c r="C62" s="189"/>
      <c r="D62" s="189"/>
      <c r="E62" s="189"/>
      <c r="F62" s="189"/>
      <c r="G62" s="189"/>
      <c r="H62" s="189"/>
      <c r="I62" s="189"/>
      <c r="J62" s="189"/>
      <c r="K62" s="189"/>
      <c r="L62" s="303"/>
      <c r="M62" s="303"/>
      <c r="N62" s="304"/>
      <c r="O62" s="304"/>
      <c r="P62" s="304"/>
      <c r="Q62" s="303"/>
      <c r="R62" s="303"/>
      <c r="S62" s="303"/>
      <c r="T62" s="305">
        <f>SUM(T2:T61)</f>
        <v>0</v>
      </c>
      <c r="U62" s="189"/>
      <c r="V62" s="253"/>
      <c r="AB62" s="254">
        <f>SUMIFS($T:$T,$W:$W,"Contratado")</f>
        <v>0</v>
      </c>
      <c r="AC62" s="254">
        <f>SUMIFS($T:$T,$W:$W,"No Contratado")</f>
        <v>0</v>
      </c>
    </row>
  </sheetData>
  <dataValidations count="2">
    <dataValidation type="list" allowBlank="1" errorTitle="Valor inválido" error="Selecciona Contratado o No Contratado" promptTitle="Contratado/No Contratado" prompt="Selecciona estado" sqref="W2:W61" xr:uid="{00000000-0002-0000-2D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61" xr:uid="{00000000-0002-0000-2D00-000001000000}">
      <formula1>"Sí,No"</formula1>
      <formula2>0</formula2>
    </dataValidation>
  </dataValidations>
  <hyperlinks>
    <hyperlink ref="A1" location="'BUY OUT'!A1" display="⬅ Resumen PU" xr:uid="{00000000-0004-0000-2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AC14"/>
  <sheetViews>
    <sheetView zoomScale="130" zoomScaleNormal="130" workbookViewId="0">
      <selection activeCell="H15" sqref="H15"/>
    </sheetView>
  </sheetViews>
  <sheetFormatPr baseColWidth="10" defaultColWidth="8.6640625" defaultRowHeight="15" customHeight="1" x14ac:dyDescent="0.2"/>
  <cols>
    <col min="2" max="2" width="13.6640625" customWidth="1"/>
    <col min="3" max="3" width="21.5" customWidth="1"/>
    <col min="4" max="4" width="11.33203125" customWidth="1"/>
    <col min="8" max="8" width="19.3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B2" s="63" t="s">
        <v>190</v>
      </c>
      <c r="C2" s="211" t="s">
        <v>95</v>
      </c>
      <c r="D2" s="78" t="s">
        <v>313</v>
      </c>
      <c r="E2" s="171" t="s">
        <v>220</v>
      </c>
      <c r="F2" s="78" t="s">
        <v>313</v>
      </c>
      <c r="G2" s="171" t="s">
        <v>313</v>
      </c>
      <c r="H2" s="255" t="str">
        <f>'Canceles y Vidrios PU'!H3</f>
        <v>AX FERRO</v>
      </c>
      <c r="I2" s="225" t="s">
        <v>314</v>
      </c>
      <c r="J2" s="250">
        <v>1</v>
      </c>
      <c r="K2" s="225" t="s">
        <v>396</v>
      </c>
      <c r="L2" s="142">
        <f>SUMIFS('Canceles y Vidrios PU'!M:M,'Canceles y Vidrios PU'!E:E,E2)</f>
        <v>551574.71000000008</v>
      </c>
      <c r="M2" s="227">
        <f t="shared" ref="M2:M9" si="0">J2*L2</f>
        <v>551574.71000000008</v>
      </c>
      <c r="N2" s="251">
        <v>0</v>
      </c>
      <c r="O2" s="227">
        <f t="shared" ref="O2:O9" si="1">M2*N2</f>
        <v>0</v>
      </c>
      <c r="P2" s="251">
        <v>0.16</v>
      </c>
      <c r="Q2" s="227">
        <f t="shared" ref="Q2:Q9" si="2">(M2+O2)*P2</f>
        <v>88251.953600000008</v>
      </c>
      <c r="R2" s="227">
        <f t="shared" ref="R2:R9" si="3">M2+O2+Q2</f>
        <v>639826.66360000009</v>
      </c>
      <c r="S2" s="229">
        <f>INDEX('Glosario Partidas'!$M$8:$M$10,MATCH(K2,'Glosario Partidas'!$L$8:$L$10,0))</f>
        <v>22</v>
      </c>
      <c r="T2" s="227">
        <f t="shared" ref="T2:T9" si="4">R2*S2</f>
        <v>14076186.599200003</v>
      </c>
      <c r="U2" s="230" t="s">
        <v>315</v>
      </c>
      <c r="V2" s="249" t="s">
        <v>12</v>
      </c>
      <c r="W2" s="249" t="s">
        <v>491</v>
      </c>
      <c r="X2" s="249"/>
    </row>
    <row r="3" spans="1:29" ht="15" customHeight="1" x14ac:dyDescent="0.2">
      <c r="B3" s="63" t="s">
        <v>190</v>
      </c>
      <c r="C3" s="211" t="s">
        <v>96</v>
      </c>
      <c r="D3" s="78" t="s">
        <v>313</v>
      </c>
      <c r="E3" s="171" t="s">
        <v>220</v>
      </c>
      <c r="F3" s="78" t="s">
        <v>313</v>
      </c>
      <c r="G3" s="171" t="s">
        <v>313</v>
      </c>
      <c r="H3" s="255" t="str">
        <f>'Barandales PU'!H3</f>
        <v>Grupo Aliglass</v>
      </c>
      <c r="I3" s="225" t="s">
        <v>314</v>
      </c>
      <c r="J3" s="250">
        <v>1</v>
      </c>
      <c r="K3" s="225" t="s">
        <v>269</v>
      </c>
      <c r="L3" s="142">
        <f>SUMIFS('Barandales PU'!M:M,'Barandales PU'!E:E,E3)</f>
        <v>224773</v>
      </c>
      <c r="M3" s="227">
        <f t="shared" si="0"/>
        <v>224773</v>
      </c>
      <c r="N3" s="251">
        <v>0</v>
      </c>
      <c r="O3" s="227">
        <f t="shared" si="1"/>
        <v>0</v>
      </c>
      <c r="P3" s="251">
        <v>0.16</v>
      </c>
      <c r="Q3" s="227">
        <f t="shared" si="2"/>
        <v>35963.68</v>
      </c>
      <c r="R3" s="227">
        <f t="shared" si="3"/>
        <v>260736.68</v>
      </c>
      <c r="S3" s="229">
        <f>INDEX('Glosario Partidas'!$M$8:$M$10,MATCH(K3,'Glosario Partidas'!$L$8:$L$10,0))</f>
        <v>1</v>
      </c>
      <c r="T3" s="227">
        <f t="shared" si="4"/>
        <v>260736.68</v>
      </c>
      <c r="U3" s="230" t="s">
        <v>315</v>
      </c>
      <c r="V3" s="249" t="s">
        <v>12</v>
      </c>
      <c r="W3" s="249" t="s">
        <v>491</v>
      </c>
      <c r="X3" s="249"/>
    </row>
    <row r="4" spans="1:29" ht="15" customHeight="1" x14ac:dyDescent="0.2">
      <c r="B4" s="63" t="s">
        <v>190</v>
      </c>
      <c r="C4" s="211" t="s">
        <v>97</v>
      </c>
      <c r="D4" s="78" t="s">
        <v>313</v>
      </c>
      <c r="E4" s="171" t="s">
        <v>220</v>
      </c>
      <c r="F4" s="78" t="s">
        <v>313</v>
      </c>
      <c r="G4" s="171" t="s">
        <v>313</v>
      </c>
      <c r="H4" s="255" t="str">
        <f>'Barandales PU'!H3</f>
        <v>Grupo Aliglass</v>
      </c>
      <c r="I4" s="225" t="s">
        <v>314</v>
      </c>
      <c r="J4" s="250">
        <v>1</v>
      </c>
      <c r="K4" s="225" t="s">
        <v>269</v>
      </c>
      <c r="L4" s="142">
        <f>SUMIFS('Canceles de Baño PU'!M:M,'Canceles de Baño PU'!E:E,Vidrios_Y_Canceles!E4)</f>
        <v>1119293.3699999999</v>
      </c>
      <c r="M4" s="227">
        <f t="shared" si="0"/>
        <v>1119293.3699999999</v>
      </c>
      <c r="N4" s="251">
        <v>0</v>
      </c>
      <c r="O4" s="227">
        <f t="shared" si="1"/>
        <v>0</v>
      </c>
      <c r="P4" s="251">
        <v>0.16</v>
      </c>
      <c r="Q4" s="227">
        <f t="shared" si="2"/>
        <v>179086.93919999999</v>
      </c>
      <c r="R4" s="227">
        <f t="shared" si="3"/>
        <v>1298380.3091999998</v>
      </c>
      <c r="S4" s="229">
        <f>INDEX('Glosario Partidas'!$M$8:$M$10,MATCH(K4,'Glosario Partidas'!$L$8:$L$10,0))</f>
        <v>1</v>
      </c>
      <c r="T4" s="227">
        <f t="shared" si="4"/>
        <v>1298380.3091999998</v>
      </c>
      <c r="U4" s="230" t="s">
        <v>315</v>
      </c>
      <c r="V4" s="249" t="s">
        <v>12</v>
      </c>
      <c r="W4" s="249" t="s">
        <v>491</v>
      </c>
      <c r="X4" s="249"/>
    </row>
    <row r="5" spans="1:29" ht="15" customHeight="1" x14ac:dyDescent="0.2">
      <c r="B5" s="63" t="s">
        <v>190</v>
      </c>
      <c r="C5" s="211" t="s">
        <v>95</v>
      </c>
      <c r="D5" s="78" t="s">
        <v>313</v>
      </c>
      <c r="E5" s="171" t="s">
        <v>229</v>
      </c>
      <c r="F5" s="78" t="s">
        <v>313</v>
      </c>
      <c r="G5" s="171" t="s">
        <v>313</v>
      </c>
      <c r="H5" s="255" t="str">
        <f>'Canceles y Vidrios PU'!H3</f>
        <v>AX FERRO</v>
      </c>
      <c r="I5" s="225" t="s">
        <v>314</v>
      </c>
      <c r="J5" s="250">
        <v>1</v>
      </c>
      <c r="K5" s="225" t="s">
        <v>396</v>
      </c>
      <c r="L5" s="142">
        <f>SUMIFS('Canceles y Vidrios PU'!M:M,'Canceles y Vidrios PU'!E:E,E5)</f>
        <v>551574.71000000008</v>
      </c>
      <c r="M5" s="227">
        <f t="shared" si="0"/>
        <v>551574.71000000008</v>
      </c>
      <c r="N5" s="251">
        <v>0</v>
      </c>
      <c r="O5" s="227">
        <f t="shared" si="1"/>
        <v>0</v>
      </c>
      <c r="P5" s="251">
        <v>0.16</v>
      </c>
      <c r="Q5" s="227">
        <f t="shared" si="2"/>
        <v>88251.953600000008</v>
      </c>
      <c r="R5" s="227">
        <f t="shared" si="3"/>
        <v>639826.66360000009</v>
      </c>
      <c r="S5" s="229">
        <f>INDEX('Glosario Partidas'!$M$8:$M$10,MATCH(K5,'Glosario Partidas'!$L$8:$L$10,0))</f>
        <v>22</v>
      </c>
      <c r="T5" s="227">
        <f t="shared" si="4"/>
        <v>14076186.599200003</v>
      </c>
      <c r="U5" s="230" t="s">
        <v>315</v>
      </c>
      <c r="V5" s="249" t="s">
        <v>12</v>
      </c>
      <c r="W5" s="249" t="s">
        <v>491</v>
      </c>
      <c r="X5" s="249"/>
    </row>
    <row r="6" spans="1:29" ht="15" customHeight="1" x14ac:dyDescent="0.2">
      <c r="B6" s="63" t="s">
        <v>190</v>
      </c>
      <c r="C6" s="211" t="s">
        <v>96</v>
      </c>
      <c r="D6" s="78" t="s">
        <v>313</v>
      </c>
      <c r="E6" s="171" t="s">
        <v>229</v>
      </c>
      <c r="F6" s="78" t="s">
        <v>313</v>
      </c>
      <c r="G6" s="171" t="s">
        <v>313</v>
      </c>
      <c r="H6" s="255" t="str">
        <f>'Barandales PU'!H3</f>
        <v>Grupo Aliglass</v>
      </c>
      <c r="I6" s="225" t="s">
        <v>314</v>
      </c>
      <c r="J6" s="250">
        <v>1</v>
      </c>
      <c r="K6" s="225" t="s">
        <v>269</v>
      </c>
      <c r="L6" s="142">
        <f>SUMIFS('Barandales PU'!M:M,'Barandales PU'!E:E,E6)</f>
        <v>224773</v>
      </c>
      <c r="M6" s="227">
        <f t="shared" si="0"/>
        <v>224773</v>
      </c>
      <c r="N6" s="251">
        <v>0</v>
      </c>
      <c r="O6" s="227">
        <f t="shared" si="1"/>
        <v>0</v>
      </c>
      <c r="P6" s="251">
        <v>0.16</v>
      </c>
      <c r="Q6" s="227">
        <f t="shared" si="2"/>
        <v>35963.68</v>
      </c>
      <c r="R6" s="227">
        <f t="shared" si="3"/>
        <v>260736.68</v>
      </c>
      <c r="S6" s="229">
        <f>INDEX('Glosario Partidas'!$M$8:$M$10,MATCH(K6,'Glosario Partidas'!$L$8:$L$10,0))</f>
        <v>1</v>
      </c>
      <c r="T6" s="227">
        <f t="shared" si="4"/>
        <v>260736.68</v>
      </c>
      <c r="U6" s="230" t="s">
        <v>315</v>
      </c>
      <c r="V6" s="249" t="s">
        <v>12</v>
      </c>
      <c r="W6" s="249" t="s">
        <v>491</v>
      </c>
      <c r="X6" s="249"/>
    </row>
    <row r="7" spans="1:29" ht="15" customHeight="1" x14ac:dyDescent="0.2">
      <c r="B7" s="63" t="s">
        <v>190</v>
      </c>
      <c r="C7" s="211" t="s">
        <v>97</v>
      </c>
      <c r="D7" s="78" t="s">
        <v>313</v>
      </c>
      <c r="E7" s="171" t="s">
        <v>229</v>
      </c>
      <c r="F7" s="78" t="s">
        <v>313</v>
      </c>
      <c r="G7" s="171" t="s">
        <v>313</v>
      </c>
      <c r="H7" s="255" t="str">
        <f>'Barandales PU'!H3</f>
        <v>Grupo Aliglass</v>
      </c>
      <c r="I7" s="225" t="s">
        <v>314</v>
      </c>
      <c r="J7" s="250">
        <v>1</v>
      </c>
      <c r="K7" s="225" t="s">
        <v>269</v>
      </c>
      <c r="L7" s="142">
        <f>SUMIFS('Canceles de Baño PU'!M:M,'Canceles de Baño PU'!E:E,Vidrios_Y_Canceles!E7)</f>
        <v>1119293.3699999999</v>
      </c>
      <c r="M7" s="227">
        <f t="shared" si="0"/>
        <v>1119293.3699999999</v>
      </c>
      <c r="N7" s="251">
        <v>0</v>
      </c>
      <c r="O7" s="227">
        <f t="shared" si="1"/>
        <v>0</v>
      </c>
      <c r="P7" s="251">
        <v>0.16</v>
      </c>
      <c r="Q7" s="227">
        <f t="shared" si="2"/>
        <v>179086.93919999999</v>
      </c>
      <c r="R7" s="227">
        <f t="shared" si="3"/>
        <v>1298380.3091999998</v>
      </c>
      <c r="S7" s="229">
        <f>INDEX('Glosario Partidas'!$M$8:$M$10,MATCH(K7,'Glosario Partidas'!$L$8:$L$10,0))</f>
        <v>1</v>
      </c>
      <c r="T7" s="227">
        <f t="shared" si="4"/>
        <v>1298380.3091999998</v>
      </c>
      <c r="U7" s="230" t="s">
        <v>315</v>
      </c>
      <c r="V7" s="249" t="s">
        <v>12</v>
      </c>
      <c r="W7" s="249" t="s">
        <v>491</v>
      </c>
      <c r="X7" s="249"/>
    </row>
    <row r="8" spans="1:29" ht="15" customHeight="1" x14ac:dyDescent="0.2">
      <c r="A8" s="211"/>
      <c r="B8" s="211" t="s">
        <v>190</v>
      </c>
      <c r="C8" s="211" t="s">
        <v>98</v>
      </c>
      <c r="D8" s="78" t="s">
        <v>313</v>
      </c>
      <c r="E8" s="307" t="s">
        <v>220</v>
      </c>
      <c r="F8" s="78" t="s">
        <v>313</v>
      </c>
      <c r="G8" s="307" t="s">
        <v>313</v>
      </c>
      <c r="H8" s="315" t="s">
        <v>779</v>
      </c>
      <c r="I8" s="211" t="s">
        <v>314</v>
      </c>
      <c r="J8" s="315">
        <v>1</v>
      </c>
      <c r="K8" s="225" t="s">
        <v>396</v>
      </c>
      <c r="L8" s="316">
        <v>138035</v>
      </c>
      <c r="M8" s="310">
        <f t="shared" si="0"/>
        <v>138035</v>
      </c>
      <c r="N8" s="317">
        <v>0</v>
      </c>
      <c r="O8" s="318">
        <f t="shared" si="1"/>
        <v>0</v>
      </c>
      <c r="P8" s="317">
        <v>0.16</v>
      </c>
      <c r="Q8" s="310">
        <f t="shared" si="2"/>
        <v>22085.600000000002</v>
      </c>
      <c r="R8" s="310">
        <f t="shared" si="3"/>
        <v>160120.6</v>
      </c>
      <c r="S8" s="229">
        <f>INDEX('Glosario Partidas'!$M$8:$M$10,MATCH(K8,'Glosario Partidas'!$L$8:$L$10,0))</f>
        <v>22</v>
      </c>
      <c r="T8" s="310">
        <f t="shared" si="4"/>
        <v>3522653.2</v>
      </c>
      <c r="U8" s="307" t="s">
        <v>315</v>
      </c>
      <c r="V8" s="249" t="s">
        <v>13</v>
      </c>
      <c r="W8" s="249" t="s">
        <v>491</v>
      </c>
      <c r="X8" s="249"/>
    </row>
    <row r="9" spans="1:29" ht="15" customHeight="1" x14ac:dyDescent="0.2">
      <c r="A9" s="211"/>
      <c r="B9" s="211" t="s">
        <v>190</v>
      </c>
      <c r="C9" s="211" t="s">
        <v>98</v>
      </c>
      <c r="D9" s="78" t="s">
        <v>313</v>
      </c>
      <c r="E9" s="307" t="s">
        <v>229</v>
      </c>
      <c r="F9" s="78" t="s">
        <v>313</v>
      </c>
      <c r="G9" s="307" t="s">
        <v>313</v>
      </c>
      <c r="H9" s="315" t="s">
        <v>779</v>
      </c>
      <c r="I9" s="211" t="s">
        <v>314</v>
      </c>
      <c r="J9" s="315">
        <v>1</v>
      </c>
      <c r="K9" s="225" t="s">
        <v>396</v>
      </c>
      <c r="L9" s="316">
        <v>138035</v>
      </c>
      <c r="M9" s="310">
        <f t="shared" si="0"/>
        <v>138035</v>
      </c>
      <c r="N9" s="317">
        <v>0</v>
      </c>
      <c r="O9" s="318">
        <f t="shared" si="1"/>
        <v>0</v>
      </c>
      <c r="P9" s="317">
        <v>0.16</v>
      </c>
      <c r="Q9" s="310">
        <f t="shared" si="2"/>
        <v>22085.600000000002</v>
      </c>
      <c r="R9" s="310">
        <f t="shared" si="3"/>
        <v>160120.6</v>
      </c>
      <c r="S9" s="229">
        <f>INDEX('Glosario Partidas'!$M$8:$M$10,MATCH(K9,'Glosario Partidas'!$L$8:$L$10,0))</f>
        <v>22</v>
      </c>
      <c r="T9" s="310">
        <f t="shared" si="4"/>
        <v>3522653.2</v>
      </c>
      <c r="U9" s="307" t="s">
        <v>315</v>
      </c>
      <c r="V9" s="249" t="s">
        <v>13</v>
      </c>
      <c r="W9" s="249" t="s">
        <v>491</v>
      </c>
      <c r="X9" s="249"/>
    </row>
    <row r="10" spans="1:29" ht="15" customHeight="1" x14ac:dyDescent="0.2">
      <c r="A10" s="189"/>
      <c r="B10" s="189" t="s">
        <v>185</v>
      </c>
      <c r="C10" s="189"/>
      <c r="D10" s="189"/>
      <c r="E10" s="189"/>
      <c r="F10" s="189"/>
      <c r="G10" s="189"/>
      <c r="H10" s="189"/>
      <c r="I10" s="189"/>
      <c r="J10" s="189"/>
      <c r="K10" s="189"/>
      <c r="L10" s="303"/>
      <c r="M10" s="303"/>
      <c r="N10" s="304"/>
      <c r="O10" s="304"/>
      <c r="P10" s="304"/>
      <c r="Q10" s="303"/>
      <c r="R10" s="303"/>
      <c r="S10" s="303"/>
      <c r="T10" s="305">
        <f>SUM(T2:T9)</f>
        <v>38315913.576800011</v>
      </c>
      <c r="U10" s="189"/>
      <c r="V10" s="253"/>
      <c r="AB10" s="254">
        <f>SUMIFS($T:$T,$W:$W,"Contratado")</f>
        <v>0</v>
      </c>
      <c r="AC10" s="254">
        <f>SUMIFS($T:$T,$W:$W,"No Contratado")</f>
        <v>38315913.576800011</v>
      </c>
    </row>
    <row r="14" spans="1:29" ht="15" customHeight="1" x14ac:dyDescent="0.2">
      <c r="H14" t="s">
        <v>1150</v>
      </c>
    </row>
  </sheetData>
  <dataValidations count="2">
    <dataValidation type="list" allowBlank="1" errorTitle="Valor inválido" error="Selecciona Contratado o No Contratado" promptTitle="Contratado/No Contratado" prompt="Selecciona estado" sqref="W2:W9" xr:uid="{00000000-0002-0000-2E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9" xr:uid="{00000000-0002-0000-2E00-000001000000}">
      <formula1>"Sí,No"</formula1>
      <formula2>0</formula2>
    </dataValidation>
  </dataValidations>
  <hyperlinks>
    <hyperlink ref="A1" location="'BUY OUT'!A1" display="⬅ Resumen PU" xr:uid="{00000000-0004-0000-2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35"/>
  <sheetViews>
    <sheetView topLeftCell="H1" zoomScale="160" zoomScaleNormal="160" workbookViewId="0">
      <selection activeCell="T35" sqref="T35"/>
    </sheetView>
  </sheetViews>
  <sheetFormatPr baseColWidth="10" defaultColWidth="8.6640625" defaultRowHeight="15" customHeight="1" x14ac:dyDescent="0.2"/>
  <cols>
    <col min="1" max="1" width="13" customWidth="1"/>
    <col min="2" max="2" width="13.6640625" customWidth="1"/>
    <col min="3" max="3" width="73.5" customWidth="1"/>
    <col min="4" max="4" width="6" customWidth="1"/>
    <col min="5" max="22" width="13" customWidth="1"/>
  </cols>
  <sheetData>
    <row r="1" spans="1:22" ht="15" customHeight="1" x14ac:dyDescent="0.2">
      <c r="A1" s="258">
        <v>46082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190</v>
      </c>
      <c r="C3" s="268" t="s">
        <v>780</v>
      </c>
      <c r="D3" s="269"/>
      <c r="E3" s="307" t="s">
        <v>220</v>
      </c>
      <c r="F3" s="269"/>
      <c r="G3" s="292"/>
      <c r="H3" s="272" t="s">
        <v>781</v>
      </c>
      <c r="I3" s="273" t="s">
        <v>782</v>
      </c>
      <c r="J3" s="302">
        <v>4</v>
      </c>
      <c r="K3" s="273" t="s">
        <v>396</v>
      </c>
      <c r="L3" s="274">
        <v>20301.05</v>
      </c>
      <c r="M3" s="275">
        <f t="shared" ref="M3:M34" si="0">J3*L3</f>
        <v>81204.2</v>
      </c>
      <c r="N3" s="276">
        <v>0</v>
      </c>
      <c r="O3" s="275">
        <f t="shared" ref="O3:O34" si="1">M3*N3</f>
        <v>0</v>
      </c>
      <c r="P3" s="276">
        <v>0.16</v>
      </c>
      <c r="Q3" s="275">
        <f t="shared" ref="Q3:Q34" si="2">(M3+O3)*P3</f>
        <v>12992.672</v>
      </c>
      <c r="R3" s="275">
        <f t="shared" ref="R3:R34" si="3">M3+O3+Q3</f>
        <v>94196.872000000003</v>
      </c>
      <c r="S3" s="300">
        <f>INDEX('Glosario Partidas'!$M$8:$M$10,MATCH(K3,'Glosario Partidas'!$L$8:$L$10,0))</f>
        <v>22</v>
      </c>
      <c r="T3" s="275">
        <f t="shared" ref="T3:T34" si="4">R3*S3</f>
        <v>2072331.1840000001</v>
      </c>
      <c r="U3" s="275"/>
      <c r="V3" s="249" t="s">
        <v>12</v>
      </c>
    </row>
    <row r="4" spans="1:22" ht="15" customHeight="1" x14ac:dyDescent="0.2">
      <c r="A4" s="268"/>
      <c r="B4" s="268" t="s">
        <v>190</v>
      </c>
      <c r="C4" s="268" t="s">
        <v>783</v>
      </c>
      <c r="D4" s="269"/>
      <c r="E4" s="307" t="s">
        <v>220</v>
      </c>
      <c r="F4" s="269"/>
      <c r="G4" s="292"/>
      <c r="H4" s="272" t="s">
        <v>781</v>
      </c>
      <c r="I4" s="273" t="s">
        <v>782</v>
      </c>
      <c r="J4" s="302">
        <v>8</v>
      </c>
      <c r="K4" s="273" t="s">
        <v>396</v>
      </c>
      <c r="L4" s="274">
        <v>20354.54</v>
      </c>
      <c r="M4" s="275">
        <f t="shared" si="0"/>
        <v>162836.32</v>
      </c>
      <c r="N4" s="276">
        <v>0</v>
      </c>
      <c r="O4" s="275">
        <f t="shared" si="1"/>
        <v>0</v>
      </c>
      <c r="P4" s="276">
        <v>0.16</v>
      </c>
      <c r="Q4" s="275">
        <f t="shared" si="2"/>
        <v>26053.8112</v>
      </c>
      <c r="R4" s="275">
        <f t="shared" si="3"/>
        <v>188890.1312</v>
      </c>
      <c r="S4" s="300">
        <f>INDEX('Glosario Partidas'!$M$8:$M$10,MATCH(K4,'Glosario Partidas'!$L$8:$L$10,0))</f>
        <v>22</v>
      </c>
      <c r="T4" s="275">
        <f t="shared" si="4"/>
        <v>4155582.8864000002</v>
      </c>
      <c r="U4" s="275"/>
      <c r="V4" s="249" t="s">
        <v>12</v>
      </c>
    </row>
    <row r="5" spans="1:22" ht="15" customHeight="1" x14ac:dyDescent="0.2">
      <c r="A5" s="268"/>
      <c r="B5" s="268" t="s">
        <v>190</v>
      </c>
      <c r="C5" s="268" t="s">
        <v>784</v>
      </c>
      <c r="D5" s="269"/>
      <c r="E5" s="307" t="s">
        <v>220</v>
      </c>
      <c r="F5" s="269"/>
      <c r="G5" s="292"/>
      <c r="H5" s="272" t="s">
        <v>781</v>
      </c>
      <c r="I5" s="273" t="s">
        <v>782</v>
      </c>
      <c r="J5" s="302">
        <v>15</v>
      </c>
      <c r="K5" s="273" t="s">
        <v>396</v>
      </c>
      <c r="L5" s="274">
        <v>2374.2800000000002</v>
      </c>
      <c r="M5" s="275">
        <f t="shared" si="0"/>
        <v>35614.200000000004</v>
      </c>
      <c r="N5" s="276">
        <v>0</v>
      </c>
      <c r="O5" s="275">
        <f t="shared" si="1"/>
        <v>0</v>
      </c>
      <c r="P5" s="276">
        <v>0.16</v>
      </c>
      <c r="Q5" s="275">
        <f t="shared" si="2"/>
        <v>5698.2720000000008</v>
      </c>
      <c r="R5" s="275">
        <f t="shared" si="3"/>
        <v>41312.472000000009</v>
      </c>
      <c r="S5" s="300">
        <f>INDEX('Glosario Partidas'!$M$8:$M$10,MATCH(K5,'Glosario Partidas'!$L$8:$L$10,0))</f>
        <v>22</v>
      </c>
      <c r="T5" s="275">
        <f t="shared" si="4"/>
        <v>908874.38400000019</v>
      </c>
      <c r="U5" s="275"/>
      <c r="V5" s="249" t="s">
        <v>12</v>
      </c>
    </row>
    <row r="6" spans="1:22" ht="15" customHeight="1" x14ac:dyDescent="0.2">
      <c r="A6" s="268"/>
      <c r="B6" s="268" t="s">
        <v>190</v>
      </c>
      <c r="C6" s="268" t="s">
        <v>785</v>
      </c>
      <c r="D6" s="269"/>
      <c r="E6" s="307" t="s">
        <v>220</v>
      </c>
      <c r="F6" s="269"/>
      <c r="G6" s="292"/>
      <c r="H6" s="272" t="s">
        <v>781</v>
      </c>
      <c r="I6" s="273" t="s">
        <v>782</v>
      </c>
      <c r="J6" s="302">
        <v>4</v>
      </c>
      <c r="K6" s="273" t="s">
        <v>396</v>
      </c>
      <c r="L6" s="274">
        <v>19586.68</v>
      </c>
      <c r="M6" s="275">
        <f t="shared" si="0"/>
        <v>78346.720000000001</v>
      </c>
      <c r="N6" s="276">
        <v>0</v>
      </c>
      <c r="O6" s="275">
        <f t="shared" si="1"/>
        <v>0</v>
      </c>
      <c r="P6" s="276">
        <v>0.16</v>
      </c>
      <c r="Q6" s="275">
        <f t="shared" si="2"/>
        <v>12535.475200000001</v>
      </c>
      <c r="R6" s="275">
        <f t="shared" si="3"/>
        <v>90882.195200000002</v>
      </c>
      <c r="S6" s="300">
        <f>INDEX('Glosario Partidas'!$M$8:$M$10,MATCH(K6,'Glosario Partidas'!$L$8:$L$10,0))</f>
        <v>22</v>
      </c>
      <c r="T6" s="275">
        <f t="shared" si="4"/>
        <v>1999408.2944</v>
      </c>
      <c r="U6" s="275"/>
      <c r="V6" s="249" t="s">
        <v>12</v>
      </c>
    </row>
    <row r="7" spans="1:22" ht="15" customHeight="1" x14ac:dyDescent="0.2">
      <c r="A7" s="268"/>
      <c r="B7" s="268" t="s">
        <v>190</v>
      </c>
      <c r="C7" s="268" t="s">
        <v>786</v>
      </c>
      <c r="D7" s="269"/>
      <c r="E7" s="307" t="s">
        <v>220</v>
      </c>
      <c r="F7" s="269"/>
      <c r="G7" s="292"/>
      <c r="H7" s="272" t="s">
        <v>781</v>
      </c>
      <c r="I7" s="273" t="s">
        <v>782</v>
      </c>
      <c r="J7" s="302">
        <v>4</v>
      </c>
      <c r="K7" s="273" t="s">
        <v>396</v>
      </c>
      <c r="L7" s="274">
        <v>36022.550000000003</v>
      </c>
      <c r="M7" s="275">
        <f t="shared" si="0"/>
        <v>144090.20000000001</v>
      </c>
      <c r="N7" s="276">
        <v>0</v>
      </c>
      <c r="O7" s="275">
        <f t="shared" si="1"/>
        <v>0</v>
      </c>
      <c r="P7" s="276">
        <v>0.16</v>
      </c>
      <c r="Q7" s="275">
        <f t="shared" si="2"/>
        <v>23054.432000000001</v>
      </c>
      <c r="R7" s="275">
        <f t="shared" si="3"/>
        <v>167144.63200000001</v>
      </c>
      <c r="S7" s="300">
        <f>INDEX('Glosario Partidas'!$M$8:$M$10,MATCH(K7,'Glosario Partidas'!$L$8:$L$10,0))</f>
        <v>22</v>
      </c>
      <c r="T7" s="275">
        <f t="shared" si="4"/>
        <v>3677181.9040000001</v>
      </c>
      <c r="U7" s="275"/>
      <c r="V7" s="249" t="s">
        <v>12</v>
      </c>
    </row>
    <row r="8" spans="1:22" ht="15" customHeight="1" x14ac:dyDescent="0.2">
      <c r="A8" s="268"/>
      <c r="B8" s="268" t="s">
        <v>190</v>
      </c>
      <c r="C8" s="268" t="s">
        <v>787</v>
      </c>
      <c r="D8" s="269"/>
      <c r="E8" s="307" t="s">
        <v>220</v>
      </c>
      <c r="F8" s="269"/>
      <c r="G8" s="292"/>
      <c r="H8" s="272" t="s">
        <v>781</v>
      </c>
      <c r="I8" s="273" t="s">
        <v>782</v>
      </c>
      <c r="J8" s="302">
        <v>4</v>
      </c>
      <c r="K8" s="273" t="s">
        <v>396</v>
      </c>
      <c r="L8" s="274">
        <v>1402.64</v>
      </c>
      <c r="M8" s="275">
        <f t="shared" si="0"/>
        <v>5610.56</v>
      </c>
      <c r="N8" s="276">
        <v>0</v>
      </c>
      <c r="O8" s="275">
        <f t="shared" si="1"/>
        <v>0</v>
      </c>
      <c r="P8" s="276">
        <v>0.16</v>
      </c>
      <c r="Q8" s="275">
        <f t="shared" si="2"/>
        <v>897.68960000000004</v>
      </c>
      <c r="R8" s="275">
        <f t="shared" si="3"/>
        <v>6508.2496000000001</v>
      </c>
      <c r="S8" s="300">
        <f>INDEX('Glosario Partidas'!$M$8:$M$10,MATCH(K8,'Glosario Partidas'!$L$8:$L$10,0))</f>
        <v>22</v>
      </c>
      <c r="T8" s="275">
        <f t="shared" si="4"/>
        <v>143181.49119999999</v>
      </c>
      <c r="U8" s="275"/>
      <c r="V8" s="249" t="s">
        <v>12</v>
      </c>
    </row>
    <row r="9" spans="1:22" ht="15" customHeight="1" x14ac:dyDescent="0.2">
      <c r="A9" s="268"/>
      <c r="B9" s="268" t="s">
        <v>190</v>
      </c>
      <c r="C9" s="268" t="s">
        <v>788</v>
      </c>
      <c r="D9" s="269"/>
      <c r="E9" s="307" t="s">
        <v>220</v>
      </c>
      <c r="F9" s="269"/>
      <c r="G9" s="292"/>
      <c r="H9" s="272" t="s">
        <v>781</v>
      </c>
      <c r="I9" s="273" t="s">
        <v>782</v>
      </c>
      <c r="J9" s="302">
        <v>1</v>
      </c>
      <c r="K9" s="273" t="s">
        <v>396</v>
      </c>
      <c r="L9" s="274">
        <v>13057.02</v>
      </c>
      <c r="M9" s="275">
        <f t="shared" si="0"/>
        <v>13057.02</v>
      </c>
      <c r="N9" s="276">
        <v>0</v>
      </c>
      <c r="O9" s="275">
        <f t="shared" si="1"/>
        <v>0</v>
      </c>
      <c r="P9" s="276">
        <v>0.16</v>
      </c>
      <c r="Q9" s="275">
        <f t="shared" si="2"/>
        <v>2089.1232</v>
      </c>
      <c r="R9" s="275">
        <f t="shared" si="3"/>
        <v>15146.1432</v>
      </c>
      <c r="S9" s="300">
        <f>INDEX('Glosario Partidas'!$M$8:$M$10,MATCH(K9,'Glosario Partidas'!$L$8:$L$10,0))</f>
        <v>22</v>
      </c>
      <c r="T9" s="275">
        <f t="shared" si="4"/>
        <v>333215.15039999998</v>
      </c>
      <c r="U9" s="275"/>
      <c r="V9" s="249" t="s">
        <v>12</v>
      </c>
    </row>
    <row r="10" spans="1:22" ht="15" customHeight="1" x14ac:dyDescent="0.2">
      <c r="A10" s="268"/>
      <c r="B10" s="268" t="s">
        <v>190</v>
      </c>
      <c r="C10" s="268" t="s">
        <v>789</v>
      </c>
      <c r="D10" s="269"/>
      <c r="E10" s="307" t="s">
        <v>220</v>
      </c>
      <c r="F10" s="269"/>
      <c r="G10" s="292"/>
      <c r="H10" s="272" t="s">
        <v>781</v>
      </c>
      <c r="I10" s="273" t="s">
        <v>314</v>
      </c>
      <c r="J10" s="302">
        <v>1</v>
      </c>
      <c r="K10" s="273" t="s">
        <v>396</v>
      </c>
      <c r="L10" s="274">
        <v>30815.49</v>
      </c>
      <c r="M10" s="275">
        <f t="shared" si="0"/>
        <v>30815.49</v>
      </c>
      <c r="N10" s="276">
        <v>0</v>
      </c>
      <c r="O10" s="275">
        <f t="shared" si="1"/>
        <v>0</v>
      </c>
      <c r="P10" s="276">
        <v>0.16</v>
      </c>
      <c r="Q10" s="275">
        <f t="shared" si="2"/>
        <v>4930.4784</v>
      </c>
      <c r="R10" s="275">
        <f t="shared" si="3"/>
        <v>35745.968399999998</v>
      </c>
      <c r="S10" s="300">
        <f>INDEX('Glosario Partidas'!$M$8:$M$10,MATCH(K10,'Glosario Partidas'!$L$8:$L$10,0))</f>
        <v>22</v>
      </c>
      <c r="T10" s="275">
        <f t="shared" si="4"/>
        <v>786411.30479999993</v>
      </c>
      <c r="U10" s="275"/>
      <c r="V10" s="249" t="s">
        <v>12</v>
      </c>
    </row>
    <row r="11" spans="1:22" ht="15" customHeight="1" x14ac:dyDescent="0.2">
      <c r="A11" s="268"/>
      <c r="B11" s="268" t="s">
        <v>190</v>
      </c>
      <c r="C11" s="268" t="s">
        <v>790</v>
      </c>
      <c r="D11" s="269"/>
      <c r="E11" s="307" t="s">
        <v>220</v>
      </c>
      <c r="F11" s="269"/>
      <c r="G11" s="292"/>
      <c r="H11" s="272" t="s">
        <v>781</v>
      </c>
      <c r="I11" s="273" t="s">
        <v>314</v>
      </c>
      <c r="J11" s="302">
        <v>1</v>
      </c>
      <c r="K11" s="273" t="s">
        <v>396</v>
      </c>
      <c r="L11" s="274">
        <v>0</v>
      </c>
      <c r="M11" s="275">
        <f t="shared" si="0"/>
        <v>0</v>
      </c>
      <c r="N11" s="276">
        <v>0</v>
      </c>
      <c r="O11" s="275">
        <f t="shared" si="1"/>
        <v>0</v>
      </c>
      <c r="P11" s="276">
        <v>0.16</v>
      </c>
      <c r="Q11" s="275">
        <f t="shared" si="2"/>
        <v>0</v>
      </c>
      <c r="R11" s="275">
        <f t="shared" si="3"/>
        <v>0</v>
      </c>
      <c r="S11" s="300">
        <f>INDEX('Glosario Partidas'!$M$8:$M$10,MATCH(K11,'Glosario Partidas'!$L$8:$L$10,0))</f>
        <v>22</v>
      </c>
      <c r="T11" s="275">
        <f t="shared" si="4"/>
        <v>0</v>
      </c>
      <c r="U11" s="275" t="s">
        <v>790</v>
      </c>
      <c r="V11" s="249" t="s">
        <v>12</v>
      </c>
    </row>
    <row r="12" spans="1:22" ht="15" customHeight="1" x14ac:dyDescent="0.2">
      <c r="A12" s="268"/>
      <c r="B12" s="268" t="s">
        <v>190</v>
      </c>
      <c r="C12" s="268" t="s">
        <v>791</v>
      </c>
      <c r="D12" s="269"/>
      <c r="E12" s="307" t="s">
        <v>220</v>
      </c>
      <c r="F12" s="269"/>
      <c r="G12" s="292"/>
      <c r="H12" s="272" t="s">
        <v>781</v>
      </c>
      <c r="I12" s="273" t="s">
        <v>314</v>
      </c>
      <c r="J12" s="302">
        <v>1</v>
      </c>
      <c r="K12" s="273" t="s">
        <v>396</v>
      </c>
      <c r="L12" s="274">
        <v>0</v>
      </c>
      <c r="M12" s="275">
        <f t="shared" si="0"/>
        <v>0</v>
      </c>
      <c r="N12" s="276">
        <v>0</v>
      </c>
      <c r="O12" s="275">
        <f t="shared" si="1"/>
        <v>0</v>
      </c>
      <c r="P12" s="276">
        <v>0.16</v>
      </c>
      <c r="Q12" s="275">
        <f t="shared" si="2"/>
        <v>0</v>
      </c>
      <c r="R12" s="275">
        <f t="shared" si="3"/>
        <v>0</v>
      </c>
      <c r="S12" s="300">
        <f>INDEX('Glosario Partidas'!$M$8:$M$10,MATCH(K12,'Glosario Partidas'!$L$8:$L$10,0))</f>
        <v>22</v>
      </c>
      <c r="T12" s="275">
        <f t="shared" si="4"/>
        <v>0</v>
      </c>
      <c r="U12" s="275" t="s">
        <v>791</v>
      </c>
      <c r="V12" s="249" t="s">
        <v>12</v>
      </c>
    </row>
    <row r="13" spans="1:22" ht="15" customHeight="1" x14ac:dyDescent="0.2">
      <c r="A13" s="268"/>
      <c r="B13" s="268" t="s">
        <v>190</v>
      </c>
      <c r="C13" s="268" t="s">
        <v>792</v>
      </c>
      <c r="D13" s="269"/>
      <c r="E13" s="307" t="s">
        <v>220</v>
      </c>
      <c r="F13" s="269"/>
      <c r="G13" s="292"/>
      <c r="H13" s="272" t="s">
        <v>781</v>
      </c>
      <c r="I13" s="273" t="s">
        <v>314</v>
      </c>
      <c r="J13" s="302">
        <v>1</v>
      </c>
      <c r="K13" s="273" t="s">
        <v>396</v>
      </c>
      <c r="L13" s="274">
        <v>0</v>
      </c>
      <c r="M13" s="275">
        <f t="shared" si="0"/>
        <v>0</v>
      </c>
      <c r="N13" s="276">
        <v>0</v>
      </c>
      <c r="O13" s="275">
        <f t="shared" si="1"/>
        <v>0</v>
      </c>
      <c r="P13" s="276">
        <v>0.16</v>
      </c>
      <c r="Q13" s="275">
        <f t="shared" si="2"/>
        <v>0</v>
      </c>
      <c r="R13" s="275">
        <f t="shared" si="3"/>
        <v>0</v>
      </c>
      <c r="S13" s="300">
        <f>INDEX('Glosario Partidas'!$M$8:$M$10,MATCH(K13,'Glosario Partidas'!$L$8:$L$10,0))</f>
        <v>22</v>
      </c>
      <c r="T13" s="275">
        <f t="shared" si="4"/>
        <v>0</v>
      </c>
      <c r="U13" s="275" t="s">
        <v>792</v>
      </c>
      <c r="V13" s="249" t="s">
        <v>12</v>
      </c>
    </row>
    <row r="14" spans="1:22" ht="15" customHeight="1" x14ac:dyDescent="0.2">
      <c r="A14" s="268"/>
      <c r="B14" s="268" t="s">
        <v>190</v>
      </c>
      <c r="C14" s="268" t="s">
        <v>793</v>
      </c>
      <c r="D14" s="269"/>
      <c r="E14" s="307" t="s">
        <v>220</v>
      </c>
      <c r="F14" s="269"/>
      <c r="G14" s="292"/>
      <c r="H14" s="272" t="s">
        <v>781</v>
      </c>
      <c r="I14" s="273" t="s">
        <v>314</v>
      </c>
      <c r="J14" s="302">
        <v>1</v>
      </c>
      <c r="K14" s="273" t="s">
        <v>396</v>
      </c>
      <c r="L14" s="274">
        <v>0</v>
      </c>
      <c r="M14" s="275">
        <f t="shared" si="0"/>
        <v>0</v>
      </c>
      <c r="N14" s="276">
        <v>0</v>
      </c>
      <c r="O14" s="275">
        <f t="shared" si="1"/>
        <v>0</v>
      </c>
      <c r="P14" s="276">
        <v>0.16</v>
      </c>
      <c r="Q14" s="275">
        <f t="shared" si="2"/>
        <v>0</v>
      </c>
      <c r="R14" s="275">
        <f t="shared" si="3"/>
        <v>0</v>
      </c>
      <c r="S14" s="300">
        <f>INDEX('Glosario Partidas'!$M$8:$M$10,MATCH(K14,'Glosario Partidas'!$L$8:$L$10,0))</f>
        <v>22</v>
      </c>
      <c r="T14" s="275">
        <f t="shared" si="4"/>
        <v>0</v>
      </c>
      <c r="U14" s="275" t="s">
        <v>793</v>
      </c>
      <c r="V14" s="249" t="s">
        <v>12</v>
      </c>
    </row>
    <row r="15" spans="1:22" ht="15" customHeight="1" x14ac:dyDescent="0.2">
      <c r="A15" s="268"/>
      <c r="B15" s="268" t="s">
        <v>190</v>
      </c>
      <c r="C15" s="268" t="s">
        <v>794</v>
      </c>
      <c r="D15" s="269"/>
      <c r="E15" s="307" t="s">
        <v>220</v>
      </c>
      <c r="F15" s="269"/>
      <c r="G15" s="292"/>
      <c r="H15" s="272" t="s">
        <v>781</v>
      </c>
      <c r="I15" s="273" t="s">
        <v>314</v>
      </c>
      <c r="J15" s="302">
        <v>1</v>
      </c>
      <c r="K15" s="273" t="s">
        <v>396</v>
      </c>
      <c r="L15" s="274">
        <v>0</v>
      </c>
      <c r="M15" s="275">
        <f t="shared" si="0"/>
        <v>0</v>
      </c>
      <c r="N15" s="276">
        <v>0</v>
      </c>
      <c r="O15" s="275">
        <f t="shared" si="1"/>
        <v>0</v>
      </c>
      <c r="P15" s="276">
        <v>0.16</v>
      </c>
      <c r="Q15" s="275">
        <f t="shared" si="2"/>
        <v>0</v>
      </c>
      <c r="R15" s="275">
        <f t="shared" si="3"/>
        <v>0</v>
      </c>
      <c r="S15" s="300">
        <f>INDEX('Glosario Partidas'!$M$8:$M$10,MATCH(K15,'Glosario Partidas'!$L$8:$L$10,0))</f>
        <v>22</v>
      </c>
      <c r="T15" s="275">
        <f t="shared" si="4"/>
        <v>0</v>
      </c>
      <c r="U15" s="275" t="s">
        <v>794</v>
      </c>
      <c r="V15" s="249" t="s">
        <v>12</v>
      </c>
    </row>
    <row r="16" spans="1:22" ht="15" customHeight="1" x14ac:dyDescent="0.2">
      <c r="A16" s="268"/>
      <c r="B16" s="268" t="s">
        <v>190</v>
      </c>
      <c r="C16" s="268" t="s">
        <v>795</v>
      </c>
      <c r="D16" s="269"/>
      <c r="E16" s="307" t="s">
        <v>220</v>
      </c>
      <c r="F16" s="269"/>
      <c r="G16" s="292"/>
      <c r="H16" s="272" t="s">
        <v>781</v>
      </c>
      <c r="I16" s="273" t="s">
        <v>314</v>
      </c>
      <c r="J16" s="302">
        <v>1</v>
      </c>
      <c r="K16" s="273" t="s">
        <v>396</v>
      </c>
      <c r="L16" s="274">
        <v>0</v>
      </c>
      <c r="M16" s="275">
        <f t="shared" si="0"/>
        <v>0</v>
      </c>
      <c r="N16" s="276">
        <v>0</v>
      </c>
      <c r="O16" s="275">
        <f t="shared" si="1"/>
        <v>0</v>
      </c>
      <c r="P16" s="276">
        <v>0.16</v>
      </c>
      <c r="Q16" s="275">
        <f t="shared" si="2"/>
        <v>0</v>
      </c>
      <c r="R16" s="275">
        <f t="shared" si="3"/>
        <v>0</v>
      </c>
      <c r="S16" s="300">
        <f>INDEX('Glosario Partidas'!$M$8:$M$10,MATCH(K16,'Glosario Partidas'!$L$8:$L$10,0))</f>
        <v>22</v>
      </c>
      <c r="T16" s="275">
        <f t="shared" si="4"/>
        <v>0</v>
      </c>
      <c r="U16" s="275" t="s">
        <v>795</v>
      </c>
      <c r="V16" s="249" t="s">
        <v>12</v>
      </c>
    </row>
    <row r="17" spans="1:22" ht="15" customHeight="1" x14ac:dyDescent="0.2">
      <c r="A17" s="268"/>
      <c r="B17" s="268" t="s">
        <v>190</v>
      </c>
      <c r="C17" s="268" t="s">
        <v>796</v>
      </c>
      <c r="D17" s="269"/>
      <c r="E17" s="307" t="s">
        <v>220</v>
      </c>
      <c r="F17" s="269"/>
      <c r="G17" s="292"/>
      <c r="H17" s="272" t="s">
        <v>781</v>
      </c>
      <c r="I17" s="273" t="s">
        <v>314</v>
      </c>
      <c r="J17" s="302">
        <v>1</v>
      </c>
      <c r="K17" s="273" t="s">
        <v>396</v>
      </c>
      <c r="L17" s="274">
        <v>0</v>
      </c>
      <c r="M17" s="275">
        <f t="shared" si="0"/>
        <v>0</v>
      </c>
      <c r="N17" s="276">
        <v>0</v>
      </c>
      <c r="O17" s="275">
        <f t="shared" si="1"/>
        <v>0</v>
      </c>
      <c r="P17" s="276">
        <v>0.16</v>
      </c>
      <c r="Q17" s="275">
        <f t="shared" si="2"/>
        <v>0</v>
      </c>
      <c r="R17" s="275">
        <f t="shared" si="3"/>
        <v>0</v>
      </c>
      <c r="S17" s="300">
        <f>INDEX('Glosario Partidas'!$M$8:$M$10,MATCH(K17,'Glosario Partidas'!$L$8:$L$10,0))</f>
        <v>22</v>
      </c>
      <c r="T17" s="275">
        <f t="shared" si="4"/>
        <v>0</v>
      </c>
      <c r="U17" s="275" t="s">
        <v>796</v>
      </c>
      <c r="V17" s="249" t="s">
        <v>12</v>
      </c>
    </row>
    <row r="18" spans="1:22" ht="15" customHeight="1" x14ac:dyDescent="0.2">
      <c r="A18" s="268"/>
      <c r="B18" s="268" t="s">
        <v>190</v>
      </c>
      <c r="C18" s="268" t="s">
        <v>797</v>
      </c>
      <c r="D18" s="269"/>
      <c r="E18" s="307" t="s">
        <v>220</v>
      </c>
      <c r="F18" s="269"/>
      <c r="G18" s="292"/>
      <c r="H18" s="272" t="s">
        <v>781</v>
      </c>
      <c r="I18" s="273" t="s">
        <v>314</v>
      </c>
      <c r="J18" s="302">
        <v>1</v>
      </c>
      <c r="K18" s="273" t="s">
        <v>396</v>
      </c>
      <c r="L18" s="274">
        <v>0</v>
      </c>
      <c r="M18" s="275">
        <f t="shared" si="0"/>
        <v>0</v>
      </c>
      <c r="N18" s="276">
        <v>0</v>
      </c>
      <c r="O18" s="275">
        <f t="shared" si="1"/>
        <v>0</v>
      </c>
      <c r="P18" s="276">
        <v>0.16</v>
      </c>
      <c r="Q18" s="275">
        <f t="shared" si="2"/>
        <v>0</v>
      </c>
      <c r="R18" s="275">
        <f t="shared" si="3"/>
        <v>0</v>
      </c>
      <c r="S18" s="300">
        <f>INDEX('Glosario Partidas'!$M$8:$M$10,MATCH(K18,'Glosario Partidas'!$L$8:$L$10,0))</f>
        <v>22</v>
      </c>
      <c r="T18" s="275">
        <f t="shared" si="4"/>
        <v>0</v>
      </c>
      <c r="U18" s="275" t="s">
        <v>797</v>
      </c>
      <c r="V18" s="249" t="s">
        <v>12</v>
      </c>
    </row>
    <row r="19" spans="1:22" ht="15" customHeight="1" x14ac:dyDescent="0.2">
      <c r="A19" s="268"/>
      <c r="B19" s="268" t="s">
        <v>190</v>
      </c>
      <c r="C19" s="268" t="s">
        <v>780</v>
      </c>
      <c r="D19" s="269"/>
      <c r="E19" s="307" t="s">
        <v>229</v>
      </c>
      <c r="F19" s="269"/>
      <c r="G19" s="292"/>
      <c r="H19" s="272" t="s">
        <v>781</v>
      </c>
      <c r="I19" s="273" t="s">
        <v>782</v>
      </c>
      <c r="J19" s="302">
        <v>4</v>
      </c>
      <c r="K19" s="273" t="s">
        <v>396</v>
      </c>
      <c r="L19" s="274">
        <v>20301.05</v>
      </c>
      <c r="M19" s="275">
        <f t="shared" si="0"/>
        <v>81204.2</v>
      </c>
      <c r="N19" s="276">
        <v>0</v>
      </c>
      <c r="O19" s="275">
        <f t="shared" si="1"/>
        <v>0</v>
      </c>
      <c r="P19" s="276">
        <v>0.16</v>
      </c>
      <c r="Q19" s="275">
        <f t="shared" si="2"/>
        <v>12992.672</v>
      </c>
      <c r="R19" s="275">
        <f t="shared" si="3"/>
        <v>94196.872000000003</v>
      </c>
      <c r="S19" s="300">
        <f>INDEX('Glosario Partidas'!$M$8:$M$10,MATCH(K19,'Glosario Partidas'!$L$8:$L$10,0))</f>
        <v>22</v>
      </c>
      <c r="T19" s="275">
        <f t="shared" si="4"/>
        <v>2072331.1840000001</v>
      </c>
      <c r="U19" s="275"/>
      <c r="V19" s="249" t="s">
        <v>12</v>
      </c>
    </row>
    <row r="20" spans="1:22" ht="15" customHeight="1" x14ac:dyDescent="0.2">
      <c r="A20" s="268"/>
      <c r="B20" s="268" t="s">
        <v>190</v>
      </c>
      <c r="C20" s="268" t="s">
        <v>783</v>
      </c>
      <c r="D20" s="269"/>
      <c r="E20" s="307" t="s">
        <v>229</v>
      </c>
      <c r="F20" s="269"/>
      <c r="G20" s="292"/>
      <c r="H20" s="272" t="s">
        <v>781</v>
      </c>
      <c r="I20" s="273" t="s">
        <v>782</v>
      </c>
      <c r="J20" s="302">
        <v>8</v>
      </c>
      <c r="K20" s="273" t="s">
        <v>396</v>
      </c>
      <c r="L20" s="274">
        <v>20354.54</v>
      </c>
      <c r="M20" s="275">
        <f t="shared" si="0"/>
        <v>162836.32</v>
      </c>
      <c r="N20" s="276">
        <v>0</v>
      </c>
      <c r="O20" s="275">
        <f t="shared" si="1"/>
        <v>0</v>
      </c>
      <c r="P20" s="276">
        <v>0.16</v>
      </c>
      <c r="Q20" s="275">
        <f t="shared" si="2"/>
        <v>26053.8112</v>
      </c>
      <c r="R20" s="275">
        <f t="shared" si="3"/>
        <v>188890.1312</v>
      </c>
      <c r="S20" s="300">
        <f>INDEX('Glosario Partidas'!$M$8:$M$10,MATCH(K20,'Glosario Partidas'!$L$8:$L$10,0))</f>
        <v>22</v>
      </c>
      <c r="T20" s="275">
        <f t="shared" si="4"/>
        <v>4155582.8864000002</v>
      </c>
      <c r="U20" s="275"/>
      <c r="V20" s="249" t="s">
        <v>12</v>
      </c>
    </row>
    <row r="21" spans="1:22" ht="15" customHeight="1" x14ac:dyDescent="0.2">
      <c r="A21" s="268"/>
      <c r="B21" s="268" t="s">
        <v>190</v>
      </c>
      <c r="C21" s="268" t="s">
        <v>784</v>
      </c>
      <c r="D21" s="269"/>
      <c r="E21" s="307" t="s">
        <v>229</v>
      </c>
      <c r="F21" s="269"/>
      <c r="G21" s="292"/>
      <c r="H21" s="272" t="s">
        <v>781</v>
      </c>
      <c r="I21" s="273" t="s">
        <v>782</v>
      </c>
      <c r="J21" s="302">
        <v>15</v>
      </c>
      <c r="K21" s="273" t="s">
        <v>396</v>
      </c>
      <c r="L21" s="274">
        <v>2374.2800000000002</v>
      </c>
      <c r="M21" s="275">
        <f t="shared" si="0"/>
        <v>35614.200000000004</v>
      </c>
      <c r="N21" s="276">
        <v>0</v>
      </c>
      <c r="O21" s="275">
        <f t="shared" si="1"/>
        <v>0</v>
      </c>
      <c r="P21" s="276">
        <v>0.16</v>
      </c>
      <c r="Q21" s="275">
        <f t="shared" si="2"/>
        <v>5698.2720000000008</v>
      </c>
      <c r="R21" s="275">
        <f t="shared" si="3"/>
        <v>41312.472000000009</v>
      </c>
      <c r="S21" s="300">
        <f>INDEX('Glosario Partidas'!$M$8:$M$10,MATCH(K21,'Glosario Partidas'!$L$8:$L$10,0))</f>
        <v>22</v>
      </c>
      <c r="T21" s="275">
        <f t="shared" si="4"/>
        <v>908874.38400000019</v>
      </c>
      <c r="U21" s="275"/>
      <c r="V21" s="249" t="s">
        <v>12</v>
      </c>
    </row>
    <row r="22" spans="1:22" ht="15" customHeight="1" x14ac:dyDescent="0.2">
      <c r="A22" s="268"/>
      <c r="B22" s="268" t="s">
        <v>190</v>
      </c>
      <c r="C22" s="268" t="s">
        <v>785</v>
      </c>
      <c r="D22" s="269"/>
      <c r="E22" s="307" t="s">
        <v>229</v>
      </c>
      <c r="F22" s="269"/>
      <c r="G22" s="292"/>
      <c r="H22" s="272" t="s">
        <v>781</v>
      </c>
      <c r="I22" s="273" t="s">
        <v>782</v>
      </c>
      <c r="J22" s="302">
        <v>4</v>
      </c>
      <c r="K22" s="273" t="s">
        <v>396</v>
      </c>
      <c r="L22" s="274">
        <v>19586.68</v>
      </c>
      <c r="M22" s="275">
        <f t="shared" si="0"/>
        <v>78346.720000000001</v>
      </c>
      <c r="N22" s="276">
        <v>0</v>
      </c>
      <c r="O22" s="275">
        <f t="shared" si="1"/>
        <v>0</v>
      </c>
      <c r="P22" s="276">
        <v>0.16</v>
      </c>
      <c r="Q22" s="275">
        <f t="shared" si="2"/>
        <v>12535.475200000001</v>
      </c>
      <c r="R22" s="275">
        <f t="shared" si="3"/>
        <v>90882.195200000002</v>
      </c>
      <c r="S22" s="300">
        <f>INDEX('Glosario Partidas'!$M$8:$M$10,MATCH(K22,'Glosario Partidas'!$L$8:$L$10,0))</f>
        <v>22</v>
      </c>
      <c r="T22" s="275">
        <f t="shared" si="4"/>
        <v>1999408.2944</v>
      </c>
      <c r="U22" s="275"/>
      <c r="V22" s="249" t="s">
        <v>12</v>
      </c>
    </row>
    <row r="23" spans="1:22" ht="15" customHeight="1" x14ac:dyDescent="0.2">
      <c r="A23" s="268"/>
      <c r="B23" s="268" t="s">
        <v>190</v>
      </c>
      <c r="C23" s="268" t="s">
        <v>786</v>
      </c>
      <c r="D23" s="269"/>
      <c r="E23" s="307" t="s">
        <v>229</v>
      </c>
      <c r="F23" s="269"/>
      <c r="G23" s="292"/>
      <c r="H23" s="272" t="s">
        <v>781</v>
      </c>
      <c r="I23" s="273" t="s">
        <v>782</v>
      </c>
      <c r="J23" s="302">
        <v>4</v>
      </c>
      <c r="K23" s="273" t="s">
        <v>396</v>
      </c>
      <c r="L23" s="274">
        <v>36022.550000000003</v>
      </c>
      <c r="M23" s="275">
        <f t="shared" si="0"/>
        <v>144090.20000000001</v>
      </c>
      <c r="N23" s="276">
        <v>0</v>
      </c>
      <c r="O23" s="275">
        <f t="shared" si="1"/>
        <v>0</v>
      </c>
      <c r="P23" s="276">
        <v>0.16</v>
      </c>
      <c r="Q23" s="275">
        <f t="shared" si="2"/>
        <v>23054.432000000001</v>
      </c>
      <c r="R23" s="275">
        <f t="shared" si="3"/>
        <v>167144.63200000001</v>
      </c>
      <c r="S23" s="300">
        <f>INDEX('Glosario Partidas'!$M$8:$M$10,MATCH(K23,'Glosario Partidas'!$L$8:$L$10,0))</f>
        <v>22</v>
      </c>
      <c r="T23" s="275">
        <f t="shared" si="4"/>
        <v>3677181.9040000001</v>
      </c>
      <c r="U23" s="275"/>
      <c r="V23" s="249" t="s">
        <v>12</v>
      </c>
    </row>
    <row r="24" spans="1:22" ht="15" customHeight="1" x14ac:dyDescent="0.2">
      <c r="A24" s="268"/>
      <c r="B24" s="268" t="s">
        <v>190</v>
      </c>
      <c r="C24" s="268" t="s">
        <v>787</v>
      </c>
      <c r="D24" s="269"/>
      <c r="E24" s="307" t="s">
        <v>229</v>
      </c>
      <c r="F24" s="269"/>
      <c r="G24" s="292"/>
      <c r="H24" s="272" t="s">
        <v>781</v>
      </c>
      <c r="I24" s="273" t="s">
        <v>782</v>
      </c>
      <c r="J24" s="302">
        <v>4</v>
      </c>
      <c r="K24" s="273" t="s">
        <v>396</v>
      </c>
      <c r="L24" s="274">
        <v>1402.64</v>
      </c>
      <c r="M24" s="275">
        <f t="shared" si="0"/>
        <v>5610.56</v>
      </c>
      <c r="N24" s="276">
        <v>0</v>
      </c>
      <c r="O24" s="275">
        <f t="shared" si="1"/>
        <v>0</v>
      </c>
      <c r="P24" s="276">
        <v>0.16</v>
      </c>
      <c r="Q24" s="275">
        <f t="shared" si="2"/>
        <v>897.68960000000004</v>
      </c>
      <c r="R24" s="275">
        <f t="shared" si="3"/>
        <v>6508.2496000000001</v>
      </c>
      <c r="S24" s="300">
        <f>INDEX('Glosario Partidas'!$M$8:$M$10,MATCH(K24,'Glosario Partidas'!$L$8:$L$10,0))</f>
        <v>22</v>
      </c>
      <c r="T24" s="275">
        <f t="shared" si="4"/>
        <v>143181.49119999999</v>
      </c>
      <c r="U24" s="275"/>
      <c r="V24" s="249" t="s">
        <v>12</v>
      </c>
    </row>
    <row r="25" spans="1:22" ht="15" customHeight="1" x14ac:dyDescent="0.2">
      <c r="A25" s="268"/>
      <c r="B25" s="268" t="s">
        <v>190</v>
      </c>
      <c r="C25" s="268" t="s">
        <v>788</v>
      </c>
      <c r="D25" s="269"/>
      <c r="E25" s="307" t="s">
        <v>229</v>
      </c>
      <c r="F25" s="269"/>
      <c r="G25" s="292"/>
      <c r="H25" s="272" t="s">
        <v>781</v>
      </c>
      <c r="I25" s="273" t="s">
        <v>782</v>
      </c>
      <c r="J25" s="302">
        <v>1</v>
      </c>
      <c r="K25" s="273" t="s">
        <v>396</v>
      </c>
      <c r="L25" s="274">
        <v>13057.02</v>
      </c>
      <c r="M25" s="275">
        <f t="shared" si="0"/>
        <v>13057.02</v>
      </c>
      <c r="N25" s="276">
        <v>0</v>
      </c>
      <c r="O25" s="275">
        <f t="shared" si="1"/>
        <v>0</v>
      </c>
      <c r="P25" s="276">
        <v>0.16</v>
      </c>
      <c r="Q25" s="275">
        <f t="shared" si="2"/>
        <v>2089.1232</v>
      </c>
      <c r="R25" s="275">
        <f t="shared" si="3"/>
        <v>15146.1432</v>
      </c>
      <c r="S25" s="300">
        <f>INDEX('Glosario Partidas'!$M$8:$M$10,MATCH(K25,'Glosario Partidas'!$L$8:$L$10,0))</f>
        <v>22</v>
      </c>
      <c r="T25" s="275">
        <f t="shared" si="4"/>
        <v>333215.15039999998</v>
      </c>
      <c r="U25" s="275"/>
      <c r="V25" s="249" t="s">
        <v>12</v>
      </c>
    </row>
    <row r="26" spans="1:22" ht="15" customHeight="1" x14ac:dyDescent="0.2">
      <c r="A26" s="268"/>
      <c r="B26" s="268" t="s">
        <v>190</v>
      </c>
      <c r="C26" s="268" t="s">
        <v>789</v>
      </c>
      <c r="D26" s="269"/>
      <c r="E26" s="307" t="s">
        <v>229</v>
      </c>
      <c r="F26" s="269"/>
      <c r="G26" s="292"/>
      <c r="H26" s="272" t="s">
        <v>781</v>
      </c>
      <c r="I26" s="273" t="s">
        <v>314</v>
      </c>
      <c r="J26" s="302">
        <v>1</v>
      </c>
      <c r="K26" s="273" t="s">
        <v>396</v>
      </c>
      <c r="L26" s="274">
        <v>30815.49</v>
      </c>
      <c r="M26" s="275">
        <f t="shared" si="0"/>
        <v>30815.49</v>
      </c>
      <c r="N26" s="276">
        <v>0</v>
      </c>
      <c r="O26" s="275">
        <f t="shared" si="1"/>
        <v>0</v>
      </c>
      <c r="P26" s="276">
        <v>0.16</v>
      </c>
      <c r="Q26" s="275">
        <f t="shared" si="2"/>
        <v>4930.4784</v>
      </c>
      <c r="R26" s="275">
        <f t="shared" si="3"/>
        <v>35745.968399999998</v>
      </c>
      <c r="S26" s="300">
        <f>INDEX('Glosario Partidas'!$M$8:$M$10,MATCH(K26,'Glosario Partidas'!$L$8:$L$10,0))</f>
        <v>22</v>
      </c>
      <c r="T26" s="275">
        <f t="shared" si="4"/>
        <v>786411.30479999993</v>
      </c>
      <c r="U26" s="275"/>
      <c r="V26" s="249" t="s">
        <v>12</v>
      </c>
    </row>
    <row r="27" spans="1:22" ht="15" customHeight="1" x14ac:dyDescent="0.2">
      <c r="A27" s="268"/>
      <c r="B27" s="268" t="s">
        <v>190</v>
      </c>
      <c r="C27" s="268" t="s">
        <v>790</v>
      </c>
      <c r="D27" s="269"/>
      <c r="E27" s="307" t="s">
        <v>229</v>
      </c>
      <c r="F27" s="269"/>
      <c r="G27" s="292"/>
      <c r="H27" s="272" t="s">
        <v>781</v>
      </c>
      <c r="I27" s="273" t="s">
        <v>314</v>
      </c>
      <c r="J27" s="302">
        <v>1</v>
      </c>
      <c r="K27" s="273" t="s">
        <v>396</v>
      </c>
      <c r="L27" s="274">
        <v>0</v>
      </c>
      <c r="M27" s="275">
        <f t="shared" si="0"/>
        <v>0</v>
      </c>
      <c r="N27" s="276">
        <v>0</v>
      </c>
      <c r="O27" s="275">
        <f t="shared" si="1"/>
        <v>0</v>
      </c>
      <c r="P27" s="276">
        <v>0.16</v>
      </c>
      <c r="Q27" s="275">
        <f t="shared" si="2"/>
        <v>0</v>
      </c>
      <c r="R27" s="275">
        <f t="shared" si="3"/>
        <v>0</v>
      </c>
      <c r="S27" s="300">
        <f>INDEX('Glosario Partidas'!$M$8:$M$10,MATCH(K27,'Glosario Partidas'!$L$8:$L$10,0))</f>
        <v>22</v>
      </c>
      <c r="T27" s="275">
        <f t="shared" si="4"/>
        <v>0</v>
      </c>
      <c r="U27" s="275" t="s">
        <v>790</v>
      </c>
      <c r="V27" s="249" t="s">
        <v>12</v>
      </c>
    </row>
    <row r="28" spans="1:22" ht="15" customHeight="1" x14ac:dyDescent="0.2">
      <c r="A28" s="268"/>
      <c r="B28" s="268" t="s">
        <v>190</v>
      </c>
      <c r="C28" s="268" t="s">
        <v>791</v>
      </c>
      <c r="D28" s="269"/>
      <c r="E28" s="307" t="s">
        <v>229</v>
      </c>
      <c r="F28" s="269"/>
      <c r="G28" s="292"/>
      <c r="H28" s="272" t="s">
        <v>781</v>
      </c>
      <c r="I28" s="273" t="s">
        <v>314</v>
      </c>
      <c r="J28" s="302">
        <v>1</v>
      </c>
      <c r="K28" s="273" t="s">
        <v>396</v>
      </c>
      <c r="L28" s="274">
        <v>0</v>
      </c>
      <c r="M28" s="275">
        <f t="shared" si="0"/>
        <v>0</v>
      </c>
      <c r="N28" s="276">
        <v>0</v>
      </c>
      <c r="O28" s="275">
        <f t="shared" si="1"/>
        <v>0</v>
      </c>
      <c r="P28" s="276">
        <v>0.16</v>
      </c>
      <c r="Q28" s="275">
        <f t="shared" si="2"/>
        <v>0</v>
      </c>
      <c r="R28" s="275">
        <f t="shared" si="3"/>
        <v>0</v>
      </c>
      <c r="S28" s="300">
        <f>INDEX('Glosario Partidas'!$M$8:$M$10,MATCH(K28,'Glosario Partidas'!$L$8:$L$10,0))</f>
        <v>22</v>
      </c>
      <c r="T28" s="275">
        <f t="shared" si="4"/>
        <v>0</v>
      </c>
      <c r="U28" s="275" t="s">
        <v>791</v>
      </c>
      <c r="V28" s="249" t="s">
        <v>12</v>
      </c>
    </row>
    <row r="29" spans="1:22" ht="15" customHeight="1" x14ac:dyDescent="0.2">
      <c r="A29" s="268"/>
      <c r="B29" s="268" t="s">
        <v>190</v>
      </c>
      <c r="C29" s="268" t="s">
        <v>792</v>
      </c>
      <c r="D29" s="269"/>
      <c r="E29" s="307" t="s">
        <v>229</v>
      </c>
      <c r="F29" s="269"/>
      <c r="G29" s="292"/>
      <c r="H29" s="272" t="s">
        <v>781</v>
      </c>
      <c r="I29" s="273" t="s">
        <v>314</v>
      </c>
      <c r="J29" s="302">
        <v>1</v>
      </c>
      <c r="K29" s="273" t="s">
        <v>396</v>
      </c>
      <c r="L29" s="274">
        <v>0</v>
      </c>
      <c r="M29" s="275">
        <f t="shared" si="0"/>
        <v>0</v>
      </c>
      <c r="N29" s="276">
        <v>0</v>
      </c>
      <c r="O29" s="275">
        <f t="shared" si="1"/>
        <v>0</v>
      </c>
      <c r="P29" s="276">
        <v>0.16</v>
      </c>
      <c r="Q29" s="275">
        <f t="shared" si="2"/>
        <v>0</v>
      </c>
      <c r="R29" s="275">
        <f t="shared" si="3"/>
        <v>0</v>
      </c>
      <c r="S29" s="300">
        <f>INDEX('Glosario Partidas'!$M$8:$M$10,MATCH(K29,'Glosario Partidas'!$L$8:$L$10,0))</f>
        <v>22</v>
      </c>
      <c r="T29" s="275">
        <f t="shared" si="4"/>
        <v>0</v>
      </c>
      <c r="U29" s="275" t="s">
        <v>792</v>
      </c>
      <c r="V29" s="249" t="s">
        <v>12</v>
      </c>
    </row>
    <row r="30" spans="1:22" ht="15" customHeight="1" x14ac:dyDescent="0.2">
      <c r="A30" s="268"/>
      <c r="B30" s="268" t="s">
        <v>190</v>
      </c>
      <c r="C30" s="268" t="s">
        <v>793</v>
      </c>
      <c r="D30" s="269"/>
      <c r="E30" s="307" t="s">
        <v>229</v>
      </c>
      <c r="F30" s="269"/>
      <c r="G30" s="292"/>
      <c r="H30" s="272" t="s">
        <v>781</v>
      </c>
      <c r="I30" s="273" t="s">
        <v>314</v>
      </c>
      <c r="J30" s="302">
        <v>1</v>
      </c>
      <c r="K30" s="273" t="s">
        <v>396</v>
      </c>
      <c r="L30" s="274">
        <v>0</v>
      </c>
      <c r="M30" s="275">
        <f t="shared" si="0"/>
        <v>0</v>
      </c>
      <c r="N30" s="276">
        <v>0</v>
      </c>
      <c r="O30" s="275">
        <f t="shared" si="1"/>
        <v>0</v>
      </c>
      <c r="P30" s="276">
        <v>0.16</v>
      </c>
      <c r="Q30" s="275">
        <f t="shared" si="2"/>
        <v>0</v>
      </c>
      <c r="R30" s="275">
        <f t="shared" si="3"/>
        <v>0</v>
      </c>
      <c r="S30" s="300">
        <f>INDEX('Glosario Partidas'!$M$8:$M$10,MATCH(K30,'Glosario Partidas'!$L$8:$L$10,0))</f>
        <v>22</v>
      </c>
      <c r="T30" s="275">
        <f t="shared" si="4"/>
        <v>0</v>
      </c>
      <c r="U30" s="275" t="s">
        <v>793</v>
      </c>
      <c r="V30" s="249" t="s">
        <v>12</v>
      </c>
    </row>
    <row r="31" spans="1:22" ht="15" customHeight="1" x14ac:dyDescent="0.2">
      <c r="A31" s="268"/>
      <c r="B31" s="268" t="s">
        <v>190</v>
      </c>
      <c r="C31" s="268" t="s">
        <v>794</v>
      </c>
      <c r="D31" s="269"/>
      <c r="E31" s="307" t="s">
        <v>229</v>
      </c>
      <c r="F31" s="269"/>
      <c r="G31" s="292"/>
      <c r="H31" s="272" t="s">
        <v>781</v>
      </c>
      <c r="I31" s="273" t="s">
        <v>314</v>
      </c>
      <c r="J31" s="302">
        <v>1</v>
      </c>
      <c r="K31" s="273" t="s">
        <v>396</v>
      </c>
      <c r="L31" s="274">
        <v>0</v>
      </c>
      <c r="M31" s="275">
        <f t="shared" si="0"/>
        <v>0</v>
      </c>
      <c r="N31" s="276">
        <v>0</v>
      </c>
      <c r="O31" s="275">
        <f t="shared" si="1"/>
        <v>0</v>
      </c>
      <c r="P31" s="276">
        <v>0.16</v>
      </c>
      <c r="Q31" s="275">
        <f t="shared" si="2"/>
        <v>0</v>
      </c>
      <c r="R31" s="275">
        <f t="shared" si="3"/>
        <v>0</v>
      </c>
      <c r="S31" s="300">
        <f>INDEX('Glosario Partidas'!$M$8:$M$10,MATCH(K31,'Glosario Partidas'!$L$8:$L$10,0))</f>
        <v>22</v>
      </c>
      <c r="T31" s="275">
        <f t="shared" si="4"/>
        <v>0</v>
      </c>
      <c r="U31" s="275" t="s">
        <v>794</v>
      </c>
      <c r="V31" s="249" t="s">
        <v>12</v>
      </c>
    </row>
    <row r="32" spans="1:22" ht="15" customHeight="1" x14ac:dyDescent="0.2">
      <c r="A32" s="268"/>
      <c r="B32" s="268" t="s">
        <v>190</v>
      </c>
      <c r="C32" s="268" t="s">
        <v>795</v>
      </c>
      <c r="D32" s="269"/>
      <c r="E32" s="307" t="s">
        <v>229</v>
      </c>
      <c r="F32" s="269"/>
      <c r="G32" s="292"/>
      <c r="H32" s="272" t="s">
        <v>781</v>
      </c>
      <c r="I32" s="273" t="s">
        <v>314</v>
      </c>
      <c r="J32" s="302">
        <v>1</v>
      </c>
      <c r="K32" s="273" t="s">
        <v>396</v>
      </c>
      <c r="L32" s="274">
        <v>0</v>
      </c>
      <c r="M32" s="275">
        <f t="shared" si="0"/>
        <v>0</v>
      </c>
      <c r="N32" s="276">
        <v>0</v>
      </c>
      <c r="O32" s="275">
        <f t="shared" si="1"/>
        <v>0</v>
      </c>
      <c r="P32" s="276">
        <v>0.16</v>
      </c>
      <c r="Q32" s="275">
        <f t="shared" si="2"/>
        <v>0</v>
      </c>
      <c r="R32" s="275">
        <f t="shared" si="3"/>
        <v>0</v>
      </c>
      <c r="S32" s="300">
        <f>INDEX('Glosario Partidas'!$M$8:$M$10,MATCH(K32,'Glosario Partidas'!$L$8:$L$10,0))</f>
        <v>22</v>
      </c>
      <c r="T32" s="275">
        <f t="shared" si="4"/>
        <v>0</v>
      </c>
      <c r="U32" s="275" t="s">
        <v>795</v>
      </c>
      <c r="V32" s="249" t="s">
        <v>12</v>
      </c>
    </row>
    <row r="33" spans="1:22" ht="15" customHeight="1" x14ac:dyDescent="0.2">
      <c r="A33" s="268"/>
      <c r="B33" s="268" t="s">
        <v>190</v>
      </c>
      <c r="C33" s="268" t="s">
        <v>796</v>
      </c>
      <c r="D33" s="269"/>
      <c r="E33" s="307" t="s">
        <v>229</v>
      </c>
      <c r="F33" s="269"/>
      <c r="G33" s="292"/>
      <c r="H33" s="272" t="s">
        <v>781</v>
      </c>
      <c r="I33" s="273" t="s">
        <v>314</v>
      </c>
      <c r="J33" s="302">
        <v>1</v>
      </c>
      <c r="K33" s="273" t="s">
        <v>396</v>
      </c>
      <c r="L33" s="274">
        <v>0</v>
      </c>
      <c r="M33" s="275">
        <f t="shared" si="0"/>
        <v>0</v>
      </c>
      <c r="N33" s="276">
        <v>0</v>
      </c>
      <c r="O33" s="275">
        <f t="shared" si="1"/>
        <v>0</v>
      </c>
      <c r="P33" s="276">
        <v>0.16</v>
      </c>
      <c r="Q33" s="275">
        <f t="shared" si="2"/>
        <v>0</v>
      </c>
      <c r="R33" s="275">
        <f t="shared" si="3"/>
        <v>0</v>
      </c>
      <c r="S33" s="300">
        <f>INDEX('Glosario Partidas'!$M$8:$M$10,MATCH(K33,'Glosario Partidas'!$L$8:$L$10,0))</f>
        <v>22</v>
      </c>
      <c r="T33" s="275">
        <f t="shared" si="4"/>
        <v>0</v>
      </c>
      <c r="U33" s="275" t="s">
        <v>796</v>
      </c>
      <c r="V33" s="249" t="s">
        <v>12</v>
      </c>
    </row>
    <row r="34" spans="1:22" ht="15" customHeight="1" x14ac:dyDescent="0.2">
      <c r="A34" s="268"/>
      <c r="B34" s="268" t="s">
        <v>190</v>
      </c>
      <c r="C34" s="268" t="s">
        <v>797</v>
      </c>
      <c r="D34" s="269"/>
      <c r="E34" s="307" t="s">
        <v>229</v>
      </c>
      <c r="F34" s="269"/>
      <c r="G34" s="292"/>
      <c r="H34" s="272" t="s">
        <v>781</v>
      </c>
      <c r="I34" s="273" t="s">
        <v>314</v>
      </c>
      <c r="J34" s="302">
        <v>1</v>
      </c>
      <c r="K34" s="273" t="s">
        <v>396</v>
      </c>
      <c r="L34" s="274">
        <v>0</v>
      </c>
      <c r="M34" s="275">
        <f t="shared" si="0"/>
        <v>0</v>
      </c>
      <c r="N34" s="276">
        <v>0</v>
      </c>
      <c r="O34" s="275">
        <f t="shared" si="1"/>
        <v>0</v>
      </c>
      <c r="P34" s="276">
        <v>0.16</v>
      </c>
      <c r="Q34" s="275">
        <f t="shared" si="2"/>
        <v>0</v>
      </c>
      <c r="R34" s="275">
        <f t="shared" si="3"/>
        <v>0</v>
      </c>
      <c r="S34" s="300">
        <f>INDEX('Glosario Partidas'!$M$8:$M$10,MATCH(K34,'Glosario Partidas'!$L$8:$L$10,0))</f>
        <v>22</v>
      </c>
      <c r="T34" s="275">
        <f t="shared" si="4"/>
        <v>0</v>
      </c>
      <c r="U34" s="275" t="s">
        <v>797</v>
      </c>
      <c r="V34" s="249" t="s">
        <v>12</v>
      </c>
    </row>
    <row r="35" spans="1:22" ht="15" customHeight="1" x14ac:dyDescent="0.2">
      <c r="A35" s="253"/>
      <c r="B35" s="253" t="s">
        <v>185</v>
      </c>
      <c r="C35" s="253"/>
      <c r="D35" s="294"/>
      <c r="E35" s="354"/>
      <c r="F35" s="294"/>
      <c r="G35" s="295"/>
      <c r="H35" s="297"/>
      <c r="I35" s="132"/>
      <c r="J35" s="355"/>
      <c r="K35" s="132"/>
      <c r="L35" s="356"/>
      <c r="M35" s="286">
        <f>SUM(M3:M34)</f>
        <v>1103149.42</v>
      </c>
      <c r="N35" s="286"/>
      <c r="O35" s="286">
        <f>SUM(O3:O34)</f>
        <v>0</v>
      </c>
      <c r="P35" s="286"/>
      <c r="Q35" s="286">
        <f>SUM(Q3:Q34)</f>
        <v>176503.90720000002</v>
      </c>
      <c r="R35" s="286">
        <f>SUM(R3:R34)</f>
        <v>1279653.3271999999</v>
      </c>
      <c r="S35" s="286"/>
      <c r="T35" s="286">
        <f>SUM(T3:T34)</f>
        <v>28152373.198400002</v>
      </c>
      <c r="U35" s="286"/>
      <c r="V35" s="286"/>
    </row>
  </sheetData>
  <hyperlinks>
    <hyperlink ref="A2" location="'BUY OUT'!A1" display="⬅ Resumen PU" xr:uid="{00000000-0004-0000-2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12"/>
  <sheetViews>
    <sheetView topLeftCell="I1" zoomScale="170" zoomScaleNormal="170" workbookViewId="0">
      <selection activeCell="T7" sqref="T7"/>
    </sheetView>
  </sheetViews>
  <sheetFormatPr baseColWidth="10" defaultColWidth="10.6640625" defaultRowHeight="15" customHeight="1" x14ac:dyDescent="0.2"/>
  <cols>
    <col min="1" max="1" width="13" customWidth="1"/>
    <col min="2" max="2" width="18" customWidth="1"/>
    <col min="3" max="22" width="13" customWidth="1"/>
  </cols>
  <sheetData>
    <row r="1" spans="1:22" ht="15" customHeight="1" x14ac:dyDescent="0.2">
      <c r="A1" s="258">
        <v>46082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190</v>
      </c>
      <c r="C3" s="268" t="s">
        <v>96</v>
      </c>
      <c r="D3" s="269" t="s">
        <v>798</v>
      </c>
      <c r="E3" s="307" t="s">
        <v>220</v>
      </c>
      <c r="F3" s="269"/>
      <c r="G3" s="292"/>
      <c r="H3" s="272" t="s">
        <v>779</v>
      </c>
      <c r="I3" s="273" t="s">
        <v>410</v>
      </c>
      <c r="J3" s="302">
        <v>4</v>
      </c>
      <c r="K3" s="273" t="s">
        <v>269</v>
      </c>
      <c r="L3" s="274">
        <v>27204.15</v>
      </c>
      <c r="M3" s="275">
        <f>J3*L3</f>
        <v>108816.6</v>
      </c>
      <c r="N3" s="276">
        <v>0</v>
      </c>
      <c r="O3" s="275">
        <f>M3*N3</f>
        <v>0</v>
      </c>
      <c r="P3" s="276">
        <v>0.16</v>
      </c>
      <c r="Q3" s="275">
        <f>(M3+O3)*P3</f>
        <v>17410.656000000003</v>
      </c>
      <c r="R3" s="275">
        <f>M3+O3+Q3</f>
        <v>126227.25600000001</v>
      </c>
      <c r="S3" s="300">
        <f>INDEX('Glosario Partidas'!$M$8:$M$10,MATCH(K3,'Glosario Partidas'!$L$8:$L$10,0))</f>
        <v>1</v>
      </c>
      <c r="T3" s="275">
        <f>R3*S3</f>
        <v>126227.25600000001</v>
      </c>
      <c r="U3" s="275"/>
      <c r="V3" s="249" t="s">
        <v>12</v>
      </c>
    </row>
    <row r="4" spans="1:22" ht="15" customHeight="1" x14ac:dyDescent="0.2">
      <c r="A4" s="268"/>
      <c r="B4" s="268" t="s">
        <v>190</v>
      </c>
      <c r="C4" s="268" t="s">
        <v>96</v>
      </c>
      <c r="D4" s="269" t="s">
        <v>799</v>
      </c>
      <c r="E4" s="307" t="s">
        <v>220</v>
      </c>
      <c r="F4" s="269"/>
      <c r="G4" s="292"/>
      <c r="H4" s="272" t="s">
        <v>779</v>
      </c>
      <c r="I4" s="273" t="s">
        <v>410</v>
      </c>
      <c r="J4" s="302">
        <v>4</v>
      </c>
      <c r="K4" s="273" t="s">
        <v>269</v>
      </c>
      <c r="L4" s="274">
        <v>28989.1</v>
      </c>
      <c r="M4" s="275">
        <f>J4*L4</f>
        <v>115956.4</v>
      </c>
      <c r="N4" s="276">
        <v>0</v>
      </c>
      <c r="O4" s="275">
        <f>M4*N4</f>
        <v>0</v>
      </c>
      <c r="P4" s="276">
        <v>0.16</v>
      </c>
      <c r="Q4" s="275">
        <f>(M4+O4)*P4</f>
        <v>18553.024000000001</v>
      </c>
      <c r="R4" s="275">
        <f>M4+O4+Q4</f>
        <v>134509.424</v>
      </c>
      <c r="S4" s="300">
        <f>INDEX('Glosario Partidas'!$M$8:$M$10,MATCH(K4,'Glosario Partidas'!$L$8:$L$10,0))</f>
        <v>1</v>
      </c>
      <c r="T4" s="275">
        <f>R4*S4</f>
        <v>134509.424</v>
      </c>
      <c r="U4" s="275"/>
      <c r="V4" s="249" t="s">
        <v>12</v>
      </c>
    </row>
    <row r="5" spans="1:22" ht="15" customHeight="1" x14ac:dyDescent="0.2">
      <c r="A5" s="268"/>
      <c r="B5" s="268" t="s">
        <v>190</v>
      </c>
      <c r="C5" s="268" t="s">
        <v>96</v>
      </c>
      <c r="D5" s="269" t="s">
        <v>798</v>
      </c>
      <c r="E5" s="307" t="s">
        <v>229</v>
      </c>
      <c r="F5" s="269"/>
      <c r="G5" s="292"/>
      <c r="H5" s="272" t="s">
        <v>779</v>
      </c>
      <c r="I5" s="273" t="s">
        <v>410</v>
      </c>
      <c r="J5" s="302">
        <v>4</v>
      </c>
      <c r="K5" s="273" t="s">
        <v>269</v>
      </c>
      <c r="L5" s="274">
        <v>27204.15</v>
      </c>
      <c r="M5" s="275">
        <f>J5*L5</f>
        <v>108816.6</v>
      </c>
      <c r="N5" s="276">
        <v>0</v>
      </c>
      <c r="O5" s="275">
        <f>M5*N5</f>
        <v>0</v>
      </c>
      <c r="P5" s="276">
        <v>0.16</v>
      </c>
      <c r="Q5" s="275">
        <f>(M5+O5)*P5</f>
        <v>17410.656000000003</v>
      </c>
      <c r="R5" s="275">
        <f>M5+O5+Q5</f>
        <v>126227.25600000001</v>
      </c>
      <c r="S5" s="300">
        <f>INDEX('Glosario Partidas'!$M$8:$M$10,MATCH(K5,'Glosario Partidas'!$L$8:$L$10,0))</f>
        <v>1</v>
      </c>
      <c r="T5" s="275">
        <f>R5*S5</f>
        <v>126227.25600000001</v>
      </c>
      <c r="U5" s="275"/>
      <c r="V5" s="249" t="s">
        <v>12</v>
      </c>
    </row>
    <row r="6" spans="1:22" ht="15" customHeight="1" x14ac:dyDescent="0.2">
      <c r="A6" s="268"/>
      <c r="B6" s="268" t="s">
        <v>190</v>
      </c>
      <c r="C6" s="268" t="s">
        <v>96</v>
      </c>
      <c r="D6" s="269" t="s">
        <v>799</v>
      </c>
      <c r="E6" s="307" t="s">
        <v>229</v>
      </c>
      <c r="F6" s="269"/>
      <c r="G6" s="292"/>
      <c r="H6" s="272" t="s">
        <v>779</v>
      </c>
      <c r="I6" s="273" t="s">
        <v>410</v>
      </c>
      <c r="J6" s="302">
        <v>4</v>
      </c>
      <c r="K6" s="273" t="s">
        <v>269</v>
      </c>
      <c r="L6" s="274">
        <v>28989.1</v>
      </c>
      <c r="M6" s="275">
        <f>J6*L6</f>
        <v>115956.4</v>
      </c>
      <c r="N6" s="276">
        <v>0</v>
      </c>
      <c r="O6" s="275">
        <f>M6*N6</f>
        <v>0</v>
      </c>
      <c r="P6" s="276">
        <v>0.16</v>
      </c>
      <c r="Q6" s="275">
        <f>(M6+O6)*P6</f>
        <v>18553.024000000001</v>
      </c>
      <c r="R6" s="275">
        <f>M6+O6+Q6</f>
        <v>134509.424</v>
      </c>
      <c r="S6" s="300">
        <f>INDEX('Glosario Partidas'!$M$8:$M$10,MATCH(K6,'Glosario Partidas'!$L$8:$L$10,0))</f>
        <v>1</v>
      </c>
      <c r="T6" s="275">
        <f>R6*S6</f>
        <v>134509.424</v>
      </c>
      <c r="U6" s="275"/>
      <c r="V6" s="249" t="s">
        <v>12</v>
      </c>
    </row>
    <row r="7" spans="1:22" ht="15" customHeight="1" x14ac:dyDescent="0.2">
      <c r="A7" s="253"/>
      <c r="B7" s="253" t="s">
        <v>185</v>
      </c>
      <c r="C7" s="253"/>
      <c r="D7" s="294"/>
      <c r="E7" s="354"/>
      <c r="F7" s="294"/>
      <c r="G7" s="295"/>
      <c r="H7" s="297"/>
      <c r="I7" s="132"/>
      <c r="J7" s="355"/>
      <c r="K7" s="132"/>
      <c r="L7" s="356"/>
      <c r="M7" s="286">
        <f>SUM(M3:M6)</f>
        <v>449546</v>
      </c>
      <c r="N7" s="286"/>
      <c r="O7" s="286">
        <f>SUM(O3:O6)</f>
        <v>0</v>
      </c>
      <c r="P7" s="286"/>
      <c r="Q7" s="286">
        <f>SUM(Q3:Q6)</f>
        <v>71927.360000000015</v>
      </c>
      <c r="R7" s="286">
        <f>SUM(R3:R6)</f>
        <v>521473.36</v>
      </c>
      <c r="S7" s="286"/>
      <c r="T7" s="286">
        <f>SUM(T3:T6)</f>
        <v>521473.36</v>
      </c>
      <c r="U7" s="286"/>
      <c r="V7" s="286"/>
    </row>
    <row r="9" spans="1:22" ht="15" customHeight="1" x14ac:dyDescent="0.2">
      <c r="D9" s="269"/>
    </row>
    <row r="10" spans="1:22" ht="15" customHeight="1" x14ac:dyDescent="0.2">
      <c r="D10" s="269"/>
    </row>
    <row r="11" spans="1:22" ht="15" customHeight="1" x14ac:dyDescent="0.2">
      <c r="D11" s="269"/>
    </row>
    <row r="12" spans="1:22" ht="15" customHeight="1" x14ac:dyDescent="0.2">
      <c r="D12" s="269"/>
    </row>
  </sheetData>
  <hyperlinks>
    <hyperlink ref="A2" location="'BUY OUT'!A1" display="⬅ Resumen PU" xr:uid="{00000000-0004-0000-3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13"/>
  <sheetViews>
    <sheetView topLeftCell="H1" zoomScale="160" zoomScaleNormal="160" workbookViewId="0">
      <selection activeCell="T6" sqref="T6"/>
    </sheetView>
  </sheetViews>
  <sheetFormatPr baseColWidth="10" defaultColWidth="10.6640625" defaultRowHeight="15" customHeight="1" x14ac:dyDescent="0.2"/>
  <cols>
    <col min="1" max="1" width="13" customWidth="1"/>
    <col min="2" max="2" width="18" customWidth="1"/>
    <col min="3" max="3" width="13" customWidth="1"/>
    <col min="4" max="4" width="128.1640625" customWidth="1"/>
    <col min="5" max="22" width="13" customWidth="1"/>
  </cols>
  <sheetData>
    <row r="1" spans="1:22" ht="15" customHeight="1" x14ac:dyDescent="0.2">
      <c r="A1" s="258">
        <v>46082</v>
      </c>
      <c r="B1" s="259" t="s">
        <v>495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800</v>
      </c>
      <c r="C3" s="268" t="s">
        <v>801</v>
      </c>
      <c r="D3" s="269" t="s">
        <v>802</v>
      </c>
      <c r="E3" s="307" t="s">
        <v>220</v>
      </c>
      <c r="F3" s="269"/>
      <c r="G3" s="292"/>
      <c r="H3" s="272" t="s">
        <v>779</v>
      </c>
      <c r="I3" s="273" t="s">
        <v>782</v>
      </c>
      <c r="J3" s="302">
        <v>4</v>
      </c>
      <c r="K3" s="273" t="s">
        <v>269</v>
      </c>
      <c r="L3" s="274">
        <v>63107.839999999997</v>
      </c>
      <c r="M3" s="275">
        <f t="shared" ref="M3:M10" si="0">J3*L3</f>
        <v>252431.35999999999</v>
      </c>
      <c r="N3" s="276">
        <v>0</v>
      </c>
      <c r="O3" s="275">
        <f t="shared" ref="O3:O10" si="1">M3*N3</f>
        <v>0</v>
      </c>
      <c r="P3" s="276">
        <v>0.16</v>
      </c>
      <c r="Q3" s="275">
        <f t="shared" ref="Q3:Q10" si="2">(M3+O3)*P3</f>
        <v>40389.017599999999</v>
      </c>
      <c r="R3" s="275">
        <f t="shared" ref="R3:R10" si="3">M3+O3+Q3</f>
        <v>292820.37760000001</v>
      </c>
      <c r="S3" s="300">
        <f>INDEX('Glosario Partidas'!$M$8:$M$10,MATCH(K3,'Glosario Partidas'!$L$8:$L$10,0))</f>
        <v>1</v>
      </c>
      <c r="T3" s="275">
        <f t="shared" ref="T3:T10" si="4">R3*S3</f>
        <v>292820.37760000001</v>
      </c>
      <c r="U3" s="275"/>
      <c r="V3" s="249" t="s">
        <v>12</v>
      </c>
    </row>
    <row r="4" spans="1:22" ht="15" customHeight="1" x14ac:dyDescent="0.2">
      <c r="A4" s="268"/>
      <c r="B4" s="268" t="s">
        <v>800</v>
      </c>
      <c r="C4" s="268" t="s">
        <v>801</v>
      </c>
      <c r="D4" s="269" t="s">
        <v>803</v>
      </c>
      <c r="E4" s="307" t="s">
        <v>220</v>
      </c>
      <c r="F4" s="269"/>
      <c r="G4" s="292"/>
      <c r="H4" s="272" t="s">
        <v>779</v>
      </c>
      <c r="I4" s="273" t="s">
        <v>782</v>
      </c>
      <c r="J4" s="302">
        <v>4</v>
      </c>
      <c r="K4" s="273" t="s">
        <v>269</v>
      </c>
      <c r="L4" s="274">
        <v>66898.41</v>
      </c>
      <c r="M4" s="275">
        <f t="shared" si="0"/>
        <v>267593.64</v>
      </c>
      <c r="N4" s="276">
        <v>0</v>
      </c>
      <c r="O4" s="275">
        <f t="shared" si="1"/>
        <v>0</v>
      </c>
      <c r="P4" s="276">
        <v>0.16</v>
      </c>
      <c r="Q4" s="275">
        <f t="shared" si="2"/>
        <v>42814.982400000001</v>
      </c>
      <c r="R4" s="275">
        <f t="shared" si="3"/>
        <v>310408.62239999999</v>
      </c>
      <c r="S4" s="300">
        <f>INDEX('Glosario Partidas'!$M$8:$M$10,MATCH(K4,'Glosario Partidas'!$L$8:$L$10,0))</f>
        <v>1</v>
      </c>
      <c r="T4" s="275">
        <f t="shared" si="4"/>
        <v>310408.62239999999</v>
      </c>
      <c r="U4" s="275"/>
      <c r="V4" s="249" t="s">
        <v>12</v>
      </c>
    </row>
    <row r="5" spans="1:22" ht="15" customHeight="1" x14ac:dyDescent="0.2">
      <c r="A5" s="268"/>
      <c r="B5" s="268" t="s">
        <v>800</v>
      </c>
      <c r="C5" s="268" t="s">
        <v>801</v>
      </c>
      <c r="D5" s="269" t="s">
        <v>804</v>
      </c>
      <c r="E5" s="307" t="s">
        <v>220</v>
      </c>
      <c r="F5" s="269"/>
      <c r="G5" s="292"/>
      <c r="H5" s="272" t="s">
        <v>779</v>
      </c>
      <c r="I5" s="273" t="s">
        <v>782</v>
      </c>
      <c r="J5" s="302">
        <v>8</v>
      </c>
      <c r="K5" s="273" t="s">
        <v>269</v>
      </c>
      <c r="L5" s="274">
        <v>66386.17</v>
      </c>
      <c r="M5" s="275">
        <f t="shared" si="0"/>
        <v>531089.36</v>
      </c>
      <c r="N5" s="276">
        <v>0</v>
      </c>
      <c r="O5" s="275">
        <f t="shared" si="1"/>
        <v>0</v>
      </c>
      <c r="P5" s="276">
        <v>0.16</v>
      </c>
      <c r="Q5" s="275">
        <f t="shared" si="2"/>
        <v>84974.297600000005</v>
      </c>
      <c r="R5" s="275">
        <f t="shared" si="3"/>
        <v>616063.65760000004</v>
      </c>
      <c r="S5" s="300">
        <f>INDEX('Glosario Partidas'!$M$8:$M$10,MATCH(K5,'Glosario Partidas'!$L$8:$L$10,0))</f>
        <v>1</v>
      </c>
      <c r="T5" s="275">
        <f t="shared" si="4"/>
        <v>616063.65760000004</v>
      </c>
      <c r="U5" s="275"/>
      <c r="V5" s="249" t="s">
        <v>12</v>
      </c>
    </row>
    <row r="6" spans="1:22" ht="15" customHeight="1" x14ac:dyDescent="0.2">
      <c r="A6" s="268"/>
      <c r="B6" s="268" t="s">
        <v>800</v>
      </c>
      <c r="C6" s="268" t="s">
        <v>801</v>
      </c>
      <c r="D6" s="269" t="s">
        <v>805</v>
      </c>
      <c r="E6" s="307" t="s">
        <v>220</v>
      </c>
      <c r="F6" s="269"/>
      <c r="G6" s="292"/>
      <c r="H6" s="272" t="s">
        <v>779</v>
      </c>
      <c r="I6" s="273" t="s">
        <v>782</v>
      </c>
      <c r="J6" s="302">
        <v>1</v>
      </c>
      <c r="K6" s="273" t="s">
        <v>269</v>
      </c>
      <c r="L6" s="274">
        <v>68179.009999999995</v>
      </c>
      <c r="M6" s="275">
        <f t="shared" si="0"/>
        <v>68179.009999999995</v>
      </c>
      <c r="N6" s="276">
        <v>0</v>
      </c>
      <c r="O6" s="275">
        <f t="shared" si="1"/>
        <v>0</v>
      </c>
      <c r="P6" s="276">
        <v>0.16</v>
      </c>
      <c r="Q6" s="275">
        <f t="shared" si="2"/>
        <v>10908.641599999999</v>
      </c>
      <c r="R6" s="275">
        <f t="shared" si="3"/>
        <v>79087.651599999997</v>
      </c>
      <c r="S6" s="300">
        <f>INDEX('Glosario Partidas'!$M$8:$M$10,MATCH(K6,'Glosario Partidas'!$L$8:$L$10,0))</f>
        <v>1</v>
      </c>
      <c r="T6" s="275">
        <f t="shared" si="4"/>
        <v>79087.651599999997</v>
      </c>
      <c r="U6" s="275"/>
      <c r="V6" s="249" t="s">
        <v>12</v>
      </c>
    </row>
    <row r="7" spans="1:22" ht="15" customHeight="1" x14ac:dyDescent="0.2">
      <c r="A7" s="268"/>
      <c r="B7" s="268" t="s">
        <v>800</v>
      </c>
      <c r="C7" s="268" t="s">
        <v>801</v>
      </c>
      <c r="D7" s="269" t="s">
        <v>802</v>
      </c>
      <c r="E7" s="307" t="s">
        <v>229</v>
      </c>
      <c r="F7" s="269"/>
      <c r="G7" s="292"/>
      <c r="H7" s="272" t="s">
        <v>779</v>
      </c>
      <c r="I7" s="273" t="s">
        <v>782</v>
      </c>
      <c r="J7" s="302">
        <v>4</v>
      </c>
      <c r="K7" s="273" t="s">
        <v>269</v>
      </c>
      <c r="L7" s="274">
        <v>63107.839999999997</v>
      </c>
      <c r="M7" s="275">
        <f t="shared" si="0"/>
        <v>252431.35999999999</v>
      </c>
      <c r="N7" s="276">
        <v>0</v>
      </c>
      <c r="O7" s="275">
        <f t="shared" si="1"/>
        <v>0</v>
      </c>
      <c r="P7" s="276">
        <v>0.16</v>
      </c>
      <c r="Q7" s="275">
        <f t="shared" si="2"/>
        <v>40389.017599999999</v>
      </c>
      <c r="R7" s="275">
        <f t="shared" si="3"/>
        <v>292820.37760000001</v>
      </c>
      <c r="S7" s="300">
        <f>INDEX('Glosario Partidas'!$M$8:$M$10,MATCH(K7,'Glosario Partidas'!$L$8:$L$10,0))</f>
        <v>1</v>
      </c>
      <c r="T7" s="275">
        <f t="shared" si="4"/>
        <v>292820.37760000001</v>
      </c>
      <c r="U7" s="275"/>
      <c r="V7" s="249" t="s">
        <v>12</v>
      </c>
    </row>
    <row r="8" spans="1:22" ht="15" customHeight="1" x14ac:dyDescent="0.2">
      <c r="A8" s="268"/>
      <c r="B8" s="268" t="s">
        <v>800</v>
      </c>
      <c r="C8" s="268" t="s">
        <v>801</v>
      </c>
      <c r="D8" s="269" t="s">
        <v>803</v>
      </c>
      <c r="E8" s="307" t="s">
        <v>229</v>
      </c>
      <c r="F8" s="269"/>
      <c r="G8" s="292"/>
      <c r="H8" s="272" t="s">
        <v>779</v>
      </c>
      <c r="I8" s="273" t="s">
        <v>782</v>
      </c>
      <c r="J8" s="302">
        <v>4</v>
      </c>
      <c r="K8" s="273" t="s">
        <v>269</v>
      </c>
      <c r="L8" s="274">
        <v>66898.41</v>
      </c>
      <c r="M8" s="275">
        <f t="shared" si="0"/>
        <v>267593.64</v>
      </c>
      <c r="N8" s="276">
        <v>0</v>
      </c>
      <c r="O8" s="275">
        <f t="shared" si="1"/>
        <v>0</v>
      </c>
      <c r="P8" s="276">
        <v>0.16</v>
      </c>
      <c r="Q8" s="275">
        <f t="shared" si="2"/>
        <v>42814.982400000001</v>
      </c>
      <c r="R8" s="275">
        <f t="shared" si="3"/>
        <v>310408.62239999999</v>
      </c>
      <c r="S8" s="300">
        <f>INDEX('Glosario Partidas'!$M$8:$M$10,MATCH(K8,'Glosario Partidas'!$L$8:$L$10,0))</f>
        <v>1</v>
      </c>
      <c r="T8" s="275">
        <f t="shared" si="4"/>
        <v>310408.62239999999</v>
      </c>
      <c r="U8" s="275"/>
      <c r="V8" s="249" t="s">
        <v>12</v>
      </c>
    </row>
    <row r="9" spans="1:22" ht="15" customHeight="1" x14ac:dyDescent="0.2">
      <c r="A9" s="268"/>
      <c r="B9" s="268" t="s">
        <v>800</v>
      </c>
      <c r="C9" s="268" t="s">
        <v>801</v>
      </c>
      <c r="D9" s="269" t="s">
        <v>804</v>
      </c>
      <c r="E9" s="307" t="s">
        <v>229</v>
      </c>
      <c r="F9" s="269"/>
      <c r="G9" s="292"/>
      <c r="H9" s="272" t="s">
        <v>779</v>
      </c>
      <c r="I9" s="273" t="s">
        <v>782</v>
      </c>
      <c r="J9" s="302">
        <v>8</v>
      </c>
      <c r="K9" s="273" t="s">
        <v>269</v>
      </c>
      <c r="L9" s="274">
        <v>66386.17</v>
      </c>
      <c r="M9" s="275">
        <f t="shared" si="0"/>
        <v>531089.36</v>
      </c>
      <c r="N9" s="276">
        <v>0</v>
      </c>
      <c r="O9" s="275">
        <f t="shared" si="1"/>
        <v>0</v>
      </c>
      <c r="P9" s="276">
        <v>0.16</v>
      </c>
      <c r="Q9" s="275">
        <f t="shared" si="2"/>
        <v>84974.297600000005</v>
      </c>
      <c r="R9" s="275">
        <f t="shared" si="3"/>
        <v>616063.65760000004</v>
      </c>
      <c r="S9" s="300">
        <f>INDEX('Glosario Partidas'!$M$8:$M$10,MATCH(K9,'Glosario Partidas'!$L$8:$L$10,0))</f>
        <v>1</v>
      </c>
      <c r="T9" s="275">
        <f t="shared" si="4"/>
        <v>616063.65760000004</v>
      </c>
      <c r="U9" s="275"/>
      <c r="V9" s="249" t="s">
        <v>12</v>
      </c>
    </row>
    <row r="10" spans="1:22" ht="15" customHeight="1" x14ac:dyDescent="0.2">
      <c r="A10" s="268"/>
      <c r="B10" s="268" t="s">
        <v>800</v>
      </c>
      <c r="C10" s="268" t="s">
        <v>801</v>
      </c>
      <c r="D10" s="269" t="s">
        <v>805</v>
      </c>
      <c r="E10" s="307" t="s">
        <v>229</v>
      </c>
      <c r="F10" s="269"/>
      <c r="G10" s="292"/>
      <c r="H10" s="272" t="s">
        <v>779</v>
      </c>
      <c r="I10" s="273" t="s">
        <v>782</v>
      </c>
      <c r="J10" s="302">
        <v>1</v>
      </c>
      <c r="K10" s="273" t="s">
        <v>269</v>
      </c>
      <c r="L10" s="274">
        <v>68179.009999999995</v>
      </c>
      <c r="M10" s="275">
        <f t="shared" si="0"/>
        <v>68179.009999999995</v>
      </c>
      <c r="N10" s="276">
        <v>0</v>
      </c>
      <c r="O10" s="275">
        <f t="shared" si="1"/>
        <v>0</v>
      </c>
      <c r="P10" s="276">
        <v>0.16</v>
      </c>
      <c r="Q10" s="275">
        <f t="shared" si="2"/>
        <v>10908.641599999999</v>
      </c>
      <c r="R10" s="275">
        <f t="shared" si="3"/>
        <v>79087.651599999997</v>
      </c>
      <c r="S10" s="300">
        <f>INDEX('Glosario Partidas'!$M$8:$M$10,MATCH(K10,'Glosario Partidas'!$L$8:$L$10,0))</f>
        <v>1</v>
      </c>
      <c r="T10" s="275">
        <f t="shared" si="4"/>
        <v>79087.651599999997</v>
      </c>
      <c r="U10" s="275"/>
      <c r="V10" s="249" t="s">
        <v>12</v>
      </c>
    </row>
    <row r="11" spans="1:22" ht="15" customHeight="1" x14ac:dyDescent="0.2">
      <c r="A11" s="268"/>
      <c r="B11" s="357" t="s">
        <v>806</v>
      </c>
      <c r="C11" s="268"/>
      <c r="D11" s="269"/>
      <c r="E11" s="307"/>
      <c r="F11" s="269"/>
      <c r="G11" s="292"/>
      <c r="H11" s="272"/>
      <c r="I11" s="273"/>
      <c r="J11" s="302"/>
      <c r="K11" s="273"/>
      <c r="L11" s="274"/>
      <c r="M11" s="275"/>
      <c r="N11" s="276"/>
      <c r="O11" s="275"/>
      <c r="P11" s="276"/>
      <c r="Q11" s="275"/>
      <c r="R11" s="275"/>
      <c r="S11" s="300"/>
      <c r="T11" s="275"/>
      <c r="U11" s="275"/>
      <c r="V11" s="249"/>
    </row>
    <row r="12" spans="1:22" ht="15" customHeight="1" x14ac:dyDescent="0.2">
      <c r="A12" s="268"/>
      <c r="B12" s="268"/>
      <c r="C12" s="268"/>
      <c r="D12" s="269"/>
      <c r="E12" s="307"/>
      <c r="F12" s="269"/>
      <c r="G12" s="292"/>
      <c r="H12" s="272"/>
      <c r="I12" s="273"/>
      <c r="J12" s="302"/>
      <c r="K12" s="273"/>
      <c r="L12" s="274"/>
      <c r="M12" s="275"/>
      <c r="N12" s="276"/>
      <c r="O12" s="275"/>
      <c r="P12" s="276"/>
      <c r="Q12" s="275"/>
      <c r="R12" s="275"/>
      <c r="S12" s="300"/>
      <c r="T12" s="275"/>
      <c r="U12" s="275"/>
      <c r="V12" s="249"/>
    </row>
    <row r="13" spans="1:22" ht="15" customHeight="1" x14ac:dyDescent="0.2">
      <c r="A13" s="253"/>
      <c r="B13" s="253" t="s">
        <v>185</v>
      </c>
      <c r="C13" s="253"/>
      <c r="D13" s="294"/>
      <c r="E13" s="354"/>
      <c r="F13" s="294"/>
      <c r="G13" s="295"/>
      <c r="H13" s="297"/>
      <c r="I13" s="132"/>
      <c r="J13" s="355"/>
      <c r="K13" s="132"/>
      <c r="L13" s="356"/>
      <c r="M13" s="286">
        <f>SUM(M3:M10)</f>
        <v>2238586.7399999998</v>
      </c>
      <c r="N13" s="286"/>
      <c r="O13" s="286">
        <f>SUM(O3:O10)</f>
        <v>0</v>
      </c>
      <c r="P13" s="286"/>
      <c r="Q13" s="286">
        <f>SUM(Q3:Q10)</f>
        <v>358173.87839999993</v>
      </c>
      <c r="R13" s="286">
        <f>SUM(R3:R10)</f>
        <v>2596760.6184</v>
      </c>
      <c r="S13" s="286"/>
      <c r="T13" s="286">
        <f>SUM(T3:T10)</f>
        <v>2596760.6184</v>
      </c>
      <c r="U13" s="286"/>
      <c r="V13" s="28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AC278"/>
  <sheetViews>
    <sheetView tabSelected="1" zoomScale="160" zoomScaleNormal="160" workbookViewId="0">
      <selection activeCell="X8" sqref="X8"/>
    </sheetView>
  </sheetViews>
  <sheetFormatPr baseColWidth="10" defaultColWidth="8.6640625" defaultRowHeight="15" customHeight="1" x14ac:dyDescent="0.2"/>
  <cols>
    <col min="3" max="3" width="19.1640625" customWidth="1"/>
    <col min="4" max="4" width="20" customWidth="1"/>
    <col min="5" max="5" width="53.33203125" customWidth="1"/>
    <col min="17" max="17" width="11.1640625" customWidth="1"/>
    <col min="22" max="22" width="24.5" customWidth="1"/>
    <col min="24" max="24" width="22" customWidth="1"/>
    <col min="25" max="25" width="12" customWidth="1"/>
  </cols>
  <sheetData>
    <row r="1" spans="1:29" ht="15" customHeight="1" x14ac:dyDescent="0.2">
      <c r="A1" s="261" t="s">
        <v>488</v>
      </c>
      <c r="B1" s="358" t="s">
        <v>295</v>
      </c>
      <c r="C1" s="359" t="s">
        <v>807</v>
      </c>
      <c r="D1" s="262" t="s">
        <v>2</v>
      </c>
      <c r="E1" s="262" t="s">
        <v>296</v>
      </c>
      <c r="F1" s="262" t="s">
        <v>215</v>
      </c>
      <c r="G1" s="262" t="s">
        <v>297</v>
      </c>
      <c r="H1" s="262" t="s">
        <v>168</v>
      </c>
      <c r="I1" s="262" t="s">
        <v>298</v>
      </c>
      <c r="J1" s="262" t="s">
        <v>299</v>
      </c>
      <c r="K1" s="262" t="s">
        <v>300</v>
      </c>
      <c r="L1" s="262" t="s">
        <v>301</v>
      </c>
      <c r="M1" s="262" t="s">
        <v>302</v>
      </c>
      <c r="N1" s="262" t="s">
        <v>303</v>
      </c>
      <c r="O1" s="262" t="s">
        <v>304</v>
      </c>
      <c r="P1" s="262" t="s">
        <v>305</v>
      </c>
      <c r="Q1" s="262" t="s">
        <v>306</v>
      </c>
      <c r="R1" s="262" t="s">
        <v>307</v>
      </c>
      <c r="S1" s="262" t="s">
        <v>308</v>
      </c>
      <c r="T1" s="262" t="s">
        <v>309</v>
      </c>
      <c r="U1" s="262" t="s">
        <v>310</v>
      </c>
      <c r="V1" s="262" t="s">
        <v>311</v>
      </c>
      <c r="W1" s="262" t="s">
        <v>312</v>
      </c>
      <c r="X1" s="262" t="s">
        <v>489</v>
      </c>
      <c r="Y1" s="262" t="s">
        <v>490</v>
      </c>
      <c r="AB1" s="248" t="s">
        <v>14</v>
      </c>
      <c r="AC1" s="248" t="s">
        <v>15</v>
      </c>
    </row>
    <row r="2" spans="1:29" ht="15" customHeight="1" x14ac:dyDescent="0.2">
      <c r="B2" s="211" t="s">
        <v>193</v>
      </c>
      <c r="C2" s="211" t="s">
        <v>193</v>
      </c>
      <c r="D2" s="211" t="s">
        <v>102</v>
      </c>
      <c r="E2" s="360" t="s">
        <v>808</v>
      </c>
      <c r="F2" s="171" t="s">
        <v>220</v>
      </c>
      <c r="G2" s="78" t="s">
        <v>221</v>
      </c>
      <c r="H2" s="171" t="s">
        <v>700</v>
      </c>
      <c r="I2" s="255" t="str">
        <f>DIECI!$B$2</f>
        <v>DIECI</v>
      </c>
      <c r="J2" s="225" t="s">
        <v>314</v>
      </c>
      <c r="K2" s="250">
        <v>1</v>
      </c>
      <c r="L2" s="225" t="s">
        <v>396</v>
      </c>
      <c r="M2" s="142">
        <f>DIECI!$I$17</f>
        <v>45653.112034332727</v>
      </c>
      <c r="N2" s="227">
        <f t="shared" ref="N2:N65" si="0">K2*M2</f>
        <v>45653.112034332727</v>
      </c>
      <c r="O2" s="251">
        <v>0</v>
      </c>
      <c r="P2" s="227">
        <f t="shared" ref="P2:P65" si="1">N2*O2</f>
        <v>0</v>
      </c>
      <c r="Q2" s="361">
        <v>0.16</v>
      </c>
      <c r="R2" s="227">
        <f t="shared" ref="R2:R65" si="2">(N2+P2)*Q2</f>
        <v>7304.4979254932368</v>
      </c>
      <c r="S2" s="227">
        <f t="shared" ref="S2:S65" si="3">N2+P2+R2</f>
        <v>52957.609959825961</v>
      </c>
      <c r="T2" s="229">
        <f>INDEX('Glosario Partidas'!$M$8:$M$10,MATCH(L2,'Glosario Partidas'!$L$8:$L$10,0))</f>
        <v>22</v>
      </c>
      <c r="U2" s="227">
        <f t="shared" ref="U2:U65" si="4">S2*T2</f>
        <v>1165067.4191161711</v>
      </c>
      <c r="V2" s="230" t="s">
        <v>315</v>
      </c>
      <c r="W2" s="249" t="s">
        <v>12</v>
      </c>
      <c r="X2" s="249" t="s">
        <v>491</v>
      </c>
      <c r="Y2" s="249"/>
    </row>
    <row r="3" spans="1:29" ht="15" customHeight="1" x14ac:dyDescent="0.2">
      <c r="A3" s="211"/>
      <c r="B3" s="211" t="s">
        <v>193</v>
      </c>
      <c r="C3" s="211" t="s">
        <v>193</v>
      </c>
      <c r="D3" s="211" t="s">
        <v>104</v>
      </c>
      <c r="E3" s="362" t="s">
        <v>809</v>
      </c>
      <c r="F3" s="307" t="s">
        <v>220</v>
      </c>
      <c r="G3" s="78" t="s">
        <v>221</v>
      </c>
      <c r="H3" s="307" t="s">
        <v>700</v>
      </c>
      <c r="I3" s="255" t="str">
        <f>DIECI!$B$2</f>
        <v>DIECI</v>
      </c>
      <c r="J3" s="225" t="s">
        <v>314</v>
      </c>
      <c r="K3" s="250">
        <v>1</v>
      </c>
      <c r="L3" s="225" t="s">
        <v>396</v>
      </c>
      <c r="M3" s="142">
        <f>DIECI!$I$18</f>
        <v>24456.837965667277</v>
      </c>
      <c r="N3" s="227">
        <f t="shared" si="0"/>
        <v>24456.837965667277</v>
      </c>
      <c r="O3" s="251">
        <v>0</v>
      </c>
      <c r="P3" s="227">
        <f t="shared" si="1"/>
        <v>0</v>
      </c>
      <c r="Q3" s="361">
        <v>0.16</v>
      </c>
      <c r="R3" s="227">
        <f t="shared" si="2"/>
        <v>3913.0940745067642</v>
      </c>
      <c r="S3" s="227">
        <f t="shared" si="3"/>
        <v>28369.932040174041</v>
      </c>
      <c r="T3" s="229">
        <f>INDEX('Glosario Partidas'!$M$8:$M$10,MATCH(L3,'Glosario Partidas'!$L$8:$L$10,0))</f>
        <v>22</v>
      </c>
      <c r="U3" s="227">
        <f t="shared" si="4"/>
        <v>624138.50488382892</v>
      </c>
      <c r="V3" s="230" t="s">
        <v>315</v>
      </c>
      <c r="W3" s="249" t="s">
        <v>12</v>
      </c>
      <c r="X3" s="249" t="s">
        <v>491</v>
      </c>
      <c r="Y3" s="249"/>
    </row>
    <row r="4" spans="1:29" ht="15" customHeight="1" x14ac:dyDescent="0.2">
      <c r="A4" s="211"/>
      <c r="B4" s="211" t="s">
        <v>193</v>
      </c>
      <c r="C4" s="211" t="s">
        <v>193</v>
      </c>
      <c r="D4" s="211" t="s">
        <v>102</v>
      </c>
      <c r="E4" s="360" t="s">
        <v>808</v>
      </c>
      <c r="F4" s="307" t="s">
        <v>220</v>
      </c>
      <c r="G4" s="78" t="s">
        <v>354</v>
      </c>
      <c r="H4" s="307" t="s">
        <v>706</v>
      </c>
      <c r="I4" s="255" t="str">
        <f>DIECI!$B$2</f>
        <v>DIECI</v>
      </c>
      <c r="J4" s="225" t="s">
        <v>314</v>
      </c>
      <c r="K4" s="250">
        <v>1</v>
      </c>
      <c r="L4" s="225" t="s">
        <v>396</v>
      </c>
      <c r="M4" s="142">
        <f>DIECI!$I$19</f>
        <v>45653.506370120187</v>
      </c>
      <c r="N4" s="227">
        <f t="shared" si="0"/>
        <v>45653.506370120187</v>
      </c>
      <c r="O4" s="251">
        <v>0</v>
      </c>
      <c r="P4" s="227">
        <f t="shared" si="1"/>
        <v>0</v>
      </c>
      <c r="Q4" s="361">
        <v>0.16</v>
      </c>
      <c r="R4" s="227">
        <f t="shared" si="2"/>
        <v>7304.5610192192298</v>
      </c>
      <c r="S4" s="227">
        <f t="shared" si="3"/>
        <v>52958.06738933942</v>
      </c>
      <c r="T4" s="229">
        <f>INDEX('Glosario Partidas'!$M$8:$M$10,MATCH(L4,'Glosario Partidas'!$L$8:$L$10,0))</f>
        <v>22</v>
      </c>
      <c r="U4" s="227">
        <f t="shared" si="4"/>
        <v>1165077.4825654672</v>
      </c>
      <c r="V4" s="230" t="s">
        <v>315</v>
      </c>
      <c r="W4" s="249" t="s">
        <v>12</v>
      </c>
      <c r="X4" s="249" t="s">
        <v>491</v>
      </c>
      <c r="Y4" s="249"/>
    </row>
    <row r="5" spans="1:29" ht="15" customHeight="1" x14ac:dyDescent="0.2">
      <c r="A5" s="211"/>
      <c r="B5" s="211" t="s">
        <v>193</v>
      </c>
      <c r="C5" s="211" t="s">
        <v>193</v>
      </c>
      <c r="D5" s="211" t="s">
        <v>104</v>
      </c>
      <c r="E5" s="363" t="s">
        <v>810</v>
      </c>
      <c r="F5" s="307" t="s">
        <v>220</v>
      </c>
      <c r="G5" s="78" t="s">
        <v>355</v>
      </c>
      <c r="H5" s="307" t="s">
        <v>757</v>
      </c>
      <c r="I5" s="255" t="str">
        <f>DIECI!$B$2</f>
        <v>DIECI</v>
      </c>
      <c r="J5" s="225" t="s">
        <v>314</v>
      </c>
      <c r="K5" s="250">
        <v>1</v>
      </c>
      <c r="L5" s="225" t="s">
        <v>396</v>
      </c>
      <c r="M5" s="142">
        <f>DIECI!$I$20</f>
        <v>43993.12362987981</v>
      </c>
      <c r="N5" s="227">
        <f t="shared" si="0"/>
        <v>43993.12362987981</v>
      </c>
      <c r="O5" s="251">
        <v>0</v>
      </c>
      <c r="P5" s="227">
        <f t="shared" si="1"/>
        <v>0</v>
      </c>
      <c r="Q5" s="361">
        <v>0.16</v>
      </c>
      <c r="R5" s="227">
        <f t="shared" si="2"/>
        <v>7038.89978078077</v>
      </c>
      <c r="S5" s="227">
        <f t="shared" si="3"/>
        <v>51032.023410660579</v>
      </c>
      <c r="T5" s="229">
        <f>INDEX('Glosario Partidas'!$M$8:$M$10,MATCH(L5,'Glosario Partidas'!$L$8:$L$10,0))</f>
        <v>22</v>
      </c>
      <c r="U5" s="227">
        <f t="shared" si="4"/>
        <v>1122704.5150345326</v>
      </c>
      <c r="V5" s="230" t="s">
        <v>315</v>
      </c>
      <c r="W5" s="249" t="s">
        <v>12</v>
      </c>
      <c r="X5" s="249" t="s">
        <v>491</v>
      </c>
      <c r="Y5" s="249"/>
    </row>
    <row r="6" spans="1:29" ht="15" customHeight="1" x14ac:dyDescent="0.2">
      <c r="B6" s="211" t="s">
        <v>193</v>
      </c>
      <c r="C6" s="211" t="s">
        <v>193</v>
      </c>
      <c r="D6" s="211" t="s">
        <v>102</v>
      </c>
      <c r="E6" s="360" t="s">
        <v>808</v>
      </c>
      <c r="F6" s="171" t="s">
        <v>220</v>
      </c>
      <c r="G6" s="78" t="s">
        <v>221</v>
      </c>
      <c r="H6" s="307" t="s">
        <v>703</v>
      </c>
      <c r="I6" s="255" t="str">
        <f>DIECI!$B$2</f>
        <v>DIECI</v>
      </c>
      <c r="J6" s="225" t="s">
        <v>314</v>
      </c>
      <c r="K6" s="250">
        <v>1</v>
      </c>
      <c r="L6" s="225" t="s">
        <v>396</v>
      </c>
      <c r="M6" s="142">
        <f>DIECI!$I$17</f>
        <v>45653.112034332727</v>
      </c>
      <c r="N6" s="227">
        <f t="shared" si="0"/>
        <v>45653.112034332727</v>
      </c>
      <c r="O6" s="251">
        <v>0</v>
      </c>
      <c r="P6" s="227">
        <f t="shared" si="1"/>
        <v>0</v>
      </c>
      <c r="Q6" s="361">
        <v>0.16</v>
      </c>
      <c r="R6" s="227">
        <f t="shared" si="2"/>
        <v>7304.4979254932368</v>
      </c>
      <c r="S6" s="227">
        <f t="shared" si="3"/>
        <v>52957.609959825961</v>
      </c>
      <c r="T6" s="229">
        <f>INDEX('Glosario Partidas'!$M$8:$M$10,MATCH(L6,'Glosario Partidas'!$L$8:$L$10,0))</f>
        <v>22</v>
      </c>
      <c r="U6" s="227">
        <f t="shared" si="4"/>
        <v>1165067.4191161711</v>
      </c>
      <c r="V6" s="230" t="s">
        <v>315</v>
      </c>
      <c r="W6" s="249" t="s">
        <v>12</v>
      </c>
      <c r="X6" s="249" t="s">
        <v>491</v>
      </c>
      <c r="Y6" s="249"/>
    </row>
    <row r="7" spans="1:29" ht="15" customHeight="1" x14ac:dyDescent="0.2">
      <c r="A7" s="211"/>
      <c r="B7" s="211" t="s">
        <v>193</v>
      </c>
      <c r="C7" s="211" t="s">
        <v>193</v>
      </c>
      <c r="D7" s="211" t="s">
        <v>104</v>
      </c>
      <c r="E7" s="362" t="s">
        <v>809</v>
      </c>
      <c r="F7" s="307" t="s">
        <v>220</v>
      </c>
      <c r="G7" s="78" t="s">
        <v>221</v>
      </c>
      <c r="H7" s="307" t="s">
        <v>703</v>
      </c>
      <c r="I7" s="255" t="str">
        <f>DIECI!$B$2</f>
        <v>DIECI</v>
      </c>
      <c r="J7" s="225" t="s">
        <v>314</v>
      </c>
      <c r="K7" s="250">
        <v>1</v>
      </c>
      <c r="L7" s="225" t="s">
        <v>396</v>
      </c>
      <c r="M7" s="142">
        <f>DIECI!$I$18</f>
        <v>24456.837965667277</v>
      </c>
      <c r="N7" s="227">
        <f t="shared" si="0"/>
        <v>24456.837965667277</v>
      </c>
      <c r="O7" s="251">
        <v>0</v>
      </c>
      <c r="P7" s="227">
        <f t="shared" si="1"/>
        <v>0</v>
      </c>
      <c r="Q7" s="361">
        <v>0.16</v>
      </c>
      <c r="R7" s="227">
        <f t="shared" si="2"/>
        <v>3913.0940745067642</v>
      </c>
      <c r="S7" s="227">
        <f t="shared" si="3"/>
        <v>28369.932040174041</v>
      </c>
      <c r="T7" s="229">
        <f>INDEX('Glosario Partidas'!$M$8:$M$10,MATCH(L7,'Glosario Partidas'!$L$8:$L$10,0))</f>
        <v>22</v>
      </c>
      <c r="U7" s="227">
        <f t="shared" si="4"/>
        <v>624138.50488382892</v>
      </c>
      <c r="V7" s="230" t="s">
        <v>315</v>
      </c>
      <c r="W7" s="249" t="s">
        <v>12</v>
      </c>
      <c r="X7" s="249" t="s">
        <v>491</v>
      </c>
      <c r="Y7" s="249"/>
    </row>
    <row r="8" spans="1:29" ht="15" customHeight="1" x14ac:dyDescent="0.2">
      <c r="A8" s="211"/>
      <c r="B8" s="211" t="s">
        <v>193</v>
      </c>
      <c r="C8" s="211" t="s">
        <v>193</v>
      </c>
      <c r="D8" s="211" t="s">
        <v>102</v>
      </c>
      <c r="E8" s="360" t="s">
        <v>808</v>
      </c>
      <c r="F8" s="307" t="s">
        <v>220</v>
      </c>
      <c r="G8" s="78" t="s">
        <v>354</v>
      </c>
      <c r="H8" s="307" t="s">
        <v>707</v>
      </c>
      <c r="I8" s="255" t="str">
        <f>DIECI!$B$2</f>
        <v>DIECI</v>
      </c>
      <c r="J8" s="225" t="s">
        <v>314</v>
      </c>
      <c r="K8" s="250">
        <v>1</v>
      </c>
      <c r="L8" s="225" t="s">
        <v>396</v>
      </c>
      <c r="M8" s="142">
        <f>DIECI!$I$19</f>
        <v>45653.506370120187</v>
      </c>
      <c r="N8" s="227">
        <f t="shared" si="0"/>
        <v>45653.506370120187</v>
      </c>
      <c r="O8" s="251">
        <v>0</v>
      </c>
      <c r="P8" s="227">
        <f t="shared" si="1"/>
        <v>0</v>
      </c>
      <c r="Q8" s="361">
        <v>0.16</v>
      </c>
      <c r="R8" s="227">
        <f t="shared" si="2"/>
        <v>7304.5610192192298</v>
      </c>
      <c r="S8" s="227">
        <f t="shared" si="3"/>
        <v>52958.06738933942</v>
      </c>
      <c r="T8" s="229">
        <f>INDEX('Glosario Partidas'!$M$8:$M$10,MATCH(L8,'Glosario Partidas'!$L$8:$L$10,0))</f>
        <v>22</v>
      </c>
      <c r="U8" s="227">
        <f t="shared" si="4"/>
        <v>1165077.4825654672</v>
      </c>
      <c r="V8" s="230" t="s">
        <v>315</v>
      </c>
      <c r="W8" s="249" t="s">
        <v>12</v>
      </c>
      <c r="X8" s="249" t="s">
        <v>491</v>
      </c>
      <c r="Y8" s="249"/>
    </row>
    <row r="9" spans="1:29" ht="15" customHeight="1" x14ac:dyDescent="0.2">
      <c r="A9" s="211"/>
      <c r="B9" s="211" t="s">
        <v>193</v>
      </c>
      <c r="C9" s="211" t="s">
        <v>193</v>
      </c>
      <c r="D9" s="211" t="s">
        <v>104</v>
      </c>
      <c r="E9" s="363" t="s">
        <v>810</v>
      </c>
      <c r="F9" s="307" t="s">
        <v>220</v>
      </c>
      <c r="G9" s="78" t="s">
        <v>355</v>
      </c>
      <c r="H9" s="307" t="s">
        <v>765</v>
      </c>
      <c r="I9" s="255" t="str">
        <f>DIECI!$B$2</f>
        <v>DIECI</v>
      </c>
      <c r="J9" s="225" t="s">
        <v>314</v>
      </c>
      <c r="K9" s="250">
        <v>1</v>
      </c>
      <c r="L9" s="225" t="s">
        <v>396</v>
      </c>
      <c r="M9" s="142">
        <f>DIECI!$I$20</f>
        <v>43993.12362987981</v>
      </c>
      <c r="N9" s="227">
        <f t="shared" si="0"/>
        <v>43993.12362987981</v>
      </c>
      <c r="O9" s="251">
        <v>0</v>
      </c>
      <c r="P9" s="227">
        <f t="shared" si="1"/>
        <v>0</v>
      </c>
      <c r="Q9" s="361">
        <v>0.16</v>
      </c>
      <c r="R9" s="227">
        <f t="shared" si="2"/>
        <v>7038.89978078077</v>
      </c>
      <c r="S9" s="227">
        <f t="shared" si="3"/>
        <v>51032.023410660579</v>
      </c>
      <c r="T9" s="229">
        <f>INDEX('Glosario Partidas'!$M$8:$M$10,MATCH(L9,'Glosario Partidas'!$L$8:$L$10,0))</f>
        <v>22</v>
      </c>
      <c r="U9" s="227">
        <f t="shared" si="4"/>
        <v>1122704.5150345326</v>
      </c>
      <c r="V9" s="230" t="s">
        <v>315</v>
      </c>
      <c r="W9" s="249" t="s">
        <v>12</v>
      </c>
      <c r="X9" s="249" t="s">
        <v>491</v>
      </c>
      <c r="Y9" s="249"/>
    </row>
    <row r="10" spans="1:29" ht="15" customHeight="1" x14ac:dyDescent="0.2">
      <c r="A10" s="211"/>
      <c r="B10" s="211" t="s">
        <v>193</v>
      </c>
      <c r="C10" s="78" t="s">
        <v>407</v>
      </c>
      <c r="D10" s="211" t="s">
        <v>102</v>
      </c>
      <c r="E10" s="144" t="str">
        <f>BOA!B$7</f>
        <v>Estufa de gas de 48" con 6 quemadores profesionales y plancha, LP</v>
      </c>
      <c r="F10" s="307" t="s">
        <v>220</v>
      </c>
      <c r="G10" s="78" t="s">
        <v>221</v>
      </c>
      <c r="H10" s="307" t="s">
        <v>700</v>
      </c>
      <c r="I10" s="364" t="str">
        <f>BOA!$B$2</f>
        <v>BOA</v>
      </c>
      <c r="J10" s="273" t="s">
        <v>410</v>
      </c>
      <c r="K10" s="364">
        <v>1</v>
      </c>
      <c r="L10" s="273" t="s">
        <v>153</v>
      </c>
      <c r="M10" s="144">
        <f>BOA!G$7*(1-BOA!I$7)</f>
        <v>10729.199999999999</v>
      </c>
      <c r="N10" s="275">
        <f t="shared" si="0"/>
        <v>10729.199999999999</v>
      </c>
      <c r="O10" s="365">
        <v>0</v>
      </c>
      <c r="P10" s="275">
        <f t="shared" si="1"/>
        <v>0</v>
      </c>
      <c r="Q10" s="361">
        <v>0.16</v>
      </c>
      <c r="R10" s="275">
        <f t="shared" si="2"/>
        <v>1716.6719999999998</v>
      </c>
      <c r="S10" s="275">
        <f t="shared" si="3"/>
        <v>12445.871999999999</v>
      </c>
      <c r="T10" s="229">
        <f>INDEX('Glosario Partidas'!$M$8:$M$10,MATCH(L10,'Glosario Partidas'!$L$8:$L$10,0))</f>
        <v>17.5</v>
      </c>
      <c r="U10" s="275">
        <f t="shared" si="4"/>
        <v>217802.75999999998</v>
      </c>
      <c r="V10" s="230"/>
      <c r="W10" s="249" t="s">
        <v>12</v>
      </c>
      <c r="X10" s="249"/>
      <c r="Y10" s="249"/>
    </row>
    <row r="11" spans="1:29" ht="15" customHeight="1" x14ac:dyDescent="0.2">
      <c r="A11" s="211"/>
      <c r="B11" s="211" t="s">
        <v>193</v>
      </c>
      <c r="C11" s="78" t="s">
        <v>407</v>
      </c>
      <c r="D11" s="211" t="s">
        <v>102</v>
      </c>
      <c r="E11" s="144" t="str">
        <f>BOA!B$8</f>
        <v>Campana profesional para revestir, forro de acero inox., 46" x 19"</v>
      </c>
      <c r="F11" s="307" t="s">
        <v>220</v>
      </c>
      <c r="G11" s="78" t="s">
        <v>221</v>
      </c>
      <c r="H11" s="307" t="s">
        <v>700</v>
      </c>
      <c r="I11" s="364" t="str">
        <f>BOA!$B$2</f>
        <v>BOA</v>
      </c>
      <c r="J11" s="273" t="s">
        <v>410</v>
      </c>
      <c r="K11" s="364">
        <v>1</v>
      </c>
      <c r="L11" s="273" t="s">
        <v>153</v>
      </c>
      <c r="M11" s="144">
        <f>BOA!G$8*(1-BOA!I$8)</f>
        <v>1522.2</v>
      </c>
      <c r="N11" s="275">
        <f t="shared" si="0"/>
        <v>1522.2</v>
      </c>
      <c r="O11" s="365">
        <v>0</v>
      </c>
      <c r="P11" s="275">
        <f t="shared" si="1"/>
        <v>0</v>
      </c>
      <c r="Q11" s="361">
        <v>0.16</v>
      </c>
      <c r="R11" s="275">
        <f t="shared" si="2"/>
        <v>243.55200000000002</v>
      </c>
      <c r="S11" s="275">
        <f t="shared" si="3"/>
        <v>1765.752</v>
      </c>
      <c r="T11" s="229">
        <f>INDEX('Glosario Partidas'!$M$8:$M$10,MATCH(L11,'Glosario Partidas'!$L$8:$L$10,0))</f>
        <v>17.5</v>
      </c>
      <c r="U11" s="275">
        <f t="shared" si="4"/>
        <v>30900.66</v>
      </c>
      <c r="V11" s="230"/>
      <c r="W11" s="249" t="s">
        <v>12</v>
      </c>
      <c r="X11" s="249"/>
      <c r="Y11" s="249"/>
    </row>
    <row r="12" spans="1:29" ht="15" customHeight="1" x14ac:dyDescent="0.2">
      <c r="A12" s="211"/>
      <c r="B12" s="211" t="s">
        <v>193</v>
      </c>
      <c r="C12" s="78" t="s">
        <v>407</v>
      </c>
      <c r="D12" s="211" t="s">
        <v>102</v>
      </c>
      <c r="E12" s="144" t="str">
        <f>BOA!B$9</f>
        <v>Motor de extracción interno para campanas de pared interiores, 1200 CFM</v>
      </c>
      <c r="F12" s="307" t="s">
        <v>220</v>
      </c>
      <c r="G12" s="78" t="s">
        <v>221</v>
      </c>
      <c r="H12" s="307" t="s">
        <v>700</v>
      </c>
      <c r="I12" s="364" t="str">
        <f>BOA!$B$2</f>
        <v>BOA</v>
      </c>
      <c r="J12" s="273" t="s">
        <v>410</v>
      </c>
      <c r="K12" s="364">
        <v>1</v>
      </c>
      <c r="L12" s="273" t="s">
        <v>153</v>
      </c>
      <c r="M12" s="144">
        <f>BOA!G$9*(1-BOA!I$9)</f>
        <v>1142.4000000000001</v>
      </c>
      <c r="N12" s="275">
        <f t="shared" si="0"/>
        <v>1142.4000000000001</v>
      </c>
      <c r="O12" s="365">
        <v>0</v>
      </c>
      <c r="P12" s="275">
        <f t="shared" si="1"/>
        <v>0</v>
      </c>
      <c r="Q12" s="361">
        <v>0.16</v>
      </c>
      <c r="R12" s="275">
        <f t="shared" si="2"/>
        <v>182.78400000000002</v>
      </c>
      <c r="S12" s="275">
        <f t="shared" si="3"/>
        <v>1325.1840000000002</v>
      </c>
      <c r="T12" s="229">
        <f>INDEX('Glosario Partidas'!$M$8:$M$10,MATCH(L12,'Glosario Partidas'!$L$8:$L$10,0))</f>
        <v>17.5</v>
      </c>
      <c r="U12" s="275">
        <f t="shared" si="4"/>
        <v>23190.720000000005</v>
      </c>
      <c r="V12" s="230"/>
      <c r="W12" s="249" t="s">
        <v>12</v>
      </c>
      <c r="X12" s="249"/>
      <c r="Y12" s="249"/>
    </row>
    <row r="13" spans="1:29" ht="15" customHeight="1" x14ac:dyDescent="0.2">
      <c r="A13" s="211"/>
      <c r="B13" s="211" t="s">
        <v>193</v>
      </c>
      <c r="C13" s="78" t="s">
        <v>407</v>
      </c>
      <c r="D13" s="211" t="s">
        <v>102</v>
      </c>
      <c r="E13" s="144" t="str">
        <f>BOA!B$10</f>
        <v>Refrigerador y congelador panelable (puerta francesa) de 48"</v>
      </c>
      <c r="F13" s="307" t="s">
        <v>220</v>
      </c>
      <c r="G13" s="78" t="s">
        <v>221</v>
      </c>
      <c r="H13" s="307" t="s">
        <v>700</v>
      </c>
      <c r="I13" s="364" t="str">
        <f>BOA!$B$2</f>
        <v>BOA</v>
      </c>
      <c r="J13" s="273" t="s">
        <v>410</v>
      </c>
      <c r="K13" s="364">
        <v>1</v>
      </c>
      <c r="L13" s="273" t="s">
        <v>153</v>
      </c>
      <c r="M13" s="144">
        <f>BOA!G$10*(1-BOA!I$10)</f>
        <v>11409.6</v>
      </c>
      <c r="N13" s="275">
        <f t="shared" si="0"/>
        <v>11409.6</v>
      </c>
      <c r="O13" s="365">
        <v>0</v>
      </c>
      <c r="P13" s="275">
        <f t="shared" si="1"/>
        <v>0</v>
      </c>
      <c r="Q13" s="361">
        <v>0.16</v>
      </c>
      <c r="R13" s="275">
        <f t="shared" si="2"/>
        <v>1825.5360000000001</v>
      </c>
      <c r="S13" s="275">
        <f t="shared" si="3"/>
        <v>13235.136</v>
      </c>
      <c r="T13" s="229">
        <f>INDEX('Glosario Partidas'!$M$8:$M$10,MATCH(L13,'Glosario Partidas'!$L$8:$L$10,0))</f>
        <v>17.5</v>
      </c>
      <c r="U13" s="275">
        <f t="shared" si="4"/>
        <v>231614.88</v>
      </c>
      <c r="V13" s="230"/>
      <c r="W13" s="249" t="s">
        <v>12</v>
      </c>
      <c r="X13" s="249"/>
      <c r="Y13" s="249"/>
    </row>
    <row r="14" spans="1:29" ht="15" customHeight="1" x14ac:dyDescent="0.2">
      <c r="A14" s="211"/>
      <c r="B14" s="211" t="s">
        <v>193</v>
      </c>
      <c r="C14" s="78" t="s">
        <v>407</v>
      </c>
      <c r="D14" s="211" t="s">
        <v>102</v>
      </c>
      <c r="E14" s="144" t="str">
        <f>BOA!B$11</f>
        <v>Kit de montaje para panel frontal</v>
      </c>
      <c r="F14" s="307" t="s">
        <v>220</v>
      </c>
      <c r="G14" s="78" t="s">
        <v>221</v>
      </c>
      <c r="H14" s="307" t="s">
        <v>700</v>
      </c>
      <c r="I14" s="364" t="str">
        <f>BOA!$B$2</f>
        <v>BOA</v>
      </c>
      <c r="J14" s="273" t="s">
        <v>410</v>
      </c>
      <c r="K14" s="364">
        <v>1</v>
      </c>
      <c r="L14" s="273" t="s">
        <v>153</v>
      </c>
      <c r="M14" s="144">
        <f>BOA!G$11*(1-BOA!I$11)</f>
        <v>111.2</v>
      </c>
      <c r="N14" s="275">
        <f t="shared" si="0"/>
        <v>111.2</v>
      </c>
      <c r="O14" s="365">
        <v>0</v>
      </c>
      <c r="P14" s="275">
        <f t="shared" si="1"/>
        <v>0</v>
      </c>
      <c r="Q14" s="361">
        <v>0.16</v>
      </c>
      <c r="R14" s="275">
        <f t="shared" si="2"/>
        <v>17.792000000000002</v>
      </c>
      <c r="S14" s="275">
        <f t="shared" si="3"/>
        <v>128.99200000000002</v>
      </c>
      <c r="T14" s="229">
        <f>INDEX('Glosario Partidas'!$M$8:$M$10,MATCH(L14,'Glosario Partidas'!$L$8:$L$10,0))</f>
        <v>17.5</v>
      </c>
      <c r="U14" s="275">
        <f t="shared" si="4"/>
        <v>2257.36</v>
      </c>
      <c r="V14" s="230"/>
      <c r="W14" s="249" t="s">
        <v>12</v>
      </c>
      <c r="X14" s="249"/>
      <c r="Y14" s="249"/>
    </row>
    <row r="15" spans="1:29" ht="15" customHeight="1" x14ac:dyDescent="0.2">
      <c r="A15" s="211"/>
      <c r="B15" s="211" t="s">
        <v>193</v>
      </c>
      <c r="C15" s="78" t="s">
        <v>407</v>
      </c>
      <c r="D15" s="211" t="s">
        <v>102</v>
      </c>
      <c r="E15" s="144" t="str">
        <f>BOA!B$12</f>
        <v>Jaladera tubular para puerta arriba</v>
      </c>
      <c r="F15" s="307" t="s">
        <v>220</v>
      </c>
      <c r="G15" s="78" t="s">
        <v>221</v>
      </c>
      <c r="H15" s="307" t="s">
        <v>700</v>
      </c>
      <c r="I15" s="364" t="str">
        <f>BOA!$B$2</f>
        <v>BOA</v>
      </c>
      <c r="J15" s="273" t="s">
        <v>410</v>
      </c>
      <c r="K15" s="364">
        <v>2</v>
      </c>
      <c r="L15" s="273" t="s">
        <v>153</v>
      </c>
      <c r="M15" s="144">
        <f>BOA!G$12*(1-BOA!I$12)</f>
        <v>213.60000000000002</v>
      </c>
      <c r="N15" s="275">
        <f t="shared" si="0"/>
        <v>427.20000000000005</v>
      </c>
      <c r="O15" s="365">
        <v>0</v>
      </c>
      <c r="P15" s="275">
        <f t="shared" si="1"/>
        <v>0</v>
      </c>
      <c r="Q15" s="361">
        <v>0.16</v>
      </c>
      <c r="R15" s="275">
        <f t="shared" si="2"/>
        <v>68.352000000000004</v>
      </c>
      <c r="S15" s="275">
        <f t="shared" si="3"/>
        <v>495.55200000000002</v>
      </c>
      <c r="T15" s="229">
        <f>INDEX('Glosario Partidas'!$M$8:$M$10,MATCH(L15,'Glosario Partidas'!$L$8:$L$10,0))</f>
        <v>17.5</v>
      </c>
      <c r="U15" s="275">
        <f t="shared" si="4"/>
        <v>8672.16</v>
      </c>
      <c r="V15" s="230"/>
      <c r="W15" s="249" t="s">
        <v>12</v>
      </c>
      <c r="X15" s="249"/>
      <c r="Y15" s="249"/>
    </row>
    <row r="16" spans="1:29" ht="15" customHeight="1" x14ac:dyDescent="0.2">
      <c r="A16" s="211"/>
      <c r="B16" s="211" t="s">
        <v>193</v>
      </c>
      <c r="C16" s="78" t="s">
        <v>407</v>
      </c>
      <c r="D16" s="211" t="s">
        <v>102</v>
      </c>
      <c r="E16" s="144" t="str">
        <f>BOA!B$13</f>
        <v>Jaladera tubular para cajón de 48"</v>
      </c>
      <c r="F16" s="307" t="s">
        <v>220</v>
      </c>
      <c r="G16" s="78" t="s">
        <v>221</v>
      </c>
      <c r="H16" s="307" t="s">
        <v>700</v>
      </c>
      <c r="I16" s="364" t="str">
        <f>BOA!$B$2</f>
        <v>BOA</v>
      </c>
      <c r="J16" s="273" t="s">
        <v>410</v>
      </c>
      <c r="K16" s="364">
        <v>1</v>
      </c>
      <c r="L16" s="273" t="s">
        <v>153</v>
      </c>
      <c r="M16" s="144">
        <f>BOA!G$13*(1-BOA!I$13)</f>
        <v>213.60000000000002</v>
      </c>
      <c r="N16" s="275">
        <f t="shared" si="0"/>
        <v>213.60000000000002</v>
      </c>
      <c r="O16" s="365">
        <v>0</v>
      </c>
      <c r="P16" s="275">
        <f t="shared" si="1"/>
        <v>0</v>
      </c>
      <c r="Q16" s="361">
        <v>0.16</v>
      </c>
      <c r="R16" s="275">
        <f t="shared" si="2"/>
        <v>34.176000000000002</v>
      </c>
      <c r="S16" s="275">
        <f t="shared" si="3"/>
        <v>247.77600000000001</v>
      </c>
      <c r="T16" s="229">
        <f>INDEX('Glosario Partidas'!$M$8:$M$10,MATCH(L16,'Glosario Partidas'!$L$8:$L$10,0))</f>
        <v>17.5</v>
      </c>
      <c r="U16" s="275">
        <f t="shared" si="4"/>
        <v>4336.08</v>
      </c>
      <c r="V16" s="230"/>
      <c r="W16" s="249" t="s">
        <v>12</v>
      </c>
      <c r="X16" s="249"/>
      <c r="Y16" s="249"/>
    </row>
    <row r="17" spans="1:25" ht="15" customHeight="1" x14ac:dyDescent="0.2">
      <c r="A17" s="211"/>
      <c r="B17" s="211" t="s">
        <v>193</v>
      </c>
      <c r="C17" s="78" t="s">
        <v>407</v>
      </c>
      <c r="D17" s="211" t="s">
        <v>102</v>
      </c>
      <c r="E17" s="144" t="str">
        <f>BOA!B$14</f>
        <v>Kit de instalación</v>
      </c>
      <c r="F17" s="307" t="s">
        <v>220</v>
      </c>
      <c r="G17" s="78" t="s">
        <v>221</v>
      </c>
      <c r="H17" s="307" t="s">
        <v>700</v>
      </c>
      <c r="I17" s="364" t="str">
        <f>BOA!$B$2</f>
        <v>BOA</v>
      </c>
      <c r="J17" s="273" t="s">
        <v>410</v>
      </c>
      <c r="K17" s="364">
        <v>1</v>
      </c>
      <c r="L17" s="273" t="s">
        <v>153</v>
      </c>
      <c r="M17" s="144">
        <f>BOA!G$14*(1-BOA!I$14)</f>
        <v>96</v>
      </c>
      <c r="N17" s="275">
        <f t="shared" si="0"/>
        <v>96</v>
      </c>
      <c r="O17" s="365">
        <v>0</v>
      </c>
      <c r="P17" s="275">
        <f t="shared" si="1"/>
        <v>0</v>
      </c>
      <c r="Q17" s="361">
        <v>0.16</v>
      </c>
      <c r="R17" s="275">
        <f t="shared" si="2"/>
        <v>15.36</v>
      </c>
      <c r="S17" s="275">
        <f t="shared" si="3"/>
        <v>111.36</v>
      </c>
      <c r="T17" s="229">
        <f>INDEX('Glosario Partidas'!$M$8:$M$10,MATCH(L17,'Glosario Partidas'!$L$8:$L$10,0))</f>
        <v>17.5</v>
      </c>
      <c r="U17" s="275">
        <f t="shared" si="4"/>
        <v>1948.8</v>
      </c>
      <c r="V17" s="230"/>
      <c r="W17" s="249" t="s">
        <v>12</v>
      </c>
      <c r="X17" s="249"/>
      <c r="Y17" s="249"/>
    </row>
    <row r="18" spans="1:25" ht="15" customHeight="1" x14ac:dyDescent="0.2">
      <c r="A18" s="211"/>
      <c r="B18" s="211" t="s">
        <v>193</v>
      </c>
      <c r="C18" s="78" t="s">
        <v>407</v>
      </c>
      <c r="D18" s="211" t="s">
        <v>102</v>
      </c>
      <c r="E18" s="144" t="str">
        <f>BOA!B$15</f>
        <v>Microondas con puerta drop down de 30", serie E</v>
      </c>
      <c r="F18" s="307" t="s">
        <v>220</v>
      </c>
      <c r="G18" s="78" t="s">
        <v>221</v>
      </c>
      <c r="H18" s="307" t="s">
        <v>700</v>
      </c>
      <c r="I18" s="364" t="str">
        <f>BOA!$B$2</f>
        <v>BOA</v>
      </c>
      <c r="J18" s="273" t="s">
        <v>410</v>
      </c>
      <c r="K18" s="364">
        <v>1</v>
      </c>
      <c r="L18" s="273" t="s">
        <v>153</v>
      </c>
      <c r="M18" s="144">
        <f>BOA!G$15*(1-BOA!I$15)</f>
        <v>2481.6</v>
      </c>
      <c r="N18" s="275">
        <f t="shared" si="0"/>
        <v>2481.6</v>
      </c>
      <c r="O18" s="365">
        <v>0</v>
      </c>
      <c r="P18" s="275">
        <f t="shared" si="1"/>
        <v>0</v>
      </c>
      <c r="Q18" s="361">
        <v>0.16</v>
      </c>
      <c r="R18" s="275">
        <f t="shared" si="2"/>
        <v>397.05599999999998</v>
      </c>
      <c r="S18" s="275">
        <f t="shared" si="3"/>
        <v>2878.6559999999999</v>
      </c>
      <c r="T18" s="229">
        <f>INDEX('Glosario Partidas'!$M$8:$M$10,MATCH(L18,'Glosario Partidas'!$L$8:$L$10,0))</f>
        <v>17.5</v>
      </c>
      <c r="U18" s="275">
        <f t="shared" si="4"/>
        <v>50376.479999999996</v>
      </c>
      <c r="V18" s="230"/>
      <c r="W18" s="249" t="s">
        <v>12</v>
      </c>
      <c r="X18" s="249"/>
      <c r="Y18" s="249"/>
    </row>
    <row r="19" spans="1:25" ht="15" customHeight="1" x14ac:dyDescent="0.2">
      <c r="A19" s="211"/>
      <c r="B19" s="211" t="s">
        <v>193</v>
      </c>
      <c r="C19" s="78" t="s">
        <v>407</v>
      </c>
      <c r="D19" s="211" t="s">
        <v>102</v>
      </c>
      <c r="E19" s="144" t="str">
        <f>BOA!B$16</f>
        <v>Lavavajillas panelable para 16 juegos (con gola)</v>
      </c>
      <c r="F19" s="307" t="s">
        <v>220</v>
      </c>
      <c r="G19" s="78" t="s">
        <v>221</v>
      </c>
      <c r="H19" s="307" t="s">
        <v>700</v>
      </c>
      <c r="I19" s="364" t="str">
        <f>BOA!$B$2</f>
        <v>BOA</v>
      </c>
      <c r="J19" s="273" t="s">
        <v>410</v>
      </c>
      <c r="K19" s="364">
        <v>1</v>
      </c>
      <c r="L19" s="273" t="s">
        <v>153</v>
      </c>
      <c r="M19" s="144">
        <f>BOA!G$16*(1-BOA!I$16)</f>
        <v>1543.2</v>
      </c>
      <c r="N19" s="275">
        <f t="shared" si="0"/>
        <v>1543.2</v>
      </c>
      <c r="O19" s="365">
        <v>0</v>
      </c>
      <c r="P19" s="275">
        <f t="shared" si="1"/>
        <v>0</v>
      </c>
      <c r="Q19" s="361">
        <v>0.16</v>
      </c>
      <c r="R19" s="275">
        <f t="shared" si="2"/>
        <v>246.91200000000001</v>
      </c>
      <c r="S19" s="275">
        <f t="shared" si="3"/>
        <v>1790.1120000000001</v>
      </c>
      <c r="T19" s="229">
        <f>INDEX('Glosario Partidas'!$M$8:$M$10,MATCH(L19,'Glosario Partidas'!$L$8:$L$10,0))</f>
        <v>17.5</v>
      </c>
      <c r="U19" s="275">
        <f t="shared" si="4"/>
        <v>31326.960000000003</v>
      </c>
      <c r="V19" s="230"/>
      <c r="W19" s="249" t="s">
        <v>12</v>
      </c>
      <c r="X19" s="249"/>
      <c r="Y19" s="249"/>
    </row>
    <row r="20" spans="1:25" ht="15" customHeight="1" x14ac:dyDescent="0.2">
      <c r="A20" s="211"/>
      <c r="B20" s="211" t="s">
        <v>193</v>
      </c>
      <c r="C20" s="78" t="s">
        <v>407</v>
      </c>
      <c r="D20" s="211" t="s">
        <v>102</v>
      </c>
      <c r="E20" s="144" t="str">
        <f>BOA!B$17</f>
        <v>Centro de bebidas bajo cubierta 24", apertura derecha ADA</v>
      </c>
      <c r="F20" s="307" t="s">
        <v>220</v>
      </c>
      <c r="G20" s="78" t="s">
        <v>221</v>
      </c>
      <c r="H20" s="307" t="s">
        <v>700</v>
      </c>
      <c r="I20" s="364" t="str">
        <f>BOA!$B$2</f>
        <v>BOA</v>
      </c>
      <c r="J20" s="273" t="s">
        <v>410</v>
      </c>
      <c r="K20" s="364">
        <v>1</v>
      </c>
      <c r="L20" s="273" t="s">
        <v>153</v>
      </c>
      <c r="M20" s="144">
        <f>BOA!G$17*(1-BOA!I$17)</f>
        <v>2740.7999999999997</v>
      </c>
      <c r="N20" s="275">
        <f t="shared" si="0"/>
        <v>2740.7999999999997</v>
      </c>
      <c r="O20" s="365">
        <v>0</v>
      </c>
      <c r="P20" s="275">
        <f t="shared" si="1"/>
        <v>0</v>
      </c>
      <c r="Q20" s="361">
        <v>0.16</v>
      </c>
      <c r="R20" s="275">
        <f t="shared" si="2"/>
        <v>438.52799999999996</v>
      </c>
      <c r="S20" s="275">
        <f t="shared" si="3"/>
        <v>3179.3279999999995</v>
      </c>
      <c r="T20" s="229">
        <f>INDEX('Glosario Partidas'!$M$8:$M$10,MATCH(L20,'Glosario Partidas'!$L$8:$L$10,0))</f>
        <v>17.5</v>
      </c>
      <c r="U20" s="275">
        <f t="shared" si="4"/>
        <v>55638.239999999991</v>
      </c>
      <c r="V20" s="230"/>
      <c r="W20" s="249" t="s">
        <v>12</v>
      </c>
      <c r="X20" s="249"/>
      <c r="Y20" s="249"/>
    </row>
    <row r="21" spans="1:25" ht="15" customHeight="1" x14ac:dyDescent="0.2">
      <c r="A21" s="211"/>
      <c r="B21" s="211" t="s">
        <v>193</v>
      </c>
      <c r="C21" s="78" t="s">
        <v>407</v>
      </c>
      <c r="D21" s="211" t="s">
        <v>102</v>
      </c>
      <c r="E21" s="144" t="str">
        <f>BOA!B$21</f>
        <v>Jaladera tubular</v>
      </c>
      <c r="F21" s="307" t="s">
        <v>220</v>
      </c>
      <c r="G21" s="78" t="s">
        <v>221</v>
      </c>
      <c r="H21" s="307" t="s">
        <v>700</v>
      </c>
      <c r="I21" s="364" t="str">
        <f>BOA!$B$2</f>
        <v>BOA</v>
      </c>
      <c r="J21" s="273" t="s">
        <v>410</v>
      </c>
      <c r="K21" s="364">
        <v>1</v>
      </c>
      <c r="L21" s="273" t="s">
        <v>153</v>
      </c>
      <c r="M21" s="144">
        <f>BOA!G$21*(1-BOA!I$21)</f>
        <v>185.60000000000002</v>
      </c>
      <c r="N21" s="275">
        <f t="shared" si="0"/>
        <v>185.60000000000002</v>
      </c>
      <c r="O21" s="365">
        <v>0</v>
      </c>
      <c r="P21" s="275">
        <f t="shared" si="1"/>
        <v>0</v>
      </c>
      <c r="Q21" s="361">
        <v>0.16</v>
      </c>
      <c r="R21" s="275">
        <f t="shared" si="2"/>
        <v>29.696000000000005</v>
      </c>
      <c r="S21" s="275">
        <f t="shared" si="3"/>
        <v>215.29600000000002</v>
      </c>
      <c r="T21" s="229">
        <f>INDEX('Glosario Partidas'!$M$8:$M$10,MATCH(L21,'Glosario Partidas'!$L$8:$L$10,0))</f>
        <v>17.5</v>
      </c>
      <c r="U21" s="275">
        <f t="shared" si="4"/>
        <v>3767.6800000000003</v>
      </c>
      <c r="V21" s="230"/>
      <c r="W21" s="249" t="s">
        <v>12</v>
      </c>
      <c r="X21" s="249"/>
      <c r="Y21" s="249"/>
    </row>
    <row r="22" spans="1:25" ht="15" customHeight="1" x14ac:dyDescent="0.2">
      <c r="A22" s="211"/>
      <c r="B22" s="211" t="s">
        <v>193</v>
      </c>
      <c r="C22" s="78" t="s">
        <v>407</v>
      </c>
      <c r="D22" s="211" t="s">
        <v>102</v>
      </c>
      <c r="E22" s="144" t="str">
        <f>BOA!B$22</f>
        <v>Kit de instalación</v>
      </c>
      <c r="F22" s="307" t="s">
        <v>220</v>
      </c>
      <c r="G22" s="78" t="s">
        <v>221</v>
      </c>
      <c r="H22" s="307" t="s">
        <v>700</v>
      </c>
      <c r="I22" s="364" t="str">
        <f>BOA!$B$2</f>
        <v>BOA</v>
      </c>
      <c r="J22" s="273" t="s">
        <v>410</v>
      </c>
      <c r="K22" s="364">
        <v>1</v>
      </c>
      <c r="L22" s="273" t="s">
        <v>153</v>
      </c>
      <c r="M22" s="144">
        <f>BOA!G$22*(1-BOA!I$22)</f>
        <v>96</v>
      </c>
      <c r="N22" s="275">
        <f t="shared" si="0"/>
        <v>96</v>
      </c>
      <c r="O22" s="365">
        <v>0</v>
      </c>
      <c r="P22" s="275">
        <f t="shared" si="1"/>
        <v>0</v>
      </c>
      <c r="Q22" s="361">
        <v>0.16</v>
      </c>
      <c r="R22" s="275">
        <f t="shared" si="2"/>
        <v>15.36</v>
      </c>
      <c r="S22" s="275">
        <f t="shared" si="3"/>
        <v>111.36</v>
      </c>
      <c r="T22" s="229">
        <f>INDEX('Glosario Partidas'!$M$8:$M$10,MATCH(L22,'Glosario Partidas'!$L$8:$L$10,0))</f>
        <v>17.5</v>
      </c>
      <c r="U22" s="275">
        <f t="shared" si="4"/>
        <v>1948.8</v>
      </c>
      <c r="V22" s="230"/>
      <c r="W22" s="249" t="s">
        <v>12</v>
      </c>
      <c r="X22" s="249"/>
      <c r="Y22" s="249"/>
    </row>
    <row r="23" spans="1:25" ht="15" customHeight="1" x14ac:dyDescent="0.2">
      <c r="A23" s="211"/>
      <c r="B23" s="211" t="s">
        <v>193</v>
      </c>
      <c r="C23" s="78" t="s">
        <v>407</v>
      </c>
      <c r="D23" s="211" t="s">
        <v>102</v>
      </c>
      <c r="E23" s="144" t="str">
        <f>BOA!B$23</f>
        <v>Tarja</v>
      </c>
      <c r="F23" s="307" t="s">
        <v>220</v>
      </c>
      <c r="G23" s="78" t="s">
        <v>221</v>
      </c>
      <c r="H23" s="307" t="s">
        <v>700</v>
      </c>
      <c r="I23" s="364" t="str">
        <f>BOA!$B$2</f>
        <v>BOA</v>
      </c>
      <c r="J23" s="273" t="s">
        <v>410</v>
      </c>
      <c r="K23" s="364">
        <v>1</v>
      </c>
      <c r="L23" s="273" t="s">
        <v>153</v>
      </c>
      <c r="M23" s="144">
        <f>BOA!G$23*(1-BOA!I$23)</f>
        <v>1040</v>
      </c>
      <c r="N23" s="275">
        <f t="shared" si="0"/>
        <v>1040</v>
      </c>
      <c r="O23" s="365">
        <v>0</v>
      </c>
      <c r="P23" s="275">
        <f t="shared" si="1"/>
        <v>0</v>
      </c>
      <c r="Q23" s="361">
        <v>0.16</v>
      </c>
      <c r="R23" s="275">
        <f t="shared" si="2"/>
        <v>166.4</v>
      </c>
      <c r="S23" s="275">
        <f t="shared" si="3"/>
        <v>1206.4000000000001</v>
      </c>
      <c r="T23" s="229">
        <f>INDEX('Glosario Partidas'!$M$8:$M$10,MATCH(L23,'Glosario Partidas'!$L$8:$L$10,0))</f>
        <v>17.5</v>
      </c>
      <c r="U23" s="275">
        <f t="shared" si="4"/>
        <v>21112</v>
      </c>
      <c r="V23" s="230"/>
      <c r="W23" s="249" t="s">
        <v>12</v>
      </c>
      <c r="X23" s="249"/>
      <c r="Y23" s="249"/>
    </row>
    <row r="24" spans="1:25" ht="15" customHeight="1" x14ac:dyDescent="0.2">
      <c r="A24" s="211"/>
      <c r="B24" s="211" t="s">
        <v>193</v>
      </c>
      <c r="C24" s="78" t="s">
        <v>407</v>
      </c>
      <c r="D24" s="211" t="s">
        <v>102</v>
      </c>
      <c r="E24" s="144" t="str">
        <f>BOA!B$24</f>
        <v>Sink</v>
      </c>
      <c r="F24" s="307" t="s">
        <v>220</v>
      </c>
      <c r="G24" s="78" t="s">
        <v>221</v>
      </c>
      <c r="H24" s="307" t="s">
        <v>700</v>
      </c>
      <c r="I24" s="364" t="str">
        <f>BOA!$B$2</f>
        <v>BOA</v>
      </c>
      <c r="J24" s="273" t="s">
        <v>410</v>
      </c>
      <c r="K24" s="364">
        <v>2</v>
      </c>
      <c r="L24" s="273" t="s">
        <v>153</v>
      </c>
      <c r="M24" s="144">
        <f>BOA!G$24*(1-BOA!I$24)</f>
        <v>104</v>
      </c>
      <c r="N24" s="275">
        <f t="shared" si="0"/>
        <v>208</v>
      </c>
      <c r="O24" s="365">
        <v>0</v>
      </c>
      <c r="P24" s="275">
        <f t="shared" si="1"/>
        <v>0</v>
      </c>
      <c r="Q24" s="361">
        <v>0.16</v>
      </c>
      <c r="R24" s="275">
        <f t="shared" si="2"/>
        <v>33.28</v>
      </c>
      <c r="S24" s="275">
        <f t="shared" si="3"/>
        <v>241.28</v>
      </c>
      <c r="T24" s="229">
        <f>INDEX('Glosario Partidas'!$M$8:$M$10,MATCH(L24,'Glosario Partidas'!$L$8:$L$10,0))</f>
        <v>17.5</v>
      </c>
      <c r="U24" s="275">
        <f t="shared" si="4"/>
        <v>4222.3999999999996</v>
      </c>
      <c r="V24" s="230"/>
      <c r="W24" s="249" t="s">
        <v>12</v>
      </c>
      <c r="X24" s="249"/>
      <c r="Y24" s="249"/>
    </row>
    <row r="25" spans="1:25" ht="15" customHeight="1" x14ac:dyDescent="0.2">
      <c r="A25" s="211"/>
      <c r="B25" s="211" t="s">
        <v>193</v>
      </c>
      <c r="C25" s="78" t="s">
        <v>407</v>
      </c>
      <c r="D25" s="211" t="s">
        <v>102</v>
      </c>
      <c r="E25" s="144" t="str">
        <f>BOA!B$25</f>
        <v>Triturador</v>
      </c>
      <c r="F25" s="307" t="s">
        <v>220</v>
      </c>
      <c r="G25" s="78" t="s">
        <v>221</v>
      </c>
      <c r="H25" s="307" t="s">
        <v>700</v>
      </c>
      <c r="I25" s="364" t="str">
        <f>BOA!$B$2</f>
        <v>BOA</v>
      </c>
      <c r="J25" s="273" t="s">
        <v>410</v>
      </c>
      <c r="K25" s="364">
        <v>1</v>
      </c>
      <c r="L25" s="273" t="s">
        <v>153</v>
      </c>
      <c r="M25" s="144">
        <f>BOA!G$25*(1-BOA!I$25)</f>
        <v>598.4</v>
      </c>
      <c r="N25" s="275">
        <f t="shared" si="0"/>
        <v>598.4</v>
      </c>
      <c r="O25" s="365">
        <v>0</v>
      </c>
      <c r="P25" s="275">
        <f t="shared" si="1"/>
        <v>0</v>
      </c>
      <c r="Q25" s="361">
        <v>0.16</v>
      </c>
      <c r="R25" s="275">
        <f t="shared" si="2"/>
        <v>95.744</v>
      </c>
      <c r="S25" s="275">
        <f t="shared" si="3"/>
        <v>694.14400000000001</v>
      </c>
      <c r="T25" s="229">
        <f>INDEX('Glosario Partidas'!$M$8:$M$10,MATCH(L25,'Glosario Partidas'!$L$8:$L$10,0))</f>
        <v>17.5</v>
      </c>
      <c r="U25" s="275">
        <f t="shared" si="4"/>
        <v>12147.52</v>
      </c>
      <c r="V25" s="230"/>
      <c r="W25" s="249" t="s">
        <v>12</v>
      </c>
      <c r="X25" s="249"/>
      <c r="Y25" s="249"/>
    </row>
    <row r="26" spans="1:25" ht="15" customHeight="1" x14ac:dyDescent="0.2">
      <c r="A26" s="211"/>
      <c r="B26" s="211" t="s">
        <v>193</v>
      </c>
      <c r="C26" s="78" t="s">
        <v>407</v>
      </c>
      <c r="D26" s="211" t="s">
        <v>104</v>
      </c>
      <c r="E26" s="144" t="str">
        <f>BOA!B$51</f>
        <v>Máquina de hielo residencial gourmet 65 lb con bomba de drenaje</v>
      </c>
      <c r="F26" s="307" t="s">
        <v>220</v>
      </c>
      <c r="G26" s="78" t="s">
        <v>221</v>
      </c>
      <c r="H26" s="307" t="s">
        <v>700</v>
      </c>
      <c r="I26" s="364" t="str">
        <f>BOA!$B$2</f>
        <v>BOA</v>
      </c>
      <c r="J26" s="273" t="s">
        <v>410</v>
      </c>
      <c r="K26" s="364">
        <v>1</v>
      </c>
      <c r="L26" s="273" t="s">
        <v>153</v>
      </c>
      <c r="M26" s="144">
        <f>BOA!G$51*(1-BOA!I$51)</f>
        <v>4768</v>
      </c>
      <c r="N26" s="275">
        <f t="shared" si="0"/>
        <v>4768</v>
      </c>
      <c r="O26" s="365">
        <v>0</v>
      </c>
      <c r="P26" s="275">
        <f t="shared" si="1"/>
        <v>0</v>
      </c>
      <c r="Q26" s="361">
        <v>0.16</v>
      </c>
      <c r="R26" s="275">
        <f t="shared" si="2"/>
        <v>762.88</v>
      </c>
      <c r="S26" s="275">
        <f t="shared" si="3"/>
        <v>5530.88</v>
      </c>
      <c r="T26" s="229">
        <f>INDEX('Glosario Partidas'!$M$8:$M$10,MATCH(L26,'Glosario Partidas'!$L$8:$L$10,0))</f>
        <v>17.5</v>
      </c>
      <c r="U26" s="275">
        <f t="shared" si="4"/>
        <v>96790.400000000009</v>
      </c>
      <c r="V26" s="230"/>
      <c r="W26" s="249" t="s">
        <v>12</v>
      </c>
      <c r="X26" s="249"/>
      <c r="Y26" s="249"/>
    </row>
    <row r="27" spans="1:25" ht="15" customHeight="1" x14ac:dyDescent="0.2">
      <c r="A27" s="211"/>
      <c r="B27" s="211" t="s">
        <v>193</v>
      </c>
      <c r="C27" s="78" t="s">
        <v>407</v>
      </c>
      <c r="D27" s="211" t="s">
        <v>104</v>
      </c>
      <c r="E27" s="144" t="str">
        <f>BOA!B$52</f>
        <v>Kit de instalación</v>
      </c>
      <c r="F27" s="307" t="s">
        <v>220</v>
      </c>
      <c r="G27" s="78" t="s">
        <v>221</v>
      </c>
      <c r="H27" s="307" t="s">
        <v>700</v>
      </c>
      <c r="I27" s="364" t="str">
        <f>BOA!$B$2</f>
        <v>BOA</v>
      </c>
      <c r="J27" s="273" t="s">
        <v>410</v>
      </c>
      <c r="K27" s="364">
        <v>1</v>
      </c>
      <c r="L27" s="273" t="s">
        <v>153</v>
      </c>
      <c r="M27" s="144">
        <f>BOA!G$52*(1-BOA!I$52)</f>
        <v>96</v>
      </c>
      <c r="N27" s="275">
        <f t="shared" si="0"/>
        <v>96</v>
      </c>
      <c r="O27" s="365">
        <v>0</v>
      </c>
      <c r="P27" s="275">
        <f t="shared" si="1"/>
        <v>0</v>
      </c>
      <c r="Q27" s="361">
        <v>0.16</v>
      </c>
      <c r="R27" s="275">
        <f t="shared" si="2"/>
        <v>15.36</v>
      </c>
      <c r="S27" s="275">
        <f t="shared" si="3"/>
        <v>111.36</v>
      </c>
      <c r="T27" s="229">
        <f>INDEX('Glosario Partidas'!$M$8:$M$10,MATCH(L27,'Glosario Partidas'!$L$8:$L$10,0))</f>
        <v>17.5</v>
      </c>
      <c r="U27" s="275">
        <f t="shared" si="4"/>
        <v>1948.8</v>
      </c>
      <c r="V27" s="230"/>
      <c r="W27" s="249" t="s">
        <v>12</v>
      </c>
      <c r="X27" s="249"/>
      <c r="Y27" s="249"/>
    </row>
    <row r="28" spans="1:25" ht="15" customHeight="1" x14ac:dyDescent="0.2">
      <c r="A28" s="211"/>
      <c r="B28" s="211" t="s">
        <v>193</v>
      </c>
      <c r="C28" s="78" t="s">
        <v>407</v>
      </c>
      <c r="D28" s="211" t="s">
        <v>104</v>
      </c>
      <c r="E28" s="144" t="str">
        <f>BOA!B$53</f>
        <v>Refrigerador bajo cubierta exterior 24", apertura derecha</v>
      </c>
      <c r="F28" s="307" t="s">
        <v>220</v>
      </c>
      <c r="G28" s="78" t="s">
        <v>221</v>
      </c>
      <c r="H28" s="307" t="s">
        <v>700</v>
      </c>
      <c r="I28" s="364" t="str">
        <f>BOA!$B$2</f>
        <v>BOA</v>
      </c>
      <c r="J28" s="273" t="s">
        <v>410</v>
      </c>
      <c r="K28" s="364">
        <v>1</v>
      </c>
      <c r="L28" s="273" t="s">
        <v>153</v>
      </c>
      <c r="M28" s="144">
        <f>BOA!G$53*(1-BOA!I$53)</f>
        <v>3326.4</v>
      </c>
      <c r="N28" s="275">
        <f t="shared" si="0"/>
        <v>3326.4</v>
      </c>
      <c r="O28" s="365">
        <v>0</v>
      </c>
      <c r="P28" s="275">
        <f t="shared" si="1"/>
        <v>0</v>
      </c>
      <c r="Q28" s="361">
        <v>0.16</v>
      </c>
      <c r="R28" s="275">
        <f t="shared" si="2"/>
        <v>532.22400000000005</v>
      </c>
      <c r="S28" s="275">
        <f t="shared" si="3"/>
        <v>3858.6240000000003</v>
      </c>
      <c r="T28" s="229">
        <f>INDEX('Glosario Partidas'!$M$8:$M$10,MATCH(L28,'Glosario Partidas'!$L$8:$L$10,0))</f>
        <v>17.5</v>
      </c>
      <c r="U28" s="275">
        <f t="shared" si="4"/>
        <v>67525.919999999998</v>
      </c>
      <c r="V28" s="230"/>
      <c r="W28" s="249" t="s">
        <v>12</v>
      </c>
      <c r="X28" s="249"/>
      <c r="Y28" s="249"/>
    </row>
    <row r="29" spans="1:25" ht="15" customHeight="1" x14ac:dyDescent="0.2">
      <c r="A29" s="211"/>
      <c r="B29" s="211" t="s">
        <v>193</v>
      </c>
      <c r="C29" s="78" t="s">
        <v>407</v>
      </c>
      <c r="D29" s="211" t="s">
        <v>104</v>
      </c>
      <c r="E29" s="144" t="str">
        <f>BOA!B$56</f>
        <v>Kit de instalación</v>
      </c>
      <c r="F29" s="307" t="s">
        <v>220</v>
      </c>
      <c r="G29" s="78" t="s">
        <v>221</v>
      </c>
      <c r="H29" s="307" t="s">
        <v>700</v>
      </c>
      <c r="I29" s="364" t="str">
        <f>BOA!$B$2</f>
        <v>BOA</v>
      </c>
      <c r="J29" s="273" t="s">
        <v>410</v>
      </c>
      <c r="K29" s="364">
        <v>1</v>
      </c>
      <c r="L29" s="273" t="s">
        <v>153</v>
      </c>
      <c r="M29" s="144">
        <f>BOA!G$56*(1-BOA!I$56)</f>
        <v>96</v>
      </c>
      <c r="N29" s="275">
        <f t="shared" si="0"/>
        <v>96</v>
      </c>
      <c r="O29" s="365">
        <v>0</v>
      </c>
      <c r="P29" s="275">
        <f t="shared" si="1"/>
        <v>0</v>
      </c>
      <c r="Q29" s="361">
        <v>0.16</v>
      </c>
      <c r="R29" s="275">
        <f t="shared" si="2"/>
        <v>15.36</v>
      </c>
      <c r="S29" s="275">
        <f t="shared" si="3"/>
        <v>111.36</v>
      </c>
      <c r="T29" s="229">
        <f>INDEX('Glosario Partidas'!$M$8:$M$10,MATCH(L29,'Glosario Partidas'!$L$8:$L$10,0))</f>
        <v>17.5</v>
      </c>
      <c r="U29" s="275">
        <f t="shared" si="4"/>
        <v>1948.8</v>
      </c>
      <c r="V29" s="230"/>
      <c r="W29" s="249" t="s">
        <v>12</v>
      </c>
      <c r="X29" s="249"/>
      <c r="Y29" s="249"/>
    </row>
    <row r="30" spans="1:25" ht="15" customHeight="1" x14ac:dyDescent="0.2">
      <c r="A30" s="211"/>
      <c r="B30" s="211" t="s">
        <v>193</v>
      </c>
      <c r="C30" s="78" t="s">
        <v>407</v>
      </c>
      <c r="D30" s="211" t="s">
        <v>104</v>
      </c>
      <c r="E30" s="144" t="str">
        <f>BOA!B$57</f>
        <v>Campana profesional para exterior acero inox., 48" x 33"</v>
      </c>
      <c r="F30" s="307" t="s">
        <v>220</v>
      </c>
      <c r="G30" s="78" t="s">
        <v>221</v>
      </c>
      <c r="H30" s="307" t="s">
        <v>700</v>
      </c>
      <c r="I30" s="364" t="str">
        <f>BOA!$B$2</f>
        <v>BOA</v>
      </c>
      <c r="J30" s="273" t="s">
        <v>410</v>
      </c>
      <c r="K30" s="364">
        <v>1</v>
      </c>
      <c r="L30" s="273" t="s">
        <v>153</v>
      </c>
      <c r="M30" s="144">
        <f>BOA!G$57*(1-BOA!I$57)</f>
        <v>2733</v>
      </c>
      <c r="N30" s="275">
        <f t="shared" si="0"/>
        <v>2733</v>
      </c>
      <c r="O30" s="365">
        <v>0</v>
      </c>
      <c r="P30" s="275">
        <f t="shared" si="1"/>
        <v>0</v>
      </c>
      <c r="Q30" s="361">
        <v>0.16</v>
      </c>
      <c r="R30" s="275">
        <f t="shared" si="2"/>
        <v>437.28000000000003</v>
      </c>
      <c r="S30" s="275">
        <f t="shared" si="3"/>
        <v>3170.28</v>
      </c>
      <c r="T30" s="229">
        <f>INDEX('Glosario Partidas'!$M$8:$M$10,MATCH(L30,'Glosario Partidas'!$L$8:$L$10,0))</f>
        <v>17.5</v>
      </c>
      <c r="U30" s="275">
        <f t="shared" si="4"/>
        <v>55479.9</v>
      </c>
      <c r="V30" s="230"/>
      <c r="W30" s="249" t="s">
        <v>12</v>
      </c>
      <c r="X30" s="249"/>
      <c r="Y30" s="249"/>
    </row>
    <row r="31" spans="1:25" ht="15" customHeight="1" x14ac:dyDescent="0.2">
      <c r="A31" s="211"/>
      <c r="B31" s="211" t="s">
        <v>193</v>
      </c>
      <c r="C31" s="78" t="s">
        <v>407</v>
      </c>
      <c r="D31" s="211" t="s">
        <v>104</v>
      </c>
      <c r="E31" s="144" t="str">
        <f>BOA!B$58</f>
        <v>Motor de extracción interno para campanas, 1200 CFM</v>
      </c>
      <c r="F31" s="307" t="s">
        <v>220</v>
      </c>
      <c r="G31" s="78" t="s">
        <v>221</v>
      </c>
      <c r="H31" s="307" t="s">
        <v>700</v>
      </c>
      <c r="I31" s="364" t="str">
        <f>BOA!$B$2</f>
        <v>BOA</v>
      </c>
      <c r="J31" s="273" t="s">
        <v>410</v>
      </c>
      <c r="K31" s="364">
        <v>1</v>
      </c>
      <c r="L31" s="273" t="s">
        <v>153</v>
      </c>
      <c r="M31" s="144">
        <f>BOA!G$58*(1-BOA!I$58)</f>
        <v>1142.4000000000001</v>
      </c>
      <c r="N31" s="275">
        <f t="shared" si="0"/>
        <v>1142.4000000000001</v>
      </c>
      <c r="O31" s="365">
        <v>0</v>
      </c>
      <c r="P31" s="275">
        <f t="shared" si="1"/>
        <v>0</v>
      </c>
      <c r="Q31" s="361">
        <v>0.16</v>
      </c>
      <c r="R31" s="275">
        <f t="shared" si="2"/>
        <v>182.78400000000002</v>
      </c>
      <c r="S31" s="275">
        <f t="shared" si="3"/>
        <v>1325.1840000000002</v>
      </c>
      <c r="T31" s="229">
        <f>INDEX('Glosario Partidas'!$M$8:$M$10,MATCH(L31,'Glosario Partidas'!$L$8:$L$10,0))</f>
        <v>17.5</v>
      </c>
      <c r="U31" s="275">
        <f t="shared" si="4"/>
        <v>23190.720000000005</v>
      </c>
      <c r="V31" s="230"/>
      <c r="W31" s="249" t="s">
        <v>12</v>
      </c>
      <c r="X31" s="249"/>
      <c r="Y31" s="249"/>
    </row>
    <row r="32" spans="1:25" ht="15" customHeight="1" x14ac:dyDescent="0.2">
      <c r="A32" s="211"/>
      <c r="B32" s="211" t="s">
        <v>193</v>
      </c>
      <c r="C32" s="78" t="s">
        <v>407</v>
      </c>
      <c r="D32" s="211" t="s">
        <v>104</v>
      </c>
      <c r="E32" s="144" t="str">
        <f>BOA!B$59</f>
        <v>Tarja</v>
      </c>
      <c r="F32" s="307" t="s">
        <v>220</v>
      </c>
      <c r="G32" s="78" t="s">
        <v>221</v>
      </c>
      <c r="H32" s="307" t="s">
        <v>700</v>
      </c>
      <c r="I32" s="364" t="str">
        <f>BOA!$B$2</f>
        <v>BOA</v>
      </c>
      <c r="J32" s="273" t="s">
        <v>410</v>
      </c>
      <c r="K32" s="364">
        <v>1</v>
      </c>
      <c r="L32" s="273" t="s">
        <v>153</v>
      </c>
      <c r="M32" s="144">
        <f>BOA!G$59*(1-BOA!I$59)</f>
        <v>1040</v>
      </c>
      <c r="N32" s="275">
        <f t="shared" si="0"/>
        <v>1040</v>
      </c>
      <c r="O32" s="365">
        <v>0</v>
      </c>
      <c r="P32" s="275">
        <f t="shared" si="1"/>
        <v>0</v>
      </c>
      <c r="Q32" s="361">
        <v>0.16</v>
      </c>
      <c r="R32" s="275">
        <f t="shared" si="2"/>
        <v>166.4</v>
      </c>
      <c r="S32" s="275">
        <f t="shared" si="3"/>
        <v>1206.4000000000001</v>
      </c>
      <c r="T32" s="229">
        <f>INDEX('Glosario Partidas'!$M$8:$M$10,MATCH(L32,'Glosario Partidas'!$L$8:$L$10,0))</f>
        <v>17.5</v>
      </c>
      <c r="U32" s="275">
        <f t="shared" si="4"/>
        <v>21112</v>
      </c>
      <c r="V32" s="230"/>
      <c r="W32" s="249" t="s">
        <v>12</v>
      </c>
      <c r="X32" s="249"/>
      <c r="Y32" s="249"/>
    </row>
    <row r="33" spans="1:25" ht="15" customHeight="1" x14ac:dyDescent="0.2">
      <c r="A33" s="211"/>
      <c r="B33" s="211" t="s">
        <v>193</v>
      </c>
      <c r="C33" s="78" t="s">
        <v>407</v>
      </c>
      <c r="D33" s="211" t="s">
        <v>104</v>
      </c>
      <c r="E33" s="144" t="str">
        <f>BOA!B$60</f>
        <v>Sink</v>
      </c>
      <c r="F33" s="307" t="s">
        <v>220</v>
      </c>
      <c r="G33" s="78" t="s">
        <v>221</v>
      </c>
      <c r="H33" s="307" t="s">
        <v>700</v>
      </c>
      <c r="I33" s="364" t="str">
        <f>BOA!$B$2</f>
        <v>BOA</v>
      </c>
      <c r="J33" s="273" t="s">
        <v>410</v>
      </c>
      <c r="K33" s="364">
        <v>2</v>
      </c>
      <c r="L33" s="273" t="s">
        <v>153</v>
      </c>
      <c r="M33" s="144">
        <f>BOA!G$60*(1-BOA!I$60)</f>
        <v>104</v>
      </c>
      <c r="N33" s="275">
        <f t="shared" si="0"/>
        <v>208</v>
      </c>
      <c r="O33" s="365">
        <v>0</v>
      </c>
      <c r="P33" s="275">
        <f t="shared" si="1"/>
        <v>0</v>
      </c>
      <c r="Q33" s="361">
        <v>0.16</v>
      </c>
      <c r="R33" s="275">
        <f t="shared" si="2"/>
        <v>33.28</v>
      </c>
      <c r="S33" s="275">
        <f t="shared" si="3"/>
        <v>241.28</v>
      </c>
      <c r="T33" s="229">
        <f>INDEX('Glosario Partidas'!$M$8:$M$10,MATCH(L33,'Glosario Partidas'!$L$8:$L$10,0))</f>
        <v>17.5</v>
      </c>
      <c r="U33" s="275">
        <f t="shared" si="4"/>
        <v>4222.3999999999996</v>
      </c>
      <c r="V33" s="230"/>
      <c r="W33" s="249" t="s">
        <v>12</v>
      </c>
      <c r="X33" s="249"/>
      <c r="Y33" s="249"/>
    </row>
    <row r="34" spans="1:25" ht="15" customHeight="1" x14ac:dyDescent="0.2">
      <c r="A34" s="211"/>
      <c r="B34" s="211" t="s">
        <v>193</v>
      </c>
      <c r="C34" s="78" t="s">
        <v>407</v>
      </c>
      <c r="D34" s="211" t="s">
        <v>104</v>
      </c>
      <c r="E34" s="144" t="str">
        <f>BOA!B$61</f>
        <v>Triturador</v>
      </c>
      <c r="F34" s="307" t="s">
        <v>220</v>
      </c>
      <c r="G34" s="78" t="s">
        <v>221</v>
      </c>
      <c r="H34" s="307" t="s">
        <v>700</v>
      </c>
      <c r="I34" s="364" t="str">
        <f>BOA!$B$2</f>
        <v>BOA</v>
      </c>
      <c r="J34" s="273" t="s">
        <v>410</v>
      </c>
      <c r="K34" s="364">
        <v>1</v>
      </c>
      <c r="L34" s="273" t="s">
        <v>153</v>
      </c>
      <c r="M34" s="144">
        <f>BOA!G$61*(1-BOA!I$61)</f>
        <v>598.4</v>
      </c>
      <c r="N34" s="275">
        <f t="shared" si="0"/>
        <v>598.4</v>
      </c>
      <c r="O34" s="365">
        <v>0</v>
      </c>
      <c r="P34" s="275">
        <f t="shared" si="1"/>
        <v>0</v>
      </c>
      <c r="Q34" s="361">
        <v>0.16</v>
      </c>
      <c r="R34" s="275">
        <f t="shared" si="2"/>
        <v>95.744</v>
      </c>
      <c r="S34" s="275">
        <f t="shared" si="3"/>
        <v>694.14400000000001</v>
      </c>
      <c r="T34" s="229">
        <f>INDEX('Glosario Partidas'!$M$8:$M$10,MATCH(L34,'Glosario Partidas'!$L$8:$L$10,0))</f>
        <v>17.5</v>
      </c>
      <c r="U34" s="275">
        <f t="shared" si="4"/>
        <v>12147.52</v>
      </c>
      <c r="V34" s="230"/>
      <c r="W34" s="249" t="s">
        <v>12</v>
      </c>
      <c r="X34" s="249"/>
      <c r="Y34" s="249"/>
    </row>
    <row r="35" spans="1:25" ht="15" customHeight="1" x14ac:dyDescent="0.2">
      <c r="A35" s="211"/>
      <c r="B35" s="211" t="s">
        <v>193</v>
      </c>
      <c r="C35" s="78" t="s">
        <v>407</v>
      </c>
      <c r="D35" s="211" t="s">
        <v>104</v>
      </c>
      <c r="E35" s="316" t="s">
        <v>811</v>
      </c>
      <c r="F35" s="307" t="s">
        <v>220</v>
      </c>
      <c r="G35" s="78" t="s">
        <v>221</v>
      </c>
      <c r="H35" s="307" t="s">
        <v>700</v>
      </c>
      <c r="I35" s="315" t="s">
        <v>812</v>
      </c>
      <c r="J35" s="211" t="s">
        <v>410</v>
      </c>
      <c r="K35" s="224">
        <v>1</v>
      </c>
      <c r="L35" s="211" t="s">
        <v>153</v>
      </c>
      <c r="M35" s="316">
        <v>6325.8</v>
      </c>
      <c r="N35" s="310">
        <f t="shared" si="0"/>
        <v>6325.8</v>
      </c>
      <c r="O35" s="317">
        <v>0</v>
      </c>
      <c r="P35" s="227">
        <f t="shared" si="1"/>
        <v>0</v>
      </c>
      <c r="Q35" s="366">
        <v>0.16</v>
      </c>
      <c r="R35" s="310">
        <f t="shared" si="2"/>
        <v>1012.128</v>
      </c>
      <c r="S35" s="310">
        <f t="shared" si="3"/>
        <v>7337.9279999999999</v>
      </c>
      <c r="T35" s="229">
        <f>INDEX('Glosario Partidas'!$M$8:$M$10,MATCH(L35,'Glosario Partidas'!$L$8:$L$10,0))</f>
        <v>17.5</v>
      </c>
      <c r="U35" s="310">
        <f t="shared" si="4"/>
        <v>128413.73999999999</v>
      </c>
      <c r="V35" s="230" t="s">
        <v>813</v>
      </c>
      <c r="W35" s="249" t="s">
        <v>13</v>
      </c>
      <c r="X35" s="249"/>
      <c r="Y35" s="249"/>
    </row>
    <row r="36" spans="1:25" ht="15" customHeight="1" x14ac:dyDescent="0.2">
      <c r="A36" s="211"/>
      <c r="B36" s="211" t="s">
        <v>193</v>
      </c>
      <c r="C36" s="78" t="s">
        <v>407</v>
      </c>
      <c r="D36" s="211" t="s">
        <v>104</v>
      </c>
      <c r="E36" s="316" t="s">
        <v>814</v>
      </c>
      <c r="F36" s="307" t="s">
        <v>220</v>
      </c>
      <c r="G36" s="78" t="s">
        <v>221</v>
      </c>
      <c r="H36" s="307" t="s">
        <v>700</v>
      </c>
      <c r="I36" s="315" t="s">
        <v>812</v>
      </c>
      <c r="J36" s="211" t="s">
        <v>410</v>
      </c>
      <c r="K36" s="224">
        <v>1</v>
      </c>
      <c r="L36" s="211" t="s">
        <v>153</v>
      </c>
      <c r="M36" s="316">
        <v>204</v>
      </c>
      <c r="N36" s="310">
        <f t="shared" si="0"/>
        <v>204</v>
      </c>
      <c r="O36" s="317">
        <v>0</v>
      </c>
      <c r="P36" s="227">
        <f t="shared" si="1"/>
        <v>0</v>
      </c>
      <c r="Q36" s="366">
        <v>0.16</v>
      </c>
      <c r="R36" s="310">
        <f t="shared" si="2"/>
        <v>32.64</v>
      </c>
      <c r="S36" s="310">
        <f t="shared" si="3"/>
        <v>236.64</v>
      </c>
      <c r="T36" s="229">
        <f>INDEX('Glosario Partidas'!$M$8:$M$10,MATCH(L36,'Glosario Partidas'!$L$8:$L$10,0))</f>
        <v>17.5</v>
      </c>
      <c r="U36" s="310">
        <f t="shared" si="4"/>
        <v>4141.2</v>
      </c>
      <c r="V36" s="230" t="s">
        <v>815</v>
      </c>
      <c r="W36" s="249" t="s">
        <v>13</v>
      </c>
      <c r="X36" s="249"/>
      <c r="Y36" s="249"/>
    </row>
    <row r="37" spans="1:25" ht="15" customHeight="1" x14ac:dyDescent="0.2">
      <c r="A37" s="211"/>
      <c r="B37" s="211" t="s">
        <v>193</v>
      </c>
      <c r="C37" s="78" t="s">
        <v>407</v>
      </c>
      <c r="D37" s="211" t="s">
        <v>102</v>
      </c>
      <c r="E37" s="144" t="str">
        <f>BOA!B$29</f>
        <v>Estufa de gas de 48" con 6 quemadores profesionales y plancha, LP</v>
      </c>
      <c r="F37" s="307" t="s">
        <v>220</v>
      </c>
      <c r="G37" s="78" t="s">
        <v>354</v>
      </c>
      <c r="H37" s="307" t="s">
        <v>706</v>
      </c>
      <c r="I37" s="364" t="str">
        <f>BOA!$B$2</f>
        <v>BOA</v>
      </c>
      <c r="J37" s="273" t="s">
        <v>410</v>
      </c>
      <c r="K37" s="364">
        <v>1</v>
      </c>
      <c r="L37" s="273" t="s">
        <v>153</v>
      </c>
      <c r="M37" s="144">
        <f>BOA!G$29*(1-BOA!I$29)</f>
        <v>10729.199999999999</v>
      </c>
      <c r="N37" s="275">
        <f t="shared" si="0"/>
        <v>10729.199999999999</v>
      </c>
      <c r="O37" s="365">
        <v>0</v>
      </c>
      <c r="P37" s="275">
        <f t="shared" si="1"/>
        <v>0</v>
      </c>
      <c r="Q37" s="361">
        <v>0.16</v>
      </c>
      <c r="R37" s="275">
        <f t="shared" si="2"/>
        <v>1716.6719999999998</v>
      </c>
      <c r="S37" s="275">
        <f t="shared" si="3"/>
        <v>12445.871999999999</v>
      </c>
      <c r="T37" s="229">
        <f>INDEX('Glosario Partidas'!$M$8:$M$10,MATCH(L37,'Glosario Partidas'!$L$8:$L$10,0))</f>
        <v>17.5</v>
      </c>
      <c r="U37" s="275">
        <f t="shared" si="4"/>
        <v>217802.75999999998</v>
      </c>
      <c r="V37" s="230"/>
      <c r="W37" s="249" t="s">
        <v>12</v>
      </c>
      <c r="X37" s="249"/>
      <c r="Y37" s="249"/>
    </row>
    <row r="38" spans="1:25" ht="15" customHeight="1" x14ac:dyDescent="0.2">
      <c r="A38" s="211"/>
      <c r="B38" s="211" t="s">
        <v>193</v>
      </c>
      <c r="C38" s="78" t="s">
        <v>407</v>
      </c>
      <c r="D38" s="211" t="s">
        <v>102</v>
      </c>
      <c r="E38" s="144" t="str">
        <f>BOA!B$30</f>
        <v>Campana profesional para revestir, forro de acero inox., 46" x 19"</v>
      </c>
      <c r="F38" s="307" t="s">
        <v>220</v>
      </c>
      <c r="G38" s="78" t="s">
        <v>354</v>
      </c>
      <c r="H38" s="307" t="s">
        <v>706</v>
      </c>
      <c r="I38" s="364" t="str">
        <f>BOA!$B$2</f>
        <v>BOA</v>
      </c>
      <c r="J38" s="273" t="s">
        <v>410</v>
      </c>
      <c r="K38" s="364">
        <v>1</v>
      </c>
      <c r="L38" s="273" t="s">
        <v>153</v>
      </c>
      <c r="M38" s="144">
        <f>BOA!G$30*(1-BOA!I$30)</f>
        <v>1522.2</v>
      </c>
      <c r="N38" s="275">
        <f t="shared" si="0"/>
        <v>1522.2</v>
      </c>
      <c r="O38" s="365">
        <v>0</v>
      </c>
      <c r="P38" s="275">
        <f t="shared" si="1"/>
        <v>0</v>
      </c>
      <c r="Q38" s="361">
        <v>0.16</v>
      </c>
      <c r="R38" s="275">
        <f t="shared" si="2"/>
        <v>243.55200000000002</v>
      </c>
      <c r="S38" s="275">
        <f t="shared" si="3"/>
        <v>1765.752</v>
      </c>
      <c r="T38" s="229">
        <f>INDEX('Glosario Partidas'!$M$8:$M$10,MATCH(L38,'Glosario Partidas'!$L$8:$L$10,0))</f>
        <v>17.5</v>
      </c>
      <c r="U38" s="275">
        <f t="shared" si="4"/>
        <v>30900.66</v>
      </c>
      <c r="V38" s="230"/>
      <c r="W38" s="249" t="s">
        <v>12</v>
      </c>
      <c r="X38" s="249"/>
      <c r="Y38" s="249"/>
    </row>
    <row r="39" spans="1:25" ht="15" customHeight="1" x14ac:dyDescent="0.2">
      <c r="A39" s="211"/>
      <c r="B39" s="211" t="s">
        <v>193</v>
      </c>
      <c r="C39" s="78" t="s">
        <v>407</v>
      </c>
      <c r="D39" s="211" t="s">
        <v>102</v>
      </c>
      <c r="E39" s="144" t="str">
        <f>BOA!B$31</f>
        <v>Motor de extracción interno para campanas de pared interiores, 1200 CFM</v>
      </c>
      <c r="F39" s="307" t="s">
        <v>220</v>
      </c>
      <c r="G39" s="78" t="s">
        <v>354</v>
      </c>
      <c r="H39" s="307" t="s">
        <v>706</v>
      </c>
      <c r="I39" s="364" t="str">
        <f>BOA!$B$2</f>
        <v>BOA</v>
      </c>
      <c r="J39" s="273" t="s">
        <v>410</v>
      </c>
      <c r="K39" s="364">
        <v>1</v>
      </c>
      <c r="L39" s="273" t="s">
        <v>153</v>
      </c>
      <c r="M39" s="144">
        <f>BOA!G$31*(1-BOA!I$31)</f>
        <v>1142.4000000000001</v>
      </c>
      <c r="N39" s="275">
        <f t="shared" si="0"/>
        <v>1142.4000000000001</v>
      </c>
      <c r="O39" s="365">
        <v>0</v>
      </c>
      <c r="P39" s="275">
        <f t="shared" si="1"/>
        <v>0</v>
      </c>
      <c r="Q39" s="361">
        <v>0.16</v>
      </c>
      <c r="R39" s="275">
        <f t="shared" si="2"/>
        <v>182.78400000000002</v>
      </c>
      <c r="S39" s="275">
        <f t="shared" si="3"/>
        <v>1325.1840000000002</v>
      </c>
      <c r="T39" s="229">
        <f>INDEX('Glosario Partidas'!$M$8:$M$10,MATCH(L39,'Glosario Partidas'!$L$8:$L$10,0))</f>
        <v>17.5</v>
      </c>
      <c r="U39" s="275">
        <f t="shared" si="4"/>
        <v>23190.720000000005</v>
      </c>
      <c r="V39" s="230"/>
      <c r="W39" s="249" t="s">
        <v>12</v>
      </c>
      <c r="X39" s="249"/>
      <c r="Y39" s="249"/>
    </row>
    <row r="40" spans="1:25" ht="15" customHeight="1" x14ac:dyDescent="0.2">
      <c r="A40" s="211"/>
      <c r="B40" s="211" t="s">
        <v>193</v>
      </c>
      <c r="C40" s="78" t="s">
        <v>407</v>
      </c>
      <c r="D40" s="211" t="s">
        <v>102</v>
      </c>
      <c r="E40" s="144" t="str">
        <f>BOA!B$32</f>
        <v>Refrigerador y congelador panelable (puerta francesa) de 48"</v>
      </c>
      <c r="F40" s="307" t="s">
        <v>220</v>
      </c>
      <c r="G40" s="78" t="s">
        <v>354</v>
      </c>
      <c r="H40" s="307" t="s">
        <v>706</v>
      </c>
      <c r="I40" s="364" t="str">
        <f>BOA!$B$2</f>
        <v>BOA</v>
      </c>
      <c r="J40" s="273" t="s">
        <v>410</v>
      </c>
      <c r="K40" s="364">
        <v>1</v>
      </c>
      <c r="L40" s="273" t="s">
        <v>153</v>
      </c>
      <c r="M40" s="144">
        <f>BOA!G$32*(1-BOA!I$32)</f>
        <v>11409.6</v>
      </c>
      <c r="N40" s="275">
        <f t="shared" si="0"/>
        <v>11409.6</v>
      </c>
      <c r="O40" s="365">
        <v>0</v>
      </c>
      <c r="P40" s="275">
        <f t="shared" si="1"/>
        <v>0</v>
      </c>
      <c r="Q40" s="361">
        <v>0.16</v>
      </c>
      <c r="R40" s="275">
        <f t="shared" si="2"/>
        <v>1825.5360000000001</v>
      </c>
      <c r="S40" s="275">
        <f t="shared" si="3"/>
        <v>13235.136</v>
      </c>
      <c r="T40" s="229">
        <f>INDEX('Glosario Partidas'!$M$8:$M$10,MATCH(L40,'Glosario Partidas'!$L$8:$L$10,0))</f>
        <v>17.5</v>
      </c>
      <c r="U40" s="275">
        <f t="shared" si="4"/>
        <v>231614.88</v>
      </c>
      <c r="V40" s="230"/>
      <c r="W40" s="249" t="s">
        <v>12</v>
      </c>
      <c r="X40" s="249"/>
      <c r="Y40" s="249"/>
    </row>
    <row r="41" spans="1:25" ht="15" customHeight="1" x14ac:dyDescent="0.2">
      <c r="A41" s="211"/>
      <c r="B41" s="211" t="s">
        <v>193</v>
      </c>
      <c r="C41" s="78" t="s">
        <v>407</v>
      </c>
      <c r="D41" s="211" t="s">
        <v>102</v>
      </c>
      <c r="E41" s="144" t="str">
        <f>BOA!B$33</f>
        <v>Kit de montaje para panel frontal</v>
      </c>
      <c r="F41" s="307" t="s">
        <v>220</v>
      </c>
      <c r="G41" s="78" t="s">
        <v>354</v>
      </c>
      <c r="H41" s="307" t="s">
        <v>706</v>
      </c>
      <c r="I41" s="364" t="str">
        <f>BOA!$B$2</f>
        <v>BOA</v>
      </c>
      <c r="J41" s="273" t="s">
        <v>410</v>
      </c>
      <c r="K41" s="364">
        <v>1</v>
      </c>
      <c r="L41" s="273" t="s">
        <v>153</v>
      </c>
      <c r="M41" s="144">
        <f>BOA!G$33*(1-BOA!I$33)</f>
        <v>111.2</v>
      </c>
      <c r="N41" s="275">
        <f t="shared" si="0"/>
        <v>111.2</v>
      </c>
      <c r="O41" s="365">
        <v>0</v>
      </c>
      <c r="P41" s="275">
        <f t="shared" si="1"/>
        <v>0</v>
      </c>
      <c r="Q41" s="361">
        <v>0.16</v>
      </c>
      <c r="R41" s="275">
        <f t="shared" si="2"/>
        <v>17.792000000000002</v>
      </c>
      <c r="S41" s="275">
        <f t="shared" si="3"/>
        <v>128.99200000000002</v>
      </c>
      <c r="T41" s="229">
        <f>INDEX('Glosario Partidas'!$M$8:$M$10,MATCH(L41,'Glosario Partidas'!$L$8:$L$10,0))</f>
        <v>17.5</v>
      </c>
      <c r="U41" s="275">
        <f t="shared" si="4"/>
        <v>2257.36</v>
      </c>
      <c r="V41" s="230"/>
      <c r="W41" s="249" t="s">
        <v>12</v>
      </c>
      <c r="X41" s="249"/>
      <c r="Y41" s="249"/>
    </row>
    <row r="42" spans="1:25" ht="15" customHeight="1" x14ac:dyDescent="0.2">
      <c r="A42" s="211"/>
      <c r="B42" s="211" t="s">
        <v>193</v>
      </c>
      <c r="C42" s="78" t="s">
        <v>407</v>
      </c>
      <c r="D42" s="211" t="s">
        <v>102</v>
      </c>
      <c r="E42" s="144" t="str">
        <f>BOA!B$34</f>
        <v>Jaladera tubular para puerta arriba</v>
      </c>
      <c r="F42" s="307" t="s">
        <v>220</v>
      </c>
      <c r="G42" s="78" t="s">
        <v>354</v>
      </c>
      <c r="H42" s="307" t="s">
        <v>706</v>
      </c>
      <c r="I42" s="364" t="str">
        <f>BOA!$B$2</f>
        <v>BOA</v>
      </c>
      <c r="J42" s="273" t="s">
        <v>410</v>
      </c>
      <c r="K42" s="364">
        <v>2</v>
      </c>
      <c r="L42" s="273" t="s">
        <v>153</v>
      </c>
      <c r="M42" s="144">
        <f>BOA!G$34*(1-BOA!I$34)</f>
        <v>213.60000000000002</v>
      </c>
      <c r="N42" s="275">
        <f t="shared" si="0"/>
        <v>427.20000000000005</v>
      </c>
      <c r="O42" s="365">
        <v>0</v>
      </c>
      <c r="P42" s="275">
        <f t="shared" si="1"/>
        <v>0</v>
      </c>
      <c r="Q42" s="361">
        <v>0.16</v>
      </c>
      <c r="R42" s="275">
        <f t="shared" si="2"/>
        <v>68.352000000000004</v>
      </c>
      <c r="S42" s="275">
        <f t="shared" si="3"/>
        <v>495.55200000000002</v>
      </c>
      <c r="T42" s="229">
        <f>INDEX('Glosario Partidas'!$M$8:$M$10,MATCH(L42,'Glosario Partidas'!$L$8:$L$10,0))</f>
        <v>17.5</v>
      </c>
      <c r="U42" s="275">
        <f t="shared" si="4"/>
        <v>8672.16</v>
      </c>
      <c r="V42" s="230"/>
      <c r="W42" s="249" t="s">
        <v>12</v>
      </c>
      <c r="X42" s="249"/>
      <c r="Y42" s="249"/>
    </row>
    <row r="43" spans="1:25" ht="15" customHeight="1" x14ac:dyDescent="0.2">
      <c r="A43" s="211"/>
      <c r="B43" s="211" t="s">
        <v>193</v>
      </c>
      <c r="C43" s="78" t="s">
        <v>407</v>
      </c>
      <c r="D43" s="211" t="s">
        <v>102</v>
      </c>
      <c r="E43" s="144" t="str">
        <f>BOA!B$35</f>
        <v>Jaladera tubular para cajón de 48"</v>
      </c>
      <c r="F43" s="307" t="s">
        <v>220</v>
      </c>
      <c r="G43" s="78" t="s">
        <v>354</v>
      </c>
      <c r="H43" s="307" t="s">
        <v>706</v>
      </c>
      <c r="I43" s="364" t="str">
        <f>BOA!$B$2</f>
        <v>BOA</v>
      </c>
      <c r="J43" s="273" t="s">
        <v>410</v>
      </c>
      <c r="K43" s="364">
        <v>1</v>
      </c>
      <c r="L43" s="273" t="s">
        <v>153</v>
      </c>
      <c r="M43" s="144">
        <f>BOA!G$35*(1-BOA!I$35)</f>
        <v>213.60000000000002</v>
      </c>
      <c r="N43" s="275">
        <f t="shared" si="0"/>
        <v>213.60000000000002</v>
      </c>
      <c r="O43" s="365">
        <v>0</v>
      </c>
      <c r="P43" s="275">
        <f t="shared" si="1"/>
        <v>0</v>
      </c>
      <c r="Q43" s="361">
        <v>0.16</v>
      </c>
      <c r="R43" s="275">
        <f t="shared" si="2"/>
        <v>34.176000000000002</v>
      </c>
      <c r="S43" s="275">
        <f t="shared" si="3"/>
        <v>247.77600000000001</v>
      </c>
      <c r="T43" s="229">
        <f>INDEX('Glosario Partidas'!$M$8:$M$10,MATCH(L43,'Glosario Partidas'!$L$8:$L$10,0))</f>
        <v>17.5</v>
      </c>
      <c r="U43" s="275">
        <f t="shared" si="4"/>
        <v>4336.08</v>
      </c>
      <c r="V43" s="230"/>
      <c r="W43" s="249" t="s">
        <v>12</v>
      </c>
      <c r="X43" s="249"/>
      <c r="Y43" s="249"/>
    </row>
    <row r="44" spans="1:25" ht="15" customHeight="1" x14ac:dyDescent="0.2">
      <c r="A44" s="211"/>
      <c r="B44" s="211" t="s">
        <v>193</v>
      </c>
      <c r="C44" s="78" t="s">
        <v>407</v>
      </c>
      <c r="D44" s="211" t="s">
        <v>102</v>
      </c>
      <c r="E44" s="144" t="str">
        <f>BOA!B$36</f>
        <v>Kit de instalación</v>
      </c>
      <c r="F44" s="307" t="s">
        <v>220</v>
      </c>
      <c r="G44" s="78" t="s">
        <v>354</v>
      </c>
      <c r="H44" s="307" t="s">
        <v>706</v>
      </c>
      <c r="I44" s="364" t="str">
        <f>BOA!$B$2</f>
        <v>BOA</v>
      </c>
      <c r="J44" s="273" t="s">
        <v>410</v>
      </c>
      <c r="K44" s="364">
        <v>1</v>
      </c>
      <c r="L44" s="273" t="s">
        <v>153</v>
      </c>
      <c r="M44" s="144">
        <f>BOA!G$36*(1-BOA!I$36)</f>
        <v>96</v>
      </c>
      <c r="N44" s="275">
        <f t="shared" si="0"/>
        <v>96</v>
      </c>
      <c r="O44" s="365">
        <v>0</v>
      </c>
      <c r="P44" s="275">
        <f t="shared" si="1"/>
        <v>0</v>
      </c>
      <c r="Q44" s="361">
        <v>0.16</v>
      </c>
      <c r="R44" s="275">
        <f t="shared" si="2"/>
        <v>15.36</v>
      </c>
      <c r="S44" s="275">
        <f t="shared" si="3"/>
        <v>111.36</v>
      </c>
      <c r="T44" s="229">
        <f>INDEX('Glosario Partidas'!$M$8:$M$10,MATCH(L44,'Glosario Partidas'!$L$8:$L$10,0))</f>
        <v>17.5</v>
      </c>
      <c r="U44" s="275">
        <f t="shared" si="4"/>
        <v>1948.8</v>
      </c>
      <c r="V44" s="230"/>
      <c r="W44" s="249" t="s">
        <v>12</v>
      </c>
      <c r="X44" s="249"/>
      <c r="Y44" s="249"/>
    </row>
    <row r="45" spans="1:25" ht="15" customHeight="1" x14ac:dyDescent="0.2">
      <c r="A45" s="211"/>
      <c r="B45" s="211" t="s">
        <v>193</v>
      </c>
      <c r="C45" s="78" t="s">
        <v>407</v>
      </c>
      <c r="D45" s="211" t="s">
        <v>102</v>
      </c>
      <c r="E45" s="144" t="str">
        <f>BOA!B$37</f>
        <v>Microondas con puerta drop down de 30", serie E</v>
      </c>
      <c r="F45" s="307" t="s">
        <v>220</v>
      </c>
      <c r="G45" s="78" t="s">
        <v>354</v>
      </c>
      <c r="H45" s="307" t="s">
        <v>706</v>
      </c>
      <c r="I45" s="364" t="str">
        <f>BOA!$B$2</f>
        <v>BOA</v>
      </c>
      <c r="J45" s="273" t="s">
        <v>410</v>
      </c>
      <c r="K45" s="364">
        <v>1</v>
      </c>
      <c r="L45" s="273" t="s">
        <v>153</v>
      </c>
      <c r="M45" s="144">
        <f>BOA!G$37*(1-BOA!I$37)</f>
        <v>2481.6</v>
      </c>
      <c r="N45" s="275">
        <f t="shared" si="0"/>
        <v>2481.6</v>
      </c>
      <c r="O45" s="365">
        <v>0</v>
      </c>
      <c r="P45" s="275">
        <f t="shared" si="1"/>
        <v>0</v>
      </c>
      <c r="Q45" s="361">
        <v>0.16</v>
      </c>
      <c r="R45" s="275">
        <f t="shared" si="2"/>
        <v>397.05599999999998</v>
      </c>
      <c r="S45" s="275">
        <f t="shared" si="3"/>
        <v>2878.6559999999999</v>
      </c>
      <c r="T45" s="229">
        <f>INDEX('Glosario Partidas'!$M$8:$M$10,MATCH(L45,'Glosario Partidas'!$L$8:$L$10,0))</f>
        <v>17.5</v>
      </c>
      <c r="U45" s="275">
        <f t="shared" si="4"/>
        <v>50376.479999999996</v>
      </c>
      <c r="V45" s="230"/>
      <c r="W45" s="249" t="s">
        <v>12</v>
      </c>
      <c r="X45" s="249"/>
      <c r="Y45" s="249"/>
    </row>
    <row r="46" spans="1:25" ht="15" customHeight="1" x14ac:dyDescent="0.2">
      <c r="A46" s="211"/>
      <c r="B46" s="211" t="s">
        <v>193</v>
      </c>
      <c r="C46" s="78" t="s">
        <v>407</v>
      </c>
      <c r="D46" s="211" t="s">
        <v>102</v>
      </c>
      <c r="E46" s="144" t="str">
        <f>BOA!B$38</f>
        <v>Lavavajillas panelable para 16 juegos (con gola)</v>
      </c>
      <c r="F46" s="307" t="s">
        <v>220</v>
      </c>
      <c r="G46" s="78" t="s">
        <v>354</v>
      </c>
      <c r="H46" s="307" t="s">
        <v>706</v>
      </c>
      <c r="I46" s="364" t="str">
        <f>BOA!$B$2</f>
        <v>BOA</v>
      </c>
      <c r="J46" s="273" t="s">
        <v>410</v>
      </c>
      <c r="K46" s="364">
        <v>1</v>
      </c>
      <c r="L46" s="273" t="s">
        <v>153</v>
      </c>
      <c r="M46" s="144">
        <f>BOA!G$38*(1-BOA!I$38)</f>
        <v>1543.2</v>
      </c>
      <c r="N46" s="275">
        <f t="shared" si="0"/>
        <v>1543.2</v>
      </c>
      <c r="O46" s="365">
        <v>0</v>
      </c>
      <c r="P46" s="275">
        <f t="shared" si="1"/>
        <v>0</v>
      </c>
      <c r="Q46" s="361">
        <v>0.16</v>
      </c>
      <c r="R46" s="275">
        <f t="shared" si="2"/>
        <v>246.91200000000001</v>
      </c>
      <c r="S46" s="275">
        <f t="shared" si="3"/>
        <v>1790.1120000000001</v>
      </c>
      <c r="T46" s="229">
        <f>INDEX('Glosario Partidas'!$M$8:$M$10,MATCH(L46,'Glosario Partidas'!$L$8:$L$10,0))</f>
        <v>17.5</v>
      </c>
      <c r="U46" s="275">
        <f t="shared" si="4"/>
        <v>31326.960000000003</v>
      </c>
      <c r="V46" s="230"/>
      <c r="W46" s="249" t="s">
        <v>12</v>
      </c>
      <c r="X46" s="249"/>
      <c r="Y46" s="249"/>
    </row>
    <row r="47" spans="1:25" ht="15" customHeight="1" x14ac:dyDescent="0.2">
      <c r="A47" s="211"/>
      <c r="B47" s="211" t="s">
        <v>193</v>
      </c>
      <c r="C47" s="78" t="s">
        <v>407</v>
      </c>
      <c r="D47" s="211" t="s">
        <v>102</v>
      </c>
      <c r="E47" s="144" t="str">
        <f>BOA!B$39</f>
        <v>Centro de bebidas bajo cubierta 24", apertura derecha ADA</v>
      </c>
      <c r="F47" s="307" t="s">
        <v>220</v>
      </c>
      <c r="G47" s="78" t="s">
        <v>354</v>
      </c>
      <c r="H47" s="307" t="s">
        <v>706</v>
      </c>
      <c r="I47" s="364" t="str">
        <f>BOA!$B$2</f>
        <v>BOA</v>
      </c>
      <c r="J47" s="273" t="s">
        <v>410</v>
      </c>
      <c r="K47" s="364">
        <v>1</v>
      </c>
      <c r="L47" s="273" t="s">
        <v>153</v>
      </c>
      <c r="M47" s="144">
        <f>BOA!G$39*(1-BOA!I$39)</f>
        <v>2740.7999999999997</v>
      </c>
      <c r="N47" s="275">
        <f t="shared" si="0"/>
        <v>2740.7999999999997</v>
      </c>
      <c r="O47" s="365">
        <v>0</v>
      </c>
      <c r="P47" s="275">
        <f t="shared" si="1"/>
        <v>0</v>
      </c>
      <c r="Q47" s="361">
        <v>0.16</v>
      </c>
      <c r="R47" s="275">
        <f t="shared" si="2"/>
        <v>438.52799999999996</v>
      </c>
      <c r="S47" s="275">
        <f t="shared" si="3"/>
        <v>3179.3279999999995</v>
      </c>
      <c r="T47" s="229">
        <f>INDEX('Glosario Partidas'!$M$8:$M$10,MATCH(L47,'Glosario Partidas'!$L$8:$L$10,0))</f>
        <v>17.5</v>
      </c>
      <c r="U47" s="275">
        <f t="shared" si="4"/>
        <v>55638.239999999991</v>
      </c>
      <c r="V47" s="230"/>
      <c r="W47" s="249" t="s">
        <v>12</v>
      </c>
      <c r="X47" s="249"/>
      <c r="Y47" s="249"/>
    </row>
    <row r="48" spans="1:25" ht="15" customHeight="1" x14ac:dyDescent="0.2">
      <c r="A48" s="211"/>
      <c r="B48" s="211" t="s">
        <v>193</v>
      </c>
      <c r="C48" s="78" t="s">
        <v>407</v>
      </c>
      <c r="D48" s="211" t="s">
        <v>102</v>
      </c>
      <c r="E48" s="144" t="str">
        <f>BOA!B$43</f>
        <v>Jaladera tubular</v>
      </c>
      <c r="F48" s="307" t="s">
        <v>220</v>
      </c>
      <c r="G48" s="78" t="s">
        <v>354</v>
      </c>
      <c r="H48" s="307" t="s">
        <v>706</v>
      </c>
      <c r="I48" s="364" t="str">
        <f>BOA!$B$2</f>
        <v>BOA</v>
      </c>
      <c r="J48" s="273" t="s">
        <v>410</v>
      </c>
      <c r="K48" s="364">
        <v>1</v>
      </c>
      <c r="L48" s="273" t="s">
        <v>153</v>
      </c>
      <c r="M48" s="144">
        <f>BOA!G$43*(1-BOA!I$43)</f>
        <v>185.60000000000002</v>
      </c>
      <c r="N48" s="275">
        <f t="shared" si="0"/>
        <v>185.60000000000002</v>
      </c>
      <c r="O48" s="365">
        <v>0</v>
      </c>
      <c r="P48" s="275">
        <f t="shared" si="1"/>
        <v>0</v>
      </c>
      <c r="Q48" s="361">
        <v>0.16</v>
      </c>
      <c r="R48" s="275">
        <f t="shared" si="2"/>
        <v>29.696000000000005</v>
      </c>
      <c r="S48" s="275">
        <f t="shared" si="3"/>
        <v>215.29600000000002</v>
      </c>
      <c r="T48" s="229">
        <f>INDEX('Glosario Partidas'!$M$8:$M$10,MATCH(L48,'Glosario Partidas'!$L$8:$L$10,0))</f>
        <v>17.5</v>
      </c>
      <c r="U48" s="275">
        <f t="shared" si="4"/>
        <v>3767.6800000000003</v>
      </c>
      <c r="V48" s="230"/>
      <c r="W48" s="249" t="s">
        <v>12</v>
      </c>
      <c r="X48" s="249"/>
      <c r="Y48" s="249"/>
    </row>
    <row r="49" spans="1:25" ht="15" customHeight="1" x14ac:dyDescent="0.2">
      <c r="A49" s="211"/>
      <c r="B49" s="211" t="s">
        <v>193</v>
      </c>
      <c r="C49" s="78" t="s">
        <v>407</v>
      </c>
      <c r="D49" s="211" t="s">
        <v>102</v>
      </c>
      <c r="E49" s="144" t="str">
        <f>BOA!B$44</f>
        <v>Kit de instalación</v>
      </c>
      <c r="F49" s="307" t="s">
        <v>220</v>
      </c>
      <c r="G49" s="78" t="s">
        <v>354</v>
      </c>
      <c r="H49" s="307" t="s">
        <v>706</v>
      </c>
      <c r="I49" s="364" t="str">
        <f>BOA!$B$2</f>
        <v>BOA</v>
      </c>
      <c r="J49" s="273" t="s">
        <v>410</v>
      </c>
      <c r="K49" s="364">
        <v>1</v>
      </c>
      <c r="L49" s="273" t="s">
        <v>153</v>
      </c>
      <c r="M49" s="144">
        <f>BOA!G$44*(1-BOA!I$44)</f>
        <v>96</v>
      </c>
      <c r="N49" s="275">
        <f t="shared" si="0"/>
        <v>96</v>
      </c>
      <c r="O49" s="365">
        <v>0</v>
      </c>
      <c r="P49" s="275">
        <f t="shared" si="1"/>
        <v>0</v>
      </c>
      <c r="Q49" s="361">
        <v>0.16</v>
      </c>
      <c r="R49" s="275">
        <f t="shared" si="2"/>
        <v>15.36</v>
      </c>
      <c r="S49" s="275">
        <f t="shared" si="3"/>
        <v>111.36</v>
      </c>
      <c r="T49" s="229">
        <f>INDEX('Glosario Partidas'!$M$8:$M$10,MATCH(L49,'Glosario Partidas'!$L$8:$L$10,0))</f>
        <v>17.5</v>
      </c>
      <c r="U49" s="275">
        <f t="shared" si="4"/>
        <v>1948.8</v>
      </c>
      <c r="V49" s="230"/>
      <c r="W49" s="249" t="s">
        <v>12</v>
      </c>
      <c r="X49" s="249"/>
      <c r="Y49" s="249"/>
    </row>
    <row r="50" spans="1:25" ht="15" customHeight="1" x14ac:dyDescent="0.2">
      <c r="A50" s="211"/>
      <c r="B50" s="211" t="s">
        <v>193</v>
      </c>
      <c r="C50" s="78" t="s">
        <v>407</v>
      </c>
      <c r="D50" s="211" t="s">
        <v>102</v>
      </c>
      <c r="E50" s="144" t="str">
        <f>BOA!B$45</f>
        <v>Tarja</v>
      </c>
      <c r="F50" s="307" t="s">
        <v>220</v>
      </c>
      <c r="G50" s="78" t="s">
        <v>354</v>
      </c>
      <c r="H50" s="307" t="s">
        <v>706</v>
      </c>
      <c r="I50" s="364" t="str">
        <f>BOA!$B$2</f>
        <v>BOA</v>
      </c>
      <c r="J50" s="273" t="s">
        <v>410</v>
      </c>
      <c r="K50" s="364">
        <v>1</v>
      </c>
      <c r="L50" s="273" t="s">
        <v>153</v>
      </c>
      <c r="M50" s="144">
        <f>BOA!G$45*(1-BOA!I$45)</f>
        <v>1040</v>
      </c>
      <c r="N50" s="275">
        <f t="shared" si="0"/>
        <v>1040</v>
      </c>
      <c r="O50" s="365">
        <v>0</v>
      </c>
      <c r="P50" s="275">
        <f t="shared" si="1"/>
        <v>0</v>
      </c>
      <c r="Q50" s="361">
        <v>0.16</v>
      </c>
      <c r="R50" s="275">
        <f t="shared" si="2"/>
        <v>166.4</v>
      </c>
      <c r="S50" s="275">
        <f t="shared" si="3"/>
        <v>1206.4000000000001</v>
      </c>
      <c r="T50" s="229">
        <f>INDEX('Glosario Partidas'!$M$8:$M$10,MATCH(L50,'Glosario Partidas'!$L$8:$L$10,0))</f>
        <v>17.5</v>
      </c>
      <c r="U50" s="275">
        <f t="shared" si="4"/>
        <v>21112</v>
      </c>
      <c r="V50" s="230"/>
      <c r="W50" s="249" t="s">
        <v>12</v>
      </c>
      <c r="X50" s="249"/>
      <c r="Y50" s="249"/>
    </row>
    <row r="51" spans="1:25" ht="15" customHeight="1" x14ac:dyDescent="0.2">
      <c r="A51" s="211"/>
      <c r="B51" s="211" t="s">
        <v>193</v>
      </c>
      <c r="C51" s="78" t="s">
        <v>407</v>
      </c>
      <c r="D51" s="211" t="s">
        <v>102</v>
      </c>
      <c r="E51" s="144" t="str">
        <f>BOA!B$46</f>
        <v>Sink</v>
      </c>
      <c r="F51" s="307" t="s">
        <v>220</v>
      </c>
      <c r="G51" s="78" t="s">
        <v>354</v>
      </c>
      <c r="H51" s="307" t="s">
        <v>706</v>
      </c>
      <c r="I51" s="364" t="str">
        <f>BOA!$B$2</f>
        <v>BOA</v>
      </c>
      <c r="J51" s="273" t="s">
        <v>410</v>
      </c>
      <c r="K51" s="364">
        <v>2</v>
      </c>
      <c r="L51" s="273" t="s">
        <v>153</v>
      </c>
      <c r="M51" s="144">
        <f>BOA!G$46*(1-BOA!I$46)</f>
        <v>104</v>
      </c>
      <c r="N51" s="275">
        <f t="shared" si="0"/>
        <v>208</v>
      </c>
      <c r="O51" s="365">
        <v>0</v>
      </c>
      <c r="P51" s="275">
        <f t="shared" si="1"/>
        <v>0</v>
      </c>
      <c r="Q51" s="361">
        <v>0.16</v>
      </c>
      <c r="R51" s="275">
        <f t="shared" si="2"/>
        <v>33.28</v>
      </c>
      <c r="S51" s="275">
        <f t="shared" si="3"/>
        <v>241.28</v>
      </c>
      <c r="T51" s="229">
        <f>INDEX('Glosario Partidas'!$M$8:$M$10,MATCH(L51,'Glosario Partidas'!$L$8:$L$10,0))</f>
        <v>17.5</v>
      </c>
      <c r="U51" s="275">
        <f t="shared" si="4"/>
        <v>4222.3999999999996</v>
      </c>
      <c r="V51" s="230"/>
      <c r="W51" s="249" t="s">
        <v>12</v>
      </c>
      <c r="X51" s="249"/>
      <c r="Y51" s="249"/>
    </row>
    <row r="52" spans="1:25" ht="15" customHeight="1" x14ac:dyDescent="0.2">
      <c r="A52" s="211"/>
      <c r="B52" s="211" t="s">
        <v>193</v>
      </c>
      <c r="C52" s="78" t="s">
        <v>407</v>
      </c>
      <c r="D52" s="211" t="s">
        <v>102</v>
      </c>
      <c r="E52" s="144" t="str">
        <f>BOA!B$47</f>
        <v>Triturador</v>
      </c>
      <c r="F52" s="307" t="s">
        <v>220</v>
      </c>
      <c r="G52" s="78" t="s">
        <v>354</v>
      </c>
      <c r="H52" s="307" t="s">
        <v>706</v>
      </c>
      <c r="I52" s="364" t="str">
        <f>BOA!$B$2</f>
        <v>BOA</v>
      </c>
      <c r="J52" s="273" t="s">
        <v>410</v>
      </c>
      <c r="K52" s="364">
        <v>1</v>
      </c>
      <c r="L52" s="273" t="s">
        <v>153</v>
      </c>
      <c r="M52" s="144">
        <f>BOA!G$47*(1-BOA!I$47)</f>
        <v>598.4</v>
      </c>
      <c r="N52" s="275">
        <f t="shared" si="0"/>
        <v>598.4</v>
      </c>
      <c r="O52" s="365">
        <v>0</v>
      </c>
      <c r="P52" s="275">
        <f t="shared" si="1"/>
        <v>0</v>
      </c>
      <c r="Q52" s="361">
        <v>0.16</v>
      </c>
      <c r="R52" s="275">
        <f t="shared" si="2"/>
        <v>95.744</v>
      </c>
      <c r="S52" s="275">
        <f t="shared" si="3"/>
        <v>694.14400000000001</v>
      </c>
      <c r="T52" s="229">
        <f>INDEX('Glosario Partidas'!$M$8:$M$10,MATCH(L52,'Glosario Partidas'!$L$8:$L$10,0))</f>
        <v>17.5</v>
      </c>
      <c r="U52" s="275">
        <f t="shared" si="4"/>
        <v>12147.52</v>
      </c>
      <c r="V52" s="230"/>
      <c r="W52" s="249" t="s">
        <v>12</v>
      </c>
      <c r="X52" s="249"/>
      <c r="Y52" s="249"/>
    </row>
    <row r="53" spans="1:25" ht="15" customHeight="1" x14ac:dyDescent="0.2">
      <c r="A53" s="211"/>
      <c r="B53" s="211" t="s">
        <v>193</v>
      </c>
      <c r="C53" s="78" t="s">
        <v>407</v>
      </c>
      <c r="D53" s="211" t="s">
        <v>104</v>
      </c>
      <c r="E53" s="144" t="str">
        <f>BOA!B$65</f>
        <v>Máquina de hielo residencial gourmet 65 lb con bomba de drenaje</v>
      </c>
      <c r="F53" s="307" t="s">
        <v>220</v>
      </c>
      <c r="G53" s="78" t="s">
        <v>355</v>
      </c>
      <c r="H53" s="307" t="s">
        <v>757</v>
      </c>
      <c r="I53" s="364" t="str">
        <f>BOA!$B$2</f>
        <v>BOA</v>
      </c>
      <c r="J53" s="273" t="s">
        <v>410</v>
      </c>
      <c r="K53" s="364">
        <v>1</v>
      </c>
      <c r="L53" s="273" t="s">
        <v>153</v>
      </c>
      <c r="M53" s="144">
        <f>BOA!G$65*(1-BOA!I$65)</f>
        <v>4768</v>
      </c>
      <c r="N53" s="275">
        <f t="shared" si="0"/>
        <v>4768</v>
      </c>
      <c r="O53" s="365">
        <v>0</v>
      </c>
      <c r="P53" s="275">
        <f t="shared" si="1"/>
        <v>0</v>
      </c>
      <c r="Q53" s="361">
        <v>0.16</v>
      </c>
      <c r="R53" s="275">
        <f t="shared" si="2"/>
        <v>762.88</v>
      </c>
      <c r="S53" s="275">
        <f t="shared" si="3"/>
        <v>5530.88</v>
      </c>
      <c r="T53" s="229">
        <f>INDEX('Glosario Partidas'!$M$8:$M$10,MATCH(L53,'Glosario Partidas'!$L$8:$L$10,0))</f>
        <v>17.5</v>
      </c>
      <c r="U53" s="275">
        <f t="shared" si="4"/>
        <v>96790.400000000009</v>
      </c>
      <c r="V53" s="230"/>
      <c r="W53" s="249" t="s">
        <v>12</v>
      </c>
      <c r="X53" s="249"/>
      <c r="Y53" s="249"/>
    </row>
    <row r="54" spans="1:25" ht="15" customHeight="1" x14ac:dyDescent="0.2">
      <c r="A54" s="211"/>
      <c r="B54" s="211" t="s">
        <v>193</v>
      </c>
      <c r="C54" s="78" t="s">
        <v>407</v>
      </c>
      <c r="D54" s="211" t="s">
        <v>104</v>
      </c>
      <c r="E54" s="144" t="str">
        <f>BOA!B$66</f>
        <v>Kit de instalación</v>
      </c>
      <c r="F54" s="307" t="s">
        <v>220</v>
      </c>
      <c r="G54" s="78" t="s">
        <v>355</v>
      </c>
      <c r="H54" s="307" t="s">
        <v>757</v>
      </c>
      <c r="I54" s="364" t="str">
        <f>BOA!$B$2</f>
        <v>BOA</v>
      </c>
      <c r="J54" s="273" t="s">
        <v>410</v>
      </c>
      <c r="K54" s="364">
        <v>1</v>
      </c>
      <c r="L54" s="273" t="s">
        <v>153</v>
      </c>
      <c r="M54" s="144">
        <f>BOA!G$66*(1-BOA!I$66)</f>
        <v>96</v>
      </c>
      <c r="N54" s="275">
        <f t="shared" si="0"/>
        <v>96</v>
      </c>
      <c r="O54" s="365">
        <v>0</v>
      </c>
      <c r="P54" s="275">
        <f t="shared" si="1"/>
        <v>0</v>
      </c>
      <c r="Q54" s="361">
        <v>0.16</v>
      </c>
      <c r="R54" s="275">
        <f t="shared" si="2"/>
        <v>15.36</v>
      </c>
      <c r="S54" s="275">
        <f t="shared" si="3"/>
        <v>111.36</v>
      </c>
      <c r="T54" s="229">
        <f>INDEX('Glosario Partidas'!$M$8:$M$10,MATCH(L54,'Glosario Partidas'!$L$8:$L$10,0))</f>
        <v>17.5</v>
      </c>
      <c r="U54" s="275">
        <f t="shared" si="4"/>
        <v>1948.8</v>
      </c>
      <c r="V54" s="230"/>
      <c r="W54" s="249" t="s">
        <v>12</v>
      </c>
      <c r="X54" s="249"/>
      <c r="Y54" s="249"/>
    </row>
    <row r="55" spans="1:25" ht="15" customHeight="1" x14ac:dyDescent="0.2">
      <c r="A55" s="211"/>
      <c r="B55" s="211" t="s">
        <v>193</v>
      </c>
      <c r="C55" s="78" t="s">
        <v>407</v>
      </c>
      <c r="D55" s="211" t="s">
        <v>104</v>
      </c>
      <c r="E55" s="144" t="str">
        <f>BOA!B$67</f>
        <v>Refrigerador bajo cubierta exterior 24", apertura derecha</v>
      </c>
      <c r="F55" s="307" t="s">
        <v>220</v>
      </c>
      <c r="G55" s="78" t="s">
        <v>355</v>
      </c>
      <c r="H55" s="307" t="s">
        <v>757</v>
      </c>
      <c r="I55" s="364" t="str">
        <f>BOA!$B$2</f>
        <v>BOA</v>
      </c>
      <c r="J55" s="273" t="s">
        <v>410</v>
      </c>
      <c r="K55" s="364">
        <v>1</v>
      </c>
      <c r="L55" s="273" t="s">
        <v>153</v>
      </c>
      <c r="M55" s="144">
        <f>BOA!G$67*(1-BOA!I$67)</f>
        <v>3326.4</v>
      </c>
      <c r="N55" s="275">
        <f t="shared" si="0"/>
        <v>3326.4</v>
      </c>
      <c r="O55" s="365">
        <v>0</v>
      </c>
      <c r="P55" s="275">
        <f t="shared" si="1"/>
        <v>0</v>
      </c>
      <c r="Q55" s="361">
        <v>0.16</v>
      </c>
      <c r="R55" s="275">
        <f t="shared" si="2"/>
        <v>532.22400000000005</v>
      </c>
      <c r="S55" s="275">
        <f t="shared" si="3"/>
        <v>3858.6240000000003</v>
      </c>
      <c r="T55" s="229">
        <f>INDEX('Glosario Partidas'!$M$8:$M$10,MATCH(L55,'Glosario Partidas'!$L$8:$L$10,0))</f>
        <v>17.5</v>
      </c>
      <c r="U55" s="275">
        <f t="shared" si="4"/>
        <v>67525.919999999998</v>
      </c>
      <c r="V55" s="230"/>
      <c r="W55" s="249" t="s">
        <v>12</v>
      </c>
      <c r="X55" s="249"/>
      <c r="Y55" s="249"/>
    </row>
    <row r="56" spans="1:25" ht="15" customHeight="1" x14ac:dyDescent="0.2">
      <c r="A56" s="211"/>
      <c r="B56" s="211" t="s">
        <v>193</v>
      </c>
      <c r="C56" s="78" t="s">
        <v>407</v>
      </c>
      <c r="D56" s="211" t="s">
        <v>104</v>
      </c>
      <c r="E56" s="144" t="str">
        <f>BOA!B$70</f>
        <v>Kit de instalación</v>
      </c>
      <c r="F56" s="307" t="s">
        <v>220</v>
      </c>
      <c r="G56" s="78" t="s">
        <v>355</v>
      </c>
      <c r="H56" s="307" t="s">
        <v>757</v>
      </c>
      <c r="I56" s="364" t="str">
        <f>BOA!$B$2</f>
        <v>BOA</v>
      </c>
      <c r="J56" s="273" t="s">
        <v>410</v>
      </c>
      <c r="K56" s="364">
        <v>1</v>
      </c>
      <c r="L56" s="273" t="s">
        <v>153</v>
      </c>
      <c r="M56" s="144">
        <f>BOA!G$70*(1-BOA!I$70)</f>
        <v>96</v>
      </c>
      <c r="N56" s="275">
        <f t="shared" si="0"/>
        <v>96</v>
      </c>
      <c r="O56" s="365">
        <v>0</v>
      </c>
      <c r="P56" s="275">
        <f t="shared" si="1"/>
        <v>0</v>
      </c>
      <c r="Q56" s="361">
        <v>0.16</v>
      </c>
      <c r="R56" s="275">
        <f t="shared" si="2"/>
        <v>15.36</v>
      </c>
      <c r="S56" s="275">
        <f t="shared" si="3"/>
        <v>111.36</v>
      </c>
      <c r="T56" s="229">
        <f>INDEX('Glosario Partidas'!$M$8:$M$10,MATCH(L56,'Glosario Partidas'!$L$8:$L$10,0))</f>
        <v>17.5</v>
      </c>
      <c r="U56" s="275">
        <f t="shared" si="4"/>
        <v>1948.8</v>
      </c>
      <c r="V56" s="230"/>
      <c r="W56" s="249" t="s">
        <v>12</v>
      </c>
      <c r="X56" s="249"/>
      <c r="Y56" s="249"/>
    </row>
    <row r="57" spans="1:25" ht="15" customHeight="1" x14ac:dyDescent="0.2">
      <c r="A57" s="211"/>
      <c r="B57" s="211" t="s">
        <v>193</v>
      </c>
      <c r="C57" s="78" t="s">
        <v>407</v>
      </c>
      <c r="D57" s="211" t="s">
        <v>104</v>
      </c>
      <c r="E57" s="144" t="str">
        <f>BOA!B$71</f>
        <v>Campana profesional para exterior acero inox., 48" x 33"</v>
      </c>
      <c r="F57" s="307" t="s">
        <v>220</v>
      </c>
      <c r="G57" s="78" t="s">
        <v>355</v>
      </c>
      <c r="H57" s="307" t="s">
        <v>757</v>
      </c>
      <c r="I57" s="364" t="str">
        <f>BOA!$B$2</f>
        <v>BOA</v>
      </c>
      <c r="J57" s="273" t="s">
        <v>410</v>
      </c>
      <c r="K57" s="364">
        <v>1</v>
      </c>
      <c r="L57" s="273" t="s">
        <v>153</v>
      </c>
      <c r="M57" s="144">
        <f>BOA!G$71*(1-BOA!I$71)</f>
        <v>2733</v>
      </c>
      <c r="N57" s="275">
        <f t="shared" si="0"/>
        <v>2733</v>
      </c>
      <c r="O57" s="365">
        <v>0</v>
      </c>
      <c r="P57" s="275">
        <f t="shared" si="1"/>
        <v>0</v>
      </c>
      <c r="Q57" s="361">
        <v>0.16</v>
      </c>
      <c r="R57" s="275">
        <f t="shared" si="2"/>
        <v>437.28000000000003</v>
      </c>
      <c r="S57" s="275">
        <f t="shared" si="3"/>
        <v>3170.28</v>
      </c>
      <c r="T57" s="229">
        <f>INDEX('Glosario Partidas'!$M$8:$M$10,MATCH(L57,'Glosario Partidas'!$L$8:$L$10,0))</f>
        <v>17.5</v>
      </c>
      <c r="U57" s="275">
        <f t="shared" si="4"/>
        <v>55479.9</v>
      </c>
      <c r="V57" s="230"/>
      <c r="W57" s="249" t="s">
        <v>12</v>
      </c>
      <c r="X57" s="249"/>
      <c r="Y57" s="249"/>
    </row>
    <row r="58" spans="1:25" ht="15" customHeight="1" x14ac:dyDescent="0.2">
      <c r="A58" s="211"/>
      <c r="B58" s="211" t="s">
        <v>193</v>
      </c>
      <c r="C58" s="78" t="s">
        <v>407</v>
      </c>
      <c r="D58" s="211" t="s">
        <v>104</v>
      </c>
      <c r="E58" s="144" t="str">
        <f>BOA!B$72</f>
        <v>Motor de extracción interno para campanas, 1200 CFM</v>
      </c>
      <c r="F58" s="307" t="s">
        <v>220</v>
      </c>
      <c r="G58" s="78" t="s">
        <v>355</v>
      </c>
      <c r="H58" s="307" t="s">
        <v>757</v>
      </c>
      <c r="I58" s="364" t="str">
        <f>BOA!$B$2</f>
        <v>BOA</v>
      </c>
      <c r="J58" s="273" t="s">
        <v>410</v>
      </c>
      <c r="K58" s="364">
        <v>1</v>
      </c>
      <c r="L58" s="273" t="s">
        <v>153</v>
      </c>
      <c r="M58" s="144">
        <f>BOA!G$72*(1-BOA!I$72)</f>
        <v>1142.4000000000001</v>
      </c>
      <c r="N58" s="275">
        <f t="shared" si="0"/>
        <v>1142.4000000000001</v>
      </c>
      <c r="O58" s="365">
        <v>0</v>
      </c>
      <c r="P58" s="275">
        <f t="shared" si="1"/>
        <v>0</v>
      </c>
      <c r="Q58" s="361">
        <v>0.16</v>
      </c>
      <c r="R58" s="275">
        <f t="shared" si="2"/>
        <v>182.78400000000002</v>
      </c>
      <c r="S58" s="275">
        <f t="shared" si="3"/>
        <v>1325.1840000000002</v>
      </c>
      <c r="T58" s="229">
        <f>INDEX('Glosario Partidas'!$M$8:$M$10,MATCH(L58,'Glosario Partidas'!$L$8:$L$10,0))</f>
        <v>17.5</v>
      </c>
      <c r="U58" s="275">
        <f t="shared" si="4"/>
        <v>23190.720000000005</v>
      </c>
      <c r="V58" s="230"/>
      <c r="W58" s="249" t="s">
        <v>12</v>
      </c>
      <c r="X58" s="249"/>
      <c r="Y58" s="249"/>
    </row>
    <row r="59" spans="1:25" ht="15" customHeight="1" x14ac:dyDescent="0.2">
      <c r="A59" s="211"/>
      <c r="B59" s="211" t="s">
        <v>193</v>
      </c>
      <c r="C59" s="78" t="s">
        <v>407</v>
      </c>
      <c r="D59" s="211" t="s">
        <v>104</v>
      </c>
      <c r="E59" s="144" t="str">
        <f>BOA!B$73</f>
        <v>Tarja</v>
      </c>
      <c r="F59" s="307" t="s">
        <v>220</v>
      </c>
      <c r="G59" s="78" t="s">
        <v>355</v>
      </c>
      <c r="H59" s="307" t="s">
        <v>757</v>
      </c>
      <c r="I59" s="364" t="str">
        <f>BOA!$B$2</f>
        <v>BOA</v>
      </c>
      <c r="J59" s="273" t="s">
        <v>410</v>
      </c>
      <c r="K59" s="364">
        <v>1</v>
      </c>
      <c r="L59" s="273" t="s">
        <v>153</v>
      </c>
      <c r="M59" s="144">
        <f>BOA!G$73*(1-BOA!I$73)</f>
        <v>1040</v>
      </c>
      <c r="N59" s="275">
        <f t="shared" si="0"/>
        <v>1040</v>
      </c>
      <c r="O59" s="365">
        <v>0</v>
      </c>
      <c r="P59" s="275">
        <f t="shared" si="1"/>
        <v>0</v>
      </c>
      <c r="Q59" s="361">
        <v>0.16</v>
      </c>
      <c r="R59" s="275">
        <f t="shared" si="2"/>
        <v>166.4</v>
      </c>
      <c r="S59" s="275">
        <f t="shared" si="3"/>
        <v>1206.4000000000001</v>
      </c>
      <c r="T59" s="229">
        <f>INDEX('Glosario Partidas'!$M$8:$M$10,MATCH(L59,'Glosario Partidas'!$L$8:$L$10,0))</f>
        <v>17.5</v>
      </c>
      <c r="U59" s="275">
        <f t="shared" si="4"/>
        <v>21112</v>
      </c>
      <c r="V59" s="230"/>
      <c r="W59" s="249" t="s">
        <v>12</v>
      </c>
      <c r="X59" s="249"/>
      <c r="Y59" s="249"/>
    </row>
    <row r="60" spans="1:25" ht="15" customHeight="1" x14ac:dyDescent="0.2">
      <c r="A60" s="211"/>
      <c r="B60" s="211" t="s">
        <v>193</v>
      </c>
      <c r="C60" s="78" t="s">
        <v>407</v>
      </c>
      <c r="D60" s="211" t="s">
        <v>104</v>
      </c>
      <c r="E60" s="144" t="str">
        <f>BOA!B$74</f>
        <v>Sink</v>
      </c>
      <c r="F60" s="307" t="s">
        <v>220</v>
      </c>
      <c r="G60" s="78" t="s">
        <v>355</v>
      </c>
      <c r="H60" s="307" t="s">
        <v>757</v>
      </c>
      <c r="I60" s="364" t="str">
        <f>BOA!$B$2</f>
        <v>BOA</v>
      </c>
      <c r="J60" s="273" t="s">
        <v>410</v>
      </c>
      <c r="K60" s="364">
        <v>2</v>
      </c>
      <c r="L60" s="273" t="s">
        <v>153</v>
      </c>
      <c r="M60" s="144">
        <f>BOA!G$74*(1-BOA!I$74)</f>
        <v>104</v>
      </c>
      <c r="N60" s="275">
        <f t="shared" si="0"/>
        <v>208</v>
      </c>
      <c r="O60" s="365">
        <v>0</v>
      </c>
      <c r="P60" s="275">
        <f t="shared" si="1"/>
        <v>0</v>
      </c>
      <c r="Q60" s="361">
        <v>0.16</v>
      </c>
      <c r="R60" s="275">
        <f t="shared" si="2"/>
        <v>33.28</v>
      </c>
      <c r="S60" s="275">
        <f t="shared" si="3"/>
        <v>241.28</v>
      </c>
      <c r="T60" s="229">
        <f>INDEX('Glosario Partidas'!$M$8:$M$10,MATCH(L60,'Glosario Partidas'!$L$8:$L$10,0))</f>
        <v>17.5</v>
      </c>
      <c r="U60" s="275">
        <f t="shared" si="4"/>
        <v>4222.3999999999996</v>
      </c>
      <c r="V60" s="230"/>
      <c r="W60" s="249" t="s">
        <v>12</v>
      </c>
      <c r="X60" s="249"/>
      <c r="Y60" s="249"/>
    </row>
    <row r="61" spans="1:25" ht="15" customHeight="1" x14ac:dyDescent="0.2">
      <c r="A61" s="211"/>
      <c r="B61" s="211" t="s">
        <v>193</v>
      </c>
      <c r="C61" s="78" t="s">
        <v>407</v>
      </c>
      <c r="D61" s="211" t="s">
        <v>104</v>
      </c>
      <c r="E61" s="144" t="str">
        <f>BOA!B$75</f>
        <v>Triturador</v>
      </c>
      <c r="F61" s="307" t="s">
        <v>220</v>
      </c>
      <c r="G61" s="78" t="s">
        <v>355</v>
      </c>
      <c r="H61" s="307" t="s">
        <v>757</v>
      </c>
      <c r="I61" s="364" t="str">
        <f>BOA!$B$2</f>
        <v>BOA</v>
      </c>
      <c r="J61" s="273" t="s">
        <v>410</v>
      </c>
      <c r="K61" s="364">
        <v>1</v>
      </c>
      <c r="L61" s="273" t="s">
        <v>153</v>
      </c>
      <c r="M61" s="144">
        <f>BOA!G$75*(1-BOA!I$75)</f>
        <v>598.4</v>
      </c>
      <c r="N61" s="275">
        <f t="shared" si="0"/>
        <v>598.4</v>
      </c>
      <c r="O61" s="365">
        <v>0</v>
      </c>
      <c r="P61" s="275">
        <f t="shared" si="1"/>
        <v>0</v>
      </c>
      <c r="Q61" s="361">
        <v>0.16</v>
      </c>
      <c r="R61" s="275">
        <f t="shared" si="2"/>
        <v>95.744</v>
      </c>
      <c r="S61" s="275">
        <f t="shared" si="3"/>
        <v>694.14400000000001</v>
      </c>
      <c r="T61" s="229">
        <f>INDEX('Glosario Partidas'!$M$8:$M$10,MATCH(L61,'Glosario Partidas'!$L$8:$L$10,0))</f>
        <v>17.5</v>
      </c>
      <c r="U61" s="275">
        <f t="shared" si="4"/>
        <v>12147.52</v>
      </c>
      <c r="V61" s="230"/>
      <c r="W61" s="249" t="s">
        <v>12</v>
      </c>
      <c r="X61" s="249"/>
      <c r="Y61" s="249"/>
    </row>
    <row r="62" spans="1:25" ht="15" customHeight="1" x14ac:dyDescent="0.2">
      <c r="A62" s="211"/>
      <c r="B62" s="211" t="s">
        <v>193</v>
      </c>
      <c r="C62" s="78" t="s">
        <v>407</v>
      </c>
      <c r="D62" s="211" t="s">
        <v>104</v>
      </c>
      <c r="E62" s="316" t="s">
        <v>811</v>
      </c>
      <c r="F62" s="307" t="s">
        <v>220</v>
      </c>
      <c r="G62" s="78" t="s">
        <v>355</v>
      </c>
      <c r="H62" s="307" t="s">
        <v>757</v>
      </c>
      <c r="I62" s="315" t="s">
        <v>812</v>
      </c>
      <c r="J62" s="211" t="s">
        <v>410</v>
      </c>
      <c r="K62" s="224">
        <v>1</v>
      </c>
      <c r="L62" s="211" t="s">
        <v>153</v>
      </c>
      <c r="M62" s="316">
        <v>6325.8</v>
      </c>
      <c r="N62" s="310">
        <f t="shared" si="0"/>
        <v>6325.8</v>
      </c>
      <c r="O62" s="317">
        <v>0</v>
      </c>
      <c r="P62" s="227">
        <f t="shared" si="1"/>
        <v>0</v>
      </c>
      <c r="Q62" s="366">
        <v>0.16</v>
      </c>
      <c r="R62" s="310">
        <f t="shared" si="2"/>
        <v>1012.128</v>
      </c>
      <c r="S62" s="310">
        <f t="shared" si="3"/>
        <v>7337.9279999999999</v>
      </c>
      <c r="T62" s="229">
        <f>INDEX('Glosario Partidas'!$M$8:$M$10,MATCH(L62,'Glosario Partidas'!$L$8:$L$10,0))</f>
        <v>17.5</v>
      </c>
      <c r="U62" s="310">
        <f t="shared" si="4"/>
        <v>128413.73999999999</v>
      </c>
      <c r="V62" s="230" t="s">
        <v>813</v>
      </c>
      <c r="W62" s="249" t="s">
        <v>13</v>
      </c>
      <c r="X62" s="249"/>
      <c r="Y62" s="249"/>
    </row>
    <row r="63" spans="1:25" ht="15" customHeight="1" x14ac:dyDescent="0.2">
      <c r="A63" s="211"/>
      <c r="B63" s="211" t="s">
        <v>193</v>
      </c>
      <c r="C63" s="78" t="s">
        <v>407</v>
      </c>
      <c r="D63" s="211" t="s">
        <v>104</v>
      </c>
      <c r="E63" s="316" t="s">
        <v>814</v>
      </c>
      <c r="F63" s="307" t="s">
        <v>220</v>
      </c>
      <c r="G63" s="78" t="s">
        <v>355</v>
      </c>
      <c r="H63" s="307" t="s">
        <v>757</v>
      </c>
      <c r="I63" s="315" t="s">
        <v>812</v>
      </c>
      <c r="J63" s="211" t="s">
        <v>410</v>
      </c>
      <c r="K63" s="224">
        <v>1</v>
      </c>
      <c r="L63" s="211" t="s">
        <v>153</v>
      </c>
      <c r="M63" s="316">
        <v>204</v>
      </c>
      <c r="N63" s="310">
        <f t="shared" si="0"/>
        <v>204</v>
      </c>
      <c r="O63" s="317">
        <v>0</v>
      </c>
      <c r="P63" s="227">
        <f t="shared" si="1"/>
        <v>0</v>
      </c>
      <c r="Q63" s="366">
        <v>0.16</v>
      </c>
      <c r="R63" s="310">
        <f t="shared" si="2"/>
        <v>32.64</v>
      </c>
      <c r="S63" s="310">
        <f t="shared" si="3"/>
        <v>236.64</v>
      </c>
      <c r="T63" s="229">
        <f>INDEX('Glosario Partidas'!$M$8:$M$10,MATCH(L63,'Glosario Partidas'!$L$8:$L$10,0))</f>
        <v>17.5</v>
      </c>
      <c r="U63" s="310">
        <f t="shared" si="4"/>
        <v>4141.2</v>
      </c>
      <c r="V63" s="230" t="s">
        <v>815</v>
      </c>
      <c r="W63" s="249" t="s">
        <v>13</v>
      </c>
      <c r="X63" s="249"/>
      <c r="Y63" s="249"/>
    </row>
    <row r="64" spans="1:25" ht="15" customHeight="1" x14ac:dyDescent="0.2">
      <c r="A64" s="211"/>
      <c r="B64" s="211" t="s">
        <v>193</v>
      </c>
      <c r="C64" s="78" t="s">
        <v>407</v>
      </c>
      <c r="D64" s="211" t="s">
        <v>102</v>
      </c>
      <c r="E64" s="144" t="str">
        <f>BOA!B$7</f>
        <v>Estufa de gas de 48" con 6 quemadores profesionales y plancha, LP</v>
      </c>
      <c r="F64" s="307" t="s">
        <v>220</v>
      </c>
      <c r="G64" s="78" t="s">
        <v>221</v>
      </c>
      <c r="H64" s="307" t="s">
        <v>703</v>
      </c>
      <c r="I64" s="364" t="str">
        <f>BOA!$B$2</f>
        <v>BOA</v>
      </c>
      <c r="J64" s="273" t="s">
        <v>410</v>
      </c>
      <c r="K64" s="364">
        <v>1</v>
      </c>
      <c r="L64" s="273" t="s">
        <v>153</v>
      </c>
      <c r="M64" s="144">
        <f>BOA!G$7*(1-BOA!I$7)</f>
        <v>10729.199999999999</v>
      </c>
      <c r="N64" s="275">
        <f t="shared" si="0"/>
        <v>10729.199999999999</v>
      </c>
      <c r="O64" s="365">
        <v>0</v>
      </c>
      <c r="P64" s="275">
        <f t="shared" si="1"/>
        <v>0</v>
      </c>
      <c r="Q64" s="361">
        <v>0.16</v>
      </c>
      <c r="R64" s="275">
        <f t="shared" si="2"/>
        <v>1716.6719999999998</v>
      </c>
      <c r="S64" s="275">
        <f t="shared" si="3"/>
        <v>12445.871999999999</v>
      </c>
      <c r="T64" s="229">
        <f>INDEX('Glosario Partidas'!$M$8:$M$10,MATCH(L64,'Glosario Partidas'!$L$8:$L$10,0))</f>
        <v>17.5</v>
      </c>
      <c r="U64" s="275">
        <f t="shared" si="4"/>
        <v>217802.75999999998</v>
      </c>
      <c r="V64" s="230"/>
      <c r="W64" s="249" t="s">
        <v>12</v>
      </c>
      <c r="X64" s="249"/>
      <c r="Y64" s="249"/>
    </row>
    <row r="65" spans="1:25" ht="15" customHeight="1" x14ac:dyDescent="0.2">
      <c r="A65" s="211"/>
      <c r="B65" s="211" t="s">
        <v>193</v>
      </c>
      <c r="C65" s="78" t="s">
        <v>407</v>
      </c>
      <c r="D65" s="211" t="s">
        <v>102</v>
      </c>
      <c r="E65" s="144" t="str">
        <f>BOA!B$8</f>
        <v>Campana profesional para revestir, forro de acero inox., 46" x 19"</v>
      </c>
      <c r="F65" s="307" t="s">
        <v>220</v>
      </c>
      <c r="G65" s="78" t="s">
        <v>221</v>
      </c>
      <c r="H65" s="307" t="s">
        <v>703</v>
      </c>
      <c r="I65" s="364" t="str">
        <f>BOA!$B$2</f>
        <v>BOA</v>
      </c>
      <c r="J65" s="273" t="s">
        <v>410</v>
      </c>
      <c r="K65" s="364">
        <v>1</v>
      </c>
      <c r="L65" s="273" t="s">
        <v>153</v>
      </c>
      <c r="M65" s="144">
        <f>BOA!G$8*(1-BOA!I$8)</f>
        <v>1522.2</v>
      </c>
      <c r="N65" s="275">
        <f t="shared" si="0"/>
        <v>1522.2</v>
      </c>
      <c r="O65" s="365">
        <v>0</v>
      </c>
      <c r="P65" s="275">
        <f t="shared" si="1"/>
        <v>0</v>
      </c>
      <c r="Q65" s="361">
        <v>0.16</v>
      </c>
      <c r="R65" s="275">
        <f t="shared" si="2"/>
        <v>243.55200000000002</v>
      </c>
      <c r="S65" s="275">
        <f t="shared" si="3"/>
        <v>1765.752</v>
      </c>
      <c r="T65" s="229">
        <f>INDEX('Glosario Partidas'!$M$8:$M$10,MATCH(L65,'Glosario Partidas'!$L$8:$L$10,0))</f>
        <v>17.5</v>
      </c>
      <c r="U65" s="275">
        <f t="shared" si="4"/>
        <v>30900.66</v>
      </c>
      <c r="V65" s="230"/>
      <c r="W65" s="249" t="s">
        <v>12</v>
      </c>
      <c r="X65" s="249"/>
      <c r="Y65" s="249"/>
    </row>
    <row r="66" spans="1:25" ht="15" customHeight="1" x14ac:dyDescent="0.2">
      <c r="A66" s="211"/>
      <c r="B66" s="211" t="s">
        <v>193</v>
      </c>
      <c r="C66" s="78" t="s">
        <v>407</v>
      </c>
      <c r="D66" s="211" t="s">
        <v>102</v>
      </c>
      <c r="E66" s="144" t="str">
        <f>BOA!B$9</f>
        <v>Motor de extracción interno para campanas de pared interiores, 1200 CFM</v>
      </c>
      <c r="F66" s="307" t="s">
        <v>220</v>
      </c>
      <c r="G66" s="78" t="s">
        <v>221</v>
      </c>
      <c r="H66" s="307" t="s">
        <v>703</v>
      </c>
      <c r="I66" s="364" t="str">
        <f>BOA!$B$2</f>
        <v>BOA</v>
      </c>
      <c r="J66" s="273" t="s">
        <v>410</v>
      </c>
      <c r="K66" s="364">
        <v>1</v>
      </c>
      <c r="L66" s="273" t="s">
        <v>153</v>
      </c>
      <c r="M66" s="144">
        <f>BOA!G$9*(1-BOA!I$9)</f>
        <v>1142.4000000000001</v>
      </c>
      <c r="N66" s="275">
        <f t="shared" ref="N66:N123" si="5">K66*M66</f>
        <v>1142.4000000000001</v>
      </c>
      <c r="O66" s="365">
        <v>0</v>
      </c>
      <c r="P66" s="275">
        <f t="shared" ref="P66:P123" si="6">N66*O66</f>
        <v>0</v>
      </c>
      <c r="Q66" s="361">
        <v>0.16</v>
      </c>
      <c r="R66" s="275">
        <f t="shared" ref="R66:R123" si="7">(N66+P66)*Q66</f>
        <v>182.78400000000002</v>
      </c>
      <c r="S66" s="275">
        <f t="shared" ref="S66:S123" si="8">N66+P66+R66</f>
        <v>1325.1840000000002</v>
      </c>
      <c r="T66" s="229">
        <f>INDEX('Glosario Partidas'!$M$8:$M$10,MATCH(L66,'Glosario Partidas'!$L$8:$L$10,0))</f>
        <v>17.5</v>
      </c>
      <c r="U66" s="275">
        <f t="shared" ref="U66:U123" si="9">S66*T66</f>
        <v>23190.720000000005</v>
      </c>
      <c r="V66" s="230"/>
      <c r="W66" s="249" t="s">
        <v>12</v>
      </c>
      <c r="X66" s="249"/>
      <c r="Y66" s="249"/>
    </row>
    <row r="67" spans="1:25" ht="15" customHeight="1" x14ac:dyDescent="0.2">
      <c r="A67" s="211"/>
      <c r="B67" s="211" t="s">
        <v>193</v>
      </c>
      <c r="C67" s="78" t="s">
        <v>407</v>
      </c>
      <c r="D67" s="211" t="s">
        <v>102</v>
      </c>
      <c r="E67" s="144" t="str">
        <f>BOA!B$10</f>
        <v>Refrigerador y congelador panelable (puerta francesa) de 48"</v>
      </c>
      <c r="F67" s="307" t="s">
        <v>220</v>
      </c>
      <c r="G67" s="78" t="s">
        <v>221</v>
      </c>
      <c r="H67" s="307" t="s">
        <v>703</v>
      </c>
      <c r="I67" s="364" t="str">
        <f>BOA!$B$2</f>
        <v>BOA</v>
      </c>
      <c r="J67" s="273" t="s">
        <v>410</v>
      </c>
      <c r="K67" s="364">
        <v>1</v>
      </c>
      <c r="L67" s="273" t="s">
        <v>153</v>
      </c>
      <c r="M67" s="144">
        <f>BOA!G$10*(1-BOA!I$10)</f>
        <v>11409.6</v>
      </c>
      <c r="N67" s="275">
        <f t="shared" si="5"/>
        <v>11409.6</v>
      </c>
      <c r="O67" s="365">
        <v>0</v>
      </c>
      <c r="P67" s="275">
        <f t="shared" si="6"/>
        <v>0</v>
      </c>
      <c r="Q67" s="361">
        <v>0.16</v>
      </c>
      <c r="R67" s="275">
        <f t="shared" si="7"/>
        <v>1825.5360000000001</v>
      </c>
      <c r="S67" s="275">
        <f t="shared" si="8"/>
        <v>13235.136</v>
      </c>
      <c r="T67" s="229">
        <f>INDEX('Glosario Partidas'!$M$8:$M$10,MATCH(L67,'Glosario Partidas'!$L$8:$L$10,0))</f>
        <v>17.5</v>
      </c>
      <c r="U67" s="275">
        <f t="shared" si="9"/>
        <v>231614.88</v>
      </c>
      <c r="V67" s="230"/>
      <c r="W67" s="249" t="s">
        <v>12</v>
      </c>
      <c r="X67" s="249"/>
      <c r="Y67" s="249"/>
    </row>
    <row r="68" spans="1:25" ht="15" customHeight="1" x14ac:dyDescent="0.2">
      <c r="A68" s="211"/>
      <c r="B68" s="211" t="s">
        <v>193</v>
      </c>
      <c r="C68" s="78" t="s">
        <v>407</v>
      </c>
      <c r="D68" s="211" t="s">
        <v>102</v>
      </c>
      <c r="E68" s="144" t="str">
        <f>BOA!B$11</f>
        <v>Kit de montaje para panel frontal</v>
      </c>
      <c r="F68" s="307" t="s">
        <v>220</v>
      </c>
      <c r="G68" s="78" t="s">
        <v>221</v>
      </c>
      <c r="H68" s="307" t="s">
        <v>703</v>
      </c>
      <c r="I68" s="364" t="str">
        <f>BOA!$B$2</f>
        <v>BOA</v>
      </c>
      <c r="J68" s="273" t="s">
        <v>410</v>
      </c>
      <c r="K68" s="364">
        <v>1</v>
      </c>
      <c r="L68" s="273" t="s">
        <v>153</v>
      </c>
      <c r="M68" s="144">
        <f>BOA!G$11*(1-BOA!I$11)</f>
        <v>111.2</v>
      </c>
      <c r="N68" s="275">
        <f t="shared" si="5"/>
        <v>111.2</v>
      </c>
      <c r="O68" s="365">
        <v>0</v>
      </c>
      <c r="P68" s="275">
        <f t="shared" si="6"/>
        <v>0</v>
      </c>
      <c r="Q68" s="361">
        <v>0.16</v>
      </c>
      <c r="R68" s="275">
        <f t="shared" si="7"/>
        <v>17.792000000000002</v>
      </c>
      <c r="S68" s="275">
        <f t="shared" si="8"/>
        <v>128.99200000000002</v>
      </c>
      <c r="T68" s="229">
        <f>INDEX('Glosario Partidas'!$M$8:$M$10,MATCH(L68,'Glosario Partidas'!$L$8:$L$10,0))</f>
        <v>17.5</v>
      </c>
      <c r="U68" s="275">
        <f t="shared" si="9"/>
        <v>2257.36</v>
      </c>
      <c r="V68" s="230"/>
      <c r="W68" s="249" t="s">
        <v>12</v>
      </c>
      <c r="X68" s="249"/>
      <c r="Y68" s="249"/>
    </row>
    <row r="69" spans="1:25" ht="15" customHeight="1" x14ac:dyDescent="0.2">
      <c r="A69" s="211"/>
      <c r="B69" s="211" t="s">
        <v>193</v>
      </c>
      <c r="C69" s="78" t="s">
        <v>407</v>
      </c>
      <c r="D69" s="211" t="s">
        <v>102</v>
      </c>
      <c r="E69" s="144" t="str">
        <f>BOA!B$12</f>
        <v>Jaladera tubular para puerta arriba</v>
      </c>
      <c r="F69" s="307" t="s">
        <v>220</v>
      </c>
      <c r="G69" s="78" t="s">
        <v>221</v>
      </c>
      <c r="H69" s="307" t="s">
        <v>703</v>
      </c>
      <c r="I69" s="364" t="str">
        <f>BOA!$B$2</f>
        <v>BOA</v>
      </c>
      <c r="J69" s="273" t="s">
        <v>410</v>
      </c>
      <c r="K69" s="364">
        <v>2</v>
      </c>
      <c r="L69" s="273" t="s">
        <v>153</v>
      </c>
      <c r="M69" s="144">
        <f>BOA!G$12*(1-BOA!I$12)</f>
        <v>213.60000000000002</v>
      </c>
      <c r="N69" s="275">
        <f t="shared" si="5"/>
        <v>427.20000000000005</v>
      </c>
      <c r="O69" s="365">
        <v>0</v>
      </c>
      <c r="P69" s="275">
        <f t="shared" si="6"/>
        <v>0</v>
      </c>
      <c r="Q69" s="361">
        <v>0.16</v>
      </c>
      <c r="R69" s="275">
        <f t="shared" si="7"/>
        <v>68.352000000000004</v>
      </c>
      <c r="S69" s="275">
        <f t="shared" si="8"/>
        <v>495.55200000000002</v>
      </c>
      <c r="T69" s="229">
        <f>INDEX('Glosario Partidas'!$M$8:$M$10,MATCH(L69,'Glosario Partidas'!$L$8:$L$10,0))</f>
        <v>17.5</v>
      </c>
      <c r="U69" s="275">
        <f t="shared" si="9"/>
        <v>8672.16</v>
      </c>
      <c r="V69" s="230"/>
      <c r="W69" s="249" t="s">
        <v>12</v>
      </c>
      <c r="X69" s="249"/>
      <c r="Y69" s="249"/>
    </row>
    <row r="70" spans="1:25" ht="15" customHeight="1" x14ac:dyDescent="0.2">
      <c r="A70" s="211"/>
      <c r="B70" s="211" t="s">
        <v>193</v>
      </c>
      <c r="C70" s="78" t="s">
        <v>407</v>
      </c>
      <c r="D70" s="211" t="s">
        <v>102</v>
      </c>
      <c r="E70" s="144" t="str">
        <f>BOA!B$13</f>
        <v>Jaladera tubular para cajón de 48"</v>
      </c>
      <c r="F70" s="307" t="s">
        <v>220</v>
      </c>
      <c r="G70" s="78" t="s">
        <v>221</v>
      </c>
      <c r="H70" s="307" t="s">
        <v>703</v>
      </c>
      <c r="I70" s="364" t="str">
        <f>BOA!$B$2</f>
        <v>BOA</v>
      </c>
      <c r="J70" s="273" t="s">
        <v>410</v>
      </c>
      <c r="K70" s="364">
        <v>1</v>
      </c>
      <c r="L70" s="273" t="s">
        <v>153</v>
      </c>
      <c r="M70" s="144">
        <f>BOA!G$13*(1-BOA!I$13)</f>
        <v>213.60000000000002</v>
      </c>
      <c r="N70" s="275">
        <f t="shared" si="5"/>
        <v>213.60000000000002</v>
      </c>
      <c r="O70" s="365">
        <v>0</v>
      </c>
      <c r="P70" s="275">
        <f t="shared" si="6"/>
        <v>0</v>
      </c>
      <c r="Q70" s="361">
        <v>0.16</v>
      </c>
      <c r="R70" s="275">
        <f t="shared" si="7"/>
        <v>34.176000000000002</v>
      </c>
      <c r="S70" s="275">
        <f t="shared" si="8"/>
        <v>247.77600000000001</v>
      </c>
      <c r="T70" s="229">
        <f>INDEX('Glosario Partidas'!$M$8:$M$10,MATCH(L70,'Glosario Partidas'!$L$8:$L$10,0))</f>
        <v>17.5</v>
      </c>
      <c r="U70" s="275">
        <f t="shared" si="9"/>
        <v>4336.08</v>
      </c>
      <c r="V70" s="230"/>
      <c r="W70" s="249" t="s">
        <v>12</v>
      </c>
      <c r="X70" s="249"/>
      <c r="Y70" s="249"/>
    </row>
    <row r="71" spans="1:25" ht="15" customHeight="1" x14ac:dyDescent="0.2">
      <c r="A71" s="211"/>
      <c r="B71" s="211" t="s">
        <v>193</v>
      </c>
      <c r="C71" s="78" t="s">
        <v>407</v>
      </c>
      <c r="D71" s="211" t="s">
        <v>102</v>
      </c>
      <c r="E71" s="144" t="str">
        <f>BOA!B$14</f>
        <v>Kit de instalación</v>
      </c>
      <c r="F71" s="307" t="s">
        <v>220</v>
      </c>
      <c r="G71" s="78" t="s">
        <v>221</v>
      </c>
      <c r="H71" s="307" t="s">
        <v>703</v>
      </c>
      <c r="I71" s="364" t="str">
        <f>BOA!$B$2</f>
        <v>BOA</v>
      </c>
      <c r="J71" s="273" t="s">
        <v>410</v>
      </c>
      <c r="K71" s="364">
        <v>1</v>
      </c>
      <c r="L71" s="273" t="s">
        <v>153</v>
      </c>
      <c r="M71" s="144">
        <f>BOA!G$14*(1-BOA!I$14)</f>
        <v>96</v>
      </c>
      <c r="N71" s="275">
        <f t="shared" si="5"/>
        <v>96</v>
      </c>
      <c r="O71" s="365">
        <v>0</v>
      </c>
      <c r="P71" s="275">
        <f t="shared" si="6"/>
        <v>0</v>
      </c>
      <c r="Q71" s="361">
        <v>0.16</v>
      </c>
      <c r="R71" s="275">
        <f t="shared" si="7"/>
        <v>15.36</v>
      </c>
      <c r="S71" s="275">
        <f t="shared" si="8"/>
        <v>111.36</v>
      </c>
      <c r="T71" s="229">
        <f>INDEX('Glosario Partidas'!$M$8:$M$10,MATCH(L71,'Glosario Partidas'!$L$8:$L$10,0))</f>
        <v>17.5</v>
      </c>
      <c r="U71" s="275">
        <f t="shared" si="9"/>
        <v>1948.8</v>
      </c>
      <c r="V71" s="230"/>
      <c r="W71" s="249" t="s">
        <v>12</v>
      </c>
      <c r="X71" s="249"/>
      <c r="Y71" s="249"/>
    </row>
    <row r="72" spans="1:25" ht="15" customHeight="1" x14ac:dyDescent="0.2">
      <c r="A72" s="211"/>
      <c r="B72" s="211" t="s">
        <v>193</v>
      </c>
      <c r="C72" s="78" t="s">
        <v>407</v>
      </c>
      <c r="D72" s="211" t="s">
        <v>102</v>
      </c>
      <c r="E72" s="144" t="str">
        <f>BOA!B$15</f>
        <v>Microondas con puerta drop down de 30", serie E</v>
      </c>
      <c r="F72" s="307" t="s">
        <v>220</v>
      </c>
      <c r="G72" s="78" t="s">
        <v>221</v>
      </c>
      <c r="H72" s="307" t="s">
        <v>703</v>
      </c>
      <c r="I72" s="364" t="str">
        <f>BOA!$B$2</f>
        <v>BOA</v>
      </c>
      <c r="J72" s="273" t="s">
        <v>410</v>
      </c>
      <c r="K72" s="364">
        <v>1</v>
      </c>
      <c r="L72" s="273" t="s">
        <v>153</v>
      </c>
      <c r="M72" s="144">
        <f>BOA!G$15*(1-BOA!I$15)</f>
        <v>2481.6</v>
      </c>
      <c r="N72" s="275">
        <f t="shared" si="5"/>
        <v>2481.6</v>
      </c>
      <c r="O72" s="365">
        <v>0</v>
      </c>
      <c r="P72" s="275">
        <f t="shared" si="6"/>
        <v>0</v>
      </c>
      <c r="Q72" s="361">
        <v>0.16</v>
      </c>
      <c r="R72" s="275">
        <f t="shared" si="7"/>
        <v>397.05599999999998</v>
      </c>
      <c r="S72" s="275">
        <f t="shared" si="8"/>
        <v>2878.6559999999999</v>
      </c>
      <c r="T72" s="229">
        <f>INDEX('Glosario Partidas'!$M$8:$M$10,MATCH(L72,'Glosario Partidas'!$L$8:$L$10,0))</f>
        <v>17.5</v>
      </c>
      <c r="U72" s="275">
        <f t="shared" si="9"/>
        <v>50376.479999999996</v>
      </c>
      <c r="V72" s="230"/>
      <c r="W72" s="249" t="s">
        <v>12</v>
      </c>
      <c r="X72" s="249"/>
      <c r="Y72" s="249"/>
    </row>
    <row r="73" spans="1:25" ht="15" customHeight="1" x14ac:dyDescent="0.2">
      <c r="A73" s="211"/>
      <c r="B73" s="211" t="s">
        <v>193</v>
      </c>
      <c r="C73" s="78" t="s">
        <v>407</v>
      </c>
      <c r="D73" s="211" t="s">
        <v>102</v>
      </c>
      <c r="E73" s="144" t="str">
        <f>BOA!B$16</f>
        <v>Lavavajillas panelable para 16 juegos (con gola)</v>
      </c>
      <c r="F73" s="307" t="s">
        <v>220</v>
      </c>
      <c r="G73" s="78" t="s">
        <v>221</v>
      </c>
      <c r="H73" s="307" t="s">
        <v>703</v>
      </c>
      <c r="I73" s="364" t="str">
        <f>BOA!$B$2</f>
        <v>BOA</v>
      </c>
      <c r="J73" s="273" t="s">
        <v>410</v>
      </c>
      <c r="K73" s="364">
        <v>1</v>
      </c>
      <c r="L73" s="273" t="s">
        <v>153</v>
      </c>
      <c r="M73" s="144">
        <f>BOA!G$16*(1-BOA!I$16)</f>
        <v>1543.2</v>
      </c>
      <c r="N73" s="275">
        <f t="shared" si="5"/>
        <v>1543.2</v>
      </c>
      <c r="O73" s="365">
        <v>0</v>
      </c>
      <c r="P73" s="275">
        <f t="shared" si="6"/>
        <v>0</v>
      </c>
      <c r="Q73" s="361">
        <v>0.16</v>
      </c>
      <c r="R73" s="275">
        <f t="shared" si="7"/>
        <v>246.91200000000001</v>
      </c>
      <c r="S73" s="275">
        <f t="shared" si="8"/>
        <v>1790.1120000000001</v>
      </c>
      <c r="T73" s="229">
        <f>INDEX('Glosario Partidas'!$M$8:$M$10,MATCH(L73,'Glosario Partidas'!$L$8:$L$10,0))</f>
        <v>17.5</v>
      </c>
      <c r="U73" s="275">
        <f t="shared" si="9"/>
        <v>31326.960000000003</v>
      </c>
      <c r="V73" s="230"/>
      <c r="W73" s="249" t="s">
        <v>12</v>
      </c>
      <c r="X73" s="249"/>
      <c r="Y73" s="249"/>
    </row>
    <row r="74" spans="1:25" ht="15" customHeight="1" x14ac:dyDescent="0.2">
      <c r="A74" s="211"/>
      <c r="B74" s="211" t="s">
        <v>193</v>
      </c>
      <c r="C74" s="78" t="s">
        <v>407</v>
      </c>
      <c r="D74" s="211" t="s">
        <v>102</v>
      </c>
      <c r="E74" s="144" t="str">
        <f>BOA!B$17</f>
        <v>Centro de bebidas bajo cubierta 24", apertura derecha ADA</v>
      </c>
      <c r="F74" s="307" t="s">
        <v>220</v>
      </c>
      <c r="G74" s="78" t="s">
        <v>221</v>
      </c>
      <c r="H74" s="307" t="s">
        <v>703</v>
      </c>
      <c r="I74" s="364" t="str">
        <f>BOA!$B$2</f>
        <v>BOA</v>
      </c>
      <c r="J74" s="273" t="s">
        <v>410</v>
      </c>
      <c r="K74" s="364">
        <v>1</v>
      </c>
      <c r="L74" s="273" t="s">
        <v>153</v>
      </c>
      <c r="M74" s="144">
        <f>BOA!G$17*(1-BOA!I$17)</f>
        <v>2740.7999999999997</v>
      </c>
      <c r="N74" s="275">
        <f t="shared" si="5"/>
        <v>2740.7999999999997</v>
      </c>
      <c r="O74" s="365">
        <v>0</v>
      </c>
      <c r="P74" s="275">
        <f t="shared" si="6"/>
        <v>0</v>
      </c>
      <c r="Q74" s="361">
        <v>0.16</v>
      </c>
      <c r="R74" s="275">
        <f t="shared" si="7"/>
        <v>438.52799999999996</v>
      </c>
      <c r="S74" s="275">
        <f t="shared" si="8"/>
        <v>3179.3279999999995</v>
      </c>
      <c r="T74" s="229">
        <f>INDEX('Glosario Partidas'!$M$8:$M$10,MATCH(L74,'Glosario Partidas'!$L$8:$L$10,0))</f>
        <v>17.5</v>
      </c>
      <c r="U74" s="275">
        <f t="shared" si="9"/>
        <v>55638.239999999991</v>
      </c>
      <c r="V74" s="230"/>
      <c r="W74" s="249" t="s">
        <v>12</v>
      </c>
      <c r="X74" s="249"/>
      <c r="Y74" s="249"/>
    </row>
    <row r="75" spans="1:25" ht="15" customHeight="1" x14ac:dyDescent="0.2">
      <c r="A75" s="211"/>
      <c r="B75" s="211" t="s">
        <v>193</v>
      </c>
      <c r="C75" s="78" t="s">
        <v>407</v>
      </c>
      <c r="D75" s="211" t="s">
        <v>102</v>
      </c>
      <c r="E75" s="144" t="str">
        <f>BOA!B$21</f>
        <v>Jaladera tubular</v>
      </c>
      <c r="F75" s="307" t="s">
        <v>220</v>
      </c>
      <c r="G75" s="78" t="s">
        <v>221</v>
      </c>
      <c r="H75" s="307" t="s">
        <v>703</v>
      </c>
      <c r="I75" s="364" t="str">
        <f>BOA!$B$2</f>
        <v>BOA</v>
      </c>
      <c r="J75" s="273" t="s">
        <v>410</v>
      </c>
      <c r="K75" s="364">
        <v>1</v>
      </c>
      <c r="L75" s="273" t="s">
        <v>153</v>
      </c>
      <c r="M75" s="144">
        <f>BOA!G$21*(1-BOA!I$21)</f>
        <v>185.60000000000002</v>
      </c>
      <c r="N75" s="275">
        <f t="shared" si="5"/>
        <v>185.60000000000002</v>
      </c>
      <c r="O75" s="365">
        <v>0</v>
      </c>
      <c r="P75" s="275">
        <f t="shared" si="6"/>
        <v>0</v>
      </c>
      <c r="Q75" s="361">
        <v>0.16</v>
      </c>
      <c r="R75" s="275">
        <f t="shared" si="7"/>
        <v>29.696000000000005</v>
      </c>
      <c r="S75" s="275">
        <f t="shared" si="8"/>
        <v>215.29600000000002</v>
      </c>
      <c r="T75" s="229">
        <f>INDEX('Glosario Partidas'!$M$8:$M$10,MATCH(L75,'Glosario Partidas'!$L$8:$L$10,0))</f>
        <v>17.5</v>
      </c>
      <c r="U75" s="275">
        <f t="shared" si="9"/>
        <v>3767.6800000000003</v>
      </c>
      <c r="V75" s="230"/>
      <c r="W75" s="249" t="s">
        <v>12</v>
      </c>
      <c r="X75" s="249"/>
      <c r="Y75" s="249"/>
    </row>
    <row r="76" spans="1:25" ht="15" customHeight="1" x14ac:dyDescent="0.2">
      <c r="A76" s="211"/>
      <c r="B76" s="211" t="s">
        <v>193</v>
      </c>
      <c r="C76" s="78" t="s">
        <v>407</v>
      </c>
      <c r="D76" s="211" t="s">
        <v>102</v>
      </c>
      <c r="E76" s="144" t="str">
        <f>BOA!B$22</f>
        <v>Kit de instalación</v>
      </c>
      <c r="F76" s="307" t="s">
        <v>220</v>
      </c>
      <c r="G76" s="78" t="s">
        <v>221</v>
      </c>
      <c r="H76" s="307" t="s">
        <v>703</v>
      </c>
      <c r="I76" s="364" t="str">
        <f>BOA!$B$2</f>
        <v>BOA</v>
      </c>
      <c r="J76" s="273" t="s">
        <v>410</v>
      </c>
      <c r="K76" s="364">
        <v>1</v>
      </c>
      <c r="L76" s="273" t="s">
        <v>153</v>
      </c>
      <c r="M76" s="144">
        <f>BOA!G$22*(1-BOA!I$22)</f>
        <v>96</v>
      </c>
      <c r="N76" s="275">
        <f t="shared" si="5"/>
        <v>96</v>
      </c>
      <c r="O76" s="365">
        <v>0</v>
      </c>
      <c r="P76" s="275">
        <f t="shared" si="6"/>
        <v>0</v>
      </c>
      <c r="Q76" s="361">
        <v>0.16</v>
      </c>
      <c r="R76" s="275">
        <f t="shared" si="7"/>
        <v>15.36</v>
      </c>
      <c r="S76" s="275">
        <f t="shared" si="8"/>
        <v>111.36</v>
      </c>
      <c r="T76" s="229">
        <f>INDEX('Glosario Partidas'!$M$8:$M$10,MATCH(L76,'Glosario Partidas'!$L$8:$L$10,0))</f>
        <v>17.5</v>
      </c>
      <c r="U76" s="275">
        <f t="shared" si="9"/>
        <v>1948.8</v>
      </c>
      <c r="V76" s="230"/>
      <c r="W76" s="249" t="s">
        <v>12</v>
      </c>
      <c r="X76" s="249"/>
      <c r="Y76" s="249"/>
    </row>
    <row r="77" spans="1:25" ht="15" customHeight="1" x14ac:dyDescent="0.2">
      <c r="A77" s="211"/>
      <c r="B77" s="211" t="s">
        <v>193</v>
      </c>
      <c r="C77" s="78" t="s">
        <v>407</v>
      </c>
      <c r="D77" s="211" t="s">
        <v>102</v>
      </c>
      <c r="E77" s="144" t="str">
        <f>BOA!B$23</f>
        <v>Tarja</v>
      </c>
      <c r="F77" s="307" t="s">
        <v>220</v>
      </c>
      <c r="G77" s="78" t="s">
        <v>221</v>
      </c>
      <c r="H77" s="307" t="s">
        <v>703</v>
      </c>
      <c r="I77" s="364" t="str">
        <f>BOA!$B$2</f>
        <v>BOA</v>
      </c>
      <c r="J77" s="273" t="s">
        <v>410</v>
      </c>
      <c r="K77" s="364">
        <v>1</v>
      </c>
      <c r="L77" s="273" t="s">
        <v>153</v>
      </c>
      <c r="M77" s="144">
        <f>BOA!G$23*(1-BOA!I$23)</f>
        <v>1040</v>
      </c>
      <c r="N77" s="275">
        <f t="shared" si="5"/>
        <v>1040</v>
      </c>
      <c r="O77" s="365">
        <v>0</v>
      </c>
      <c r="P77" s="275">
        <f t="shared" si="6"/>
        <v>0</v>
      </c>
      <c r="Q77" s="361">
        <v>0.16</v>
      </c>
      <c r="R77" s="275">
        <f t="shared" si="7"/>
        <v>166.4</v>
      </c>
      <c r="S77" s="275">
        <f t="shared" si="8"/>
        <v>1206.4000000000001</v>
      </c>
      <c r="T77" s="229">
        <f>INDEX('Glosario Partidas'!$M$8:$M$10,MATCH(L77,'Glosario Partidas'!$L$8:$L$10,0))</f>
        <v>17.5</v>
      </c>
      <c r="U77" s="275">
        <f t="shared" si="9"/>
        <v>21112</v>
      </c>
      <c r="V77" s="230"/>
      <c r="W77" s="249" t="s">
        <v>12</v>
      </c>
      <c r="X77" s="249"/>
      <c r="Y77" s="249"/>
    </row>
    <row r="78" spans="1:25" ht="15" customHeight="1" x14ac:dyDescent="0.2">
      <c r="A78" s="211"/>
      <c r="B78" s="211" t="s">
        <v>193</v>
      </c>
      <c r="C78" s="78" t="s">
        <v>407</v>
      </c>
      <c r="D78" s="211" t="s">
        <v>102</v>
      </c>
      <c r="E78" s="144" t="str">
        <f>BOA!B$24</f>
        <v>Sink</v>
      </c>
      <c r="F78" s="307" t="s">
        <v>220</v>
      </c>
      <c r="G78" s="78" t="s">
        <v>221</v>
      </c>
      <c r="H78" s="307" t="s">
        <v>703</v>
      </c>
      <c r="I78" s="364" t="str">
        <f>BOA!$B$2</f>
        <v>BOA</v>
      </c>
      <c r="J78" s="273" t="s">
        <v>410</v>
      </c>
      <c r="K78" s="364">
        <v>2</v>
      </c>
      <c r="L78" s="273" t="s">
        <v>153</v>
      </c>
      <c r="M78" s="144">
        <f>BOA!G$24*(1-BOA!I$24)</f>
        <v>104</v>
      </c>
      <c r="N78" s="275">
        <f t="shared" si="5"/>
        <v>208</v>
      </c>
      <c r="O78" s="365">
        <v>0</v>
      </c>
      <c r="P78" s="275">
        <f t="shared" si="6"/>
        <v>0</v>
      </c>
      <c r="Q78" s="361">
        <v>0.16</v>
      </c>
      <c r="R78" s="275">
        <f t="shared" si="7"/>
        <v>33.28</v>
      </c>
      <c r="S78" s="275">
        <f t="shared" si="8"/>
        <v>241.28</v>
      </c>
      <c r="T78" s="229">
        <f>INDEX('Glosario Partidas'!$M$8:$M$10,MATCH(L78,'Glosario Partidas'!$L$8:$L$10,0))</f>
        <v>17.5</v>
      </c>
      <c r="U78" s="275">
        <f t="shared" si="9"/>
        <v>4222.3999999999996</v>
      </c>
      <c r="V78" s="230"/>
      <c r="W78" s="249" t="s">
        <v>12</v>
      </c>
      <c r="X78" s="249"/>
      <c r="Y78" s="249"/>
    </row>
    <row r="79" spans="1:25" ht="15" customHeight="1" x14ac:dyDescent="0.2">
      <c r="A79" s="211"/>
      <c r="B79" s="211" t="s">
        <v>193</v>
      </c>
      <c r="C79" s="78" t="s">
        <v>407</v>
      </c>
      <c r="D79" s="211" t="s">
        <v>102</v>
      </c>
      <c r="E79" s="144" t="str">
        <f>BOA!B$25</f>
        <v>Triturador</v>
      </c>
      <c r="F79" s="307" t="s">
        <v>220</v>
      </c>
      <c r="G79" s="78" t="s">
        <v>221</v>
      </c>
      <c r="H79" s="307" t="s">
        <v>703</v>
      </c>
      <c r="I79" s="364" t="str">
        <f>BOA!$B$2</f>
        <v>BOA</v>
      </c>
      <c r="J79" s="273" t="s">
        <v>410</v>
      </c>
      <c r="K79" s="364">
        <v>1</v>
      </c>
      <c r="L79" s="273" t="s">
        <v>153</v>
      </c>
      <c r="M79" s="144">
        <f>BOA!G$25*(1-BOA!I$25)</f>
        <v>598.4</v>
      </c>
      <c r="N79" s="275">
        <f t="shared" si="5"/>
        <v>598.4</v>
      </c>
      <c r="O79" s="365">
        <v>0</v>
      </c>
      <c r="P79" s="275">
        <f t="shared" si="6"/>
        <v>0</v>
      </c>
      <c r="Q79" s="361">
        <v>0.16</v>
      </c>
      <c r="R79" s="275">
        <f t="shared" si="7"/>
        <v>95.744</v>
      </c>
      <c r="S79" s="275">
        <f t="shared" si="8"/>
        <v>694.14400000000001</v>
      </c>
      <c r="T79" s="229">
        <f>INDEX('Glosario Partidas'!$M$8:$M$10,MATCH(L79,'Glosario Partidas'!$L$8:$L$10,0))</f>
        <v>17.5</v>
      </c>
      <c r="U79" s="275">
        <f t="shared" si="9"/>
        <v>12147.52</v>
      </c>
      <c r="V79" s="230"/>
      <c r="W79" s="249" t="s">
        <v>12</v>
      </c>
      <c r="X79" s="249"/>
      <c r="Y79" s="249"/>
    </row>
    <row r="80" spans="1:25" ht="15" customHeight="1" x14ac:dyDescent="0.2">
      <c r="A80" s="211"/>
      <c r="B80" s="211" t="s">
        <v>193</v>
      </c>
      <c r="C80" s="78" t="s">
        <v>407</v>
      </c>
      <c r="D80" s="211" t="s">
        <v>104</v>
      </c>
      <c r="E80" s="144" t="str">
        <f>BOA!B$51</f>
        <v>Máquina de hielo residencial gourmet 65 lb con bomba de drenaje</v>
      </c>
      <c r="F80" s="307" t="s">
        <v>220</v>
      </c>
      <c r="G80" s="78" t="s">
        <v>221</v>
      </c>
      <c r="H80" s="307" t="s">
        <v>703</v>
      </c>
      <c r="I80" s="364" t="str">
        <f>BOA!$B$2</f>
        <v>BOA</v>
      </c>
      <c r="J80" s="273" t="s">
        <v>410</v>
      </c>
      <c r="K80" s="364">
        <v>1</v>
      </c>
      <c r="L80" s="273" t="s">
        <v>153</v>
      </c>
      <c r="M80" s="144">
        <f>BOA!G$51*(1-BOA!I$51)</f>
        <v>4768</v>
      </c>
      <c r="N80" s="275">
        <f t="shared" si="5"/>
        <v>4768</v>
      </c>
      <c r="O80" s="365">
        <v>0</v>
      </c>
      <c r="P80" s="275">
        <f t="shared" si="6"/>
        <v>0</v>
      </c>
      <c r="Q80" s="361">
        <v>0.16</v>
      </c>
      <c r="R80" s="275">
        <f t="shared" si="7"/>
        <v>762.88</v>
      </c>
      <c r="S80" s="275">
        <f t="shared" si="8"/>
        <v>5530.88</v>
      </c>
      <c r="T80" s="229">
        <f>INDEX('Glosario Partidas'!$M$8:$M$10,MATCH(L80,'Glosario Partidas'!$L$8:$L$10,0))</f>
        <v>17.5</v>
      </c>
      <c r="U80" s="275">
        <f t="shared" si="9"/>
        <v>96790.400000000009</v>
      </c>
      <c r="V80" s="230"/>
      <c r="W80" s="249" t="s">
        <v>12</v>
      </c>
      <c r="X80" s="249"/>
      <c r="Y80" s="249"/>
    </row>
    <row r="81" spans="1:25" ht="15" customHeight="1" x14ac:dyDescent="0.2">
      <c r="A81" s="211"/>
      <c r="B81" s="211" t="s">
        <v>193</v>
      </c>
      <c r="C81" s="78" t="s">
        <v>407</v>
      </c>
      <c r="D81" s="211" t="s">
        <v>104</v>
      </c>
      <c r="E81" s="144" t="str">
        <f>BOA!B$52</f>
        <v>Kit de instalación</v>
      </c>
      <c r="F81" s="307" t="s">
        <v>220</v>
      </c>
      <c r="G81" s="78" t="s">
        <v>221</v>
      </c>
      <c r="H81" s="307" t="s">
        <v>703</v>
      </c>
      <c r="I81" s="364" t="str">
        <f>BOA!$B$2</f>
        <v>BOA</v>
      </c>
      <c r="J81" s="273" t="s">
        <v>410</v>
      </c>
      <c r="K81" s="364">
        <v>1</v>
      </c>
      <c r="L81" s="273" t="s">
        <v>153</v>
      </c>
      <c r="M81" s="144">
        <f>BOA!G$52*(1-BOA!I$52)</f>
        <v>96</v>
      </c>
      <c r="N81" s="275">
        <f t="shared" si="5"/>
        <v>96</v>
      </c>
      <c r="O81" s="365">
        <v>0</v>
      </c>
      <c r="P81" s="275">
        <f t="shared" si="6"/>
        <v>0</v>
      </c>
      <c r="Q81" s="361">
        <v>0.16</v>
      </c>
      <c r="R81" s="275">
        <f t="shared" si="7"/>
        <v>15.36</v>
      </c>
      <c r="S81" s="275">
        <f t="shared" si="8"/>
        <v>111.36</v>
      </c>
      <c r="T81" s="229">
        <f>INDEX('Glosario Partidas'!$M$8:$M$10,MATCH(L81,'Glosario Partidas'!$L$8:$L$10,0))</f>
        <v>17.5</v>
      </c>
      <c r="U81" s="275">
        <f t="shared" si="9"/>
        <v>1948.8</v>
      </c>
      <c r="V81" s="230"/>
      <c r="W81" s="249" t="s">
        <v>12</v>
      </c>
      <c r="X81" s="249"/>
      <c r="Y81" s="249"/>
    </row>
    <row r="82" spans="1:25" ht="15" customHeight="1" x14ac:dyDescent="0.2">
      <c r="A82" s="211"/>
      <c r="B82" s="211" t="s">
        <v>193</v>
      </c>
      <c r="C82" s="78" t="s">
        <v>407</v>
      </c>
      <c r="D82" s="211" t="s">
        <v>104</v>
      </c>
      <c r="E82" s="144" t="str">
        <f>BOA!B$53</f>
        <v>Refrigerador bajo cubierta exterior 24", apertura derecha</v>
      </c>
      <c r="F82" s="307" t="s">
        <v>220</v>
      </c>
      <c r="G82" s="78" t="s">
        <v>221</v>
      </c>
      <c r="H82" s="307" t="s">
        <v>703</v>
      </c>
      <c r="I82" s="364" t="str">
        <f>BOA!$B$2</f>
        <v>BOA</v>
      </c>
      <c r="J82" s="273" t="s">
        <v>410</v>
      </c>
      <c r="K82" s="364">
        <v>1</v>
      </c>
      <c r="L82" s="273" t="s">
        <v>153</v>
      </c>
      <c r="M82" s="144">
        <f>BOA!G$53*(1-BOA!I$53)</f>
        <v>3326.4</v>
      </c>
      <c r="N82" s="275">
        <f t="shared" si="5"/>
        <v>3326.4</v>
      </c>
      <c r="O82" s="365">
        <v>0</v>
      </c>
      <c r="P82" s="275">
        <f t="shared" si="6"/>
        <v>0</v>
      </c>
      <c r="Q82" s="361">
        <v>0.16</v>
      </c>
      <c r="R82" s="275">
        <f t="shared" si="7"/>
        <v>532.22400000000005</v>
      </c>
      <c r="S82" s="275">
        <f t="shared" si="8"/>
        <v>3858.6240000000003</v>
      </c>
      <c r="T82" s="229">
        <f>INDEX('Glosario Partidas'!$M$8:$M$10,MATCH(L82,'Glosario Partidas'!$L$8:$L$10,0))</f>
        <v>17.5</v>
      </c>
      <c r="U82" s="275">
        <f t="shared" si="9"/>
        <v>67525.919999999998</v>
      </c>
      <c r="V82" s="230"/>
      <c r="W82" s="249" t="s">
        <v>12</v>
      </c>
      <c r="X82" s="249"/>
      <c r="Y82" s="249"/>
    </row>
    <row r="83" spans="1:25" ht="15" customHeight="1" x14ac:dyDescent="0.2">
      <c r="A83" s="211"/>
      <c r="B83" s="211" t="s">
        <v>193</v>
      </c>
      <c r="C83" s="78" t="s">
        <v>407</v>
      </c>
      <c r="D83" s="211" t="s">
        <v>104</v>
      </c>
      <c r="E83" s="144" t="str">
        <f>BOA!B$56</f>
        <v>Kit de instalación</v>
      </c>
      <c r="F83" s="307" t="s">
        <v>220</v>
      </c>
      <c r="G83" s="78" t="s">
        <v>221</v>
      </c>
      <c r="H83" s="307" t="s">
        <v>703</v>
      </c>
      <c r="I83" s="364" t="str">
        <f>BOA!$B$2</f>
        <v>BOA</v>
      </c>
      <c r="J83" s="273" t="s">
        <v>410</v>
      </c>
      <c r="K83" s="364">
        <v>1</v>
      </c>
      <c r="L83" s="273" t="s">
        <v>153</v>
      </c>
      <c r="M83" s="144">
        <f>BOA!G$56*(1-BOA!I$56)</f>
        <v>96</v>
      </c>
      <c r="N83" s="275">
        <f t="shared" si="5"/>
        <v>96</v>
      </c>
      <c r="O83" s="365">
        <v>0</v>
      </c>
      <c r="P83" s="275">
        <f t="shared" si="6"/>
        <v>0</v>
      </c>
      <c r="Q83" s="361">
        <v>0.16</v>
      </c>
      <c r="R83" s="275">
        <f t="shared" si="7"/>
        <v>15.36</v>
      </c>
      <c r="S83" s="275">
        <f t="shared" si="8"/>
        <v>111.36</v>
      </c>
      <c r="T83" s="229">
        <f>INDEX('Glosario Partidas'!$M$8:$M$10,MATCH(L83,'Glosario Partidas'!$L$8:$L$10,0))</f>
        <v>17.5</v>
      </c>
      <c r="U83" s="275">
        <f t="shared" si="9"/>
        <v>1948.8</v>
      </c>
      <c r="V83" s="230"/>
      <c r="W83" s="249" t="s">
        <v>12</v>
      </c>
      <c r="X83" s="249"/>
      <c r="Y83" s="249"/>
    </row>
    <row r="84" spans="1:25" ht="15" customHeight="1" x14ac:dyDescent="0.2">
      <c r="A84" s="211"/>
      <c r="B84" s="211" t="s">
        <v>193</v>
      </c>
      <c r="C84" s="78" t="s">
        <v>407</v>
      </c>
      <c r="D84" s="211" t="s">
        <v>104</v>
      </c>
      <c r="E84" s="144" t="str">
        <f>BOA!B$57</f>
        <v>Campana profesional para exterior acero inox., 48" x 33"</v>
      </c>
      <c r="F84" s="307" t="s">
        <v>220</v>
      </c>
      <c r="G84" s="78" t="s">
        <v>221</v>
      </c>
      <c r="H84" s="307" t="s">
        <v>703</v>
      </c>
      <c r="I84" s="364" t="str">
        <f>BOA!$B$2</f>
        <v>BOA</v>
      </c>
      <c r="J84" s="273" t="s">
        <v>410</v>
      </c>
      <c r="K84" s="364">
        <v>1</v>
      </c>
      <c r="L84" s="273" t="s">
        <v>153</v>
      </c>
      <c r="M84" s="144">
        <f>BOA!G$57*(1-BOA!I$57)</f>
        <v>2733</v>
      </c>
      <c r="N84" s="275">
        <f t="shared" si="5"/>
        <v>2733</v>
      </c>
      <c r="O84" s="365">
        <v>0</v>
      </c>
      <c r="P84" s="275">
        <f t="shared" si="6"/>
        <v>0</v>
      </c>
      <c r="Q84" s="361">
        <v>0.16</v>
      </c>
      <c r="R84" s="275">
        <f t="shared" si="7"/>
        <v>437.28000000000003</v>
      </c>
      <c r="S84" s="275">
        <f t="shared" si="8"/>
        <v>3170.28</v>
      </c>
      <c r="T84" s="229">
        <f>INDEX('Glosario Partidas'!$M$8:$M$10,MATCH(L84,'Glosario Partidas'!$L$8:$L$10,0))</f>
        <v>17.5</v>
      </c>
      <c r="U84" s="275">
        <f t="shared" si="9"/>
        <v>55479.9</v>
      </c>
      <c r="V84" s="230"/>
      <c r="W84" s="249" t="s">
        <v>12</v>
      </c>
      <c r="X84" s="249"/>
      <c r="Y84" s="249"/>
    </row>
    <row r="85" spans="1:25" ht="15" customHeight="1" x14ac:dyDescent="0.2">
      <c r="A85" s="211"/>
      <c r="B85" s="211" t="s">
        <v>193</v>
      </c>
      <c r="C85" s="78" t="s">
        <v>407</v>
      </c>
      <c r="D85" s="211" t="s">
        <v>104</v>
      </c>
      <c r="E85" s="144" t="str">
        <f>BOA!B$58</f>
        <v>Motor de extracción interno para campanas, 1200 CFM</v>
      </c>
      <c r="F85" s="307" t="s">
        <v>220</v>
      </c>
      <c r="G85" s="78" t="s">
        <v>221</v>
      </c>
      <c r="H85" s="307" t="s">
        <v>703</v>
      </c>
      <c r="I85" s="364" t="str">
        <f>BOA!$B$2</f>
        <v>BOA</v>
      </c>
      <c r="J85" s="273" t="s">
        <v>410</v>
      </c>
      <c r="K85" s="364">
        <v>1</v>
      </c>
      <c r="L85" s="273" t="s">
        <v>153</v>
      </c>
      <c r="M85" s="144">
        <f>BOA!G$58*(1-BOA!I$58)</f>
        <v>1142.4000000000001</v>
      </c>
      <c r="N85" s="275">
        <f t="shared" si="5"/>
        <v>1142.4000000000001</v>
      </c>
      <c r="O85" s="365">
        <v>0</v>
      </c>
      <c r="P85" s="275">
        <f t="shared" si="6"/>
        <v>0</v>
      </c>
      <c r="Q85" s="361">
        <v>0.16</v>
      </c>
      <c r="R85" s="275">
        <f t="shared" si="7"/>
        <v>182.78400000000002</v>
      </c>
      <c r="S85" s="275">
        <f t="shared" si="8"/>
        <v>1325.1840000000002</v>
      </c>
      <c r="T85" s="229">
        <f>INDEX('Glosario Partidas'!$M$8:$M$10,MATCH(L85,'Glosario Partidas'!$L$8:$L$10,0))</f>
        <v>17.5</v>
      </c>
      <c r="U85" s="275">
        <f t="shared" si="9"/>
        <v>23190.720000000005</v>
      </c>
      <c r="V85" s="230"/>
      <c r="W85" s="249" t="s">
        <v>12</v>
      </c>
      <c r="X85" s="249"/>
      <c r="Y85" s="249"/>
    </row>
    <row r="86" spans="1:25" ht="15" customHeight="1" x14ac:dyDescent="0.2">
      <c r="A86" s="211"/>
      <c r="B86" s="211" t="s">
        <v>193</v>
      </c>
      <c r="C86" s="78" t="s">
        <v>407</v>
      </c>
      <c r="D86" s="211" t="s">
        <v>104</v>
      </c>
      <c r="E86" s="144" t="str">
        <f>BOA!B$59</f>
        <v>Tarja</v>
      </c>
      <c r="F86" s="307" t="s">
        <v>220</v>
      </c>
      <c r="G86" s="78" t="s">
        <v>221</v>
      </c>
      <c r="H86" s="307" t="s">
        <v>703</v>
      </c>
      <c r="I86" s="364" t="str">
        <f>BOA!$B$2</f>
        <v>BOA</v>
      </c>
      <c r="J86" s="273" t="s">
        <v>410</v>
      </c>
      <c r="K86" s="364">
        <v>1</v>
      </c>
      <c r="L86" s="273" t="s">
        <v>153</v>
      </c>
      <c r="M86" s="144">
        <f>BOA!G$59*(1-BOA!I$59)</f>
        <v>1040</v>
      </c>
      <c r="N86" s="275">
        <f t="shared" si="5"/>
        <v>1040</v>
      </c>
      <c r="O86" s="365">
        <v>0</v>
      </c>
      <c r="P86" s="275">
        <f t="shared" si="6"/>
        <v>0</v>
      </c>
      <c r="Q86" s="361">
        <v>0.16</v>
      </c>
      <c r="R86" s="275">
        <f t="shared" si="7"/>
        <v>166.4</v>
      </c>
      <c r="S86" s="275">
        <f t="shared" si="8"/>
        <v>1206.4000000000001</v>
      </c>
      <c r="T86" s="229">
        <f>INDEX('Glosario Partidas'!$M$8:$M$10,MATCH(L86,'Glosario Partidas'!$L$8:$L$10,0))</f>
        <v>17.5</v>
      </c>
      <c r="U86" s="275">
        <f t="shared" si="9"/>
        <v>21112</v>
      </c>
      <c r="V86" s="230"/>
      <c r="W86" s="249" t="s">
        <v>12</v>
      </c>
      <c r="X86" s="249"/>
      <c r="Y86" s="249"/>
    </row>
    <row r="87" spans="1:25" ht="15" customHeight="1" x14ac:dyDescent="0.2">
      <c r="A87" s="211"/>
      <c r="B87" s="211" t="s">
        <v>193</v>
      </c>
      <c r="C87" s="78" t="s">
        <v>407</v>
      </c>
      <c r="D87" s="211" t="s">
        <v>104</v>
      </c>
      <c r="E87" s="144" t="str">
        <f>BOA!B$60</f>
        <v>Sink</v>
      </c>
      <c r="F87" s="307" t="s">
        <v>220</v>
      </c>
      <c r="G87" s="78" t="s">
        <v>221</v>
      </c>
      <c r="H87" s="307" t="s">
        <v>703</v>
      </c>
      <c r="I87" s="364" t="str">
        <f>BOA!$B$2</f>
        <v>BOA</v>
      </c>
      <c r="J87" s="273" t="s">
        <v>410</v>
      </c>
      <c r="K87" s="364">
        <v>2</v>
      </c>
      <c r="L87" s="273" t="s">
        <v>153</v>
      </c>
      <c r="M87" s="144">
        <f>BOA!G$60*(1-BOA!I$60)</f>
        <v>104</v>
      </c>
      <c r="N87" s="275">
        <f t="shared" si="5"/>
        <v>208</v>
      </c>
      <c r="O87" s="365">
        <v>0</v>
      </c>
      <c r="P87" s="275">
        <f t="shared" si="6"/>
        <v>0</v>
      </c>
      <c r="Q87" s="361">
        <v>0.16</v>
      </c>
      <c r="R87" s="275">
        <f t="shared" si="7"/>
        <v>33.28</v>
      </c>
      <c r="S87" s="275">
        <f t="shared" si="8"/>
        <v>241.28</v>
      </c>
      <c r="T87" s="229">
        <f>INDEX('Glosario Partidas'!$M$8:$M$10,MATCH(L87,'Glosario Partidas'!$L$8:$L$10,0))</f>
        <v>17.5</v>
      </c>
      <c r="U87" s="275">
        <f t="shared" si="9"/>
        <v>4222.3999999999996</v>
      </c>
      <c r="V87" s="230"/>
      <c r="W87" s="249" t="s">
        <v>12</v>
      </c>
      <c r="X87" s="249"/>
      <c r="Y87" s="249"/>
    </row>
    <row r="88" spans="1:25" ht="15" customHeight="1" x14ac:dyDescent="0.2">
      <c r="A88" s="211"/>
      <c r="B88" s="211" t="s">
        <v>193</v>
      </c>
      <c r="C88" s="78" t="s">
        <v>407</v>
      </c>
      <c r="D88" s="211" t="s">
        <v>104</v>
      </c>
      <c r="E88" s="144" t="str">
        <f>BOA!B$61</f>
        <v>Triturador</v>
      </c>
      <c r="F88" s="307" t="s">
        <v>220</v>
      </c>
      <c r="G88" s="78" t="s">
        <v>221</v>
      </c>
      <c r="H88" s="307" t="s">
        <v>703</v>
      </c>
      <c r="I88" s="364" t="str">
        <f>BOA!$B$2</f>
        <v>BOA</v>
      </c>
      <c r="J88" s="273" t="s">
        <v>410</v>
      </c>
      <c r="K88" s="364">
        <v>1</v>
      </c>
      <c r="L88" s="273" t="s">
        <v>153</v>
      </c>
      <c r="M88" s="144">
        <f>BOA!G$61*(1-BOA!I$61)</f>
        <v>598.4</v>
      </c>
      <c r="N88" s="275">
        <f t="shared" si="5"/>
        <v>598.4</v>
      </c>
      <c r="O88" s="365">
        <v>0</v>
      </c>
      <c r="P88" s="275">
        <f t="shared" si="6"/>
        <v>0</v>
      </c>
      <c r="Q88" s="361">
        <v>0.16</v>
      </c>
      <c r="R88" s="275">
        <f t="shared" si="7"/>
        <v>95.744</v>
      </c>
      <c r="S88" s="275">
        <f t="shared" si="8"/>
        <v>694.14400000000001</v>
      </c>
      <c r="T88" s="229">
        <f>INDEX('Glosario Partidas'!$M$8:$M$10,MATCH(L88,'Glosario Partidas'!$L$8:$L$10,0))</f>
        <v>17.5</v>
      </c>
      <c r="U88" s="275">
        <f t="shared" si="9"/>
        <v>12147.52</v>
      </c>
      <c r="V88" s="230"/>
      <c r="W88" s="249" t="s">
        <v>12</v>
      </c>
      <c r="X88" s="249"/>
      <c r="Y88" s="249"/>
    </row>
    <row r="89" spans="1:25" ht="15" customHeight="1" x14ac:dyDescent="0.2">
      <c r="A89" s="211"/>
      <c r="B89" s="211" t="s">
        <v>193</v>
      </c>
      <c r="C89" s="78" t="s">
        <v>407</v>
      </c>
      <c r="D89" s="211" t="s">
        <v>104</v>
      </c>
      <c r="E89" s="316" t="s">
        <v>811</v>
      </c>
      <c r="F89" s="307" t="s">
        <v>220</v>
      </c>
      <c r="G89" s="78" t="s">
        <v>221</v>
      </c>
      <c r="H89" s="307" t="s">
        <v>703</v>
      </c>
      <c r="I89" s="315" t="s">
        <v>812</v>
      </c>
      <c r="J89" s="211" t="s">
        <v>410</v>
      </c>
      <c r="K89" s="224">
        <v>1</v>
      </c>
      <c r="L89" s="211" t="s">
        <v>153</v>
      </c>
      <c r="M89" s="316">
        <v>6325.8</v>
      </c>
      <c r="N89" s="310">
        <f t="shared" si="5"/>
        <v>6325.8</v>
      </c>
      <c r="O89" s="317">
        <v>0</v>
      </c>
      <c r="P89" s="227">
        <f t="shared" si="6"/>
        <v>0</v>
      </c>
      <c r="Q89" s="366">
        <v>0.16</v>
      </c>
      <c r="R89" s="310">
        <f t="shared" si="7"/>
        <v>1012.128</v>
      </c>
      <c r="S89" s="310">
        <f t="shared" si="8"/>
        <v>7337.9279999999999</v>
      </c>
      <c r="T89" s="229">
        <f>INDEX('Glosario Partidas'!$M$8:$M$10,MATCH(L89,'Glosario Partidas'!$L$8:$L$10,0))</f>
        <v>17.5</v>
      </c>
      <c r="U89" s="310">
        <f t="shared" si="9"/>
        <v>128413.73999999999</v>
      </c>
      <c r="V89" s="230" t="s">
        <v>813</v>
      </c>
      <c r="W89" s="249" t="s">
        <v>13</v>
      </c>
      <c r="X89" s="249"/>
      <c r="Y89" s="249"/>
    </row>
    <row r="90" spans="1:25" ht="15" customHeight="1" x14ac:dyDescent="0.2">
      <c r="A90" s="211"/>
      <c r="B90" s="211" t="s">
        <v>193</v>
      </c>
      <c r="C90" s="78" t="s">
        <v>407</v>
      </c>
      <c r="D90" s="211" t="s">
        <v>104</v>
      </c>
      <c r="E90" s="316" t="s">
        <v>814</v>
      </c>
      <c r="F90" s="307" t="s">
        <v>220</v>
      </c>
      <c r="G90" s="78" t="s">
        <v>221</v>
      </c>
      <c r="H90" s="307" t="s">
        <v>703</v>
      </c>
      <c r="I90" s="315" t="s">
        <v>812</v>
      </c>
      <c r="J90" s="211" t="s">
        <v>410</v>
      </c>
      <c r="K90" s="224">
        <v>1</v>
      </c>
      <c r="L90" s="211" t="s">
        <v>153</v>
      </c>
      <c r="M90" s="316">
        <v>204</v>
      </c>
      <c r="N90" s="310">
        <f t="shared" si="5"/>
        <v>204</v>
      </c>
      <c r="O90" s="317">
        <v>0</v>
      </c>
      <c r="P90" s="227">
        <f t="shared" si="6"/>
        <v>0</v>
      </c>
      <c r="Q90" s="366">
        <v>0.16</v>
      </c>
      <c r="R90" s="310">
        <f t="shared" si="7"/>
        <v>32.64</v>
      </c>
      <c r="S90" s="310">
        <f t="shared" si="8"/>
        <v>236.64</v>
      </c>
      <c r="T90" s="229">
        <f>INDEX('Glosario Partidas'!$M$8:$M$10,MATCH(L90,'Glosario Partidas'!$L$8:$L$10,0))</f>
        <v>17.5</v>
      </c>
      <c r="U90" s="310">
        <f t="shared" si="9"/>
        <v>4141.2</v>
      </c>
      <c r="V90" s="230" t="s">
        <v>815</v>
      </c>
      <c r="W90" s="249" t="s">
        <v>13</v>
      </c>
      <c r="X90" s="249"/>
      <c r="Y90" s="249"/>
    </row>
    <row r="91" spans="1:25" ht="15" customHeight="1" x14ac:dyDescent="0.2">
      <c r="A91" s="211"/>
      <c r="B91" s="211" t="s">
        <v>193</v>
      </c>
      <c r="C91" s="78" t="s">
        <v>407</v>
      </c>
      <c r="D91" s="211" t="s">
        <v>102</v>
      </c>
      <c r="E91" s="144" t="str">
        <f>BOA!B$29</f>
        <v>Estufa de gas de 48" con 6 quemadores profesionales y plancha, LP</v>
      </c>
      <c r="F91" s="307" t="s">
        <v>220</v>
      </c>
      <c r="G91" s="78" t="s">
        <v>354</v>
      </c>
      <c r="H91" s="307" t="s">
        <v>707</v>
      </c>
      <c r="I91" s="364" t="str">
        <f>BOA!$B$2</f>
        <v>BOA</v>
      </c>
      <c r="J91" s="273" t="s">
        <v>410</v>
      </c>
      <c r="K91" s="364">
        <v>1</v>
      </c>
      <c r="L91" s="273" t="s">
        <v>153</v>
      </c>
      <c r="M91" s="144">
        <f>BOA!G$29*(1-BOA!I$29)</f>
        <v>10729.199999999999</v>
      </c>
      <c r="N91" s="275">
        <f t="shared" si="5"/>
        <v>10729.199999999999</v>
      </c>
      <c r="O91" s="365">
        <v>0</v>
      </c>
      <c r="P91" s="275">
        <f t="shared" si="6"/>
        <v>0</v>
      </c>
      <c r="Q91" s="361">
        <v>0.16</v>
      </c>
      <c r="R91" s="275">
        <f t="shared" si="7"/>
        <v>1716.6719999999998</v>
      </c>
      <c r="S91" s="275">
        <f t="shared" si="8"/>
        <v>12445.871999999999</v>
      </c>
      <c r="T91" s="229">
        <f>INDEX('Glosario Partidas'!$M$8:$M$10,MATCH(L91,'Glosario Partidas'!$L$8:$L$10,0))</f>
        <v>17.5</v>
      </c>
      <c r="U91" s="275">
        <f t="shared" si="9"/>
        <v>217802.75999999998</v>
      </c>
      <c r="V91" s="230"/>
      <c r="W91" s="249" t="s">
        <v>12</v>
      </c>
      <c r="X91" s="249"/>
      <c r="Y91" s="249"/>
    </row>
    <row r="92" spans="1:25" ht="15" customHeight="1" x14ac:dyDescent="0.2">
      <c r="A92" s="211"/>
      <c r="B92" s="211" t="s">
        <v>193</v>
      </c>
      <c r="C92" s="78" t="s">
        <v>407</v>
      </c>
      <c r="D92" s="211" t="s">
        <v>102</v>
      </c>
      <c r="E92" s="144" t="str">
        <f>BOA!B$30</f>
        <v>Campana profesional para revestir, forro de acero inox., 46" x 19"</v>
      </c>
      <c r="F92" s="307" t="s">
        <v>220</v>
      </c>
      <c r="G92" s="78" t="s">
        <v>354</v>
      </c>
      <c r="H92" s="307" t="s">
        <v>707</v>
      </c>
      <c r="I92" s="364" t="str">
        <f>BOA!$B$2</f>
        <v>BOA</v>
      </c>
      <c r="J92" s="273" t="s">
        <v>410</v>
      </c>
      <c r="K92" s="364">
        <v>1</v>
      </c>
      <c r="L92" s="273" t="s">
        <v>153</v>
      </c>
      <c r="M92" s="144">
        <f>BOA!G$30*(1-BOA!I$30)</f>
        <v>1522.2</v>
      </c>
      <c r="N92" s="275">
        <f t="shared" si="5"/>
        <v>1522.2</v>
      </c>
      <c r="O92" s="365">
        <v>0</v>
      </c>
      <c r="P92" s="275">
        <f t="shared" si="6"/>
        <v>0</v>
      </c>
      <c r="Q92" s="361">
        <v>0.16</v>
      </c>
      <c r="R92" s="275">
        <f t="shared" si="7"/>
        <v>243.55200000000002</v>
      </c>
      <c r="S92" s="275">
        <f t="shared" si="8"/>
        <v>1765.752</v>
      </c>
      <c r="T92" s="229">
        <f>INDEX('Glosario Partidas'!$M$8:$M$10,MATCH(L92,'Glosario Partidas'!$L$8:$L$10,0))</f>
        <v>17.5</v>
      </c>
      <c r="U92" s="275">
        <f t="shared" si="9"/>
        <v>30900.66</v>
      </c>
      <c r="V92" s="230"/>
      <c r="W92" s="249" t="s">
        <v>12</v>
      </c>
      <c r="X92" s="249"/>
      <c r="Y92" s="249"/>
    </row>
    <row r="93" spans="1:25" ht="15" customHeight="1" x14ac:dyDescent="0.2">
      <c r="A93" s="211"/>
      <c r="B93" s="211" t="s">
        <v>193</v>
      </c>
      <c r="C93" s="78" t="s">
        <v>407</v>
      </c>
      <c r="D93" s="211" t="s">
        <v>102</v>
      </c>
      <c r="E93" s="144" t="str">
        <f>BOA!B$31</f>
        <v>Motor de extracción interno para campanas de pared interiores, 1200 CFM</v>
      </c>
      <c r="F93" s="307" t="s">
        <v>220</v>
      </c>
      <c r="G93" s="78" t="s">
        <v>354</v>
      </c>
      <c r="H93" s="307" t="s">
        <v>707</v>
      </c>
      <c r="I93" s="364" t="str">
        <f>BOA!$B$2</f>
        <v>BOA</v>
      </c>
      <c r="J93" s="273" t="s">
        <v>410</v>
      </c>
      <c r="K93" s="364">
        <v>1</v>
      </c>
      <c r="L93" s="273" t="s">
        <v>153</v>
      </c>
      <c r="M93" s="144">
        <f>BOA!G$31*(1-BOA!I$31)</f>
        <v>1142.4000000000001</v>
      </c>
      <c r="N93" s="275">
        <f t="shared" si="5"/>
        <v>1142.4000000000001</v>
      </c>
      <c r="O93" s="365">
        <v>0</v>
      </c>
      <c r="P93" s="275">
        <f t="shared" si="6"/>
        <v>0</v>
      </c>
      <c r="Q93" s="361">
        <v>0.16</v>
      </c>
      <c r="R93" s="275">
        <f t="shared" si="7"/>
        <v>182.78400000000002</v>
      </c>
      <c r="S93" s="275">
        <f t="shared" si="8"/>
        <v>1325.1840000000002</v>
      </c>
      <c r="T93" s="229">
        <f>INDEX('Glosario Partidas'!$M$8:$M$10,MATCH(L93,'Glosario Partidas'!$L$8:$L$10,0))</f>
        <v>17.5</v>
      </c>
      <c r="U93" s="275">
        <f t="shared" si="9"/>
        <v>23190.720000000005</v>
      </c>
      <c r="V93" s="230"/>
      <c r="W93" s="249" t="s">
        <v>12</v>
      </c>
      <c r="X93" s="249"/>
      <c r="Y93" s="249"/>
    </row>
    <row r="94" spans="1:25" ht="15" customHeight="1" x14ac:dyDescent="0.2">
      <c r="A94" s="211"/>
      <c r="B94" s="211" t="s">
        <v>193</v>
      </c>
      <c r="C94" s="78" t="s">
        <v>407</v>
      </c>
      <c r="D94" s="211" t="s">
        <v>102</v>
      </c>
      <c r="E94" s="144" t="str">
        <f>BOA!B$32</f>
        <v>Refrigerador y congelador panelable (puerta francesa) de 48"</v>
      </c>
      <c r="F94" s="307" t="s">
        <v>220</v>
      </c>
      <c r="G94" s="78" t="s">
        <v>354</v>
      </c>
      <c r="H94" s="307" t="s">
        <v>707</v>
      </c>
      <c r="I94" s="364" t="str">
        <f>BOA!$B$2</f>
        <v>BOA</v>
      </c>
      <c r="J94" s="273" t="s">
        <v>410</v>
      </c>
      <c r="K94" s="364">
        <v>1</v>
      </c>
      <c r="L94" s="273" t="s">
        <v>153</v>
      </c>
      <c r="M94" s="144">
        <f>BOA!G$32*(1-BOA!I$32)</f>
        <v>11409.6</v>
      </c>
      <c r="N94" s="275">
        <f t="shared" si="5"/>
        <v>11409.6</v>
      </c>
      <c r="O94" s="365">
        <v>0</v>
      </c>
      <c r="P94" s="275">
        <f t="shared" si="6"/>
        <v>0</v>
      </c>
      <c r="Q94" s="361">
        <v>0.16</v>
      </c>
      <c r="R94" s="275">
        <f t="shared" si="7"/>
        <v>1825.5360000000001</v>
      </c>
      <c r="S94" s="275">
        <f t="shared" si="8"/>
        <v>13235.136</v>
      </c>
      <c r="T94" s="229">
        <f>INDEX('Glosario Partidas'!$M$8:$M$10,MATCH(L94,'Glosario Partidas'!$L$8:$L$10,0))</f>
        <v>17.5</v>
      </c>
      <c r="U94" s="275">
        <f t="shared" si="9"/>
        <v>231614.88</v>
      </c>
      <c r="V94" s="230"/>
      <c r="W94" s="249" t="s">
        <v>12</v>
      </c>
      <c r="X94" s="249"/>
      <c r="Y94" s="249"/>
    </row>
    <row r="95" spans="1:25" ht="15" customHeight="1" x14ac:dyDescent="0.2">
      <c r="A95" s="211"/>
      <c r="B95" s="211" t="s">
        <v>193</v>
      </c>
      <c r="C95" s="78" t="s">
        <v>407</v>
      </c>
      <c r="D95" s="211" t="s">
        <v>102</v>
      </c>
      <c r="E95" s="144" t="str">
        <f>BOA!B$33</f>
        <v>Kit de montaje para panel frontal</v>
      </c>
      <c r="F95" s="307" t="s">
        <v>220</v>
      </c>
      <c r="G95" s="78" t="s">
        <v>354</v>
      </c>
      <c r="H95" s="307" t="s">
        <v>707</v>
      </c>
      <c r="I95" s="364" t="str">
        <f>BOA!$B$2</f>
        <v>BOA</v>
      </c>
      <c r="J95" s="273" t="s">
        <v>410</v>
      </c>
      <c r="K95" s="364">
        <v>1</v>
      </c>
      <c r="L95" s="273" t="s">
        <v>153</v>
      </c>
      <c r="M95" s="144">
        <f>BOA!G$33*(1-BOA!I$33)</f>
        <v>111.2</v>
      </c>
      <c r="N95" s="275">
        <f t="shared" si="5"/>
        <v>111.2</v>
      </c>
      <c r="O95" s="365">
        <v>0</v>
      </c>
      <c r="P95" s="275">
        <f t="shared" si="6"/>
        <v>0</v>
      </c>
      <c r="Q95" s="361">
        <v>0.16</v>
      </c>
      <c r="R95" s="275">
        <f t="shared" si="7"/>
        <v>17.792000000000002</v>
      </c>
      <c r="S95" s="275">
        <f t="shared" si="8"/>
        <v>128.99200000000002</v>
      </c>
      <c r="T95" s="229">
        <f>INDEX('Glosario Partidas'!$M$8:$M$10,MATCH(L95,'Glosario Partidas'!$L$8:$L$10,0))</f>
        <v>17.5</v>
      </c>
      <c r="U95" s="275">
        <f t="shared" si="9"/>
        <v>2257.36</v>
      </c>
      <c r="V95" s="230"/>
      <c r="W95" s="249" t="s">
        <v>12</v>
      </c>
      <c r="X95" s="249"/>
      <c r="Y95" s="249"/>
    </row>
    <row r="96" spans="1:25" ht="15" customHeight="1" x14ac:dyDescent="0.2">
      <c r="A96" s="211"/>
      <c r="B96" s="211" t="s">
        <v>193</v>
      </c>
      <c r="C96" s="78" t="s">
        <v>407</v>
      </c>
      <c r="D96" s="211" t="s">
        <v>102</v>
      </c>
      <c r="E96" s="144" t="str">
        <f>BOA!B$34</f>
        <v>Jaladera tubular para puerta arriba</v>
      </c>
      <c r="F96" s="307" t="s">
        <v>220</v>
      </c>
      <c r="G96" s="78" t="s">
        <v>354</v>
      </c>
      <c r="H96" s="307" t="s">
        <v>707</v>
      </c>
      <c r="I96" s="364" t="str">
        <f>BOA!$B$2</f>
        <v>BOA</v>
      </c>
      <c r="J96" s="273" t="s">
        <v>410</v>
      </c>
      <c r="K96" s="364">
        <v>2</v>
      </c>
      <c r="L96" s="273" t="s">
        <v>153</v>
      </c>
      <c r="M96" s="144">
        <f>BOA!G$34*(1-BOA!I$34)</f>
        <v>213.60000000000002</v>
      </c>
      <c r="N96" s="275">
        <f t="shared" si="5"/>
        <v>427.20000000000005</v>
      </c>
      <c r="O96" s="365">
        <v>0</v>
      </c>
      <c r="P96" s="275">
        <f t="shared" si="6"/>
        <v>0</v>
      </c>
      <c r="Q96" s="361">
        <v>0.16</v>
      </c>
      <c r="R96" s="275">
        <f t="shared" si="7"/>
        <v>68.352000000000004</v>
      </c>
      <c r="S96" s="275">
        <f t="shared" si="8"/>
        <v>495.55200000000002</v>
      </c>
      <c r="T96" s="229">
        <f>INDEX('Glosario Partidas'!$M$8:$M$10,MATCH(L96,'Glosario Partidas'!$L$8:$L$10,0))</f>
        <v>17.5</v>
      </c>
      <c r="U96" s="275">
        <f t="shared" si="9"/>
        <v>8672.16</v>
      </c>
      <c r="V96" s="230"/>
      <c r="W96" s="249" t="s">
        <v>12</v>
      </c>
      <c r="X96" s="249"/>
      <c r="Y96" s="249"/>
    </row>
    <row r="97" spans="1:25" ht="15" customHeight="1" x14ac:dyDescent="0.2">
      <c r="A97" s="211"/>
      <c r="B97" s="211" t="s">
        <v>193</v>
      </c>
      <c r="C97" s="78" t="s">
        <v>407</v>
      </c>
      <c r="D97" s="211" t="s">
        <v>102</v>
      </c>
      <c r="E97" s="144" t="str">
        <f>BOA!B$35</f>
        <v>Jaladera tubular para cajón de 48"</v>
      </c>
      <c r="F97" s="307" t="s">
        <v>220</v>
      </c>
      <c r="G97" s="78" t="s">
        <v>354</v>
      </c>
      <c r="H97" s="307" t="s">
        <v>707</v>
      </c>
      <c r="I97" s="364" t="str">
        <f>BOA!$B$2</f>
        <v>BOA</v>
      </c>
      <c r="J97" s="273" t="s">
        <v>410</v>
      </c>
      <c r="K97" s="364">
        <v>1</v>
      </c>
      <c r="L97" s="273" t="s">
        <v>153</v>
      </c>
      <c r="M97" s="144">
        <f>BOA!G$35*(1-BOA!I$35)</f>
        <v>213.60000000000002</v>
      </c>
      <c r="N97" s="275">
        <f t="shared" si="5"/>
        <v>213.60000000000002</v>
      </c>
      <c r="O97" s="365">
        <v>0</v>
      </c>
      <c r="P97" s="275">
        <f t="shared" si="6"/>
        <v>0</v>
      </c>
      <c r="Q97" s="361">
        <v>0.16</v>
      </c>
      <c r="R97" s="275">
        <f t="shared" si="7"/>
        <v>34.176000000000002</v>
      </c>
      <c r="S97" s="275">
        <f t="shared" si="8"/>
        <v>247.77600000000001</v>
      </c>
      <c r="T97" s="229">
        <f>INDEX('Glosario Partidas'!$M$8:$M$10,MATCH(L97,'Glosario Partidas'!$L$8:$L$10,0))</f>
        <v>17.5</v>
      </c>
      <c r="U97" s="275">
        <f t="shared" si="9"/>
        <v>4336.08</v>
      </c>
      <c r="V97" s="230"/>
      <c r="W97" s="249" t="s">
        <v>12</v>
      </c>
      <c r="X97" s="249"/>
      <c r="Y97" s="249"/>
    </row>
    <row r="98" spans="1:25" ht="15" customHeight="1" x14ac:dyDescent="0.2">
      <c r="A98" s="211"/>
      <c r="B98" s="211" t="s">
        <v>193</v>
      </c>
      <c r="C98" s="78" t="s">
        <v>407</v>
      </c>
      <c r="D98" s="211" t="s">
        <v>102</v>
      </c>
      <c r="E98" s="144" t="str">
        <f>BOA!B$36</f>
        <v>Kit de instalación</v>
      </c>
      <c r="F98" s="307" t="s">
        <v>220</v>
      </c>
      <c r="G98" s="78" t="s">
        <v>354</v>
      </c>
      <c r="H98" s="307" t="s">
        <v>707</v>
      </c>
      <c r="I98" s="364" t="str">
        <f>BOA!$B$2</f>
        <v>BOA</v>
      </c>
      <c r="J98" s="273" t="s">
        <v>410</v>
      </c>
      <c r="K98" s="364">
        <v>1</v>
      </c>
      <c r="L98" s="273" t="s">
        <v>153</v>
      </c>
      <c r="M98" s="144">
        <f>BOA!G$36*(1-BOA!I$36)</f>
        <v>96</v>
      </c>
      <c r="N98" s="275">
        <f t="shared" si="5"/>
        <v>96</v>
      </c>
      <c r="O98" s="365">
        <v>0</v>
      </c>
      <c r="P98" s="275">
        <f t="shared" si="6"/>
        <v>0</v>
      </c>
      <c r="Q98" s="361">
        <v>0.16</v>
      </c>
      <c r="R98" s="275">
        <f t="shared" si="7"/>
        <v>15.36</v>
      </c>
      <c r="S98" s="275">
        <f t="shared" si="8"/>
        <v>111.36</v>
      </c>
      <c r="T98" s="229">
        <f>INDEX('Glosario Partidas'!$M$8:$M$10,MATCH(L98,'Glosario Partidas'!$L$8:$L$10,0))</f>
        <v>17.5</v>
      </c>
      <c r="U98" s="275">
        <f t="shared" si="9"/>
        <v>1948.8</v>
      </c>
      <c r="V98" s="230"/>
      <c r="W98" s="249" t="s">
        <v>12</v>
      </c>
      <c r="X98" s="249"/>
      <c r="Y98" s="249"/>
    </row>
    <row r="99" spans="1:25" ht="15" customHeight="1" x14ac:dyDescent="0.2">
      <c r="A99" s="211"/>
      <c r="B99" s="211" t="s">
        <v>193</v>
      </c>
      <c r="C99" s="78" t="s">
        <v>407</v>
      </c>
      <c r="D99" s="211" t="s">
        <v>102</v>
      </c>
      <c r="E99" s="144" t="str">
        <f>BOA!B$37</f>
        <v>Microondas con puerta drop down de 30", serie E</v>
      </c>
      <c r="F99" s="307" t="s">
        <v>220</v>
      </c>
      <c r="G99" s="78" t="s">
        <v>354</v>
      </c>
      <c r="H99" s="307" t="s">
        <v>707</v>
      </c>
      <c r="I99" s="364" t="str">
        <f>BOA!$B$2</f>
        <v>BOA</v>
      </c>
      <c r="J99" s="273" t="s">
        <v>410</v>
      </c>
      <c r="K99" s="364">
        <v>1</v>
      </c>
      <c r="L99" s="273" t="s">
        <v>153</v>
      </c>
      <c r="M99" s="144">
        <f>BOA!G$37*(1-BOA!I$37)</f>
        <v>2481.6</v>
      </c>
      <c r="N99" s="275">
        <f t="shared" si="5"/>
        <v>2481.6</v>
      </c>
      <c r="O99" s="365">
        <v>0</v>
      </c>
      <c r="P99" s="275">
        <f t="shared" si="6"/>
        <v>0</v>
      </c>
      <c r="Q99" s="361">
        <v>0.16</v>
      </c>
      <c r="R99" s="275">
        <f t="shared" si="7"/>
        <v>397.05599999999998</v>
      </c>
      <c r="S99" s="275">
        <f t="shared" si="8"/>
        <v>2878.6559999999999</v>
      </c>
      <c r="T99" s="229">
        <f>INDEX('Glosario Partidas'!$M$8:$M$10,MATCH(L99,'Glosario Partidas'!$L$8:$L$10,0))</f>
        <v>17.5</v>
      </c>
      <c r="U99" s="275">
        <f t="shared" si="9"/>
        <v>50376.479999999996</v>
      </c>
      <c r="V99" s="230"/>
      <c r="W99" s="249" t="s">
        <v>12</v>
      </c>
      <c r="X99" s="249"/>
      <c r="Y99" s="249"/>
    </row>
    <row r="100" spans="1:25" ht="15" customHeight="1" x14ac:dyDescent="0.2">
      <c r="A100" s="211"/>
      <c r="B100" s="211" t="s">
        <v>193</v>
      </c>
      <c r="C100" s="78" t="s">
        <v>407</v>
      </c>
      <c r="D100" s="211" t="s">
        <v>102</v>
      </c>
      <c r="E100" s="144" t="str">
        <f>BOA!B$38</f>
        <v>Lavavajillas panelable para 16 juegos (con gola)</v>
      </c>
      <c r="F100" s="307" t="s">
        <v>220</v>
      </c>
      <c r="G100" s="78" t="s">
        <v>354</v>
      </c>
      <c r="H100" s="307" t="s">
        <v>707</v>
      </c>
      <c r="I100" s="364" t="str">
        <f>BOA!$B$2</f>
        <v>BOA</v>
      </c>
      <c r="J100" s="273" t="s">
        <v>410</v>
      </c>
      <c r="K100" s="364">
        <v>1</v>
      </c>
      <c r="L100" s="273" t="s">
        <v>153</v>
      </c>
      <c r="M100" s="144">
        <f>BOA!G$38*(1-BOA!I$38)</f>
        <v>1543.2</v>
      </c>
      <c r="N100" s="275">
        <f t="shared" si="5"/>
        <v>1543.2</v>
      </c>
      <c r="O100" s="365">
        <v>0</v>
      </c>
      <c r="P100" s="275">
        <f t="shared" si="6"/>
        <v>0</v>
      </c>
      <c r="Q100" s="361">
        <v>0.16</v>
      </c>
      <c r="R100" s="275">
        <f t="shared" si="7"/>
        <v>246.91200000000001</v>
      </c>
      <c r="S100" s="275">
        <f t="shared" si="8"/>
        <v>1790.1120000000001</v>
      </c>
      <c r="T100" s="229">
        <f>INDEX('Glosario Partidas'!$M$8:$M$10,MATCH(L100,'Glosario Partidas'!$L$8:$L$10,0))</f>
        <v>17.5</v>
      </c>
      <c r="U100" s="275">
        <f t="shared" si="9"/>
        <v>31326.960000000003</v>
      </c>
      <c r="V100" s="230"/>
      <c r="W100" s="249" t="s">
        <v>12</v>
      </c>
      <c r="X100" s="249"/>
      <c r="Y100" s="249"/>
    </row>
    <row r="101" spans="1:25" ht="15" customHeight="1" x14ac:dyDescent="0.2">
      <c r="A101" s="211"/>
      <c r="B101" s="211" t="s">
        <v>193</v>
      </c>
      <c r="C101" s="78" t="s">
        <v>407</v>
      </c>
      <c r="D101" s="211" t="s">
        <v>102</v>
      </c>
      <c r="E101" s="144" t="str">
        <f>BOA!B$39</f>
        <v>Centro de bebidas bajo cubierta 24", apertura derecha ADA</v>
      </c>
      <c r="F101" s="307" t="s">
        <v>220</v>
      </c>
      <c r="G101" s="78" t="s">
        <v>354</v>
      </c>
      <c r="H101" s="307" t="s">
        <v>707</v>
      </c>
      <c r="I101" s="364" t="str">
        <f>BOA!$B$2</f>
        <v>BOA</v>
      </c>
      <c r="J101" s="273" t="s">
        <v>410</v>
      </c>
      <c r="K101" s="364">
        <v>1</v>
      </c>
      <c r="L101" s="273" t="s">
        <v>153</v>
      </c>
      <c r="M101" s="144">
        <f>BOA!G$39*(1-BOA!I$39)</f>
        <v>2740.7999999999997</v>
      </c>
      <c r="N101" s="275">
        <f t="shared" si="5"/>
        <v>2740.7999999999997</v>
      </c>
      <c r="O101" s="365">
        <v>0</v>
      </c>
      <c r="P101" s="275">
        <f t="shared" si="6"/>
        <v>0</v>
      </c>
      <c r="Q101" s="361">
        <v>0.16</v>
      </c>
      <c r="R101" s="275">
        <f t="shared" si="7"/>
        <v>438.52799999999996</v>
      </c>
      <c r="S101" s="275">
        <f t="shared" si="8"/>
        <v>3179.3279999999995</v>
      </c>
      <c r="T101" s="229">
        <f>INDEX('Glosario Partidas'!$M$8:$M$10,MATCH(L101,'Glosario Partidas'!$L$8:$L$10,0))</f>
        <v>17.5</v>
      </c>
      <c r="U101" s="275">
        <f t="shared" si="9"/>
        <v>55638.239999999991</v>
      </c>
      <c r="V101" s="230"/>
      <c r="W101" s="249" t="s">
        <v>12</v>
      </c>
      <c r="X101" s="249"/>
      <c r="Y101" s="249"/>
    </row>
    <row r="102" spans="1:25" ht="15" customHeight="1" x14ac:dyDescent="0.2">
      <c r="A102" s="211"/>
      <c r="B102" s="211" t="s">
        <v>193</v>
      </c>
      <c r="C102" s="78" t="s">
        <v>407</v>
      </c>
      <c r="D102" s="211" t="s">
        <v>102</v>
      </c>
      <c r="E102" s="144" t="str">
        <f>BOA!B$43</f>
        <v>Jaladera tubular</v>
      </c>
      <c r="F102" s="307" t="s">
        <v>220</v>
      </c>
      <c r="G102" s="78" t="s">
        <v>354</v>
      </c>
      <c r="H102" s="307" t="s">
        <v>707</v>
      </c>
      <c r="I102" s="364" t="str">
        <f>BOA!$B$2</f>
        <v>BOA</v>
      </c>
      <c r="J102" s="273" t="s">
        <v>410</v>
      </c>
      <c r="K102" s="364">
        <v>1</v>
      </c>
      <c r="L102" s="273" t="s">
        <v>153</v>
      </c>
      <c r="M102" s="144">
        <f>BOA!G$43*(1-BOA!I$43)</f>
        <v>185.60000000000002</v>
      </c>
      <c r="N102" s="275">
        <f t="shared" si="5"/>
        <v>185.60000000000002</v>
      </c>
      <c r="O102" s="365">
        <v>0</v>
      </c>
      <c r="P102" s="275">
        <f t="shared" si="6"/>
        <v>0</v>
      </c>
      <c r="Q102" s="361">
        <v>0.16</v>
      </c>
      <c r="R102" s="275">
        <f t="shared" si="7"/>
        <v>29.696000000000005</v>
      </c>
      <c r="S102" s="275">
        <f t="shared" si="8"/>
        <v>215.29600000000002</v>
      </c>
      <c r="T102" s="229">
        <f>INDEX('Glosario Partidas'!$M$8:$M$10,MATCH(L102,'Glosario Partidas'!$L$8:$L$10,0))</f>
        <v>17.5</v>
      </c>
      <c r="U102" s="275">
        <f t="shared" si="9"/>
        <v>3767.6800000000003</v>
      </c>
      <c r="V102" s="230"/>
      <c r="W102" s="249" t="s">
        <v>12</v>
      </c>
      <c r="X102" s="249"/>
      <c r="Y102" s="249"/>
    </row>
    <row r="103" spans="1:25" ht="15" customHeight="1" x14ac:dyDescent="0.2">
      <c r="A103" s="211"/>
      <c r="B103" s="211" t="s">
        <v>193</v>
      </c>
      <c r="C103" s="78" t="s">
        <v>407</v>
      </c>
      <c r="D103" s="211" t="s">
        <v>102</v>
      </c>
      <c r="E103" s="144" t="str">
        <f>BOA!B$44</f>
        <v>Kit de instalación</v>
      </c>
      <c r="F103" s="307" t="s">
        <v>220</v>
      </c>
      <c r="G103" s="78" t="s">
        <v>354</v>
      </c>
      <c r="H103" s="307" t="s">
        <v>707</v>
      </c>
      <c r="I103" s="364" t="str">
        <f>BOA!$B$2</f>
        <v>BOA</v>
      </c>
      <c r="J103" s="273" t="s">
        <v>410</v>
      </c>
      <c r="K103" s="364">
        <v>1</v>
      </c>
      <c r="L103" s="273" t="s">
        <v>153</v>
      </c>
      <c r="M103" s="144">
        <f>BOA!G$44*(1-BOA!I$44)</f>
        <v>96</v>
      </c>
      <c r="N103" s="275">
        <f t="shared" si="5"/>
        <v>96</v>
      </c>
      <c r="O103" s="365">
        <v>0</v>
      </c>
      <c r="P103" s="275">
        <f t="shared" si="6"/>
        <v>0</v>
      </c>
      <c r="Q103" s="361">
        <v>0.16</v>
      </c>
      <c r="R103" s="275">
        <f t="shared" si="7"/>
        <v>15.36</v>
      </c>
      <c r="S103" s="275">
        <f t="shared" si="8"/>
        <v>111.36</v>
      </c>
      <c r="T103" s="229">
        <f>INDEX('Glosario Partidas'!$M$8:$M$10,MATCH(L103,'Glosario Partidas'!$L$8:$L$10,0))</f>
        <v>17.5</v>
      </c>
      <c r="U103" s="275">
        <f t="shared" si="9"/>
        <v>1948.8</v>
      </c>
      <c r="V103" s="230"/>
      <c r="W103" s="249" t="s">
        <v>12</v>
      </c>
      <c r="X103" s="249"/>
      <c r="Y103" s="249"/>
    </row>
    <row r="104" spans="1:25" ht="15" customHeight="1" x14ac:dyDescent="0.2">
      <c r="A104" s="211"/>
      <c r="B104" s="211" t="s">
        <v>193</v>
      </c>
      <c r="C104" s="78" t="s">
        <v>407</v>
      </c>
      <c r="D104" s="211" t="s">
        <v>102</v>
      </c>
      <c r="E104" s="144" t="str">
        <f>BOA!B$45</f>
        <v>Tarja</v>
      </c>
      <c r="F104" s="307" t="s">
        <v>220</v>
      </c>
      <c r="G104" s="78" t="s">
        <v>354</v>
      </c>
      <c r="H104" s="307" t="s">
        <v>707</v>
      </c>
      <c r="I104" s="364" t="str">
        <f>BOA!$B$2</f>
        <v>BOA</v>
      </c>
      <c r="J104" s="273" t="s">
        <v>410</v>
      </c>
      <c r="K104" s="364">
        <v>1</v>
      </c>
      <c r="L104" s="273" t="s">
        <v>153</v>
      </c>
      <c r="M104" s="144">
        <f>BOA!G$45*(1-BOA!I$45)</f>
        <v>1040</v>
      </c>
      <c r="N104" s="275">
        <f t="shared" si="5"/>
        <v>1040</v>
      </c>
      <c r="O104" s="365">
        <v>0</v>
      </c>
      <c r="P104" s="275">
        <f t="shared" si="6"/>
        <v>0</v>
      </c>
      <c r="Q104" s="361">
        <v>0.16</v>
      </c>
      <c r="R104" s="275">
        <f t="shared" si="7"/>
        <v>166.4</v>
      </c>
      <c r="S104" s="275">
        <f t="shared" si="8"/>
        <v>1206.4000000000001</v>
      </c>
      <c r="T104" s="229">
        <f>INDEX('Glosario Partidas'!$M$8:$M$10,MATCH(L104,'Glosario Partidas'!$L$8:$L$10,0))</f>
        <v>17.5</v>
      </c>
      <c r="U104" s="275">
        <f t="shared" si="9"/>
        <v>21112</v>
      </c>
      <c r="V104" s="230"/>
      <c r="W104" s="249" t="s">
        <v>12</v>
      </c>
      <c r="X104" s="249"/>
      <c r="Y104" s="249"/>
    </row>
    <row r="105" spans="1:25" ht="15" customHeight="1" x14ac:dyDescent="0.2">
      <c r="A105" s="211"/>
      <c r="B105" s="211" t="s">
        <v>193</v>
      </c>
      <c r="C105" s="78" t="s">
        <v>407</v>
      </c>
      <c r="D105" s="211" t="s">
        <v>102</v>
      </c>
      <c r="E105" s="144" t="str">
        <f>BOA!B$46</f>
        <v>Sink</v>
      </c>
      <c r="F105" s="307" t="s">
        <v>220</v>
      </c>
      <c r="G105" s="78" t="s">
        <v>354</v>
      </c>
      <c r="H105" s="307" t="s">
        <v>707</v>
      </c>
      <c r="I105" s="364" t="str">
        <f>BOA!$B$2</f>
        <v>BOA</v>
      </c>
      <c r="J105" s="273" t="s">
        <v>410</v>
      </c>
      <c r="K105" s="364">
        <v>2</v>
      </c>
      <c r="L105" s="273" t="s">
        <v>153</v>
      </c>
      <c r="M105" s="144">
        <f>BOA!G$46*(1-BOA!I$46)</f>
        <v>104</v>
      </c>
      <c r="N105" s="275">
        <f t="shared" si="5"/>
        <v>208</v>
      </c>
      <c r="O105" s="365">
        <v>0</v>
      </c>
      <c r="P105" s="275">
        <f t="shared" si="6"/>
        <v>0</v>
      </c>
      <c r="Q105" s="361">
        <v>0.16</v>
      </c>
      <c r="R105" s="275">
        <f t="shared" si="7"/>
        <v>33.28</v>
      </c>
      <c r="S105" s="275">
        <f t="shared" si="8"/>
        <v>241.28</v>
      </c>
      <c r="T105" s="229">
        <f>INDEX('Glosario Partidas'!$M$8:$M$10,MATCH(L105,'Glosario Partidas'!$L$8:$L$10,0))</f>
        <v>17.5</v>
      </c>
      <c r="U105" s="275">
        <f t="shared" si="9"/>
        <v>4222.3999999999996</v>
      </c>
      <c r="V105" s="230"/>
      <c r="W105" s="249" t="s">
        <v>12</v>
      </c>
      <c r="X105" s="249"/>
      <c r="Y105" s="249"/>
    </row>
    <row r="106" spans="1:25" ht="15" customHeight="1" x14ac:dyDescent="0.2">
      <c r="A106" s="211"/>
      <c r="B106" s="211" t="s">
        <v>193</v>
      </c>
      <c r="C106" s="78" t="s">
        <v>407</v>
      </c>
      <c r="D106" s="211" t="s">
        <v>102</v>
      </c>
      <c r="E106" s="144" t="str">
        <f>BOA!B$47</f>
        <v>Triturador</v>
      </c>
      <c r="F106" s="307" t="s">
        <v>220</v>
      </c>
      <c r="G106" s="78" t="s">
        <v>354</v>
      </c>
      <c r="H106" s="307" t="s">
        <v>707</v>
      </c>
      <c r="I106" s="364" t="str">
        <f>BOA!$B$2</f>
        <v>BOA</v>
      </c>
      <c r="J106" s="273" t="s">
        <v>410</v>
      </c>
      <c r="K106" s="364">
        <v>1</v>
      </c>
      <c r="L106" s="273" t="s">
        <v>153</v>
      </c>
      <c r="M106" s="144">
        <f>BOA!G$47*(1-BOA!I$47)</f>
        <v>598.4</v>
      </c>
      <c r="N106" s="275">
        <f t="shared" si="5"/>
        <v>598.4</v>
      </c>
      <c r="O106" s="365">
        <v>0</v>
      </c>
      <c r="P106" s="275">
        <f t="shared" si="6"/>
        <v>0</v>
      </c>
      <c r="Q106" s="361">
        <v>0.16</v>
      </c>
      <c r="R106" s="275">
        <f t="shared" si="7"/>
        <v>95.744</v>
      </c>
      <c r="S106" s="275">
        <f t="shared" si="8"/>
        <v>694.14400000000001</v>
      </c>
      <c r="T106" s="229">
        <f>INDEX('Glosario Partidas'!$M$8:$M$10,MATCH(L106,'Glosario Partidas'!$L$8:$L$10,0))</f>
        <v>17.5</v>
      </c>
      <c r="U106" s="275">
        <f t="shared" si="9"/>
        <v>12147.52</v>
      </c>
      <c r="V106" s="230"/>
      <c r="W106" s="249" t="s">
        <v>12</v>
      </c>
      <c r="X106" s="249"/>
      <c r="Y106" s="249"/>
    </row>
    <row r="107" spans="1:25" ht="15" customHeight="1" x14ac:dyDescent="0.2">
      <c r="A107" s="211"/>
      <c r="B107" s="211" t="s">
        <v>193</v>
      </c>
      <c r="C107" s="78" t="s">
        <v>407</v>
      </c>
      <c r="D107" s="211" t="s">
        <v>104</v>
      </c>
      <c r="E107" s="144" t="str">
        <f>BOA!B$65</f>
        <v>Máquina de hielo residencial gourmet 65 lb con bomba de drenaje</v>
      </c>
      <c r="F107" s="307" t="s">
        <v>220</v>
      </c>
      <c r="G107" s="78" t="s">
        <v>355</v>
      </c>
      <c r="H107" s="307" t="s">
        <v>765</v>
      </c>
      <c r="I107" s="364" t="str">
        <f>BOA!$B$2</f>
        <v>BOA</v>
      </c>
      <c r="J107" s="273" t="s">
        <v>410</v>
      </c>
      <c r="K107" s="364">
        <v>1</v>
      </c>
      <c r="L107" s="273" t="s">
        <v>153</v>
      </c>
      <c r="M107" s="144">
        <f>BOA!G$65*(1-BOA!I$65)</f>
        <v>4768</v>
      </c>
      <c r="N107" s="275">
        <f t="shared" si="5"/>
        <v>4768</v>
      </c>
      <c r="O107" s="365">
        <v>0</v>
      </c>
      <c r="P107" s="275">
        <f t="shared" si="6"/>
        <v>0</v>
      </c>
      <c r="Q107" s="361">
        <v>0.16</v>
      </c>
      <c r="R107" s="275">
        <f t="shared" si="7"/>
        <v>762.88</v>
      </c>
      <c r="S107" s="275">
        <f t="shared" si="8"/>
        <v>5530.88</v>
      </c>
      <c r="T107" s="229">
        <f>INDEX('Glosario Partidas'!$M$8:$M$10,MATCH(L107,'Glosario Partidas'!$L$8:$L$10,0))</f>
        <v>17.5</v>
      </c>
      <c r="U107" s="275">
        <f t="shared" si="9"/>
        <v>96790.400000000009</v>
      </c>
      <c r="V107" s="230"/>
      <c r="W107" s="249" t="s">
        <v>12</v>
      </c>
      <c r="X107" s="249"/>
      <c r="Y107" s="249"/>
    </row>
    <row r="108" spans="1:25" ht="15" customHeight="1" x14ac:dyDescent="0.2">
      <c r="A108" s="211"/>
      <c r="B108" s="211" t="s">
        <v>193</v>
      </c>
      <c r="C108" s="78" t="s">
        <v>407</v>
      </c>
      <c r="D108" s="211" t="s">
        <v>104</v>
      </c>
      <c r="E108" s="144" t="str">
        <f>BOA!B$66</f>
        <v>Kit de instalación</v>
      </c>
      <c r="F108" s="307" t="s">
        <v>220</v>
      </c>
      <c r="G108" s="78" t="s">
        <v>355</v>
      </c>
      <c r="H108" s="307" t="s">
        <v>765</v>
      </c>
      <c r="I108" s="364" t="str">
        <f>BOA!$B$2</f>
        <v>BOA</v>
      </c>
      <c r="J108" s="273" t="s">
        <v>410</v>
      </c>
      <c r="K108" s="364">
        <v>1</v>
      </c>
      <c r="L108" s="273" t="s">
        <v>153</v>
      </c>
      <c r="M108" s="144">
        <f>BOA!G$66*(1-BOA!I$66)</f>
        <v>96</v>
      </c>
      <c r="N108" s="275">
        <f t="shared" si="5"/>
        <v>96</v>
      </c>
      <c r="O108" s="365">
        <v>0</v>
      </c>
      <c r="P108" s="275">
        <f t="shared" si="6"/>
        <v>0</v>
      </c>
      <c r="Q108" s="361">
        <v>0.16</v>
      </c>
      <c r="R108" s="275">
        <f t="shared" si="7"/>
        <v>15.36</v>
      </c>
      <c r="S108" s="275">
        <f t="shared" si="8"/>
        <v>111.36</v>
      </c>
      <c r="T108" s="229">
        <f>INDEX('Glosario Partidas'!$M$8:$M$10,MATCH(L108,'Glosario Partidas'!$L$8:$L$10,0))</f>
        <v>17.5</v>
      </c>
      <c r="U108" s="275">
        <f t="shared" si="9"/>
        <v>1948.8</v>
      </c>
      <c r="V108" s="230"/>
      <c r="W108" s="249" t="s">
        <v>12</v>
      </c>
      <c r="X108" s="249"/>
      <c r="Y108" s="249"/>
    </row>
    <row r="109" spans="1:25" ht="15" customHeight="1" x14ac:dyDescent="0.2">
      <c r="A109" s="211"/>
      <c r="B109" s="211" t="s">
        <v>193</v>
      </c>
      <c r="C109" s="78" t="s">
        <v>407</v>
      </c>
      <c r="D109" s="211" t="s">
        <v>104</v>
      </c>
      <c r="E109" s="144" t="str">
        <f>BOA!B$67</f>
        <v>Refrigerador bajo cubierta exterior 24", apertura derecha</v>
      </c>
      <c r="F109" s="307" t="s">
        <v>220</v>
      </c>
      <c r="G109" s="78" t="s">
        <v>355</v>
      </c>
      <c r="H109" s="307" t="s">
        <v>765</v>
      </c>
      <c r="I109" s="364" t="str">
        <f>BOA!$B$2</f>
        <v>BOA</v>
      </c>
      <c r="J109" s="273" t="s">
        <v>410</v>
      </c>
      <c r="K109" s="364">
        <v>1</v>
      </c>
      <c r="L109" s="273" t="s">
        <v>153</v>
      </c>
      <c r="M109" s="144">
        <f>BOA!G$67*(1-BOA!I$67)</f>
        <v>3326.4</v>
      </c>
      <c r="N109" s="275">
        <f t="shared" si="5"/>
        <v>3326.4</v>
      </c>
      <c r="O109" s="365">
        <v>0</v>
      </c>
      <c r="P109" s="275">
        <f t="shared" si="6"/>
        <v>0</v>
      </c>
      <c r="Q109" s="361">
        <v>0.16</v>
      </c>
      <c r="R109" s="275">
        <f t="shared" si="7"/>
        <v>532.22400000000005</v>
      </c>
      <c r="S109" s="275">
        <f t="shared" si="8"/>
        <v>3858.6240000000003</v>
      </c>
      <c r="T109" s="229">
        <f>INDEX('Glosario Partidas'!$M$8:$M$10,MATCH(L109,'Glosario Partidas'!$L$8:$L$10,0))</f>
        <v>17.5</v>
      </c>
      <c r="U109" s="275">
        <f t="shared" si="9"/>
        <v>67525.919999999998</v>
      </c>
      <c r="V109" s="230"/>
      <c r="W109" s="249" t="s">
        <v>12</v>
      </c>
      <c r="X109" s="249"/>
      <c r="Y109" s="249"/>
    </row>
    <row r="110" spans="1:25" ht="15" customHeight="1" x14ac:dyDescent="0.2">
      <c r="A110" s="211"/>
      <c r="B110" s="211" t="s">
        <v>193</v>
      </c>
      <c r="C110" s="78" t="s">
        <v>407</v>
      </c>
      <c r="D110" s="211" t="s">
        <v>104</v>
      </c>
      <c r="E110" s="144" t="str">
        <f>BOA!B$70</f>
        <v>Kit de instalación</v>
      </c>
      <c r="F110" s="307" t="s">
        <v>220</v>
      </c>
      <c r="G110" s="78" t="s">
        <v>355</v>
      </c>
      <c r="H110" s="307" t="s">
        <v>765</v>
      </c>
      <c r="I110" s="364" t="str">
        <f>BOA!$B$2</f>
        <v>BOA</v>
      </c>
      <c r="J110" s="273" t="s">
        <v>410</v>
      </c>
      <c r="K110" s="364">
        <v>1</v>
      </c>
      <c r="L110" s="273" t="s">
        <v>153</v>
      </c>
      <c r="M110" s="144">
        <f>BOA!G$70*(1-BOA!I$70)</f>
        <v>96</v>
      </c>
      <c r="N110" s="275">
        <f t="shared" si="5"/>
        <v>96</v>
      </c>
      <c r="O110" s="365">
        <v>0</v>
      </c>
      <c r="P110" s="275">
        <f t="shared" si="6"/>
        <v>0</v>
      </c>
      <c r="Q110" s="361">
        <v>0.16</v>
      </c>
      <c r="R110" s="275">
        <f t="shared" si="7"/>
        <v>15.36</v>
      </c>
      <c r="S110" s="275">
        <f t="shared" si="8"/>
        <v>111.36</v>
      </c>
      <c r="T110" s="229">
        <f>INDEX('Glosario Partidas'!$M$8:$M$10,MATCH(L110,'Glosario Partidas'!$L$8:$L$10,0))</f>
        <v>17.5</v>
      </c>
      <c r="U110" s="275">
        <f t="shared" si="9"/>
        <v>1948.8</v>
      </c>
      <c r="V110" s="230"/>
      <c r="W110" s="249" t="s">
        <v>12</v>
      </c>
      <c r="X110" s="249"/>
      <c r="Y110" s="249"/>
    </row>
    <row r="111" spans="1:25" ht="15" customHeight="1" x14ac:dyDescent="0.2">
      <c r="A111" s="211"/>
      <c r="B111" s="211" t="s">
        <v>193</v>
      </c>
      <c r="C111" s="78" t="s">
        <v>407</v>
      </c>
      <c r="D111" s="211" t="s">
        <v>104</v>
      </c>
      <c r="E111" s="144" t="str">
        <f>BOA!B$71</f>
        <v>Campana profesional para exterior acero inox., 48" x 33"</v>
      </c>
      <c r="F111" s="307" t="s">
        <v>220</v>
      </c>
      <c r="G111" s="78" t="s">
        <v>355</v>
      </c>
      <c r="H111" s="307" t="s">
        <v>765</v>
      </c>
      <c r="I111" s="364" t="str">
        <f>BOA!$B$2</f>
        <v>BOA</v>
      </c>
      <c r="J111" s="273" t="s">
        <v>410</v>
      </c>
      <c r="K111" s="364">
        <v>1</v>
      </c>
      <c r="L111" s="273" t="s">
        <v>153</v>
      </c>
      <c r="M111" s="144">
        <f>BOA!G$71*(1-BOA!I$71)</f>
        <v>2733</v>
      </c>
      <c r="N111" s="275">
        <f t="shared" si="5"/>
        <v>2733</v>
      </c>
      <c r="O111" s="365">
        <v>0</v>
      </c>
      <c r="P111" s="275">
        <f t="shared" si="6"/>
        <v>0</v>
      </c>
      <c r="Q111" s="361">
        <v>0.16</v>
      </c>
      <c r="R111" s="275">
        <f t="shared" si="7"/>
        <v>437.28000000000003</v>
      </c>
      <c r="S111" s="275">
        <f t="shared" si="8"/>
        <v>3170.28</v>
      </c>
      <c r="T111" s="229">
        <f>INDEX('Glosario Partidas'!$M$8:$M$10,MATCH(L111,'Glosario Partidas'!$L$8:$L$10,0))</f>
        <v>17.5</v>
      </c>
      <c r="U111" s="275">
        <f t="shared" si="9"/>
        <v>55479.9</v>
      </c>
      <c r="V111" s="230"/>
      <c r="W111" s="249" t="s">
        <v>12</v>
      </c>
      <c r="X111" s="249"/>
      <c r="Y111" s="249"/>
    </row>
    <row r="112" spans="1:25" ht="15" customHeight="1" x14ac:dyDescent="0.2">
      <c r="A112" s="211"/>
      <c r="B112" s="211" t="s">
        <v>193</v>
      </c>
      <c r="C112" s="78" t="s">
        <v>407</v>
      </c>
      <c r="D112" s="211" t="s">
        <v>104</v>
      </c>
      <c r="E112" s="144" t="str">
        <f>BOA!B$72</f>
        <v>Motor de extracción interno para campanas, 1200 CFM</v>
      </c>
      <c r="F112" s="307" t="s">
        <v>220</v>
      </c>
      <c r="G112" s="78" t="s">
        <v>355</v>
      </c>
      <c r="H112" s="307" t="s">
        <v>765</v>
      </c>
      <c r="I112" s="364" t="str">
        <f>BOA!$B$2</f>
        <v>BOA</v>
      </c>
      <c r="J112" s="273" t="s">
        <v>410</v>
      </c>
      <c r="K112" s="364">
        <v>1</v>
      </c>
      <c r="L112" s="273" t="s">
        <v>153</v>
      </c>
      <c r="M112" s="144">
        <f>BOA!G$72*(1-BOA!I$72)</f>
        <v>1142.4000000000001</v>
      </c>
      <c r="N112" s="275">
        <f t="shared" si="5"/>
        <v>1142.4000000000001</v>
      </c>
      <c r="O112" s="365">
        <v>0</v>
      </c>
      <c r="P112" s="275">
        <f t="shared" si="6"/>
        <v>0</v>
      </c>
      <c r="Q112" s="361">
        <v>0.16</v>
      </c>
      <c r="R112" s="275">
        <f t="shared" si="7"/>
        <v>182.78400000000002</v>
      </c>
      <c r="S112" s="275">
        <f t="shared" si="8"/>
        <v>1325.1840000000002</v>
      </c>
      <c r="T112" s="229">
        <f>INDEX('Glosario Partidas'!$M$8:$M$10,MATCH(L112,'Glosario Partidas'!$L$8:$L$10,0))</f>
        <v>17.5</v>
      </c>
      <c r="U112" s="275">
        <f t="shared" si="9"/>
        <v>23190.720000000005</v>
      </c>
      <c r="V112" s="230"/>
      <c r="W112" s="249" t="s">
        <v>12</v>
      </c>
      <c r="X112" s="249"/>
      <c r="Y112" s="249"/>
    </row>
    <row r="113" spans="1:25" ht="15" customHeight="1" x14ac:dyDescent="0.2">
      <c r="A113" s="211"/>
      <c r="B113" s="211" t="s">
        <v>193</v>
      </c>
      <c r="C113" s="78" t="s">
        <v>407</v>
      </c>
      <c r="D113" s="211" t="s">
        <v>104</v>
      </c>
      <c r="E113" s="144" t="str">
        <f>BOA!B$73</f>
        <v>Tarja</v>
      </c>
      <c r="F113" s="307" t="s">
        <v>220</v>
      </c>
      <c r="G113" s="78" t="s">
        <v>355</v>
      </c>
      <c r="H113" s="307" t="s">
        <v>765</v>
      </c>
      <c r="I113" s="364" t="str">
        <f>BOA!$B$2</f>
        <v>BOA</v>
      </c>
      <c r="J113" s="273" t="s">
        <v>410</v>
      </c>
      <c r="K113" s="364">
        <v>1</v>
      </c>
      <c r="L113" s="273" t="s">
        <v>153</v>
      </c>
      <c r="M113" s="144">
        <f>BOA!G$73*(1-BOA!I$73)</f>
        <v>1040</v>
      </c>
      <c r="N113" s="275">
        <f t="shared" si="5"/>
        <v>1040</v>
      </c>
      <c r="O113" s="365">
        <v>0</v>
      </c>
      <c r="P113" s="275">
        <f t="shared" si="6"/>
        <v>0</v>
      </c>
      <c r="Q113" s="361">
        <v>0.16</v>
      </c>
      <c r="R113" s="275">
        <f t="shared" si="7"/>
        <v>166.4</v>
      </c>
      <c r="S113" s="275">
        <f t="shared" si="8"/>
        <v>1206.4000000000001</v>
      </c>
      <c r="T113" s="229">
        <f>INDEX('Glosario Partidas'!$M$8:$M$10,MATCH(L113,'Glosario Partidas'!$L$8:$L$10,0))</f>
        <v>17.5</v>
      </c>
      <c r="U113" s="275">
        <f t="shared" si="9"/>
        <v>21112</v>
      </c>
      <c r="V113" s="230"/>
      <c r="W113" s="249" t="s">
        <v>12</v>
      </c>
      <c r="X113" s="249"/>
      <c r="Y113" s="249"/>
    </row>
    <row r="114" spans="1:25" ht="15" customHeight="1" x14ac:dyDescent="0.2">
      <c r="A114" s="211"/>
      <c r="B114" s="211" t="s">
        <v>193</v>
      </c>
      <c r="C114" s="78" t="s">
        <v>407</v>
      </c>
      <c r="D114" s="211" t="s">
        <v>104</v>
      </c>
      <c r="E114" s="144" t="str">
        <f>BOA!B$74</f>
        <v>Sink</v>
      </c>
      <c r="F114" s="307" t="s">
        <v>220</v>
      </c>
      <c r="G114" s="78" t="s">
        <v>355</v>
      </c>
      <c r="H114" s="307" t="s">
        <v>765</v>
      </c>
      <c r="I114" s="364" t="str">
        <f>BOA!$B$2</f>
        <v>BOA</v>
      </c>
      <c r="J114" s="273" t="s">
        <v>410</v>
      </c>
      <c r="K114" s="364">
        <v>2</v>
      </c>
      <c r="L114" s="273" t="s">
        <v>153</v>
      </c>
      <c r="M114" s="144">
        <f>BOA!G$74*(1-BOA!I$74)</f>
        <v>104</v>
      </c>
      <c r="N114" s="275">
        <f t="shared" si="5"/>
        <v>208</v>
      </c>
      <c r="O114" s="365">
        <v>0</v>
      </c>
      <c r="P114" s="275">
        <f t="shared" si="6"/>
        <v>0</v>
      </c>
      <c r="Q114" s="361">
        <v>0.16</v>
      </c>
      <c r="R114" s="275">
        <f t="shared" si="7"/>
        <v>33.28</v>
      </c>
      <c r="S114" s="275">
        <f t="shared" si="8"/>
        <v>241.28</v>
      </c>
      <c r="T114" s="229">
        <f>INDEX('Glosario Partidas'!$M$8:$M$10,MATCH(L114,'Glosario Partidas'!$L$8:$L$10,0))</f>
        <v>17.5</v>
      </c>
      <c r="U114" s="275">
        <f t="shared" si="9"/>
        <v>4222.3999999999996</v>
      </c>
      <c r="V114" s="230"/>
      <c r="W114" s="249" t="s">
        <v>12</v>
      </c>
      <c r="X114" s="249"/>
      <c r="Y114" s="249"/>
    </row>
    <row r="115" spans="1:25" ht="15" customHeight="1" x14ac:dyDescent="0.2">
      <c r="A115" s="211"/>
      <c r="B115" s="211" t="s">
        <v>193</v>
      </c>
      <c r="C115" s="78" t="s">
        <v>407</v>
      </c>
      <c r="D115" s="211" t="s">
        <v>104</v>
      </c>
      <c r="E115" s="144" t="str">
        <f>BOA!B$75</f>
        <v>Triturador</v>
      </c>
      <c r="F115" s="307" t="s">
        <v>220</v>
      </c>
      <c r="G115" s="78" t="s">
        <v>355</v>
      </c>
      <c r="H115" s="307" t="s">
        <v>765</v>
      </c>
      <c r="I115" s="364" t="str">
        <f>BOA!$B$2</f>
        <v>BOA</v>
      </c>
      <c r="J115" s="273" t="s">
        <v>410</v>
      </c>
      <c r="K115" s="364">
        <v>1</v>
      </c>
      <c r="L115" s="273" t="s">
        <v>153</v>
      </c>
      <c r="M115" s="144">
        <f>BOA!G$75*(1-BOA!I$75)</f>
        <v>598.4</v>
      </c>
      <c r="N115" s="275">
        <f t="shared" si="5"/>
        <v>598.4</v>
      </c>
      <c r="O115" s="365">
        <v>0</v>
      </c>
      <c r="P115" s="275">
        <f t="shared" si="6"/>
        <v>0</v>
      </c>
      <c r="Q115" s="361">
        <v>0.16</v>
      </c>
      <c r="R115" s="275">
        <f t="shared" si="7"/>
        <v>95.744</v>
      </c>
      <c r="S115" s="275">
        <f t="shared" si="8"/>
        <v>694.14400000000001</v>
      </c>
      <c r="T115" s="229">
        <f>INDEX('Glosario Partidas'!$M$8:$M$10,MATCH(L115,'Glosario Partidas'!$L$8:$L$10,0))</f>
        <v>17.5</v>
      </c>
      <c r="U115" s="275">
        <f t="shared" si="9"/>
        <v>12147.52</v>
      </c>
      <c r="V115" s="230"/>
      <c r="W115" s="249" t="s">
        <v>12</v>
      </c>
      <c r="X115" s="249"/>
      <c r="Y115" s="249"/>
    </row>
    <row r="116" spans="1:25" ht="15" customHeight="1" x14ac:dyDescent="0.2">
      <c r="A116" s="211"/>
      <c r="B116" s="211" t="s">
        <v>193</v>
      </c>
      <c r="C116" s="78" t="s">
        <v>407</v>
      </c>
      <c r="D116" s="211" t="s">
        <v>104</v>
      </c>
      <c r="E116" s="316" t="s">
        <v>811</v>
      </c>
      <c r="F116" s="307" t="s">
        <v>220</v>
      </c>
      <c r="G116" s="78" t="s">
        <v>355</v>
      </c>
      <c r="H116" s="307" t="s">
        <v>765</v>
      </c>
      <c r="I116" s="315" t="s">
        <v>812</v>
      </c>
      <c r="J116" s="211" t="s">
        <v>410</v>
      </c>
      <c r="K116" s="224">
        <v>1</v>
      </c>
      <c r="L116" s="211" t="s">
        <v>153</v>
      </c>
      <c r="M116" s="316">
        <v>6325.8</v>
      </c>
      <c r="N116" s="310">
        <f t="shared" si="5"/>
        <v>6325.8</v>
      </c>
      <c r="O116" s="317">
        <v>0</v>
      </c>
      <c r="P116" s="227">
        <f t="shared" si="6"/>
        <v>0</v>
      </c>
      <c r="Q116" s="366">
        <v>0.16</v>
      </c>
      <c r="R116" s="310">
        <f t="shared" si="7"/>
        <v>1012.128</v>
      </c>
      <c r="S116" s="310">
        <f t="shared" si="8"/>
        <v>7337.9279999999999</v>
      </c>
      <c r="T116" s="229">
        <f>INDEX('Glosario Partidas'!$M$8:$M$10,MATCH(L116,'Glosario Partidas'!$L$8:$L$10,0))</f>
        <v>17.5</v>
      </c>
      <c r="U116" s="310">
        <f t="shared" si="9"/>
        <v>128413.73999999999</v>
      </c>
      <c r="V116" s="230" t="s">
        <v>813</v>
      </c>
      <c r="W116" s="249" t="s">
        <v>13</v>
      </c>
      <c r="X116" s="249"/>
      <c r="Y116" s="249"/>
    </row>
    <row r="117" spans="1:25" ht="15" customHeight="1" x14ac:dyDescent="0.2">
      <c r="A117" s="211"/>
      <c r="B117" s="211" t="s">
        <v>193</v>
      </c>
      <c r="C117" s="78" t="s">
        <v>407</v>
      </c>
      <c r="D117" s="211" t="s">
        <v>104</v>
      </c>
      <c r="E117" s="316" t="s">
        <v>814</v>
      </c>
      <c r="F117" s="307" t="s">
        <v>220</v>
      </c>
      <c r="G117" s="78" t="s">
        <v>355</v>
      </c>
      <c r="H117" s="307" t="s">
        <v>765</v>
      </c>
      <c r="I117" s="315" t="s">
        <v>812</v>
      </c>
      <c r="J117" s="211" t="s">
        <v>410</v>
      </c>
      <c r="K117" s="224">
        <v>1</v>
      </c>
      <c r="L117" s="211" t="s">
        <v>153</v>
      </c>
      <c r="M117" s="316">
        <v>204</v>
      </c>
      <c r="N117" s="310">
        <f t="shared" si="5"/>
        <v>204</v>
      </c>
      <c r="O117" s="317">
        <v>0</v>
      </c>
      <c r="P117" s="227">
        <f t="shared" si="6"/>
        <v>0</v>
      </c>
      <c r="Q117" s="366">
        <v>0.16</v>
      </c>
      <c r="R117" s="310">
        <f t="shared" si="7"/>
        <v>32.64</v>
      </c>
      <c r="S117" s="310">
        <f t="shared" si="8"/>
        <v>236.64</v>
      </c>
      <c r="T117" s="229">
        <f>INDEX('Glosario Partidas'!$M$8:$M$10,MATCH(L117,'Glosario Partidas'!$L$8:$L$10,0))</f>
        <v>17.5</v>
      </c>
      <c r="U117" s="310">
        <f t="shared" si="9"/>
        <v>4141.2</v>
      </c>
      <c r="V117" s="230" t="s">
        <v>815</v>
      </c>
      <c r="W117" s="249" t="s">
        <v>13</v>
      </c>
      <c r="X117" s="249"/>
      <c r="Y117" s="249"/>
    </row>
    <row r="118" spans="1:25" ht="15" customHeight="1" x14ac:dyDescent="0.2">
      <c r="A118" s="211"/>
      <c r="B118" s="211" t="s">
        <v>193</v>
      </c>
      <c r="C118" s="78" t="s">
        <v>105</v>
      </c>
      <c r="D118" s="211" t="s">
        <v>105</v>
      </c>
      <c r="E118" s="316" t="s">
        <v>1145</v>
      </c>
      <c r="F118" s="307" t="s">
        <v>220</v>
      </c>
      <c r="G118" s="78" t="s">
        <v>221</v>
      </c>
      <c r="H118" s="307" t="s">
        <v>700</v>
      </c>
      <c r="I118" s="315" t="s">
        <v>816</v>
      </c>
      <c r="J118" s="211" t="s">
        <v>314</v>
      </c>
      <c r="K118" s="224">
        <v>1</v>
      </c>
      <c r="L118" s="211" t="s">
        <v>269</v>
      </c>
      <c r="M118" s="316">
        <f>45000/2</f>
        <v>22500</v>
      </c>
      <c r="N118" s="310">
        <f t="shared" si="5"/>
        <v>22500</v>
      </c>
      <c r="O118" s="317">
        <v>0</v>
      </c>
      <c r="P118" s="227">
        <f t="shared" si="6"/>
        <v>0</v>
      </c>
      <c r="Q118" s="366">
        <v>0.16</v>
      </c>
      <c r="R118" s="310">
        <f t="shared" si="7"/>
        <v>3600</v>
      </c>
      <c r="S118" s="310">
        <f t="shared" si="8"/>
        <v>26100</v>
      </c>
      <c r="T118" s="229">
        <f>INDEX('Glosario Partidas'!$M$8:$M$10,MATCH(L118,'Glosario Partidas'!$L$8:$L$10,0))</f>
        <v>1</v>
      </c>
      <c r="U118" s="310">
        <f t="shared" si="9"/>
        <v>26100</v>
      </c>
      <c r="V118" s="230" t="s">
        <v>817</v>
      </c>
      <c r="W118" s="249" t="s">
        <v>13</v>
      </c>
      <c r="X118" s="249" t="s">
        <v>491</v>
      </c>
      <c r="Y118" s="249"/>
    </row>
    <row r="119" spans="1:25" ht="15" customHeight="1" x14ac:dyDescent="0.2">
      <c r="A119" s="211"/>
      <c r="B119" s="211" t="s">
        <v>193</v>
      </c>
      <c r="C119" s="78" t="s">
        <v>105</v>
      </c>
      <c r="D119" s="211" t="s">
        <v>105</v>
      </c>
      <c r="E119" s="316" t="s">
        <v>1146</v>
      </c>
      <c r="F119" s="307" t="s">
        <v>220</v>
      </c>
      <c r="G119" s="78" t="s">
        <v>221</v>
      </c>
      <c r="H119" s="307" t="s">
        <v>700</v>
      </c>
      <c r="I119" s="315" t="s">
        <v>816</v>
      </c>
      <c r="J119" s="211" t="s">
        <v>314</v>
      </c>
      <c r="K119" s="224">
        <v>1</v>
      </c>
      <c r="L119" s="211" t="s">
        <v>269</v>
      </c>
      <c r="M119" s="316">
        <f t="shared" ref="M119:M129" si="10">45000/2</f>
        <v>22500</v>
      </c>
      <c r="N119" s="310">
        <f t="shared" si="5"/>
        <v>22500</v>
      </c>
      <c r="O119" s="317">
        <v>0</v>
      </c>
      <c r="P119" s="227">
        <f t="shared" si="6"/>
        <v>0</v>
      </c>
      <c r="Q119" s="366">
        <v>0.16</v>
      </c>
      <c r="R119" s="310">
        <f t="shared" si="7"/>
        <v>3600</v>
      </c>
      <c r="S119" s="310">
        <f t="shared" si="8"/>
        <v>26100</v>
      </c>
      <c r="T119" s="229">
        <f>INDEX('Glosario Partidas'!$M$8:$M$10,MATCH(L119,'Glosario Partidas'!$L$8:$L$10,0))</f>
        <v>1</v>
      </c>
      <c r="U119" s="310">
        <f t="shared" si="9"/>
        <v>26100</v>
      </c>
      <c r="V119" s="230" t="s">
        <v>315</v>
      </c>
      <c r="W119" s="249" t="s">
        <v>13</v>
      </c>
      <c r="X119" s="249" t="s">
        <v>491</v>
      </c>
      <c r="Y119" s="249"/>
    </row>
    <row r="120" spans="1:25" ht="15" customHeight="1" x14ac:dyDescent="0.2">
      <c r="A120" s="211"/>
      <c r="B120" s="211" t="s">
        <v>193</v>
      </c>
      <c r="C120" s="78" t="s">
        <v>105</v>
      </c>
      <c r="D120" s="211" t="s">
        <v>105</v>
      </c>
      <c r="E120" s="316" t="s">
        <v>1145</v>
      </c>
      <c r="F120" s="307" t="s">
        <v>220</v>
      </c>
      <c r="G120" s="78" t="s">
        <v>354</v>
      </c>
      <c r="H120" s="307" t="s">
        <v>706</v>
      </c>
      <c r="I120" s="315" t="s">
        <v>816</v>
      </c>
      <c r="J120" s="211" t="s">
        <v>314</v>
      </c>
      <c r="K120" s="224">
        <v>1</v>
      </c>
      <c r="L120" s="211" t="s">
        <v>269</v>
      </c>
      <c r="M120" s="316">
        <f t="shared" si="10"/>
        <v>22500</v>
      </c>
      <c r="N120" s="310">
        <f t="shared" si="5"/>
        <v>22500</v>
      </c>
      <c r="O120" s="317">
        <v>0</v>
      </c>
      <c r="P120" s="227">
        <f t="shared" si="6"/>
        <v>0</v>
      </c>
      <c r="Q120" s="366">
        <v>0.16</v>
      </c>
      <c r="R120" s="310">
        <f t="shared" si="7"/>
        <v>3600</v>
      </c>
      <c r="S120" s="310">
        <f t="shared" si="8"/>
        <v>26100</v>
      </c>
      <c r="T120" s="229">
        <f>INDEX('Glosario Partidas'!$M$8:$M$10,MATCH(L120,'Glosario Partidas'!$L$8:$L$10,0))</f>
        <v>1</v>
      </c>
      <c r="U120" s="310">
        <f t="shared" si="9"/>
        <v>26100</v>
      </c>
      <c r="V120" s="230" t="s">
        <v>817</v>
      </c>
      <c r="W120" s="249" t="s">
        <v>13</v>
      </c>
      <c r="X120" s="249" t="s">
        <v>491</v>
      </c>
      <c r="Y120" s="249"/>
    </row>
    <row r="121" spans="1:25" ht="15" customHeight="1" x14ac:dyDescent="0.2">
      <c r="A121" s="211"/>
      <c r="B121" s="211" t="s">
        <v>193</v>
      </c>
      <c r="C121" s="78" t="s">
        <v>105</v>
      </c>
      <c r="D121" s="211" t="s">
        <v>105</v>
      </c>
      <c r="E121" s="316" t="s">
        <v>1146</v>
      </c>
      <c r="F121" s="307" t="s">
        <v>220</v>
      </c>
      <c r="G121" s="78" t="s">
        <v>354</v>
      </c>
      <c r="H121" s="307" t="s">
        <v>706</v>
      </c>
      <c r="I121" s="315" t="s">
        <v>816</v>
      </c>
      <c r="J121" s="211" t="s">
        <v>314</v>
      </c>
      <c r="K121" s="224">
        <v>1</v>
      </c>
      <c r="L121" s="211" t="s">
        <v>269</v>
      </c>
      <c r="M121" s="316">
        <f t="shared" si="10"/>
        <v>22500</v>
      </c>
      <c r="N121" s="310">
        <f t="shared" si="5"/>
        <v>22500</v>
      </c>
      <c r="O121" s="317">
        <v>0</v>
      </c>
      <c r="P121" s="227">
        <f t="shared" si="6"/>
        <v>0</v>
      </c>
      <c r="Q121" s="366">
        <v>0.16</v>
      </c>
      <c r="R121" s="310">
        <f t="shared" si="7"/>
        <v>3600</v>
      </c>
      <c r="S121" s="310">
        <f t="shared" si="8"/>
        <v>26100</v>
      </c>
      <c r="T121" s="229">
        <f>INDEX('Glosario Partidas'!$M$8:$M$10,MATCH(L121,'Glosario Partidas'!$L$8:$L$10,0))</f>
        <v>1</v>
      </c>
      <c r="U121" s="310">
        <f t="shared" si="9"/>
        <v>26100</v>
      </c>
      <c r="V121" s="230" t="s">
        <v>315</v>
      </c>
      <c r="W121" s="249" t="s">
        <v>13</v>
      </c>
      <c r="X121" s="249" t="s">
        <v>491</v>
      </c>
      <c r="Y121" s="249"/>
    </row>
    <row r="122" spans="1:25" ht="15" customHeight="1" x14ac:dyDescent="0.2">
      <c r="A122" s="211"/>
      <c r="B122" s="211" t="s">
        <v>193</v>
      </c>
      <c r="C122" s="78" t="s">
        <v>105</v>
      </c>
      <c r="D122" s="211" t="s">
        <v>105</v>
      </c>
      <c r="E122" s="316" t="s">
        <v>1145</v>
      </c>
      <c r="F122" s="307" t="s">
        <v>220</v>
      </c>
      <c r="G122" s="78" t="s">
        <v>355</v>
      </c>
      <c r="H122" s="307" t="s">
        <v>757</v>
      </c>
      <c r="I122" s="315" t="s">
        <v>816</v>
      </c>
      <c r="J122" s="211" t="s">
        <v>314</v>
      </c>
      <c r="K122" s="224">
        <v>1</v>
      </c>
      <c r="L122" s="211" t="s">
        <v>269</v>
      </c>
      <c r="M122" s="316">
        <f t="shared" si="10"/>
        <v>22500</v>
      </c>
      <c r="N122" s="310">
        <f t="shared" si="5"/>
        <v>22500</v>
      </c>
      <c r="O122" s="317">
        <v>0</v>
      </c>
      <c r="P122" s="227">
        <f t="shared" si="6"/>
        <v>0</v>
      </c>
      <c r="Q122" s="366">
        <v>0.16</v>
      </c>
      <c r="R122" s="310">
        <f t="shared" si="7"/>
        <v>3600</v>
      </c>
      <c r="S122" s="310">
        <f t="shared" si="8"/>
        <v>26100</v>
      </c>
      <c r="T122" s="229">
        <f>INDEX('Glosario Partidas'!$M$8:$M$10,MATCH(L122,'Glosario Partidas'!$L$8:$L$10,0))</f>
        <v>1</v>
      </c>
      <c r="U122" s="310">
        <f t="shared" si="9"/>
        <v>26100</v>
      </c>
      <c r="V122" s="230" t="s">
        <v>817</v>
      </c>
      <c r="W122" s="249" t="s">
        <v>13</v>
      </c>
      <c r="X122" s="249" t="s">
        <v>491</v>
      </c>
      <c r="Y122" s="249"/>
    </row>
    <row r="123" spans="1:25" ht="15" customHeight="1" x14ac:dyDescent="0.2">
      <c r="A123" s="211"/>
      <c r="B123" s="211" t="s">
        <v>193</v>
      </c>
      <c r="C123" s="78" t="s">
        <v>105</v>
      </c>
      <c r="D123" s="211" t="s">
        <v>105</v>
      </c>
      <c r="E123" s="316" t="s">
        <v>1146</v>
      </c>
      <c r="F123" s="307" t="s">
        <v>220</v>
      </c>
      <c r="G123" s="78" t="s">
        <v>355</v>
      </c>
      <c r="H123" s="307" t="s">
        <v>757</v>
      </c>
      <c r="I123" s="315" t="s">
        <v>816</v>
      </c>
      <c r="J123" s="211" t="s">
        <v>314</v>
      </c>
      <c r="K123" s="224">
        <v>1</v>
      </c>
      <c r="L123" s="211" t="s">
        <v>269</v>
      </c>
      <c r="M123" s="316">
        <f t="shared" si="10"/>
        <v>22500</v>
      </c>
      <c r="N123" s="310">
        <f t="shared" si="5"/>
        <v>22500</v>
      </c>
      <c r="O123" s="317">
        <v>0</v>
      </c>
      <c r="P123" s="227">
        <f t="shared" si="6"/>
        <v>0</v>
      </c>
      <c r="Q123" s="366">
        <v>0.16</v>
      </c>
      <c r="R123" s="310">
        <f t="shared" si="7"/>
        <v>3600</v>
      </c>
      <c r="S123" s="310">
        <f t="shared" si="8"/>
        <v>26100</v>
      </c>
      <c r="T123" s="229">
        <f>INDEX('Glosario Partidas'!$M$8:$M$10,MATCH(L123,'Glosario Partidas'!$L$8:$L$10,0))</f>
        <v>1</v>
      </c>
      <c r="U123" s="310">
        <f t="shared" si="9"/>
        <v>26100</v>
      </c>
      <c r="V123" s="230" t="s">
        <v>315</v>
      </c>
      <c r="W123" s="249" t="s">
        <v>13</v>
      </c>
      <c r="X123" s="249" t="s">
        <v>491</v>
      </c>
      <c r="Y123" s="249"/>
    </row>
    <row r="124" spans="1:25" ht="15" customHeight="1" x14ac:dyDescent="0.2">
      <c r="A124" s="211"/>
      <c r="B124" s="211" t="s">
        <v>193</v>
      </c>
      <c r="C124" s="78" t="s">
        <v>105</v>
      </c>
      <c r="D124" s="211" t="s">
        <v>105</v>
      </c>
      <c r="E124" s="316" t="s">
        <v>1145</v>
      </c>
      <c r="F124" s="307" t="s">
        <v>220</v>
      </c>
      <c r="G124" s="78" t="s">
        <v>221</v>
      </c>
      <c r="H124" s="307" t="s">
        <v>703</v>
      </c>
      <c r="I124" s="315" t="s">
        <v>816</v>
      </c>
      <c r="J124" s="211" t="s">
        <v>314</v>
      </c>
      <c r="K124" s="224">
        <v>1</v>
      </c>
      <c r="L124" s="211" t="s">
        <v>269</v>
      </c>
      <c r="M124" s="316">
        <f t="shared" si="10"/>
        <v>22500</v>
      </c>
      <c r="N124" s="310">
        <f t="shared" ref="N124:N183" si="11">K124*M124</f>
        <v>22500</v>
      </c>
      <c r="O124" s="317">
        <v>0</v>
      </c>
      <c r="P124" s="227">
        <f t="shared" ref="P124:P183" si="12">N124*O124</f>
        <v>0</v>
      </c>
      <c r="Q124" s="366">
        <v>0.16</v>
      </c>
      <c r="R124" s="310">
        <f t="shared" ref="R124:R183" si="13">(N124+P124)*Q124</f>
        <v>3600</v>
      </c>
      <c r="S124" s="310">
        <f t="shared" ref="S124:S183" si="14">N124+P124+R124</f>
        <v>26100</v>
      </c>
      <c r="T124" s="229">
        <f>INDEX('Glosario Partidas'!$M$8:$M$10,MATCH(L124,'Glosario Partidas'!$L$8:$L$10,0))</f>
        <v>1</v>
      </c>
      <c r="U124" s="310">
        <f t="shared" ref="U124:U183" si="15">S124*T124</f>
        <v>26100</v>
      </c>
      <c r="V124" s="230" t="s">
        <v>817</v>
      </c>
      <c r="W124" s="249" t="s">
        <v>13</v>
      </c>
      <c r="X124" s="249" t="s">
        <v>491</v>
      </c>
      <c r="Y124" s="249"/>
    </row>
    <row r="125" spans="1:25" ht="15" customHeight="1" x14ac:dyDescent="0.2">
      <c r="A125" s="211"/>
      <c r="B125" s="211" t="s">
        <v>193</v>
      </c>
      <c r="C125" s="78" t="s">
        <v>105</v>
      </c>
      <c r="D125" s="211" t="s">
        <v>105</v>
      </c>
      <c r="E125" s="316" t="s">
        <v>1146</v>
      </c>
      <c r="F125" s="307" t="s">
        <v>220</v>
      </c>
      <c r="G125" s="78" t="s">
        <v>221</v>
      </c>
      <c r="H125" s="307" t="s">
        <v>703</v>
      </c>
      <c r="I125" s="315" t="s">
        <v>816</v>
      </c>
      <c r="J125" s="211" t="s">
        <v>314</v>
      </c>
      <c r="K125" s="224">
        <v>1</v>
      </c>
      <c r="L125" s="211" t="s">
        <v>269</v>
      </c>
      <c r="M125" s="316">
        <f t="shared" si="10"/>
        <v>22500</v>
      </c>
      <c r="N125" s="310">
        <f t="shared" si="11"/>
        <v>22500</v>
      </c>
      <c r="O125" s="317">
        <v>0</v>
      </c>
      <c r="P125" s="227">
        <f t="shared" si="12"/>
        <v>0</v>
      </c>
      <c r="Q125" s="366">
        <v>0.16</v>
      </c>
      <c r="R125" s="310">
        <f t="shared" si="13"/>
        <v>3600</v>
      </c>
      <c r="S125" s="310">
        <f t="shared" si="14"/>
        <v>26100</v>
      </c>
      <c r="T125" s="229">
        <f>INDEX('Glosario Partidas'!$M$8:$M$10,MATCH(L125,'Glosario Partidas'!$L$8:$L$10,0))</f>
        <v>1</v>
      </c>
      <c r="U125" s="310">
        <f t="shared" si="15"/>
        <v>26100</v>
      </c>
      <c r="V125" s="230" t="s">
        <v>315</v>
      </c>
      <c r="W125" s="249" t="s">
        <v>13</v>
      </c>
      <c r="X125" s="249" t="s">
        <v>491</v>
      </c>
      <c r="Y125" s="249"/>
    </row>
    <row r="126" spans="1:25" ht="15" customHeight="1" x14ac:dyDescent="0.2">
      <c r="A126" s="211"/>
      <c r="B126" s="211" t="s">
        <v>193</v>
      </c>
      <c r="C126" s="78" t="s">
        <v>105</v>
      </c>
      <c r="D126" s="211" t="s">
        <v>105</v>
      </c>
      <c r="E126" s="316" t="s">
        <v>1145</v>
      </c>
      <c r="F126" s="307" t="s">
        <v>220</v>
      </c>
      <c r="G126" s="78" t="s">
        <v>354</v>
      </c>
      <c r="H126" s="307" t="s">
        <v>707</v>
      </c>
      <c r="I126" s="315" t="s">
        <v>816</v>
      </c>
      <c r="J126" s="211" t="s">
        <v>314</v>
      </c>
      <c r="K126" s="224">
        <v>1</v>
      </c>
      <c r="L126" s="211" t="s">
        <v>269</v>
      </c>
      <c r="M126" s="316">
        <f t="shared" si="10"/>
        <v>22500</v>
      </c>
      <c r="N126" s="310">
        <f t="shared" si="11"/>
        <v>22500</v>
      </c>
      <c r="O126" s="317">
        <v>0</v>
      </c>
      <c r="P126" s="227">
        <f t="shared" si="12"/>
        <v>0</v>
      </c>
      <c r="Q126" s="366">
        <v>0.16</v>
      </c>
      <c r="R126" s="310">
        <f t="shared" si="13"/>
        <v>3600</v>
      </c>
      <c r="S126" s="310">
        <f t="shared" si="14"/>
        <v>26100</v>
      </c>
      <c r="T126" s="229">
        <f>INDEX('Glosario Partidas'!$M$8:$M$10,MATCH(L126,'Glosario Partidas'!$L$8:$L$10,0))</f>
        <v>1</v>
      </c>
      <c r="U126" s="310">
        <f t="shared" si="15"/>
        <v>26100</v>
      </c>
      <c r="V126" s="230" t="s">
        <v>817</v>
      </c>
      <c r="W126" s="249" t="s">
        <v>13</v>
      </c>
      <c r="X126" s="249" t="s">
        <v>491</v>
      </c>
      <c r="Y126" s="249"/>
    </row>
    <row r="127" spans="1:25" ht="15" customHeight="1" x14ac:dyDescent="0.2">
      <c r="A127" s="211"/>
      <c r="B127" s="211" t="s">
        <v>193</v>
      </c>
      <c r="C127" s="78" t="s">
        <v>105</v>
      </c>
      <c r="D127" s="211" t="s">
        <v>105</v>
      </c>
      <c r="E127" s="316" t="s">
        <v>1146</v>
      </c>
      <c r="F127" s="307" t="s">
        <v>220</v>
      </c>
      <c r="G127" s="78" t="s">
        <v>354</v>
      </c>
      <c r="H127" s="307" t="s">
        <v>707</v>
      </c>
      <c r="I127" s="315" t="s">
        <v>816</v>
      </c>
      <c r="J127" s="211" t="s">
        <v>314</v>
      </c>
      <c r="K127" s="224">
        <v>1</v>
      </c>
      <c r="L127" s="211" t="s">
        <v>269</v>
      </c>
      <c r="M127" s="316">
        <f t="shared" si="10"/>
        <v>22500</v>
      </c>
      <c r="N127" s="310">
        <f t="shared" si="11"/>
        <v>22500</v>
      </c>
      <c r="O127" s="317">
        <v>0</v>
      </c>
      <c r="P127" s="227">
        <f t="shared" si="12"/>
        <v>0</v>
      </c>
      <c r="Q127" s="366">
        <v>0.16</v>
      </c>
      <c r="R127" s="310">
        <f t="shared" si="13"/>
        <v>3600</v>
      </c>
      <c r="S127" s="310">
        <f t="shared" si="14"/>
        <v>26100</v>
      </c>
      <c r="T127" s="229">
        <f>INDEX('Glosario Partidas'!$M$8:$M$10,MATCH(L127,'Glosario Partidas'!$L$8:$L$10,0))</f>
        <v>1</v>
      </c>
      <c r="U127" s="310">
        <f t="shared" si="15"/>
        <v>26100</v>
      </c>
      <c r="V127" s="230" t="s">
        <v>315</v>
      </c>
      <c r="W127" s="249" t="s">
        <v>13</v>
      </c>
      <c r="X127" s="249" t="s">
        <v>491</v>
      </c>
      <c r="Y127" s="249"/>
    </row>
    <row r="128" spans="1:25" ht="15" customHeight="1" x14ac:dyDescent="0.2">
      <c r="A128" s="211"/>
      <c r="B128" s="211" t="s">
        <v>193</v>
      </c>
      <c r="C128" s="78" t="s">
        <v>105</v>
      </c>
      <c r="D128" s="211" t="s">
        <v>105</v>
      </c>
      <c r="E128" s="316" t="s">
        <v>1145</v>
      </c>
      <c r="F128" s="307" t="s">
        <v>220</v>
      </c>
      <c r="G128" s="78" t="s">
        <v>355</v>
      </c>
      <c r="H128" s="307" t="s">
        <v>765</v>
      </c>
      <c r="I128" s="315" t="s">
        <v>816</v>
      </c>
      <c r="J128" s="211" t="s">
        <v>314</v>
      </c>
      <c r="K128" s="224">
        <v>1</v>
      </c>
      <c r="L128" s="211" t="s">
        <v>269</v>
      </c>
      <c r="M128" s="316">
        <f t="shared" si="10"/>
        <v>22500</v>
      </c>
      <c r="N128" s="310">
        <f t="shared" si="11"/>
        <v>22500</v>
      </c>
      <c r="O128" s="317">
        <v>0</v>
      </c>
      <c r="P128" s="227">
        <f t="shared" si="12"/>
        <v>0</v>
      </c>
      <c r="Q128" s="366">
        <v>0.16</v>
      </c>
      <c r="R128" s="310">
        <f t="shared" si="13"/>
        <v>3600</v>
      </c>
      <c r="S128" s="310">
        <f t="shared" si="14"/>
        <v>26100</v>
      </c>
      <c r="T128" s="229">
        <f>INDEX('Glosario Partidas'!$M$8:$M$10,MATCH(L128,'Glosario Partidas'!$L$8:$L$10,0))</f>
        <v>1</v>
      </c>
      <c r="U128" s="310">
        <f t="shared" si="15"/>
        <v>26100</v>
      </c>
      <c r="V128" s="230" t="s">
        <v>817</v>
      </c>
      <c r="W128" s="249" t="s">
        <v>13</v>
      </c>
      <c r="X128" s="249" t="s">
        <v>491</v>
      </c>
      <c r="Y128" s="249"/>
    </row>
    <row r="129" spans="1:25" ht="15" customHeight="1" x14ac:dyDescent="0.2">
      <c r="A129" s="211"/>
      <c r="B129" s="211" t="s">
        <v>193</v>
      </c>
      <c r="C129" s="78" t="s">
        <v>105</v>
      </c>
      <c r="D129" s="211" t="s">
        <v>105</v>
      </c>
      <c r="E129" s="316" t="s">
        <v>1146</v>
      </c>
      <c r="F129" s="307" t="s">
        <v>220</v>
      </c>
      <c r="G129" s="78" t="s">
        <v>355</v>
      </c>
      <c r="H129" s="307" t="s">
        <v>765</v>
      </c>
      <c r="I129" s="315" t="s">
        <v>816</v>
      </c>
      <c r="J129" s="211" t="s">
        <v>314</v>
      </c>
      <c r="K129" s="224">
        <v>1</v>
      </c>
      <c r="L129" s="211" t="s">
        <v>269</v>
      </c>
      <c r="M129" s="316">
        <f t="shared" si="10"/>
        <v>22500</v>
      </c>
      <c r="N129" s="310">
        <f t="shared" si="11"/>
        <v>22500</v>
      </c>
      <c r="O129" s="317">
        <v>0</v>
      </c>
      <c r="P129" s="227">
        <f t="shared" si="12"/>
        <v>0</v>
      </c>
      <c r="Q129" s="366">
        <v>0.16</v>
      </c>
      <c r="R129" s="310">
        <f t="shared" si="13"/>
        <v>3600</v>
      </c>
      <c r="S129" s="310">
        <f t="shared" si="14"/>
        <v>26100</v>
      </c>
      <c r="T129" s="229">
        <f>INDEX('Glosario Partidas'!$M$8:$M$10,MATCH(L129,'Glosario Partidas'!$L$8:$L$10,0))</f>
        <v>1</v>
      </c>
      <c r="U129" s="310">
        <f t="shared" si="15"/>
        <v>26100</v>
      </c>
      <c r="V129" s="230" t="s">
        <v>315</v>
      </c>
      <c r="W129" s="249" t="s">
        <v>13</v>
      </c>
      <c r="X129" s="249" t="s">
        <v>491</v>
      </c>
      <c r="Y129" s="249"/>
    </row>
    <row r="130" spans="1:25" ht="15" customHeight="1" x14ac:dyDescent="0.2">
      <c r="B130" s="211" t="s">
        <v>193</v>
      </c>
      <c r="C130" s="211" t="s">
        <v>193</v>
      </c>
      <c r="D130" s="211" t="s">
        <v>102</v>
      </c>
      <c r="E130" s="360" t="s">
        <v>808</v>
      </c>
      <c r="F130" s="171" t="s">
        <v>229</v>
      </c>
      <c r="G130" s="78" t="s">
        <v>221</v>
      </c>
      <c r="H130" s="171" t="s">
        <v>708</v>
      </c>
      <c r="I130" s="255" t="str">
        <f>DIECI!$B$2</f>
        <v>DIECI</v>
      </c>
      <c r="J130" s="225" t="s">
        <v>314</v>
      </c>
      <c r="K130" s="250">
        <v>1</v>
      </c>
      <c r="L130" s="225" t="s">
        <v>396</v>
      </c>
      <c r="M130" s="142">
        <f>DIECI!$I$17</f>
        <v>45653.112034332727</v>
      </c>
      <c r="N130" s="227">
        <f t="shared" si="11"/>
        <v>45653.112034332727</v>
      </c>
      <c r="O130" s="251">
        <v>0</v>
      </c>
      <c r="P130" s="227">
        <f t="shared" si="12"/>
        <v>0</v>
      </c>
      <c r="Q130" s="361">
        <v>0.16</v>
      </c>
      <c r="R130" s="227">
        <f t="shared" si="13"/>
        <v>7304.4979254932368</v>
      </c>
      <c r="S130" s="227">
        <f t="shared" si="14"/>
        <v>52957.609959825961</v>
      </c>
      <c r="T130" s="229">
        <f>INDEX('Glosario Partidas'!$M$8:$M$10,MATCH(L130,'Glosario Partidas'!$L$8:$L$10,0))</f>
        <v>22</v>
      </c>
      <c r="U130" s="227">
        <f t="shared" si="15"/>
        <v>1165067.4191161711</v>
      </c>
      <c r="V130" s="230" t="s">
        <v>315</v>
      </c>
      <c r="W130" s="249" t="s">
        <v>12</v>
      </c>
      <c r="X130" s="249" t="s">
        <v>491</v>
      </c>
      <c r="Y130" s="249"/>
    </row>
    <row r="131" spans="1:25" ht="15" customHeight="1" x14ac:dyDescent="0.2">
      <c r="A131" s="211"/>
      <c r="B131" s="211" t="s">
        <v>193</v>
      </c>
      <c r="C131" s="211" t="s">
        <v>193</v>
      </c>
      <c r="D131" s="211" t="s">
        <v>104</v>
      </c>
      <c r="E131" s="362" t="s">
        <v>809</v>
      </c>
      <c r="F131" s="307" t="s">
        <v>229</v>
      </c>
      <c r="G131" s="78" t="s">
        <v>221</v>
      </c>
      <c r="H131" s="307" t="s">
        <v>708</v>
      </c>
      <c r="I131" s="255" t="str">
        <f>DIECI!$B$2</f>
        <v>DIECI</v>
      </c>
      <c r="J131" s="225" t="s">
        <v>314</v>
      </c>
      <c r="K131" s="250">
        <v>1</v>
      </c>
      <c r="L131" s="225" t="s">
        <v>396</v>
      </c>
      <c r="M131" s="142">
        <f>DIECI!$I$18</f>
        <v>24456.837965667277</v>
      </c>
      <c r="N131" s="227">
        <f t="shared" si="11"/>
        <v>24456.837965667277</v>
      </c>
      <c r="O131" s="251">
        <v>0</v>
      </c>
      <c r="P131" s="227">
        <f t="shared" si="12"/>
        <v>0</v>
      </c>
      <c r="Q131" s="361">
        <v>0.16</v>
      </c>
      <c r="R131" s="227">
        <f t="shared" si="13"/>
        <v>3913.0940745067642</v>
      </c>
      <c r="S131" s="227">
        <f t="shared" si="14"/>
        <v>28369.932040174041</v>
      </c>
      <c r="T131" s="229">
        <f>INDEX('Glosario Partidas'!$M$8:$M$10,MATCH(L131,'Glosario Partidas'!$L$8:$L$10,0))</f>
        <v>22</v>
      </c>
      <c r="U131" s="227">
        <f t="shared" si="15"/>
        <v>624138.50488382892</v>
      </c>
      <c r="V131" s="230" t="s">
        <v>315</v>
      </c>
      <c r="W131" s="249" t="s">
        <v>12</v>
      </c>
      <c r="X131" s="249" t="s">
        <v>491</v>
      </c>
      <c r="Y131" s="249"/>
    </row>
    <row r="132" spans="1:25" ht="15" customHeight="1" x14ac:dyDescent="0.2">
      <c r="A132" s="211"/>
      <c r="B132" s="211" t="s">
        <v>193</v>
      </c>
      <c r="C132" s="211" t="s">
        <v>193</v>
      </c>
      <c r="D132" s="211" t="s">
        <v>102</v>
      </c>
      <c r="E132" s="360" t="s">
        <v>808</v>
      </c>
      <c r="F132" s="307" t="s">
        <v>229</v>
      </c>
      <c r="G132" s="78" t="s">
        <v>354</v>
      </c>
      <c r="H132" s="307" t="s">
        <v>711</v>
      </c>
      <c r="I132" s="255" t="str">
        <f>DIECI!$B$2</f>
        <v>DIECI</v>
      </c>
      <c r="J132" s="225" t="s">
        <v>314</v>
      </c>
      <c r="K132" s="250">
        <v>1</v>
      </c>
      <c r="L132" s="225" t="s">
        <v>396</v>
      </c>
      <c r="M132" s="142">
        <f>DIECI!$I$19</f>
        <v>45653.506370120187</v>
      </c>
      <c r="N132" s="227">
        <f t="shared" si="11"/>
        <v>45653.506370120187</v>
      </c>
      <c r="O132" s="251">
        <v>0</v>
      </c>
      <c r="P132" s="227">
        <f t="shared" si="12"/>
        <v>0</v>
      </c>
      <c r="Q132" s="361">
        <v>0.16</v>
      </c>
      <c r="R132" s="227">
        <f t="shared" si="13"/>
        <v>7304.5610192192298</v>
      </c>
      <c r="S132" s="227">
        <f t="shared" si="14"/>
        <v>52958.06738933942</v>
      </c>
      <c r="T132" s="229">
        <f>INDEX('Glosario Partidas'!$M$8:$M$10,MATCH(L132,'Glosario Partidas'!$L$8:$L$10,0))</f>
        <v>22</v>
      </c>
      <c r="U132" s="227">
        <f t="shared" si="15"/>
        <v>1165077.4825654672</v>
      </c>
      <c r="V132" s="230" t="s">
        <v>315</v>
      </c>
      <c r="W132" s="249" t="s">
        <v>12</v>
      </c>
      <c r="X132" s="249" t="s">
        <v>491</v>
      </c>
      <c r="Y132" s="249"/>
    </row>
    <row r="133" spans="1:25" ht="15" customHeight="1" x14ac:dyDescent="0.2">
      <c r="A133" s="211"/>
      <c r="B133" s="211" t="s">
        <v>193</v>
      </c>
      <c r="C133" s="211" t="s">
        <v>193</v>
      </c>
      <c r="D133" s="211" t="s">
        <v>104</v>
      </c>
      <c r="E133" s="363" t="s">
        <v>810</v>
      </c>
      <c r="F133" s="307" t="s">
        <v>229</v>
      </c>
      <c r="G133" s="78" t="s">
        <v>355</v>
      </c>
      <c r="H133" s="307" t="s">
        <v>766</v>
      </c>
      <c r="I133" s="255" t="str">
        <f>DIECI!$B$2</f>
        <v>DIECI</v>
      </c>
      <c r="J133" s="225" t="s">
        <v>314</v>
      </c>
      <c r="K133" s="250">
        <v>1</v>
      </c>
      <c r="L133" s="225" t="s">
        <v>396</v>
      </c>
      <c r="M133" s="142">
        <f>DIECI!$I$20</f>
        <v>43993.12362987981</v>
      </c>
      <c r="N133" s="227">
        <f t="shared" si="11"/>
        <v>43993.12362987981</v>
      </c>
      <c r="O133" s="251">
        <v>0</v>
      </c>
      <c r="P133" s="227">
        <f t="shared" si="12"/>
        <v>0</v>
      </c>
      <c r="Q133" s="361">
        <v>0.16</v>
      </c>
      <c r="R133" s="227">
        <f t="shared" si="13"/>
        <v>7038.89978078077</v>
      </c>
      <c r="S133" s="227">
        <f t="shared" si="14"/>
        <v>51032.023410660579</v>
      </c>
      <c r="T133" s="229">
        <f>INDEX('Glosario Partidas'!$M$8:$M$10,MATCH(L133,'Glosario Partidas'!$L$8:$L$10,0))</f>
        <v>22</v>
      </c>
      <c r="U133" s="227">
        <f t="shared" si="15"/>
        <v>1122704.5150345326</v>
      </c>
      <c r="V133" s="230" t="s">
        <v>315</v>
      </c>
      <c r="W133" s="249" t="s">
        <v>12</v>
      </c>
      <c r="X133" s="249" t="s">
        <v>491</v>
      </c>
      <c r="Y133" s="249"/>
    </row>
    <row r="134" spans="1:25" ht="15" customHeight="1" x14ac:dyDescent="0.2">
      <c r="B134" s="211" t="s">
        <v>193</v>
      </c>
      <c r="C134" s="211" t="s">
        <v>193</v>
      </c>
      <c r="D134" s="211" t="s">
        <v>102</v>
      </c>
      <c r="E134" s="360" t="s">
        <v>808</v>
      </c>
      <c r="F134" s="171" t="s">
        <v>229</v>
      </c>
      <c r="G134" s="78" t="s">
        <v>221</v>
      </c>
      <c r="H134" s="307" t="s">
        <v>710</v>
      </c>
      <c r="I134" s="255" t="str">
        <f>DIECI!$B$2</f>
        <v>DIECI</v>
      </c>
      <c r="J134" s="225" t="s">
        <v>314</v>
      </c>
      <c r="K134" s="250">
        <v>1</v>
      </c>
      <c r="L134" s="225" t="s">
        <v>396</v>
      </c>
      <c r="M134" s="142">
        <f>DIECI!$I$17</f>
        <v>45653.112034332727</v>
      </c>
      <c r="N134" s="227">
        <f t="shared" si="11"/>
        <v>45653.112034332727</v>
      </c>
      <c r="O134" s="251">
        <v>0</v>
      </c>
      <c r="P134" s="227">
        <f t="shared" si="12"/>
        <v>0</v>
      </c>
      <c r="Q134" s="361">
        <v>0.16</v>
      </c>
      <c r="R134" s="227">
        <f t="shared" si="13"/>
        <v>7304.4979254932368</v>
      </c>
      <c r="S134" s="227">
        <f t="shared" si="14"/>
        <v>52957.609959825961</v>
      </c>
      <c r="T134" s="229">
        <f>INDEX('Glosario Partidas'!$M$8:$M$10,MATCH(L134,'Glosario Partidas'!$L$8:$L$10,0))</f>
        <v>22</v>
      </c>
      <c r="U134" s="227">
        <f t="shared" si="15"/>
        <v>1165067.4191161711</v>
      </c>
      <c r="V134" s="230" t="s">
        <v>315</v>
      </c>
      <c r="W134" s="249" t="s">
        <v>12</v>
      </c>
      <c r="X134" s="249" t="s">
        <v>491</v>
      </c>
      <c r="Y134" s="249"/>
    </row>
    <row r="135" spans="1:25" ht="15" customHeight="1" x14ac:dyDescent="0.2">
      <c r="A135" s="211"/>
      <c r="B135" s="211" t="s">
        <v>193</v>
      </c>
      <c r="C135" s="211" t="s">
        <v>193</v>
      </c>
      <c r="D135" s="211" t="s">
        <v>104</v>
      </c>
      <c r="E135" s="362" t="s">
        <v>809</v>
      </c>
      <c r="F135" s="307" t="s">
        <v>229</v>
      </c>
      <c r="G135" s="78" t="s">
        <v>221</v>
      </c>
      <c r="H135" s="307" t="s">
        <v>710</v>
      </c>
      <c r="I135" s="255" t="str">
        <f>DIECI!$B$2</f>
        <v>DIECI</v>
      </c>
      <c r="J135" s="225" t="s">
        <v>314</v>
      </c>
      <c r="K135" s="250">
        <v>1</v>
      </c>
      <c r="L135" s="225" t="s">
        <v>396</v>
      </c>
      <c r="M135" s="142">
        <f>DIECI!$I$18</f>
        <v>24456.837965667277</v>
      </c>
      <c r="N135" s="227">
        <f t="shared" si="11"/>
        <v>24456.837965667277</v>
      </c>
      <c r="O135" s="251">
        <v>0</v>
      </c>
      <c r="P135" s="227">
        <f t="shared" si="12"/>
        <v>0</v>
      </c>
      <c r="Q135" s="361">
        <v>0.16</v>
      </c>
      <c r="R135" s="227">
        <f t="shared" si="13"/>
        <v>3913.0940745067642</v>
      </c>
      <c r="S135" s="227">
        <f t="shared" si="14"/>
        <v>28369.932040174041</v>
      </c>
      <c r="T135" s="229">
        <f>INDEX('Glosario Partidas'!$M$8:$M$10,MATCH(L135,'Glosario Partidas'!$L$8:$L$10,0))</f>
        <v>22</v>
      </c>
      <c r="U135" s="227">
        <f t="shared" si="15"/>
        <v>624138.50488382892</v>
      </c>
      <c r="V135" s="230" t="s">
        <v>315</v>
      </c>
      <c r="W135" s="249" t="s">
        <v>12</v>
      </c>
      <c r="X135" s="249" t="s">
        <v>491</v>
      </c>
      <c r="Y135" s="249"/>
    </row>
    <row r="136" spans="1:25" ht="15" customHeight="1" x14ac:dyDescent="0.2">
      <c r="A136" s="211"/>
      <c r="B136" s="211" t="s">
        <v>193</v>
      </c>
      <c r="C136" s="211" t="s">
        <v>193</v>
      </c>
      <c r="D136" s="211" t="s">
        <v>102</v>
      </c>
      <c r="E136" s="360" t="s">
        <v>808</v>
      </c>
      <c r="F136" s="307" t="s">
        <v>229</v>
      </c>
      <c r="G136" s="78" t="s">
        <v>354</v>
      </c>
      <c r="H136" s="307" t="s">
        <v>713</v>
      </c>
      <c r="I136" s="255" t="str">
        <f>DIECI!$B$2</f>
        <v>DIECI</v>
      </c>
      <c r="J136" s="225" t="s">
        <v>314</v>
      </c>
      <c r="K136" s="250">
        <v>1</v>
      </c>
      <c r="L136" s="225" t="s">
        <v>396</v>
      </c>
      <c r="M136" s="142">
        <f>DIECI!$I$19</f>
        <v>45653.506370120187</v>
      </c>
      <c r="N136" s="227">
        <f t="shared" si="11"/>
        <v>45653.506370120187</v>
      </c>
      <c r="O136" s="251">
        <v>0</v>
      </c>
      <c r="P136" s="227">
        <f t="shared" si="12"/>
        <v>0</v>
      </c>
      <c r="Q136" s="361">
        <v>0.16</v>
      </c>
      <c r="R136" s="227">
        <f t="shared" si="13"/>
        <v>7304.5610192192298</v>
      </c>
      <c r="S136" s="227">
        <f t="shared" si="14"/>
        <v>52958.06738933942</v>
      </c>
      <c r="T136" s="229">
        <f>INDEX('Glosario Partidas'!$M$8:$M$10,MATCH(L136,'Glosario Partidas'!$L$8:$L$10,0))</f>
        <v>22</v>
      </c>
      <c r="U136" s="227">
        <f t="shared" si="15"/>
        <v>1165077.4825654672</v>
      </c>
      <c r="V136" s="230" t="s">
        <v>315</v>
      </c>
      <c r="W136" s="249" t="s">
        <v>12</v>
      </c>
      <c r="X136" s="249" t="s">
        <v>491</v>
      </c>
      <c r="Y136" s="249"/>
    </row>
    <row r="137" spans="1:25" ht="15" customHeight="1" x14ac:dyDescent="0.2">
      <c r="A137" s="211"/>
      <c r="B137" s="211" t="s">
        <v>193</v>
      </c>
      <c r="C137" s="211" t="s">
        <v>193</v>
      </c>
      <c r="D137" s="211" t="s">
        <v>104</v>
      </c>
      <c r="E137" s="363" t="s">
        <v>810</v>
      </c>
      <c r="F137" s="307" t="s">
        <v>229</v>
      </c>
      <c r="G137" s="78" t="s">
        <v>355</v>
      </c>
      <c r="H137" s="307" t="s">
        <v>767</v>
      </c>
      <c r="I137" s="255" t="str">
        <f>DIECI!$B$2</f>
        <v>DIECI</v>
      </c>
      <c r="J137" s="225" t="s">
        <v>314</v>
      </c>
      <c r="K137" s="250">
        <v>1</v>
      </c>
      <c r="L137" s="225" t="s">
        <v>396</v>
      </c>
      <c r="M137" s="142">
        <f>DIECI!$I$20</f>
        <v>43993.12362987981</v>
      </c>
      <c r="N137" s="227">
        <f t="shared" si="11"/>
        <v>43993.12362987981</v>
      </c>
      <c r="O137" s="251">
        <v>0</v>
      </c>
      <c r="P137" s="227">
        <f t="shared" si="12"/>
        <v>0</v>
      </c>
      <c r="Q137" s="361">
        <v>0.16</v>
      </c>
      <c r="R137" s="227">
        <f t="shared" si="13"/>
        <v>7038.89978078077</v>
      </c>
      <c r="S137" s="227">
        <f t="shared" si="14"/>
        <v>51032.023410660579</v>
      </c>
      <c r="T137" s="229">
        <f>INDEX('Glosario Partidas'!$M$8:$M$10,MATCH(L137,'Glosario Partidas'!$L$8:$L$10,0))</f>
        <v>22</v>
      </c>
      <c r="U137" s="227">
        <f t="shared" si="15"/>
        <v>1122704.5150345326</v>
      </c>
      <c r="V137" s="230" t="s">
        <v>315</v>
      </c>
      <c r="W137" s="249" t="s">
        <v>12</v>
      </c>
      <c r="X137" s="249" t="s">
        <v>491</v>
      </c>
      <c r="Y137" s="249"/>
    </row>
    <row r="138" spans="1:25" ht="15" customHeight="1" x14ac:dyDescent="0.2">
      <c r="A138" s="211"/>
      <c r="B138" s="211" t="s">
        <v>193</v>
      </c>
      <c r="C138" s="78" t="s">
        <v>407</v>
      </c>
      <c r="D138" s="211" t="s">
        <v>102</v>
      </c>
      <c r="E138" s="144" t="str">
        <f>BOA!B$7</f>
        <v>Estufa de gas de 48" con 6 quemadores profesionales y plancha, LP</v>
      </c>
      <c r="F138" s="307" t="s">
        <v>229</v>
      </c>
      <c r="G138" s="78" t="s">
        <v>221</v>
      </c>
      <c r="H138" s="307" t="s">
        <v>708</v>
      </c>
      <c r="I138" s="364" t="str">
        <f>BOA!$B$2</f>
        <v>BOA</v>
      </c>
      <c r="J138" s="273" t="s">
        <v>410</v>
      </c>
      <c r="K138" s="364">
        <v>1</v>
      </c>
      <c r="L138" s="273" t="s">
        <v>153</v>
      </c>
      <c r="M138" s="144">
        <f>BOA!G$7*(1-BOA!I$7)</f>
        <v>10729.199999999999</v>
      </c>
      <c r="N138" s="275">
        <f t="shared" si="11"/>
        <v>10729.199999999999</v>
      </c>
      <c r="O138" s="365">
        <v>0</v>
      </c>
      <c r="P138" s="275">
        <f t="shared" si="12"/>
        <v>0</v>
      </c>
      <c r="Q138" s="361">
        <v>0.16</v>
      </c>
      <c r="R138" s="275">
        <f t="shared" si="13"/>
        <v>1716.6719999999998</v>
      </c>
      <c r="S138" s="275">
        <f t="shared" si="14"/>
        <v>12445.871999999999</v>
      </c>
      <c r="T138" s="229">
        <f>INDEX('Glosario Partidas'!$M$8:$M$10,MATCH(L138,'Glosario Partidas'!$L$8:$L$10,0))</f>
        <v>17.5</v>
      </c>
      <c r="U138" s="275">
        <f t="shared" si="15"/>
        <v>217802.75999999998</v>
      </c>
      <c r="V138" s="230"/>
      <c r="W138" s="249" t="s">
        <v>12</v>
      </c>
      <c r="X138" s="249"/>
      <c r="Y138" s="249"/>
    </row>
    <row r="139" spans="1:25" ht="15" customHeight="1" x14ac:dyDescent="0.2">
      <c r="A139" s="211"/>
      <c r="B139" s="211" t="s">
        <v>193</v>
      </c>
      <c r="C139" s="78" t="s">
        <v>407</v>
      </c>
      <c r="D139" s="211" t="s">
        <v>102</v>
      </c>
      <c r="E139" s="144" t="str">
        <f>BOA!B$8</f>
        <v>Campana profesional para revestir, forro de acero inox., 46" x 19"</v>
      </c>
      <c r="F139" s="307" t="s">
        <v>229</v>
      </c>
      <c r="G139" s="78" t="s">
        <v>221</v>
      </c>
      <c r="H139" s="307" t="s">
        <v>708</v>
      </c>
      <c r="I139" s="364" t="str">
        <f>BOA!$B$2</f>
        <v>BOA</v>
      </c>
      <c r="J139" s="273" t="s">
        <v>410</v>
      </c>
      <c r="K139" s="364">
        <v>1</v>
      </c>
      <c r="L139" s="273" t="s">
        <v>153</v>
      </c>
      <c r="M139" s="144">
        <f>BOA!G$8*(1-BOA!I$8)</f>
        <v>1522.2</v>
      </c>
      <c r="N139" s="275">
        <f t="shared" si="11"/>
        <v>1522.2</v>
      </c>
      <c r="O139" s="365">
        <v>0</v>
      </c>
      <c r="P139" s="275">
        <f t="shared" si="12"/>
        <v>0</v>
      </c>
      <c r="Q139" s="361">
        <v>0.16</v>
      </c>
      <c r="R139" s="275">
        <f t="shared" si="13"/>
        <v>243.55200000000002</v>
      </c>
      <c r="S139" s="275">
        <f t="shared" si="14"/>
        <v>1765.752</v>
      </c>
      <c r="T139" s="229">
        <f>INDEX('Glosario Partidas'!$M$8:$M$10,MATCH(L139,'Glosario Partidas'!$L$8:$L$10,0))</f>
        <v>17.5</v>
      </c>
      <c r="U139" s="275">
        <f t="shared" si="15"/>
        <v>30900.66</v>
      </c>
      <c r="V139" s="230"/>
      <c r="W139" s="249" t="s">
        <v>12</v>
      </c>
      <c r="X139" s="249"/>
      <c r="Y139" s="249"/>
    </row>
    <row r="140" spans="1:25" ht="15" customHeight="1" x14ac:dyDescent="0.2">
      <c r="A140" s="211"/>
      <c r="B140" s="211" t="s">
        <v>193</v>
      </c>
      <c r="C140" s="78" t="s">
        <v>407</v>
      </c>
      <c r="D140" s="211" t="s">
        <v>102</v>
      </c>
      <c r="E140" s="144" t="str">
        <f>BOA!B$9</f>
        <v>Motor de extracción interno para campanas de pared interiores, 1200 CFM</v>
      </c>
      <c r="F140" s="307" t="s">
        <v>229</v>
      </c>
      <c r="G140" s="78" t="s">
        <v>221</v>
      </c>
      <c r="H140" s="307" t="s">
        <v>708</v>
      </c>
      <c r="I140" s="364" t="str">
        <f>BOA!$B$2</f>
        <v>BOA</v>
      </c>
      <c r="J140" s="273" t="s">
        <v>410</v>
      </c>
      <c r="K140" s="364">
        <v>1</v>
      </c>
      <c r="L140" s="273" t="s">
        <v>153</v>
      </c>
      <c r="M140" s="144">
        <f>BOA!G$9*(1-BOA!I$9)</f>
        <v>1142.4000000000001</v>
      </c>
      <c r="N140" s="275">
        <f t="shared" si="11"/>
        <v>1142.4000000000001</v>
      </c>
      <c r="O140" s="365">
        <v>0</v>
      </c>
      <c r="P140" s="275">
        <f t="shared" si="12"/>
        <v>0</v>
      </c>
      <c r="Q140" s="361">
        <v>0.16</v>
      </c>
      <c r="R140" s="275">
        <f t="shared" si="13"/>
        <v>182.78400000000002</v>
      </c>
      <c r="S140" s="275">
        <f t="shared" si="14"/>
        <v>1325.1840000000002</v>
      </c>
      <c r="T140" s="229">
        <f>INDEX('Glosario Partidas'!$M$8:$M$10,MATCH(L140,'Glosario Partidas'!$L$8:$L$10,0))</f>
        <v>17.5</v>
      </c>
      <c r="U140" s="275">
        <f t="shared" si="15"/>
        <v>23190.720000000005</v>
      </c>
      <c r="V140" s="230"/>
      <c r="W140" s="249" t="s">
        <v>12</v>
      </c>
      <c r="X140" s="249"/>
      <c r="Y140" s="249"/>
    </row>
    <row r="141" spans="1:25" ht="15" customHeight="1" x14ac:dyDescent="0.2">
      <c r="A141" s="211"/>
      <c r="B141" s="211" t="s">
        <v>193</v>
      </c>
      <c r="C141" s="78" t="s">
        <v>407</v>
      </c>
      <c r="D141" s="211" t="s">
        <v>102</v>
      </c>
      <c r="E141" s="144" t="str">
        <f>BOA!B$10</f>
        <v>Refrigerador y congelador panelable (puerta francesa) de 48"</v>
      </c>
      <c r="F141" s="307" t="s">
        <v>229</v>
      </c>
      <c r="G141" s="78" t="s">
        <v>221</v>
      </c>
      <c r="H141" s="307" t="s">
        <v>708</v>
      </c>
      <c r="I141" s="364" t="str">
        <f>BOA!$B$2</f>
        <v>BOA</v>
      </c>
      <c r="J141" s="273" t="s">
        <v>410</v>
      </c>
      <c r="K141" s="364">
        <v>1</v>
      </c>
      <c r="L141" s="273" t="s">
        <v>153</v>
      </c>
      <c r="M141" s="144">
        <f>BOA!G$10*(1-BOA!I$10)</f>
        <v>11409.6</v>
      </c>
      <c r="N141" s="275">
        <f t="shared" si="11"/>
        <v>11409.6</v>
      </c>
      <c r="O141" s="365">
        <v>0</v>
      </c>
      <c r="P141" s="275">
        <f t="shared" si="12"/>
        <v>0</v>
      </c>
      <c r="Q141" s="361">
        <v>0.16</v>
      </c>
      <c r="R141" s="275">
        <f t="shared" si="13"/>
        <v>1825.5360000000001</v>
      </c>
      <c r="S141" s="275">
        <f t="shared" si="14"/>
        <v>13235.136</v>
      </c>
      <c r="T141" s="229">
        <f>INDEX('Glosario Partidas'!$M$8:$M$10,MATCH(L141,'Glosario Partidas'!$L$8:$L$10,0))</f>
        <v>17.5</v>
      </c>
      <c r="U141" s="275">
        <f t="shared" si="15"/>
        <v>231614.88</v>
      </c>
      <c r="V141" s="230"/>
      <c r="W141" s="249" t="s">
        <v>12</v>
      </c>
      <c r="X141" s="249"/>
      <c r="Y141" s="249"/>
    </row>
    <row r="142" spans="1:25" ht="15" customHeight="1" x14ac:dyDescent="0.2">
      <c r="A142" s="211"/>
      <c r="B142" s="211" t="s">
        <v>193</v>
      </c>
      <c r="C142" s="78" t="s">
        <v>407</v>
      </c>
      <c r="D142" s="211" t="s">
        <v>102</v>
      </c>
      <c r="E142" s="144" t="str">
        <f>BOA!B$11</f>
        <v>Kit de montaje para panel frontal</v>
      </c>
      <c r="F142" s="307" t="s">
        <v>229</v>
      </c>
      <c r="G142" s="78" t="s">
        <v>221</v>
      </c>
      <c r="H142" s="307" t="s">
        <v>708</v>
      </c>
      <c r="I142" s="364" t="str">
        <f>BOA!$B$2</f>
        <v>BOA</v>
      </c>
      <c r="J142" s="273" t="s">
        <v>410</v>
      </c>
      <c r="K142" s="364">
        <v>1</v>
      </c>
      <c r="L142" s="273" t="s">
        <v>153</v>
      </c>
      <c r="M142" s="144">
        <f>BOA!G$11*(1-BOA!I$11)</f>
        <v>111.2</v>
      </c>
      <c r="N142" s="275">
        <f t="shared" si="11"/>
        <v>111.2</v>
      </c>
      <c r="O142" s="365">
        <v>0</v>
      </c>
      <c r="P142" s="275">
        <f t="shared" si="12"/>
        <v>0</v>
      </c>
      <c r="Q142" s="361">
        <v>0.16</v>
      </c>
      <c r="R142" s="275">
        <f t="shared" si="13"/>
        <v>17.792000000000002</v>
      </c>
      <c r="S142" s="275">
        <f t="shared" si="14"/>
        <v>128.99200000000002</v>
      </c>
      <c r="T142" s="229">
        <f>INDEX('Glosario Partidas'!$M$8:$M$10,MATCH(L142,'Glosario Partidas'!$L$8:$L$10,0))</f>
        <v>17.5</v>
      </c>
      <c r="U142" s="275">
        <f t="shared" si="15"/>
        <v>2257.36</v>
      </c>
      <c r="V142" s="230"/>
      <c r="W142" s="249" t="s">
        <v>12</v>
      </c>
      <c r="X142" s="249"/>
      <c r="Y142" s="249"/>
    </row>
    <row r="143" spans="1:25" ht="15" customHeight="1" x14ac:dyDescent="0.2">
      <c r="A143" s="211"/>
      <c r="B143" s="211" t="s">
        <v>193</v>
      </c>
      <c r="C143" s="78" t="s">
        <v>407</v>
      </c>
      <c r="D143" s="211" t="s">
        <v>102</v>
      </c>
      <c r="E143" s="144" t="str">
        <f>BOA!B$12</f>
        <v>Jaladera tubular para puerta arriba</v>
      </c>
      <c r="F143" s="307" t="s">
        <v>229</v>
      </c>
      <c r="G143" s="78" t="s">
        <v>221</v>
      </c>
      <c r="H143" s="307" t="s">
        <v>708</v>
      </c>
      <c r="I143" s="364" t="str">
        <f>BOA!$B$2</f>
        <v>BOA</v>
      </c>
      <c r="J143" s="273" t="s">
        <v>410</v>
      </c>
      <c r="K143" s="364">
        <v>2</v>
      </c>
      <c r="L143" s="273" t="s">
        <v>153</v>
      </c>
      <c r="M143" s="144">
        <f>BOA!G$12*(1-BOA!I$12)</f>
        <v>213.60000000000002</v>
      </c>
      <c r="N143" s="275">
        <f t="shared" si="11"/>
        <v>427.20000000000005</v>
      </c>
      <c r="O143" s="365">
        <v>0</v>
      </c>
      <c r="P143" s="275">
        <f t="shared" si="12"/>
        <v>0</v>
      </c>
      <c r="Q143" s="361">
        <v>0.16</v>
      </c>
      <c r="R143" s="275">
        <f t="shared" si="13"/>
        <v>68.352000000000004</v>
      </c>
      <c r="S143" s="275">
        <f t="shared" si="14"/>
        <v>495.55200000000002</v>
      </c>
      <c r="T143" s="229">
        <f>INDEX('Glosario Partidas'!$M$8:$M$10,MATCH(L143,'Glosario Partidas'!$L$8:$L$10,0))</f>
        <v>17.5</v>
      </c>
      <c r="U143" s="275">
        <f t="shared" si="15"/>
        <v>8672.16</v>
      </c>
      <c r="V143" s="230"/>
      <c r="W143" s="249" t="s">
        <v>12</v>
      </c>
      <c r="X143" s="249"/>
      <c r="Y143" s="249"/>
    </row>
    <row r="144" spans="1:25" ht="15" customHeight="1" x14ac:dyDescent="0.2">
      <c r="A144" s="211"/>
      <c r="B144" s="211" t="s">
        <v>193</v>
      </c>
      <c r="C144" s="78" t="s">
        <v>407</v>
      </c>
      <c r="D144" s="211" t="s">
        <v>102</v>
      </c>
      <c r="E144" s="144" t="str">
        <f>BOA!B$13</f>
        <v>Jaladera tubular para cajón de 48"</v>
      </c>
      <c r="F144" s="307" t="s">
        <v>229</v>
      </c>
      <c r="G144" s="78" t="s">
        <v>221</v>
      </c>
      <c r="H144" s="307" t="s">
        <v>708</v>
      </c>
      <c r="I144" s="364" t="str">
        <f>BOA!$B$2</f>
        <v>BOA</v>
      </c>
      <c r="J144" s="273" t="s">
        <v>410</v>
      </c>
      <c r="K144" s="364">
        <v>1</v>
      </c>
      <c r="L144" s="273" t="s">
        <v>153</v>
      </c>
      <c r="M144" s="144">
        <f>BOA!G$13*(1-BOA!I$13)</f>
        <v>213.60000000000002</v>
      </c>
      <c r="N144" s="275">
        <f t="shared" si="11"/>
        <v>213.60000000000002</v>
      </c>
      <c r="O144" s="365">
        <v>0</v>
      </c>
      <c r="P144" s="275">
        <f t="shared" si="12"/>
        <v>0</v>
      </c>
      <c r="Q144" s="361">
        <v>0.16</v>
      </c>
      <c r="R144" s="275">
        <f t="shared" si="13"/>
        <v>34.176000000000002</v>
      </c>
      <c r="S144" s="275">
        <f t="shared" si="14"/>
        <v>247.77600000000001</v>
      </c>
      <c r="T144" s="229">
        <f>INDEX('Glosario Partidas'!$M$8:$M$10,MATCH(L144,'Glosario Partidas'!$L$8:$L$10,0))</f>
        <v>17.5</v>
      </c>
      <c r="U144" s="275">
        <f t="shared" si="15"/>
        <v>4336.08</v>
      </c>
      <c r="V144" s="230"/>
      <c r="W144" s="249" t="s">
        <v>12</v>
      </c>
      <c r="X144" s="249"/>
      <c r="Y144" s="249"/>
    </row>
    <row r="145" spans="1:25" ht="15" customHeight="1" x14ac:dyDescent="0.2">
      <c r="A145" s="211"/>
      <c r="B145" s="211" t="s">
        <v>193</v>
      </c>
      <c r="C145" s="78" t="s">
        <v>407</v>
      </c>
      <c r="D145" s="211" t="s">
        <v>102</v>
      </c>
      <c r="E145" s="144" t="str">
        <f>BOA!B$14</f>
        <v>Kit de instalación</v>
      </c>
      <c r="F145" s="307" t="s">
        <v>229</v>
      </c>
      <c r="G145" s="78" t="s">
        <v>221</v>
      </c>
      <c r="H145" s="307" t="s">
        <v>708</v>
      </c>
      <c r="I145" s="364" t="str">
        <f>BOA!$B$2</f>
        <v>BOA</v>
      </c>
      <c r="J145" s="273" t="s">
        <v>410</v>
      </c>
      <c r="K145" s="364">
        <v>1</v>
      </c>
      <c r="L145" s="273" t="s">
        <v>153</v>
      </c>
      <c r="M145" s="144">
        <f>BOA!G$14*(1-BOA!I$14)</f>
        <v>96</v>
      </c>
      <c r="N145" s="275">
        <f t="shared" si="11"/>
        <v>96</v>
      </c>
      <c r="O145" s="365">
        <v>0</v>
      </c>
      <c r="P145" s="275">
        <f t="shared" si="12"/>
        <v>0</v>
      </c>
      <c r="Q145" s="361">
        <v>0.16</v>
      </c>
      <c r="R145" s="275">
        <f t="shared" si="13"/>
        <v>15.36</v>
      </c>
      <c r="S145" s="275">
        <f t="shared" si="14"/>
        <v>111.36</v>
      </c>
      <c r="T145" s="229">
        <f>INDEX('Glosario Partidas'!$M$8:$M$10,MATCH(L145,'Glosario Partidas'!$L$8:$L$10,0))</f>
        <v>17.5</v>
      </c>
      <c r="U145" s="275">
        <f t="shared" si="15"/>
        <v>1948.8</v>
      </c>
      <c r="V145" s="230"/>
      <c r="W145" s="249" t="s">
        <v>12</v>
      </c>
      <c r="X145" s="249"/>
      <c r="Y145" s="249"/>
    </row>
    <row r="146" spans="1:25" ht="15" customHeight="1" x14ac:dyDescent="0.2">
      <c r="A146" s="211"/>
      <c r="B146" s="211" t="s">
        <v>193</v>
      </c>
      <c r="C146" s="78" t="s">
        <v>407</v>
      </c>
      <c r="D146" s="211" t="s">
        <v>102</v>
      </c>
      <c r="E146" s="144" t="str">
        <f>BOA!B$15</f>
        <v>Microondas con puerta drop down de 30", serie E</v>
      </c>
      <c r="F146" s="307" t="s">
        <v>229</v>
      </c>
      <c r="G146" s="78" t="s">
        <v>221</v>
      </c>
      <c r="H146" s="307" t="s">
        <v>708</v>
      </c>
      <c r="I146" s="364" t="str">
        <f>BOA!$B$2</f>
        <v>BOA</v>
      </c>
      <c r="J146" s="273" t="s">
        <v>410</v>
      </c>
      <c r="K146" s="364">
        <v>1</v>
      </c>
      <c r="L146" s="273" t="s">
        <v>153</v>
      </c>
      <c r="M146" s="144">
        <f>BOA!G$15*(1-BOA!I$15)</f>
        <v>2481.6</v>
      </c>
      <c r="N146" s="275">
        <f t="shared" si="11"/>
        <v>2481.6</v>
      </c>
      <c r="O146" s="365">
        <v>0</v>
      </c>
      <c r="P146" s="275">
        <f t="shared" si="12"/>
        <v>0</v>
      </c>
      <c r="Q146" s="361">
        <v>0.16</v>
      </c>
      <c r="R146" s="275">
        <f t="shared" si="13"/>
        <v>397.05599999999998</v>
      </c>
      <c r="S146" s="275">
        <f t="shared" si="14"/>
        <v>2878.6559999999999</v>
      </c>
      <c r="T146" s="229">
        <f>INDEX('Glosario Partidas'!$M$8:$M$10,MATCH(L146,'Glosario Partidas'!$L$8:$L$10,0))</f>
        <v>17.5</v>
      </c>
      <c r="U146" s="275">
        <f t="shared" si="15"/>
        <v>50376.479999999996</v>
      </c>
      <c r="V146" s="230"/>
      <c r="W146" s="249" t="s">
        <v>12</v>
      </c>
      <c r="X146" s="249"/>
      <c r="Y146" s="249"/>
    </row>
    <row r="147" spans="1:25" ht="15" customHeight="1" x14ac:dyDescent="0.2">
      <c r="A147" s="211"/>
      <c r="B147" s="211" t="s">
        <v>193</v>
      </c>
      <c r="C147" s="78" t="s">
        <v>407</v>
      </c>
      <c r="D147" s="211" t="s">
        <v>102</v>
      </c>
      <c r="E147" s="144" t="str">
        <f>BOA!B$16</f>
        <v>Lavavajillas panelable para 16 juegos (con gola)</v>
      </c>
      <c r="F147" s="307" t="s">
        <v>229</v>
      </c>
      <c r="G147" s="78" t="s">
        <v>221</v>
      </c>
      <c r="H147" s="307" t="s">
        <v>708</v>
      </c>
      <c r="I147" s="364" t="str">
        <f>BOA!$B$2</f>
        <v>BOA</v>
      </c>
      <c r="J147" s="273" t="s">
        <v>410</v>
      </c>
      <c r="K147" s="364">
        <v>1</v>
      </c>
      <c r="L147" s="273" t="s">
        <v>153</v>
      </c>
      <c r="M147" s="144">
        <f>BOA!G$16*(1-BOA!I$16)</f>
        <v>1543.2</v>
      </c>
      <c r="N147" s="275">
        <f t="shared" si="11"/>
        <v>1543.2</v>
      </c>
      <c r="O147" s="365">
        <v>0</v>
      </c>
      <c r="P147" s="275">
        <f t="shared" si="12"/>
        <v>0</v>
      </c>
      <c r="Q147" s="361">
        <v>0.16</v>
      </c>
      <c r="R147" s="275">
        <f t="shared" si="13"/>
        <v>246.91200000000001</v>
      </c>
      <c r="S147" s="275">
        <f t="shared" si="14"/>
        <v>1790.1120000000001</v>
      </c>
      <c r="T147" s="229">
        <f>INDEX('Glosario Partidas'!$M$8:$M$10,MATCH(L147,'Glosario Partidas'!$L$8:$L$10,0))</f>
        <v>17.5</v>
      </c>
      <c r="U147" s="275">
        <f t="shared" si="15"/>
        <v>31326.960000000003</v>
      </c>
      <c r="V147" s="230"/>
      <c r="W147" s="249" t="s">
        <v>12</v>
      </c>
      <c r="X147" s="249"/>
      <c r="Y147" s="249"/>
    </row>
    <row r="148" spans="1:25" ht="15" customHeight="1" x14ac:dyDescent="0.2">
      <c r="A148" s="211"/>
      <c r="B148" s="211" t="s">
        <v>193</v>
      </c>
      <c r="C148" s="78" t="s">
        <v>407</v>
      </c>
      <c r="D148" s="211" t="s">
        <v>102</v>
      </c>
      <c r="E148" s="144" t="str">
        <f>BOA!B$17</f>
        <v>Centro de bebidas bajo cubierta 24", apertura derecha ADA</v>
      </c>
      <c r="F148" s="307" t="s">
        <v>229</v>
      </c>
      <c r="G148" s="78" t="s">
        <v>221</v>
      </c>
      <c r="H148" s="307" t="s">
        <v>708</v>
      </c>
      <c r="I148" s="364" t="str">
        <f>BOA!$B$2</f>
        <v>BOA</v>
      </c>
      <c r="J148" s="273" t="s">
        <v>410</v>
      </c>
      <c r="K148" s="364">
        <v>1</v>
      </c>
      <c r="L148" s="273" t="s">
        <v>153</v>
      </c>
      <c r="M148" s="144">
        <f>BOA!G$17*(1-BOA!I$17)</f>
        <v>2740.7999999999997</v>
      </c>
      <c r="N148" s="275">
        <f t="shared" si="11"/>
        <v>2740.7999999999997</v>
      </c>
      <c r="O148" s="365">
        <v>0</v>
      </c>
      <c r="P148" s="275">
        <f t="shared" si="12"/>
        <v>0</v>
      </c>
      <c r="Q148" s="361">
        <v>0.16</v>
      </c>
      <c r="R148" s="275">
        <f t="shared" si="13"/>
        <v>438.52799999999996</v>
      </c>
      <c r="S148" s="275">
        <f t="shared" si="14"/>
        <v>3179.3279999999995</v>
      </c>
      <c r="T148" s="229">
        <f>INDEX('Glosario Partidas'!$M$8:$M$10,MATCH(L148,'Glosario Partidas'!$L$8:$L$10,0))</f>
        <v>17.5</v>
      </c>
      <c r="U148" s="275">
        <f t="shared" si="15"/>
        <v>55638.239999999991</v>
      </c>
      <c r="V148" s="230"/>
      <c r="W148" s="249" t="s">
        <v>12</v>
      </c>
      <c r="X148" s="249"/>
      <c r="Y148" s="249"/>
    </row>
    <row r="149" spans="1:25" ht="15" customHeight="1" x14ac:dyDescent="0.2">
      <c r="A149" s="211"/>
      <c r="B149" s="211" t="s">
        <v>193</v>
      </c>
      <c r="C149" s="78" t="s">
        <v>407</v>
      </c>
      <c r="D149" s="211" t="s">
        <v>102</v>
      </c>
      <c r="E149" s="144" t="str">
        <f>BOA!B$21</f>
        <v>Jaladera tubular</v>
      </c>
      <c r="F149" s="307" t="s">
        <v>229</v>
      </c>
      <c r="G149" s="78" t="s">
        <v>221</v>
      </c>
      <c r="H149" s="307" t="s">
        <v>708</v>
      </c>
      <c r="I149" s="364" t="str">
        <f>BOA!$B$2</f>
        <v>BOA</v>
      </c>
      <c r="J149" s="273" t="s">
        <v>410</v>
      </c>
      <c r="K149" s="364">
        <v>1</v>
      </c>
      <c r="L149" s="273" t="s">
        <v>153</v>
      </c>
      <c r="M149" s="144">
        <f>BOA!G$21*(1-BOA!I$21)</f>
        <v>185.60000000000002</v>
      </c>
      <c r="N149" s="275">
        <f t="shared" si="11"/>
        <v>185.60000000000002</v>
      </c>
      <c r="O149" s="365">
        <v>0</v>
      </c>
      <c r="P149" s="275">
        <f t="shared" si="12"/>
        <v>0</v>
      </c>
      <c r="Q149" s="361">
        <v>0.16</v>
      </c>
      <c r="R149" s="275">
        <f t="shared" si="13"/>
        <v>29.696000000000005</v>
      </c>
      <c r="S149" s="275">
        <f t="shared" si="14"/>
        <v>215.29600000000002</v>
      </c>
      <c r="T149" s="229">
        <f>INDEX('Glosario Partidas'!$M$8:$M$10,MATCH(L149,'Glosario Partidas'!$L$8:$L$10,0))</f>
        <v>17.5</v>
      </c>
      <c r="U149" s="275">
        <f t="shared" si="15"/>
        <v>3767.6800000000003</v>
      </c>
      <c r="V149" s="230"/>
      <c r="W149" s="249" t="s">
        <v>12</v>
      </c>
      <c r="X149" s="249"/>
      <c r="Y149" s="249"/>
    </row>
    <row r="150" spans="1:25" ht="15" customHeight="1" x14ac:dyDescent="0.2">
      <c r="A150" s="211"/>
      <c r="B150" s="211" t="s">
        <v>193</v>
      </c>
      <c r="C150" s="78" t="s">
        <v>407</v>
      </c>
      <c r="D150" s="211" t="s">
        <v>102</v>
      </c>
      <c r="E150" s="144" t="str">
        <f>BOA!B$22</f>
        <v>Kit de instalación</v>
      </c>
      <c r="F150" s="307" t="s">
        <v>229</v>
      </c>
      <c r="G150" s="78" t="s">
        <v>221</v>
      </c>
      <c r="H150" s="307" t="s">
        <v>708</v>
      </c>
      <c r="I150" s="364" t="str">
        <f>BOA!$B$2</f>
        <v>BOA</v>
      </c>
      <c r="J150" s="273" t="s">
        <v>410</v>
      </c>
      <c r="K150" s="364">
        <v>1</v>
      </c>
      <c r="L150" s="273" t="s">
        <v>153</v>
      </c>
      <c r="M150" s="144">
        <f>BOA!G$22*(1-BOA!I$22)</f>
        <v>96</v>
      </c>
      <c r="N150" s="275">
        <f t="shared" si="11"/>
        <v>96</v>
      </c>
      <c r="O150" s="365">
        <v>0</v>
      </c>
      <c r="P150" s="275">
        <f t="shared" si="12"/>
        <v>0</v>
      </c>
      <c r="Q150" s="361">
        <v>0.16</v>
      </c>
      <c r="R150" s="275">
        <f t="shared" si="13"/>
        <v>15.36</v>
      </c>
      <c r="S150" s="275">
        <f t="shared" si="14"/>
        <v>111.36</v>
      </c>
      <c r="T150" s="229">
        <f>INDEX('Glosario Partidas'!$M$8:$M$10,MATCH(L150,'Glosario Partidas'!$L$8:$L$10,0))</f>
        <v>17.5</v>
      </c>
      <c r="U150" s="275">
        <f t="shared" si="15"/>
        <v>1948.8</v>
      </c>
      <c r="V150" s="230"/>
      <c r="W150" s="249" t="s">
        <v>12</v>
      </c>
      <c r="X150" s="249"/>
      <c r="Y150" s="249"/>
    </row>
    <row r="151" spans="1:25" ht="15" customHeight="1" x14ac:dyDescent="0.2">
      <c r="A151" s="211"/>
      <c r="B151" s="211" t="s">
        <v>193</v>
      </c>
      <c r="C151" s="78" t="s">
        <v>407</v>
      </c>
      <c r="D151" s="211" t="s">
        <v>102</v>
      </c>
      <c r="E151" s="144" t="str">
        <f>BOA!B$23</f>
        <v>Tarja</v>
      </c>
      <c r="F151" s="307" t="s">
        <v>229</v>
      </c>
      <c r="G151" s="78" t="s">
        <v>221</v>
      </c>
      <c r="H151" s="307" t="s">
        <v>708</v>
      </c>
      <c r="I151" s="364" t="str">
        <f>BOA!$B$2</f>
        <v>BOA</v>
      </c>
      <c r="J151" s="273" t="s">
        <v>410</v>
      </c>
      <c r="K151" s="364">
        <v>1</v>
      </c>
      <c r="L151" s="273" t="s">
        <v>153</v>
      </c>
      <c r="M151" s="144">
        <f>BOA!G$23*(1-BOA!I$23)</f>
        <v>1040</v>
      </c>
      <c r="N151" s="275">
        <f t="shared" si="11"/>
        <v>1040</v>
      </c>
      <c r="O151" s="365">
        <v>0</v>
      </c>
      <c r="P151" s="275">
        <f t="shared" si="12"/>
        <v>0</v>
      </c>
      <c r="Q151" s="361">
        <v>0.16</v>
      </c>
      <c r="R151" s="275">
        <f t="shared" si="13"/>
        <v>166.4</v>
      </c>
      <c r="S151" s="275">
        <f t="shared" si="14"/>
        <v>1206.4000000000001</v>
      </c>
      <c r="T151" s="229">
        <f>INDEX('Glosario Partidas'!$M$8:$M$10,MATCH(L151,'Glosario Partidas'!$L$8:$L$10,0))</f>
        <v>17.5</v>
      </c>
      <c r="U151" s="275">
        <f t="shared" si="15"/>
        <v>21112</v>
      </c>
      <c r="V151" s="230"/>
      <c r="W151" s="249" t="s">
        <v>12</v>
      </c>
      <c r="X151" s="249"/>
      <c r="Y151" s="249"/>
    </row>
    <row r="152" spans="1:25" ht="15" customHeight="1" x14ac:dyDescent="0.2">
      <c r="A152" s="211"/>
      <c r="B152" s="211" t="s">
        <v>193</v>
      </c>
      <c r="C152" s="78" t="s">
        <v>407</v>
      </c>
      <c r="D152" s="211" t="s">
        <v>102</v>
      </c>
      <c r="E152" s="144" t="str">
        <f>BOA!B$24</f>
        <v>Sink</v>
      </c>
      <c r="F152" s="307" t="s">
        <v>229</v>
      </c>
      <c r="G152" s="78" t="s">
        <v>221</v>
      </c>
      <c r="H152" s="307" t="s">
        <v>708</v>
      </c>
      <c r="I152" s="364" t="str">
        <f>BOA!$B$2</f>
        <v>BOA</v>
      </c>
      <c r="J152" s="273" t="s">
        <v>410</v>
      </c>
      <c r="K152" s="364">
        <v>2</v>
      </c>
      <c r="L152" s="273" t="s">
        <v>153</v>
      </c>
      <c r="M152" s="144">
        <f>BOA!G$24*(1-BOA!I$24)</f>
        <v>104</v>
      </c>
      <c r="N152" s="275">
        <f t="shared" si="11"/>
        <v>208</v>
      </c>
      <c r="O152" s="365">
        <v>0</v>
      </c>
      <c r="P152" s="275">
        <f t="shared" si="12"/>
        <v>0</v>
      </c>
      <c r="Q152" s="361">
        <v>0.16</v>
      </c>
      <c r="R152" s="275">
        <f t="shared" si="13"/>
        <v>33.28</v>
      </c>
      <c r="S152" s="275">
        <f t="shared" si="14"/>
        <v>241.28</v>
      </c>
      <c r="T152" s="229">
        <f>INDEX('Glosario Partidas'!$M$8:$M$10,MATCH(L152,'Glosario Partidas'!$L$8:$L$10,0))</f>
        <v>17.5</v>
      </c>
      <c r="U152" s="275">
        <f t="shared" si="15"/>
        <v>4222.3999999999996</v>
      </c>
      <c r="V152" s="230"/>
      <c r="W152" s="249" t="s">
        <v>12</v>
      </c>
      <c r="X152" s="249"/>
      <c r="Y152" s="249"/>
    </row>
    <row r="153" spans="1:25" ht="15" customHeight="1" x14ac:dyDescent="0.2">
      <c r="A153" s="211"/>
      <c r="B153" s="211" t="s">
        <v>193</v>
      </c>
      <c r="C153" s="78" t="s">
        <v>407</v>
      </c>
      <c r="D153" s="211" t="s">
        <v>102</v>
      </c>
      <c r="E153" s="144" t="str">
        <f>BOA!B$25</f>
        <v>Triturador</v>
      </c>
      <c r="F153" s="307" t="s">
        <v>229</v>
      </c>
      <c r="G153" s="78" t="s">
        <v>221</v>
      </c>
      <c r="H153" s="307" t="s">
        <v>708</v>
      </c>
      <c r="I153" s="364" t="str">
        <f>BOA!$B$2</f>
        <v>BOA</v>
      </c>
      <c r="J153" s="273" t="s">
        <v>410</v>
      </c>
      <c r="K153" s="364">
        <v>1</v>
      </c>
      <c r="L153" s="273" t="s">
        <v>153</v>
      </c>
      <c r="M153" s="144">
        <f>BOA!G$25*(1-BOA!I$25)</f>
        <v>598.4</v>
      </c>
      <c r="N153" s="275">
        <f t="shared" si="11"/>
        <v>598.4</v>
      </c>
      <c r="O153" s="365">
        <v>0</v>
      </c>
      <c r="P153" s="275">
        <f t="shared" si="12"/>
        <v>0</v>
      </c>
      <c r="Q153" s="361">
        <v>0.16</v>
      </c>
      <c r="R153" s="275">
        <f t="shared" si="13"/>
        <v>95.744</v>
      </c>
      <c r="S153" s="275">
        <f t="shared" si="14"/>
        <v>694.14400000000001</v>
      </c>
      <c r="T153" s="229">
        <f>INDEX('Glosario Partidas'!$M$8:$M$10,MATCH(L153,'Glosario Partidas'!$L$8:$L$10,0))</f>
        <v>17.5</v>
      </c>
      <c r="U153" s="275">
        <f t="shared" si="15"/>
        <v>12147.52</v>
      </c>
      <c r="V153" s="230"/>
      <c r="W153" s="249" t="s">
        <v>12</v>
      </c>
      <c r="X153" s="249"/>
      <c r="Y153" s="249"/>
    </row>
    <row r="154" spans="1:25" ht="15" customHeight="1" x14ac:dyDescent="0.2">
      <c r="A154" s="211"/>
      <c r="B154" s="211" t="s">
        <v>193</v>
      </c>
      <c r="C154" s="78" t="s">
        <v>407</v>
      </c>
      <c r="D154" s="211" t="s">
        <v>104</v>
      </c>
      <c r="E154" s="144" t="str">
        <f>BOA!B$51</f>
        <v>Máquina de hielo residencial gourmet 65 lb con bomba de drenaje</v>
      </c>
      <c r="F154" s="307" t="s">
        <v>229</v>
      </c>
      <c r="G154" s="78" t="s">
        <v>221</v>
      </c>
      <c r="H154" s="307" t="s">
        <v>708</v>
      </c>
      <c r="I154" s="364" t="str">
        <f>BOA!$B$2</f>
        <v>BOA</v>
      </c>
      <c r="J154" s="273" t="s">
        <v>410</v>
      </c>
      <c r="K154" s="364">
        <v>1</v>
      </c>
      <c r="L154" s="273" t="s">
        <v>153</v>
      </c>
      <c r="M154" s="144">
        <f>BOA!G$51*(1-BOA!I$51)</f>
        <v>4768</v>
      </c>
      <c r="N154" s="275">
        <f t="shared" si="11"/>
        <v>4768</v>
      </c>
      <c r="O154" s="365">
        <v>0</v>
      </c>
      <c r="P154" s="275">
        <f t="shared" si="12"/>
        <v>0</v>
      </c>
      <c r="Q154" s="361">
        <v>0.16</v>
      </c>
      <c r="R154" s="275">
        <f t="shared" si="13"/>
        <v>762.88</v>
      </c>
      <c r="S154" s="275">
        <f t="shared" si="14"/>
        <v>5530.88</v>
      </c>
      <c r="T154" s="229">
        <f>INDEX('Glosario Partidas'!$M$8:$M$10,MATCH(L154,'Glosario Partidas'!$L$8:$L$10,0))</f>
        <v>17.5</v>
      </c>
      <c r="U154" s="275">
        <f t="shared" si="15"/>
        <v>96790.400000000009</v>
      </c>
      <c r="V154" s="230"/>
      <c r="W154" s="249" t="s">
        <v>12</v>
      </c>
      <c r="X154" s="249"/>
      <c r="Y154" s="249"/>
    </row>
    <row r="155" spans="1:25" ht="15" customHeight="1" x14ac:dyDescent="0.2">
      <c r="A155" s="211"/>
      <c r="B155" s="211" t="s">
        <v>193</v>
      </c>
      <c r="C155" s="78" t="s">
        <v>407</v>
      </c>
      <c r="D155" s="211" t="s">
        <v>104</v>
      </c>
      <c r="E155" s="144" t="str">
        <f>BOA!B$52</f>
        <v>Kit de instalación</v>
      </c>
      <c r="F155" s="307" t="s">
        <v>229</v>
      </c>
      <c r="G155" s="78" t="s">
        <v>221</v>
      </c>
      <c r="H155" s="307" t="s">
        <v>708</v>
      </c>
      <c r="I155" s="364" t="str">
        <f>BOA!$B$2</f>
        <v>BOA</v>
      </c>
      <c r="J155" s="273" t="s">
        <v>410</v>
      </c>
      <c r="K155" s="364">
        <v>1</v>
      </c>
      <c r="L155" s="273" t="s">
        <v>153</v>
      </c>
      <c r="M155" s="144">
        <f>BOA!G$52*(1-BOA!I$52)</f>
        <v>96</v>
      </c>
      <c r="N155" s="275">
        <f t="shared" si="11"/>
        <v>96</v>
      </c>
      <c r="O155" s="365">
        <v>0</v>
      </c>
      <c r="P155" s="275">
        <f t="shared" si="12"/>
        <v>0</v>
      </c>
      <c r="Q155" s="361">
        <v>0.16</v>
      </c>
      <c r="R155" s="275">
        <f t="shared" si="13"/>
        <v>15.36</v>
      </c>
      <c r="S155" s="275">
        <f t="shared" si="14"/>
        <v>111.36</v>
      </c>
      <c r="T155" s="229">
        <f>INDEX('Glosario Partidas'!$M$8:$M$10,MATCH(L155,'Glosario Partidas'!$L$8:$L$10,0))</f>
        <v>17.5</v>
      </c>
      <c r="U155" s="275">
        <f t="shared" si="15"/>
        <v>1948.8</v>
      </c>
      <c r="V155" s="230"/>
      <c r="W155" s="249" t="s">
        <v>12</v>
      </c>
      <c r="X155" s="249"/>
      <c r="Y155" s="249"/>
    </row>
    <row r="156" spans="1:25" ht="15" customHeight="1" x14ac:dyDescent="0.2">
      <c r="A156" s="211"/>
      <c r="B156" s="211" t="s">
        <v>193</v>
      </c>
      <c r="C156" s="78" t="s">
        <v>407</v>
      </c>
      <c r="D156" s="211" t="s">
        <v>104</v>
      </c>
      <c r="E156" s="144" t="str">
        <f>BOA!B$53</f>
        <v>Refrigerador bajo cubierta exterior 24", apertura derecha</v>
      </c>
      <c r="F156" s="307" t="s">
        <v>229</v>
      </c>
      <c r="G156" s="78" t="s">
        <v>221</v>
      </c>
      <c r="H156" s="307" t="s">
        <v>708</v>
      </c>
      <c r="I156" s="364" t="str">
        <f>BOA!$B$2</f>
        <v>BOA</v>
      </c>
      <c r="J156" s="273" t="s">
        <v>410</v>
      </c>
      <c r="K156" s="364">
        <v>1</v>
      </c>
      <c r="L156" s="273" t="s">
        <v>153</v>
      </c>
      <c r="M156" s="144">
        <f>BOA!G$53*(1-BOA!I$53)</f>
        <v>3326.4</v>
      </c>
      <c r="N156" s="275">
        <f t="shared" si="11"/>
        <v>3326.4</v>
      </c>
      <c r="O156" s="365">
        <v>0</v>
      </c>
      <c r="P156" s="275">
        <f t="shared" si="12"/>
        <v>0</v>
      </c>
      <c r="Q156" s="361">
        <v>0.16</v>
      </c>
      <c r="R156" s="275">
        <f t="shared" si="13"/>
        <v>532.22400000000005</v>
      </c>
      <c r="S156" s="275">
        <f t="shared" si="14"/>
        <v>3858.6240000000003</v>
      </c>
      <c r="T156" s="229">
        <f>INDEX('Glosario Partidas'!$M$8:$M$10,MATCH(L156,'Glosario Partidas'!$L$8:$L$10,0))</f>
        <v>17.5</v>
      </c>
      <c r="U156" s="275">
        <f t="shared" si="15"/>
        <v>67525.919999999998</v>
      </c>
      <c r="V156" s="230"/>
      <c r="W156" s="249" t="s">
        <v>12</v>
      </c>
      <c r="X156" s="249"/>
      <c r="Y156" s="249"/>
    </row>
    <row r="157" spans="1:25" ht="15" customHeight="1" x14ac:dyDescent="0.2">
      <c r="A157" s="211"/>
      <c r="B157" s="211" t="s">
        <v>193</v>
      </c>
      <c r="C157" s="78" t="s">
        <v>407</v>
      </c>
      <c r="D157" s="211" t="s">
        <v>104</v>
      </c>
      <c r="E157" s="144" t="str">
        <f>BOA!B$56</f>
        <v>Kit de instalación</v>
      </c>
      <c r="F157" s="307" t="s">
        <v>229</v>
      </c>
      <c r="G157" s="78" t="s">
        <v>221</v>
      </c>
      <c r="H157" s="307" t="s">
        <v>708</v>
      </c>
      <c r="I157" s="364" t="str">
        <f>BOA!$B$2</f>
        <v>BOA</v>
      </c>
      <c r="J157" s="273" t="s">
        <v>410</v>
      </c>
      <c r="K157" s="364">
        <v>1</v>
      </c>
      <c r="L157" s="273" t="s">
        <v>153</v>
      </c>
      <c r="M157" s="144">
        <f>BOA!G$56*(1-BOA!I$56)</f>
        <v>96</v>
      </c>
      <c r="N157" s="275">
        <f t="shared" si="11"/>
        <v>96</v>
      </c>
      <c r="O157" s="365">
        <v>0</v>
      </c>
      <c r="P157" s="275">
        <f t="shared" si="12"/>
        <v>0</v>
      </c>
      <c r="Q157" s="361">
        <v>0.16</v>
      </c>
      <c r="R157" s="275">
        <f t="shared" si="13"/>
        <v>15.36</v>
      </c>
      <c r="S157" s="275">
        <f t="shared" si="14"/>
        <v>111.36</v>
      </c>
      <c r="T157" s="229">
        <f>INDEX('Glosario Partidas'!$M$8:$M$10,MATCH(L157,'Glosario Partidas'!$L$8:$L$10,0))</f>
        <v>17.5</v>
      </c>
      <c r="U157" s="275">
        <f t="shared" si="15"/>
        <v>1948.8</v>
      </c>
      <c r="V157" s="230"/>
      <c r="W157" s="249" t="s">
        <v>12</v>
      </c>
      <c r="X157" s="249"/>
      <c r="Y157" s="249"/>
    </row>
    <row r="158" spans="1:25" ht="15" customHeight="1" x14ac:dyDescent="0.2">
      <c r="A158" s="211"/>
      <c r="B158" s="211" t="s">
        <v>193</v>
      </c>
      <c r="C158" s="78" t="s">
        <v>407</v>
      </c>
      <c r="D158" s="211" t="s">
        <v>104</v>
      </c>
      <c r="E158" s="144" t="str">
        <f>BOA!B$57</f>
        <v>Campana profesional para exterior acero inox., 48" x 33"</v>
      </c>
      <c r="F158" s="307" t="s">
        <v>229</v>
      </c>
      <c r="G158" s="78" t="s">
        <v>221</v>
      </c>
      <c r="H158" s="307" t="s">
        <v>708</v>
      </c>
      <c r="I158" s="364" t="str">
        <f>BOA!$B$2</f>
        <v>BOA</v>
      </c>
      <c r="J158" s="273" t="s">
        <v>410</v>
      </c>
      <c r="K158" s="364">
        <v>1</v>
      </c>
      <c r="L158" s="273" t="s">
        <v>153</v>
      </c>
      <c r="M158" s="144">
        <f>BOA!G$57*(1-BOA!I$57)</f>
        <v>2733</v>
      </c>
      <c r="N158" s="275">
        <f t="shared" si="11"/>
        <v>2733</v>
      </c>
      <c r="O158" s="365">
        <v>0</v>
      </c>
      <c r="P158" s="275">
        <f t="shared" si="12"/>
        <v>0</v>
      </c>
      <c r="Q158" s="361">
        <v>0.16</v>
      </c>
      <c r="R158" s="275">
        <f t="shared" si="13"/>
        <v>437.28000000000003</v>
      </c>
      <c r="S158" s="275">
        <f t="shared" si="14"/>
        <v>3170.28</v>
      </c>
      <c r="T158" s="229">
        <f>INDEX('Glosario Partidas'!$M$8:$M$10,MATCH(L158,'Glosario Partidas'!$L$8:$L$10,0))</f>
        <v>17.5</v>
      </c>
      <c r="U158" s="275">
        <f t="shared" si="15"/>
        <v>55479.9</v>
      </c>
      <c r="V158" s="230"/>
      <c r="W158" s="249" t="s">
        <v>12</v>
      </c>
      <c r="X158" s="249"/>
      <c r="Y158" s="249"/>
    </row>
    <row r="159" spans="1:25" ht="15" customHeight="1" x14ac:dyDescent="0.2">
      <c r="A159" s="211"/>
      <c r="B159" s="211" t="s">
        <v>193</v>
      </c>
      <c r="C159" s="78" t="s">
        <v>407</v>
      </c>
      <c r="D159" s="211" t="s">
        <v>104</v>
      </c>
      <c r="E159" s="144" t="str">
        <f>BOA!B$58</f>
        <v>Motor de extracción interno para campanas, 1200 CFM</v>
      </c>
      <c r="F159" s="307" t="s">
        <v>229</v>
      </c>
      <c r="G159" s="78" t="s">
        <v>221</v>
      </c>
      <c r="H159" s="307" t="s">
        <v>708</v>
      </c>
      <c r="I159" s="364" t="str">
        <f>BOA!$B$2</f>
        <v>BOA</v>
      </c>
      <c r="J159" s="273" t="s">
        <v>410</v>
      </c>
      <c r="K159" s="364">
        <v>1</v>
      </c>
      <c r="L159" s="273" t="s">
        <v>153</v>
      </c>
      <c r="M159" s="144">
        <f>BOA!G$58*(1-BOA!I$58)</f>
        <v>1142.4000000000001</v>
      </c>
      <c r="N159" s="275">
        <f t="shared" si="11"/>
        <v>1142.4000000000001</v>
      </c>
      <c r="O159" s="365">
        <v>0</v>
      </c>
      <c r="P159" s="275">
        <f t="shared" si="12"/>
        <v>0</v>
      </c>
      <c r="Q159" s="361">
        <v>0.16</v>
      </c>
      <c r="R159" s="275">
        <f t="shared" si="13"/>
        <v>182.78400000000002</v>
      </c>
      <c r="S159" s="275">
        <f t="shared" si="14"/>
        <v>1325.1840000000002</v>
      </c>
      <c r="T159" s="229">
        <f>INDEX('Glosario Partidas'!$M$8:$M$10,MATCH(L159,'Glosario Partidas'!$L$8:$L$10,0))</f>
        <v>17.5</v>
      </c>
      <c r="U159" s="275">
        <f t="shared" si="15"/>
        <v>23190.720000000005</v>
      </c>
      <c r="V159" s="230"/>
      <c r="W159" s="249" t="s">
        <v>12</v>
      </c>
      <c r="X159" s="249"/>
      <c r="Y159" s="249"/>
    </row>
    <row r="160" spans="1:25" ht="15" customHeight="1" x14ac:dyDescent="0.2">
      <c r="A160" s="211"/>
      <c r="B160" s="211" t="s">
        <v>193</v>
      </c>
      <c r="C160" s="78" t="s">
        <v>407</v>
      </c>
      <c r="D160" s="211" t="s">
        <v>104</v>
      </c>
      <c r="E160" s="144" t="str">
        <f>BOA!B$59</f>
        <v>Tarja</v>
      </c>
      <c r="F160" s="307" t="s">
        <v>229</v>
      </c>
      <c r="G160" s="78" t="s">
        <v>221</v>
      </c>
      <c r="H160" s="307" t="s">
        <v>708</v>
      </c>
      <c r="I160" s="364" t="str">
        <f>BOA!$B$2</f>
        <v>BOA</v>
      </c>
      <c r="J160" s="273" t="s">
        <v>410</v>
      </c>
      <c r="K160" s="364">
        <v>1</v>
      </c>
      <c r="L160" s="273" t="s">
        <v>153</v>
      </c>
      <c r="M160" s="144">
        <f>BOA!G$59*(1-BOA!I$59)</f>
        <v>1040</v>
      </c>
      <c r="N160" s="275">
        <f t="shared" si="11"/>
        <v>1040</v>
      </c>
      <c r="O160" s="365">
        <v>0</v>
      </c>
      <c r="P160" s="275">
        <f t="shared" si="12"/>
        <v>0</v>
      </c>
      <c r="Q160" s="361">
        <v>0.16</v>
      </c>
      <c r="R160" s="275">
        <f t="shared" si="13"/>
        <v>166.4</v>
      </c>
      <c r="S160" s="275">
        <f t="shared" si="14"/>
        <v>1206.4000000000001</v>
      </c>
      <c r="T160" s="229">
        <f>INDEX('Glosario Partidas'!$M$8:$M$10,MATCH(L160,'Glosario Partidas'!$L$8:$L$10,0))</f>
        <v>17.5</v>
      </c>
      <c r="U160" s="275">
        <f t="shared" si="15"/>
        <v>21112</v>
      </c>
      <c r="V160" s="230"/>
      <c r="W160" s="249" t="s">
        <v>12</v>
      </c>
      <c r="X160" s="249"/>
      <c r="Y160" s="249"/>
    </row>
    <row r="161" spans="1:25" ht="15" customHeight="1" x14ac:dyDescent="0.2">
      <c r="A161" s="211"/>
      <c r="B161" s="211" t="s">
        <v>193</v>
      </c>
      <c r="C161" s="78" t="s">
        <v>407</v>
      </c>
      <c r="D161" s="211" t="s">
        <v>104</v>
      </c>
      <c r="E161" s="144" t="str">
        <f>BOA!B$60</f>
        <v>Sink</v>
      </c>
      <c r="F161" s="307" t="s">
        <v>229</v>
      </c>
      <c r="G161" s="78" t="s">
        <v>221</v>
      </c>
      <c r="H161" s="307" t="s">
        <v>708</v>
      </c>
      <c r="I161" s="364" t="str">
        <f>BOA!$B$2</f>
        <v>BOA</v>
      </c>
      <c r="J161" s="273" t="s">
        <v>410</v>
      </c>
      <c r="K161" s="364">
        <v>2</v>
      </c>
      <c r="L161" s="273" t="s">
        <v>153</v>
      </c>
      <c r="M161" s="144">
        <f>BOA!G$60*(1-BOA!I$60)</f>
        <v>104</v>
      </c>
      <c r="N161" s="275">
        <f t="shared" si="11"/>
        <v>208</v>
      </c>
      <c r="O161" s="365">
        <v>0</v>
      </c>
      <c r="P161" s="275">
        <f t="shared" si="12"/>
        <v>0</v>
      </c>
      <c r="Q161" s="361">
        <v>0.16</v>
      </c>
      <c r="R161" s="275">
        <f t="shared" si="13"/>
        <v>33.28</v>
      </c>
      <c r="S161" s="275">
        <f t="shared" si="14"/>
        <v>241.28</v>
      </c>
      <c r="T161" s="229">
        <f>INDEX('Glosario Partidas'!$M$8:$M$10,MATCH(L161,'Glosario Partidas'!$L$8:$L$10,0))</f>
        <v>17.5</v>
      </c>
      <c r="U161" s="275">
        <f t="shared" si="15"/>
        <v>4222.3999999999996</v>
      </c>
      <c r="V161" s="230"/>
      <c r="W161" s="249" t="s">
        <v>12</v>
      </c>
      <c r="X161" s="249"/>
      <c r="Y161" s="249"/>
    </row>
    <row r="162" spans="1:25" ht="15" customHeight="1" x14ac:dyDescent="0.2">
      <c r="A162" s="211"/>
      <c r="B162" s="211" t="s">
        <v>193</v>
      </c>
      <c r="C162" s="78" t="s">
        <v>407</v>
      </c>
      <c r="D162" s="211" t="s">
        <v>104</v>
      </c>
      <c r="E162" s="144" t="str">
        <f>BOA!B$61</f>
        <v>Triturador</v>
      </c>
      <c r="F162" s="307" t="s">
        <v>229</v>
      </c>
      <c r="G162" s="78" t="s">
        <v>221</v>
      </c>
      <c r="H162" s="307" t="s">
        <v>708</v>
      </c>
      <c r="I162" s="364" t="str">
        <f>BOA!$B$2</f>
        <v>BOA</v>
      </c>
      <c r="J162" s="273" t="s">
        <v>410</v>
      </c>
      <c r="K162" s="364">
        <v>1</v>
      </c>
      <c r="L162" s="273" t="s">
        <v>153</v>
      </c>
      <c r="M162" s="144">
        <f>BOA!G$61*(1-BOA!I$61)</f>
        <v>598.4</v>
      </c>
      <c r="N162" s="275">
        <f t="shared" si="11"/>
        <v>598.4</v>
      </c>
      <c r="O162" s="365">
        <v>0</v>
      </c>
      <c r="P162" s="275">
        <f t="shared" si="12"/>
        <v>0</v>
      </c>
      <c r="Q162" s="361">
        <v>0.16</v>
      </c>
      <c r="R162" s="275">
        <f t="shared" si="13"/>
        <v>95.744</v>
      </c>
      <c r="S162" s="275">
        <f t="shared" si="14"/>
        <v>694.14400000000001</v>
      </c>
      <c r="T162" s="229">
        <f>INDEX('Glosario Partidas'!$M$8:$M$10,MATCH(L162,'Glosario Partidas'!$L$8:$L$10,0))</f>
        <v>17.5</v>
      </c>
      <c r="U162" s="275">
        <f t="shared" si="15"/>
        <v>12147.52</v>
      </c>
      <c r="V162" s="230"/>
      <c r="W162" s="249" t="s">
        <v>12</v>
      </c>
      <c r="X162" s="249"/>
      <c r="Y162" s="249"/>
    </row>
    <row r="163" spans="1:25" ht="15" customHeight="1" x14ac:dyDescent="0.2">
      <c r="A163" s="211"/>
      <c r="B163" s="211" t="s">
        <v>193</v>
      </c>
      <c r="C163" s="78" t="s">
        <v>407</v>
      </c>
      <c r="D163" s="211" t="s">
        <v>104</v>
      </c>
      <c r="E163" s="316" t="s">
        <v>811</v>
      </c>
      <c r="F163" s="307" t="s">
        <v>229</v>
      </c>
      <c r="G163" s="78" t="s">
        <v>221</v>
      </c>
      <c r="H163" s="307" t="s">
        <v>708</v>
      </c>
      <c r="I163" s="315" t="s">
        <v>812</v>
      </c>
      <c r="J163" s="211" t="s">
        <v>410</v>
      </c>
      <c r="K163" s="224">
        <v>1</v>
      </c>
      <c r="L163" s="211" t="s">
        <v>153</v>
      </c>
      <c r="M163" s="316">
        <v>6325.8</v>
      </c>
      <c r="N163" s="310">
        <f t="shared" si="11"/>
        <v>6325.8</v>
      </c>
      <c r="O163" s="317">
        <v>0</v>
      </c>
      <c r="P163" s="227">
        <f t="shared" si="12"/>
        <v>0</v>
      </c>
      <c r="Q163" s="366">
        <v>0.16</v>
      </c>
      <c r="R163" s="310">
        <f t="shared" si="13"/>
        <v>1012.128</v>
      </c>
      <c r="S163" s="310">
        <f t="shared" si="14"/>
        <v>7337.9279999999999</v>
      </c>
      <c r="T163" s="229">
        <f>INDEX('Glosario Partidas'!$M$8:$M$10,MATCH(L163,'Glosario Partidas'!$L$8:$L$10,0))</f>
        <v>17.5</v>
      </c>
      <c r="U163" s="310">
        <f t="shared" si="15"/>
        <v>128413.73999999999</v>
      </c>
      <c r="V163" s="230" t="s">
        <v>813</v>
      </c>
      <c r="W163" s="249" t="s">
        <v>13</v>
      </c>
      <c r="X163" s="249"/>
      <c r="Y163" s="249"/>
    </row>
    <row r="164" spans="1:25" ht="15" customHeight="1" x14ac:dyDescent="0.2">
      <c r="A164" s="211"/>
      <c r="B164" s="211" t="s">
        <v>193</v>
      </c>
      <c r="C164" s="78" t="s">
        <v>407</v>
      </c>
      <c r="D164" s="211" t="s">
        <v>104</v>
      </c>
      <c r="E164" s="316" t="s">
        <v>814</v>
      </c>
      <c r="F164" s="307" t="s">
        <v>229</v>
      </c>
      <c r="G164" s="78" t="s">
        <v>221</v>
      </c>
      <c r="H164" s="307" t="s">
        <v>708</v>
      </c>
      <c r="I164" s="315" t="s">
        <v>812</v>
      </c>
      <c r="J164" s="211" t="s">
        <v>410</v>
      </c>
      <c r="K164" s="224">
        <v>1</v>
      </c>
      <c r="L164" s="211" t="s">
        <v>153</v>
      </c>
      <c r="M164" s="316">
        <v>204</v>
      </c>
      <c r="N164" s="310">
        <f t="shared" si="11"/>
        <v>204</v>
      </c>
      <c r="O164" s="317">
        <v>0</v>
      </c>
      <c r="P164" s="227">
        <f t="shared" si="12"/>
        <v>0</v>
      </c>
      <c r="Q164" s="366">
        <v>0.16</v>
      </c>
      <c r="R164" s="310">
        <f t="shared" si="13"/>
        <v>32.64</v>
      </c>
      <c r="S164" s="310">
        <f t="shared" si="14"/>
        <v>236.64</v>
      </c>
      <c r="T164" s="229">
        <f>INDEX('Glosario Partidas'!$M$8:$M$10,MATCH(L164,'Glosario Partidas'!$L$8:$L$10,0))</f>
        <v>17.5</v>
      </c>
      <c r="U164" s="310">
        <f t="shared" si="15"/>
        <v>4141.2</v>
      </c>
      <c r="V164" s="230" t="s">
        <v>815</v>
      </c>
      <c r="W164" s="249" t="s">
        <v>13</v>
      </c>
      <c r="X164" s="249"/>
      <c r="Y164" s="249"/>
    </row>
    <row r="165" spans="1:25" ht="15" customHeight="1" x14ac:dyDescent="0.2">
      <c r="A165" s="211"/>
      <c r="B165" s="211" t="s">
        <v>193</v>
      </c>
      <c r="C165" s="78" t="s">
        <v>407</v>
      </c>
      <c r="D165" s="211" t="s">
        <v>102</v>
      </c>
      <c r="E165" s="144" t="str">
        <f>BOA!B$29</f>
        <v>Estufa de gas de 48" con 6 quemadores profesionales y plancha, LP</v>
      </c>
      <c r="F165" s="307" t="s">
        <v>229</v>
      </c>
      <c r="G165" s="78" t="s">
        <v>354</v>
      </c>
      <c r="H165" s="307" t="s">
        <v>711</v>
      </c>
      <c r="I165" s="364" t="str">
        <f>BOA!$B$2</f>
        <v>BOA</v>
      </c>
      <c r="J165" s="273" t="s">
        <v>410</v>
      </c>
      <c r="K165" s="364">
        <v>1</v>
      </c>
      <c r="L165" s="273" t="s">
        <v>153</v>
      </c>
      <c r="M165" s="144">
        <f>BOA!G$29*(1-BOA!I$29)</f>
        <v>10729.199999999999</v>
      </c>
      <c r="N165" s="275">
        <f t="shared" si="11"/>
        <v>10729.199999999999</v>
      </c>
      <c r="O165" s="365">
        <v>0</v>
      </c>
      <c r="P165" s="275">
        <f t="shared" si="12"/>
        <v>0</v>
      </c>
      <c r="Q165" s="361">
        <v>0.16</v>
      </c>
      <c r="R165" s="275">
        <f t="shared" si="13"/>
        <v>1716.6719999999998</v>
      </c>
      <c r="S165" s="275">
        <f t="shared" si="14"/>
        <v>12445.871999999999</v>
      </c>
      <c r="T165" s="229">
        <f>INDEX('Glosario Partidas'!$M$8:$M$10,MATCH(L165,'Glosario Partidas'!$L$8:$L$10,0))</f>
        <v>17.5</v>
      </c>
      <c r="U165" s="275">
        <f t="shared" si="15"/>
        <v>217802.75999999998</v>
      </c>
      <c r="V165" s="230"/>
      <c r="W165" s="249" t="s">
        <v>12</v>
      </c>
      <c r="X165" s="249"/>
      <c r="Y165" s="249"/>
    </row>
    <row r="166" spans="1:25" ht="15" customHeight="1" x14ac:dyDescent="0.2">
      <c r="A166" s="211"/>
      <c r="B166" s="211" t="s">
        <v>193</v>
      </c>
      <c r="C166" s="78" t="s">
        <v>407</v>
      </c>
      <c r="D166" s="211" t="s">
        <v>102</v>
      </c>
      <c r="E166" s="144" t="str">
        <f>BOA!B$30</f>
        <v>Campana profesional para revestir, forro de acero inox., 46" x 19"</v>
      </c>
      <c r="F166" s="307" t="s">
        <v>229</v>
      </c>
      <c r="G166" s="78" t="s">
        <v>354</v>
      </c>
      <c r="H166" s="307" t="s">
        <v>711</v>
      </c>
      <c r="I166" s="364" t="str">
        <f>BOA!$B$2</f>
        <v>BOA</v>
      </c>
      <c r="J166" s="273" t="s">
        <v>410</v>
      </c>
      <c r="K166" s="364">
        <v>1</v>
      </c>
      <c r="L166" s="273" t="s">
        <v>153</v>
      </c>
      <c r="M166" s="144">
        <f>BOA!G$30*(1-BOA!I$30)</f>
        <v>1522.2</v>
      </c>
      <c r="N166" s="275">
        <f t="shared" si="11"/>
        <v>1522.2</v>
      </c>
      <c r="O166" s="365">
        <v>0</v>
      </c>
      <c r="P166" s="275">
        <f t="shared" si="12"/>
        <v>0</v>
      </c>
      <c r="Q166" s="361">
        <v>0.16</v>
      </c>
      <c r="R166" s="275">
        <f t="shared" si="13"/>
        <v>243.55200000000002</v>
      </c>
      <c r="S166" s="275">
        <f t="shared" si="14"/>
        <v>1765.752</v>
      </c>
      <c r="T166" s="229">
        <f>INDEX('Glosario Partidas'!$M$8:$M$10,MATCH(L166,'Glosario Partidas'!$L$8:$L$10,0))</f>
        <v>17.5</v>
      </c>
      <c r="U166" s="275">
        <f t="shared" si="15"/>
        <v>30900.66</v>
      </c>
      <c r="V166" s="230"/>
      <c r="W166" s="249" t="s">
        <v>12</v>
      </c>
      <c r="X166" s="249"/>
      <c r="Y166" s="249"/>
    </row>
    <row r="167" spans="1:25" ht="15" customHeight="1" x14ac:dyDescent="0.2">
      <c r="A167" s="211"/>
      <c r="B167" s="211" t="s">
        <v>193</v>
      </c>
      <c r="C167" s="78" t="s">
        <v>407</v>
      </c>
      <c r="D167" s="211" t="s">
        <v>102</v>
      </c>
      <c r="E167" s="144" t="str">
        <f>BOA!B$31</f>
        <v>Motor de extracción interno para campanas de pared interiores, 1200 CFM</v>
      </c>
      <c r="F167" s="307" t="s">
        <v>229</v>
      </c>
      <c r="G167" s="78" t="s">
        <v>354</v>
      </c>
      <c r="H167" s="307" t="s">
        <v>711</v>
      </c>
      <c r="I167" s="364" t="str">
        <f>BOA!$B$2</f>
        <v>BOA</v>
      </c>
      <c r="J167" s="273" t="s">
        <v>410</v>
      </c>
      <c r="K167" s="364">
        <v>1</v>
      </c>
      <c r="L167" s="273" t="s">
        <v>153</v>
      </c>
      <c r="M167" s="144">
        <f>BOA!G$31*(1-BOA!I$31)</f>
        <v>1142.4000000000001</v>
      </c>
      <c r="N167" s="275">
        <f t="shared" si="11"/>
        <v>1142.4000000000001</v>
      </c>
      <c r="O167" s="365">
        <v>0</v>
      </c>
      <c r="P167" s="275">
        <f t="shared" si="12"/>
        <v>0</v>
      </c>
      <c r="Q167" s="361">
        <v>0.16</v>
      </c>
      <c r="R167" s="275">
        <f t="shared" si="13"/>
        <v>182.78400000000002</v>
      </c>
      <c r="S167" s="275">
        <f t="shared" si="14"/>
        <v>1325.1840000000002</v>
      </c>
      <c r="T167" s="229">
        <f>INDEX('Glosario Partidas'!$M$8:$M$10,MATCH(L167,'Glosario Partidas'!$L$8:$L$10,0))</f>
        <v>17.5</v>
      </c>
      <c r="U167" s="275">
        <f t="shared" si="15"/>
        <v>23190.720000000005</v>
      </c>
      <c r="V167" s="230"/>
      <c r="W167" s="249" t="s">
        <v>12</v>
      </c>
      <c r="X167" s="249"/>
      <c r="Y167" s="249"/>
    </row>
    <row r="168" spans="1:25" ht="15" customHeight="1" x14ac:dyDescent="0.2">
      <c r="A168" s="211"/>
      <c r="B168" s="211" t="s">
        <v>193</v>
      </c>
      <c r="C168" s="78" t="s">
        <v>407</v>
      </c>
      <c r="D168" s="211" t="s">
        <v>102</v>
      </c>
      <c r="E168" s="144" t="str">
        <f>BOA!B$32</f>
        <v>Refrigerador y congelador panelable (puerta francesa) de 48"</v>
      </c>
      <c r="F168" s="307" t="s">
        <v>229</v>
      </c>
      <c r="G168" s="78" t="s">
        <v>354</v>
      </c>
      <c r="H168" s="307" t="s">
        <v>711</v>
      </c>
      <c r="I168" s="364" t="str">
        <f>BOA!$B$2</f>
        <v>BOA</v>
      </c>
      <c r="J168" s="273" t="s">
        <v>410</v>
      </c>
      <c r="K168" s="364">
        <v>1</v>
      </c>
      <c r="L168" s="273" t="s">
        <v>153</v>
      </c>
      <c r="M168" s="144">
        <f>BOA!G$32*(1-BOA!I$32)</f>
        <v>11409.6</v>
      </c>
      <c r="N168" s="275">
        <f t="shared" si="11"/>
        <v>11409.6</v>
      </c>
      <c r="O168" s="365">
        <v>0</v>
      </c>
      <c r="P168" s="275">
        <f t="shared" si="12"/>
        <v>0</v>
      </c>
      <c r="Q168" s="361">
        <v>0.16</v>
      </c>
      <c r="R168" s="275">
        <f t="shared" si="13"/>
        <v>1825.5360000000001</v>
      </c>
      <c r="S168" s="275">
        <f t="shared" si="14"/>
        <v>13235.136</v>
      </c>
      <c r="T168" s="229">
        <f>INDEX('Glosario Partidas'!$M$8:$M$10,MATCH(L168,'Glosario Partidas'!$L$8:$L$10,0))</f>
        <v>17.5</v>
      </c>
      <c r="U168" s="275">
        <f t="shared" si="15"/>
        <v>231614.88</v>
      </c>
      <c r="V168" s="230"/>
      <c r="W168" s="249" t="s">
        <v>12</v>
      </c>
      <c r="X168" s="249"/>
      <c r="Y168" s="249"/>
    </row>
    <row r="169" spans="1:25" ht="15" customHeight="1" x14ac:dyDescent="0.2">
      <c r="A169" s="211"/>
      <c r="B169" s="211" t="s">
        <v>193</v>
      </c>
      <c r="C169" s="78" t="s">
        <v>407</v>
      </c>
      <c r="D169" s="211" t="s">
        <v>102</v>
      </c>
      <c r="E169" s="144" t="str">
        <f>BOA!B$33</f>
        <v>Kit de montaje para panel frontal</v>
      </c>
      <c r="F169" s="307" t="s">
        <v>229</v>
      </c>
      <c r="G169" s="78" t="s">
        <v>354</v>
      </c>
      <c r="H169" s="307" t="s">
        <v>711</v>
      </c>
      <c r="I169" s="364" t="str">
        <f>BOA!$B$2</f>
        <v>BOA</v>
      </c>
      <c r="J169" s="273" t="s">
        <v>410</v>
      </c>
      <c r="K169" s="364">
        <v>1</v>
      </c>
      <c r="L169" s="273" t="s">
        <v>153</v>
      </c>
      <c r="M169" s="144">
        <f>BOA!G$33*(1-BOA!I$33)</f>
        <v>111.2</v>
      </c>
      <c r="N169" s="275">
        <f t="shared" si="11"/>
        <v>111.2</v>
      </c>
      <c r="O169" s="365">
        <v>0</v>
      </c>
      <c r="P169" s="275">
        <f t="shared" si="12"/>
        <v>0</v>
      </c>
      <c r="Q169" s="361">
        <v>0.16</v>
      </c>
      <c r="R169" s="275">
        <f t="shared" si="13"/>
        <v>17.792000000000002</v>
      </c>
      <c r="S169" s="275">
        <f t="shared" si="14"/>
        <v>128.99200000000002</v>
      </c>
      <c r="T169" s="229">
        <f>INDEX('Glosario Partidas'!$M$8:$M$10,MATCH(L169,'Glosario Partidas'!$L$8:$L$10,0))</f>
        <v>17.5</v>
      </c>
      <c r="U169" s="275">
        <f t="shared" si="15"/>
        <v>2257.36</v>
      </c>
      <c r="V169" s="230"/>
      <c r="W169" s="249" t="s">
        <v>12</v>
      </c>
      <c r="X169" s="249"/>
      <c r="Y169" s="249"/>
    </row>
    <row r="170" spans="1:25" ht="15" customHeight="1" x14ac:dyDescent="0.2">
      <c r="A170" s="211"/>
      <c r="B170" s="211" t="s">
        <v>193</v>
      </c>
      <c r="C170" s="78" t="s">
        <v>407</v>
      </c>
      <c r="D170" s="211" t="s">
        <v>102</v>
      </c>
      <c r="E170" s="144" t="str">
        <f>BOA!B$34</f>
        <v>Jaladera tubular para puerta arriba</v>
      </c>
      <c r="F170" s="307" t="s">
        <v>229</v>
      </c>
      <c r="G170" s="78" t="s">
        <v>354</v>
      </c>
      <c r="H170" s="307" t="s">
        <v>711</v>
      </c>
      <c r="I170" s="364" t="str">
        <f>BOA!$B$2</f>
        <v>BOA</v>
      </c>
      <c r="J170" s="273" t="s">
        <v>410</v>
      </c>
      <c r="K170" s="364">
        <v>2</v>
      </c>
      <c r="L170" s="273" t="s">
        <v>153</v>
      </c>
      <c r="M170" s="144">
        <f>BOA!G$34*(1-BOA!I$34)</f>
        <v>213.60000000000002</v>
      </c>
      <c r="N170" s="275">
        <f t="shared" si="11"/>
        <v>427.20000000000005</v>
      </c>
      <c r="O170" s="365">
        <v>0</v>
      </c>
      <c r="P170" s="275">
        <f t="shared" si="12"/>
        <v>0</v>
      </c>
      <c r="Q170" s="361">
        <v>0.16</v>
      </c>
      <c r="R170" s="275">
        <f t="shared" si="13"/>
        <v>68.352000000000004</v>
      </c>
      <c r="S170" s="275">
        <f t="shared" si="14"/>
        <v>495.55200000000002</v>
      </c>
      <c r="T170" s="229">
        <f>INDEX('Glosario Partidas'!$M$8:$M$10,MATCH(L170,'Glosario Partidas'!$L$8:$L$10,0))</f>
        <v>17.5</v>
      </c>
      <c r="U170" s="275">
        <f t="shared" si="15"/>
        <v>8672.16</v>
      </c>
      <c r="V170" s="230"/>
      <c r="W170" s="249" t="s">
        <v>12</v>
      </c>
      <c r="X170" s="249"/>
      <c r="Y170" s="249"/>
    </row>
    <row r="171" spans="1:25" ht="15" customHeight="1" x14ac:dyDescent="0.2">
      <c r="A171" s="211"/>
      <c r="B171" s="211" t="s">
        <v>193</v>
      </c>
      <c r="C171" s="78" t="s">
        <v>407</v>
      </c>
      <c r="D171" s="211" t="s">
        <v>102</v>
      </c>
      <c r="E171" s="144" t="str">
        <f>BOA!B$35</f>
        <v>Jaladera tubular para cajón de 48"</v>
      </c>
      <c r="F171" s="307" t="s">
        <v>229</v>
      </c>
      <c r="G171" s="78" t="s">
        <v>354</v>
      </c>
      <c r="H171" s="307" t="s">
        <v>711</v>
      </c>
      <c r="I171" s="364" t="str">
        <f>BOA!$B$2</f>
        <v>BOA</v>
      </c>
      <c r="J171" s="273" t="s">
        <v>410</v>
      </c>
      <c r="K171" s="364">
        <v>1</v>
      </c>
      <c r="L171" s="273" t="s">
        <v>153</v>
      </c>
      <c r="M171" s="144">
        <f>BOA!G$35*(1-BOA!I$35)</f>
        <v>213.60000000000002</v>
      </c>
      <c r="N171" s="275">
        <f t="shared" si="11"/>
        <v>213.60000000000002</v>
      </c>
      <c r="O171" s="365">
        <v>0</v>
      </c>
      <c r="P171" s="275">
        <f t="shared" si="12"/>
        <v>0</v>
      </c>
      <c r="Q171" s="361">
        <v>0.16</v>
      </c>
      <c r="R171" s="275">
        <f t="shared" si="13"/>
        <v>34.176000000000002</v>
      </c>
      <c r="S171" s="275">
        <f t="shared" si="14"/>
        <v>247.77600000000001</v>
      </c>
      <c r="T171" s="229">
        <f>INDEX('Glosario Partidas'!$M$8:$M$10,MATCH(L171,'Glosario Partidas'!$L$8:$L$10,0))</f>
        <v>17.5</v>
      </c>
      <c r="U171" s="275">
        <f t="shared" si="15"/>
        <v>4336.08</v>
      </c>
      <c r="V171" s="230"/>
      <c r="W171" s="249" t="s">
        <v>12</v>
      </c>
      <c r="X171" s="249"/>
      <c r="Y171" s="249"/>
    </row>
    <row r="172" spans="1:25" ht="15" customHeight="1" x14ac:dyDescent="0.2">
      <c r="A172" s="211"/>
      <c r="B172" s="211" t="s">
        <v>193</v>
      </c>
      <c r="C172" s="78" t="s">
        <v>407</v>
      </c>
      <c r="D172" s="211" t="s">
        <v>102</v>
      </c>
      <c r="E172" s="144" t="str">
        <f>BOA!B$36</f>
        <v>Kit de instalación</v>
      </c>
      <c r="F172" s="307" t="s">
        <v>229</v>
      </c>
      <c r="G172" s="78" t="s">
        <v>354</v>
      </c>
      <c r="H172" s="307" t="s">
        <v>711</v>
      </c>
      <c r="I172" s="364" t="str">
        <f>BOA!$B$2</f>
        <v>BOA</v>
      </c>
      <c r="J172" s="273" t="s">
        <v>410</v>
      </c>
      <c r="K172" s="364">
        <v>1</v>
      </c>
      <c r="L172" s="273" t="s">
        <v>153</v>
      </c>
      <c r="M172" s="144">
        <f>BOA!G$36*(1-BOA!I$36)</f>
        <v>96</v>
      </c>
      <c r="N172" s="275">
        <f t="shared" si="11"/>
        <v>96</v>
      </c>
      <c r="O172" s="365">
        <v>0</v>
      </c>
      <c r="P172" s="275">
        <f t="shared" si="12"/>
        <v>0</v>
      </c>
      <c r="Q172" s="361">
        <v>0.16</v>
      </c>
      <c r="R172" s="275">
        <f t="shared" si="13"/>
        <v>15.36</v>
      </c>
      <c r="S172" s="275">
        <f t="shared" si="14"/>
        <v>111.36</v>
      </c>
      <c r="T172" s="229">
        <f>INDEX('Glosario Partidas'!$M$8:$M$10,MATCH(L172,'Glosario Partidas'!$L$8:$L$10,0))</f>
        <v>17.5</v>
      </c>
      <c r="U172" s="275">
        <f t="shared" si="15"/>
        <v>1948.8</v>
      </c>
      <c r="V172" s="230"/>
      <c r="W172" s="249" t="s">
        <v>12</v>
      </c>
      <c r="X172" s="249"/>
      <c r="Y172" s="249"/>
    </row>
    <row r="173" spans="1:25" ht="15" customHeight="1" x14ac:dyDescent="0.2">
      <c r="A173" s="211"/>
      <c r="B173" s="211" t="s">
        <v>193</v>
      </c>
      <c r="C173" s="78" t="s">
        <v>407</v>
      </c>
      <c r="D173" s="211" t="s">
        <v>102</v>
      </c>
      <c r="E173" s="144" t="str">
        <f>BOA!B$37</f>
        <v>Microondas con puerta drop down de 30", serie E</v>
      </c>
      <c r="F173" s="307" t="s">
        <v>229</v>
      </c>
      <c r="G173" s="78" t="s">
        <v>354</v>
      </c>
      <c r="H173" s="307" t="s">
        <v>711</v>
      </c>
      <c r="I173" s="364" t="str">
        <f>BOA!$B$2</f>
        <v>BOA</v>
      </c>
      <c r="J173" s="273" t="s">
        <v>410</v>
      </c>
      <c r="K173" s="364">
        <v>1</v>
      </c>
      <c r="L173" s="273" t="s">
        <v>153</v>
      </c>
      <c r="M173" s="144">
        <f>BOA!G$37*(1-BOA!I$37)</f>
        <v>2481.6</v>
      </c>
      <c r="N173" s="275">
        <f t="shared" si="11"/>
        <v>2481.6</v>
      </c>
      <c r="O173" s="365">
        <v>0</v>
      </c>
      <c r="P173" s="275">
        <f t="shared" si="12"/>
        <v>0</v>
      </c>
      <c r="Q173" s="361">
        <v>0.16</v>
      </c>
      <c r="R173" s="275">
        <f t="shared" si="13"/>
        <v>397.05599999999998</v>
      </c>
      <c r="S173" s="275">
        <f t="shared" si="14"/>
        <v>2878.6559999999999</v>
      </c>
      <c r="T173" s="229">
        <f>INDEX('Glosario Partidas'!$M$8:$M$10,MATCH(L173,'Glosario Partidas'!$L$8:$L$10,0))</f>
        <v>17.5</v>
      </c>
      <c r="U173" s="275">
        <f t="shared" si="15"/>
        <v>50376.479999999996</v>
      </c>
      <c r="V173" s="230"/>
      <c r="W173" s="249" t="s">
        <v>12</v>
      </c>
      <c r="X173" s="249"/>
      <c r="Y173" s="249"/>
    </row>
    <row r="174" spans="1:25" ht="15" customHeight="1" x14ac:dyDescent="0.2">
      <c r="A174" s="211"/>
      <c r="B174" s="211" t="s">
        <v>193</v>
      </c>
      <c r="C174" s="78" t="s">
        <v>407</v>
      </c>
      <c r="D174" s="211" t="s">
        <v>102</v>
      </c>
      <c r="E174" s="144" t="str">
        <f>BOA!B$38</f>
        <v>Lavavajillas panelable para 16 juegos (con gola)</v>
      </c>
      <c r="F174" s="307" t="s">
        <v>229</v>
      </c>
      <c r="G174" s="78" t="s">
        <v>354</v>
      </c>
      <c r="H174" s="307" t="s">
        <v>711</v>
      </c>
      <c r="I174" s="364" t="str">
        <f>BOA!$B$2</f>
        <v>BOA</v>
      </c>
      <c r="J174" s="273" t="s">
        <v>410</v>
      </c>
      <c r="K174" s="364">
        <v>1</v>
      </c>
      <c r="L174" s="273" t="s">
        <v>153</v>
      </c>
      <c r="M174" s="144">
        <f>BOA!G$38*(1-BOA!I$38)</f>
        <v>1543.2</v>
      </c>
      <c r="N174" s="275">
        <f t="shared" si="11"/>
        <v>1543.2</v>
      </c>
      <c r="O174" s="365">
        <v>0</v>
      </c>
      <c r="P174" s="275">
        <f t="shared" si="12"/>
        <v>0</v>
      </c>
      <c r="Q174" s="361">
        <v>0.16</v>
      </c>
      <c r="R174" s="275">
        <f t="shared" si="13"/>
        <v>246.91200000000001</v>
      </c>
      <c r="S174" s="275">
        <f t="shared" si="14"/>
        <v>1790.1120000000001</v>
      </c>
      <c r="T174" s="229">
        <f>INDEX('Glosario Partidas'!$M$8:$M$10,MATCH(L174,'Glosario Partidas'!$L$8:$L$10,0))</f>
        <v>17.5</v>
      </c>
      <c r="U174" s="275">
        <f t="shared" si="15"/>
        <v>31326.960000000003</v>
      </c>
      <c r="V174" s="230"/>
      <c r="W174" s="249" t="s">
        <v>12</v>
      </c>
      <c r="X174" s="249"/>
      <c r="Y174" s="249"/>
    </row>
    <row r="175" spans="1:25" ht="15" customHeight="1" x14ac:dyDescent="0.2">
      <c r="A175" s="211"/>
      <c r="B175" s="211" t="s">
        <v>193</v>
      </c>
      <c r="C175" s="78" t="s">
        <v>407</v>
      </c>
      <c r="D175" s="211" t="s">
        <v>102</v>
      </c>
      <c r="E175" s="144" t="str">
        <f>BOA!B$39</f>
        <v>Centro de bebidas bajo cubierta 24", apertura derecha ADA</v>
      </c>
      <c r="F175" s="307" t="s">
        <v>229</v>
      </c>
      <c r="G175" s="78" t="s">
        <v>354</v>
      </c>
      <c r="H175" s="307" t="s">
        <v>711</v>
      </c>
      <c r="I175" s="364" t="str">
        <f>BOA!$B$2</f>
        <v>BOA</v>
      </c>
      <c r="J175" s="273" t="s">
        <v>410</v>
      </c>
      <c r="K175" s="364">
        <v>1</v>
      </c>
      <c r="L175" s="273" t="s">
        <v>153</v>
      </c>
      <c r="M175" s="144">
        <f>BOA!G$39*(1-BOA!I$39)</f>
        <v>2740.7999999999997</v>
      </c>
      <c r="N175" s="275">
        <f t="shared" si="11"/>
        <v>2740.7999999999997</v>
      </c>
      <c r="O175" s="365">
        <v>0</v>
      </c>
      <c r="P175" s="275">
        <f t="shared" si="12"/>
        <v>0</v>
      </c>
      <c r="Q175" s="361">
        <v>0.16</v>
      </c>
      <c r="R175" s="275">
        <f t="shared" si="13"/>
        <v>438.52799999999996</v>
      </c>
      <c r="S175" s="275">
        <f t="shared" si="14"/>
        <v>3179.3279999999995</v>
      </c>
      <c r="T175" s="229">
        <f>INDEX('Glosario Partidas'!$M$8:$M$10,MATCH(L175,'Glosario Partidas'!$L$8:$L$10,0))</f>
        <v>17.5</v>
      </c>
      <c r="U175" s="275">
        <f t="shared" si="15"/>
        <v>55638.239999999991</v>
      </c>
      <c r="V175" s="230"/>
      <c r="W175" s="249" t="s">
        <v>12</v>
      </c>
      <c r="X175" s="249"/>
      <c r="Y175" s="249"/>
    </row>
    <row r="176" spans="1:25" ht="15" customHeight="1" x14ac:dyDescent="0.2">
      <c r="A176" s="211"/>
      <c r="B176" s="211" t="s">
        <v>193</v>
      </c>
      <c r="C176" s="78" t="s">
        <v>407</v>
      </c>
      <c r="D176" s="211" t="s">
        <v>102</v>
      </c>
      <c r="E176" s="144" t="str">
        <f>BOA!B$43</f>
        <v>Jaladera tubular</v>
      </c>
      <c r="F176" s="307" t="s">
        <v>229</v>
      </c>
      <c r="G176" s="78" t="s">
        <v>354</v>
      </c>
      <c r="H176" s="307" t="s">
        <v>711</v>
      </c>
      <c r="I176" s="364" t="str">
        <f>BOA!$B$2</f>
        <v>BOA</v>
      </c>
      <c r="J176" s="273" t="s">
        <v>410</v>
      </c>
      <c r="K176" s="364">
        <v>1</v>
      </c>
      <c r="L176" s="273" t="s">
        <v>153</v>
      </c>
      <c r="M176" s="144">
        <f>BOA!G$43*(1-BOA!I$43)</f>
        <v>185.60000000000002</v>
      </c>
      <c r="N176" s="275">
        <f t="shared" si="11"/>
        <v>185.60000000000002</v>
      </c>
      <c r="O176" s="365">
        <v>0</v>
      </c>
      <c r="P176" s="275">
        <f t="shared" si="12"/>
        <v>0</v>
      </c>
      <c r="Q176" s="361">
        <v>0.16</v>
      </c>
      <c r="R176" s="275">
        <f t="shared" si="13"/>
        <v>29.696000000000005</v>
      </c>
      <c r="S176" s="275">
        <f t="shared" si="14"/>
        <v>215.29600000000002</v>
      </c>
      <c r="T176" s="229">
        <f>INDEX('Glosario Partidas'!$M$8:$M$10,MATCH(L176,'Glosario Partidas'!$L$8:$L$10,0))</f>
        <v>17.5</v>
      </c>
      <c r="U176" s="275">
        <f t="shared" si="15"/>
        <v>3767.6800000000003</v>
      </c>
      <c r="V176" s="230"/>
      <c r="W176" s="249" t="s">
        <v>12</v>
      </c>
      <c r="X176" s="249"/>
      <c r="Y176" s="249"/>
    </row>
    <row r="177" spans="1:25" ht="15" customHeight="1" x14ac:dyDescent="0.2">
      <c r="A177" s="211"/>
      <c r="B177" s="211" t="s">
        <v>193</v>
      </c>
      <c r="C177" s="78" t="s">
        <v>407</v>
      </c>
      <c r="D177" s="211" t="s">
        <v>102</v>
      </c>
      <c r="E177" s="144" t="str">
        <f>BOA!B$44</f>
        <v>Kit de instalación</v>
      </c>
      <c r="F177" s="307" t="s">
        <v>229</v>
      </c>
      <c r="G177" s="78" t="s">
        <v>354</v>
      </c>
      <c r="H177" s="307" t="s">
        <v>711</v>
      </c>
      <c r="I177" s="364" t="str">
        <f>BOA!$B$2</f>
        <v>BOA</v>
      </c>
      <c r="J177" s="273" t="s">
        <v>410</v>
      </c>
      <c r="K177" s="364">
        <v>1</v>
      </c>
      <c r="L177" s="273" t="s">
        <v>153</v>
      </c>
      <c r="M177" s="144">
        <f>BOA!G$44*(1-BOA!I$44)</f>
        <v>96</v>
      </c>
      <c r="N177" s="275">
        <f t="shared" si="11"/>
        <v>96</v>
      </c>
      <c r="O177" s="365">
        <v>0</v>
      </c>
      <c r="P177" s="275">
        <f t="shared" si="12"/>
        <v>0</v>
      </c>
      <c r="Q177" s="361">
        <v>0.16</v>
      </c>
      <c r="R177" s="275">
        <f t="shared" si="13"/>
        <v>15.36</v>
      </c>
      <c r="S177" s="275">
        <f t="shared" si="14"/>
        <v>111.36</v>
      </c>
      <c r="T177" s="229">
        <f>INDEX('Glosario Partidas'!$M$8:$M$10,MATCH(L177,'Glosario Partidas'!$L$8:$L$10,0))</f>
        <v>17.5</v>
      </c>
      <c r="U177" s="275">
        <f t="shared" si="15"/>
        <v>1948.8</v>
      </c>
      <c r="V177" s="230"/>
      <c r="W177" s="249" t="s">
        <v>12</v>
      </c>
      <c r="X177" s="249"/>
      <c r="Y177" s="249"/>
    </row>
    <row r="178" spans="1:25" ht="15" customHeight="1" x14ac:dyDescent="0.2">
      <c r="A178" s="211"/>
      <c r="B178" s="211" t="s">
        <v>193</v>
      </c>
      <c r="C178" s="78" t="s">
        <v>407</v>
      </c>
      <c r="D178" s="211" t="s">
        <v>102</v>
      </c>
      <c r="E178" s="144" t="str">
        <f>BOA!B$45</f>
        <v>Tarja</v>
      </c>
      <c r="F178" s="307" t="s">
        <v>229</v>
      </c>
      <c r="G178" s="78" t="s">
        <v>354</v>
      </c>
      <c r="H178" s="307" t="s">
        <v>711</v>
      </c>
      <c r="I178" s="364" t="str">
        <f>BOA!$B$2</f>
        <v>BOA</v>
      </c>
      <c r="J178" s="273" t="s">
        <v>410</v>
      </c>
      <c r="K178" s="364">
        <v>1</v>
      </c>
      <c r="L178" s="273" t="s">
        <v>153</v>
      </c>
      <c r="M178" s="144">
        <f>BOA!G$45*(1-BOA!I$45)</f>
        <v>1040</v>
      </c>
      <c r="N178" s="275">
        <f t="shared" si="11"/>
        <v>1040</v>
      </c>
      <c r="O178" s="365">
        <v>0</v>
      </c>
      <c r="P178" s="275">
        <f t="shared" si="12"/>
        <v>0</v>
      </c>
      <c r="Q178" s="361">
        <v>0.16</v>
      </c>
      <c r="R178" s="275">
        <f t="shared" si="13"/>
        <v>166.4</v>
      </c>
      <c r="S178" s="275">
        <f t="shared" si="14"/>
        <v>1206.4000000000001</v>
      </c>
      <c r="T178" s="229">
        <f>INDEX('Glosario Partidas'!$M$8:$M$10,MATCH(L178,'Glosario Partidas'!$L$8:$L$10,0))</f>
        <v>17.5</v>
      </c>
      <c r="U178" s="275">
        <f t="shared" si="15"/>
        <v>21112</v>
      </c>
      <c r="V178" s="230"/>
      <c r="W178" s="249" t="s">
        <v>12</v>
      </c>
      <c r="X178" s="249"/>
      <c r="Y178" s="249"/>
    </row>
    <row r="179" spans="1:25" ht="15" customHeight="1" x14ac:dyDescent="0.2">
      <c r="A179" s="211"/>
      <c r="B179" s="211" t="s">
        <v>193</v>
      </c>
      <c r="C179" s="78" t="s">
        <v>407</v>
      </c>
      <c r="D179" s="211" t="s">
        <v>102</v>
      </c>
      <c r="E179" s="144" t="str">
        <f>BOA!B$46</f>
        <v>Sink</v>
      </c>
      <c r="F179" s="307" t="s">
        <v>229</v>
      </c>
      <c r="G179" s="78" t="s">
        <v>354</v>
      </c>
      <c r="H179" s="307" t="s">
        <v>711</v>
      </c>
      <c r="I179" s="364" t="str">
        <f>BOA!$B$2</f>
        <v>BOA</v>
      </c>
      <c r="J179" s="273" t="s">
        <v>410</v>
      </c>
      <c r="K179" s="364">
        <v>2</v>
      </c>
      <c r="L179" s="273" t="s">
        <v>153</v>
      </c>
      <c r="M179" s="144">
        <f>BOA!G$46*(1-BOA!I$46)</f>
        <v>104</v>
      </c>
      <c r="N179" s="275">
        <f t="shared" si="11"/>
        <v>208</v>
      </c>
      <c r="O179" s="365">
        <v>0</v>
      </c>
      <c r="P179" s="275">
        <f t="shared" si="12"/>
        <v>0</v>
      </c>
      <c r="Q179" s="361">
        <v>0.16</v>
      </c>
      <c r="R179" s="275">
        <f t="shared" si="13"/>
        <v>33.28</v>
      </c>
      <c r="S179" s="275">
        <f t="shared" si="14"/>
        <v>241.28</v>
      </c>
      <c r="T179" s="229">
        <f>INDEX('Glosario Partidas'!$M$8:$M$10,MATCH(L179,'Glosario Partidas'!$L$8:$L$10,0))</f>
        <v>17.5</v>
      </c>
      <c r="U179" s="275">
        <f t="shared" si="15"/>
        <v>4222.3999999999996</v>
      </c>
      <c r="V179" s="230"/>
      <c r="W179" s="249" t="s">
        <v>12</v>
      </c>
      <c r="X179" s="249"/>
      <c r="Y179" s="249"/>
    </row>
    <row r="180" spans="1:25" ht="15" customHeight="1" x14ac:dyDescent="0.2">
      <c r="A180" s="211"/>
      <c r="B180" s="211" t="s">
        <v>193</v>
      </c>
      <c r="C180" s="78" t="s">
        <v>407</v>
      </c>
      <c r="D180" s="211" t="s">
        <v>102</v>
      </c>
      <c r="E180" s="144" t="str">
        <f>BOA!B$47</f>
        <v>Triturador</v>
      </c>
      <c r="F180" s="307" t="s">
        <v>229</v>
      </c>
      <c r="G180" s="78" t="s">
        <v>354</v>
      </c>
      <c r="H180" s="307" t="s">
        <v>711</v>
      </c>
      <c r="I180" s="364" t="str">
        <f>BOA!$B$2</f>
        <v>BOA</v>
      </c>
      <c r="J180" s="273" t="s">
        <v>410</v>
      </c>
      <c r="K180" s="364">
        <v>1</v>
      </c>
      <c r="L180" s="273" t="s">
        <v>153</v>
      </c>
      <c r="M180" s="144">
        <f>BOA!G$47*(1-BOA!I$47)</f>
        <v>598.4</v>
      </c>
      <c r="N180" s="275">
        <f t="shared" si="11"/>
        <v>598.4</v>
      </c>
      <c r="O180" s="365">
        <v>0</v>
      </c>
      <c r="P180" s="275">
        <f t="shared" si="12"/>
        <v>0</v>
      </c>
      <c r="Q180" s="361">
        <v>0.16</v>
      </c>
      <c r="R180" s="275">
        <f t="shared" si="13"/>
        <v>95.744</v>
      </c>
      <c r="S180" s="275">
        <f t="shared" si="14"/>
        <v>694.14400000000001</v>
      </c>
      <c r="T180" s="229">
        <f>INDEX('Glosario Partidas'!$M$8:$M$10,MATCH(L180,'Glosario Partidas'!$L$8:$L$10,0))</f>
        <v>17.5</v>
      </c>
      <c r="U180" s="275">
        <f t="shared" si="15"/>
        <v>12147.52</v>
      </c>
      <c r="V180" s="230"/>
      <c r="W180" s="249" t="s">
        <v>12</v>
      </c>
      <c r="X180" s="249"/>
      <c r="Y180" s="249"/>
    </row>
    <row r="181" spans="1:25" ht="15" customHeight="1" x14ac:dyDescent="0.2">
      <c r="A181" s="211"/>
      <c r="B181" s="211" t="s">
        <v>193</v>
      </c>
      <c r="C181" s="78" t="s">
        <v>407</v>
      </c>
      <c r="D181" s="211" t="s">
        <v>104</v>
      </c>
      <c r="E181" s="144" t="str">
        <f>BOA!B$65</f>
        <v>Máquina de hielo residencial gourmet 65 lb con bomba de drenaje</v>
      </c>
      <c r="F181" s="307" t="s">
        <v>229</v>
      </c>
      <c r="G181" s="78" t="s">
        <v>355</v>
      </c>
      <c r="H181" s="307" t="s">
        <v>766</v>
      </c>
      <c r="I181" s="364" t="str">
        <f>BOA!$B$2</f>
        <v>BOA</v>
      </c>
      <c r="J181" s="273" t="s">
        <v>410</v>
      </c>
      <c r="K181" s="364">
        <v>1</v>
      </c>
      <c r="L181" s="273" t="s">
        <v>153</v>
      </c>
      <c r="M181" s="144">
        <f>BOA!G$65*(1-BOA!I$65)</f>
        <v>4768</v>
      </c>
      <c r="N181" s="275">
        <f t="shared" si="11"/>
        <v>4768</v>
      </c>
      <c r="O181" s="365">
        <v>0</v>
      </c>
      <c r="P181" s="275">
        <f t="shared" si="12"/>
        <v>0</v>
      </c>
      <c r="Q181" s="361">
        <v>0.16</v>
      </c>
      <c r="R181" s="275">
        <f t="shared" si="13"/>
        <v>762.88</v>
      </c>
      <c r="S181" s="275">
        <f t="shared" si="14"/>
        <v>5530.88</v>
      </c>
      <c r="T181" s="229">
        <f>INDEX('Glosario Partidas'!$M$8:$M$10,MATCH(L181,'Glosario Partidas'!$L$8:$L$10,0))</f>
        <v>17.5</v>
      </c>
      <c r="U181" s="275">
        <f t="shared" si="15"/>
        <v>96790.400000000009</v>
      </c>
      <c r="V181" s="230"/>
      <c r="W181" s="249" t="s">
        <v>12</v>
      </c>
      <c r="X181" s="249"/>
      <c r="Y181" s="249"/>
    </row>
    <row r="182" spans="1:25" ht="15" customHeight="1" x14ac:dyDescent="0.2">
      <c r="A182" s="211"/>
      <c r="B182" s="211" t="s">
        <v>193</v>
      </c>
      <c r="C182" s="78" t="s">
        <v>407</v>
      </c>
      <c r="D182" s="211" t="s">
        <v>104</v>
      </c>
      <c r="E182" s="144" t="str">
        <f>BOA!B$66</f>
        <v>Kit de instalación</v>
      </c>
      <c r="F182" s="307" t="s">
        <v>229</v>
      </c>
      <c r="G182" s="78" t="s">
        <v>355</v>
      </c>
      <c r="H182" s="307" t="s">
        <v>766</v>
      </c>
      <c r="I182" s="364" t="str">
        <f>BOA!$B$2</f>
        <v>BOA</v>
      </c>
      <c r="J182" s="273" t="s">
        <v>410</v>
      </c>
      <c r="K182" s="364">
        <v>1</v>
      </c>
      <c r="L182" s="273" t="s">
        <v>153</v>
      </c>
      <c r="M182" s="144">
        <f>BOA!G$66*(1-BOA!I$66)</f>
        <v>96</v>
      </c>
      <c r="N182" s="275">
        <f t="shared" si="11"/>
        <v>96</v>
      </c>
      <c r="O182" s="365">
        <v>0</v>
      </c>
      <c r="P182" s="275">
        <f t="shared" si="12"/>
        <v>0</v>
      </c>
      <c r="Q182" s="361">
        <v>0.16</v>
      </c>
      <c r="R182" s="275">
        <f t="shared" si="13"/>
        <v>15.36</v>
      </c>
      <c r="S182" s="275">
        <f t="shared" si="14"/>
        <v>111.36</v>
      </c>
      <c r="T182" s="229">
        <f>INDEX('Glosario Partidas'!$M$8:$M$10,MATCH(L182,'Glosario Partidas'!$L$8:$L$10,0))</f>
        <v>17.5</v>
      </c>
      <c r="U182" s="275">
        <f t="shared" si="15"/>
        <v>1948.8</v>
      </c>
      <c r="V182" s="230"/>
      <c r="W182" s="249" t="s">
        <v>12</v>
      </c>
      <c r="X182" s="249"/>
      <c r="Y182" s="249"/>
    </row>
    <row r="183" spans="1:25" ht="15" customHeight="1" x14ac:dyDescent="0.2">
      <c r="A183" s="211"/>
      <c r="B183" s="211" t="s">
        <v>193</v>
      </c>
      <c r="C183" s="78" t="s">
        <v>407</v>
      </c>
      <c r="D183" s="211" t="s">
        <v>104</v>
      </c>
      <c r="E183" s="144" t="str">
        <f>BOA!B$67</f>
        <v>Refrigerador bajo cubierta exterior 24", apertura derecha</v>
      </c>
      <c r="F183" s="307" t="s">
        <v>229</v>
      </c>
      <c r="G183" s="78" t="s">
        <v>355</v>
      </c>
      <c r="H183" s="307" t="s">
        <v>766</v>
      </c>
      <c r="I183" s="364" t="str">
        <f>BOA!$B$2</f>
        <v>BOA</v>
      </c>
      <c r="J183" s="273" t="s">
        <v>410</v>
      </c>
      <c r="K183" s="364">
        <v>1</v>
      </c>
      <c r="L183" s="273" t="s">
        <v>153</v>
      </c>
      <c r="M183" s="144">
        <f>BOA!G$67*(1-BOA!I$67)</f>
        <v>3326.4</v>
      </c>
      <c r="N183" s="275">
        <f t="shared" si="11"/>
        <v>3326.4</v>
      </c>
      <c r="O183" s="365">
        <v>0</v>
      </c>
      <c r="P183" s="275">
        <f t="shared" si="12"/>
        <v>0</v>
      </c>
      <c r="Q183" s="361">
        <v>0.16</v>
      </c>
      <c r="R183" s="275">
        <f t="shared" si="13"/>
        <v>532.22400000000005</v>
      </c>
      <c r="S183" s="275">
        <f t="shared" si="14"/>
        <v>3858.6240000000003</v>
      </c>
      <c r="T183" s="229">
        <f>INDEX('Glosario Partidas'!$M$8:$M$10,MATCH(L183,'Glosario Partidas'!$L$8:$L$10,0))</f>
        <v>17.5</v>
      </c>
      <c r="U183" s="275">
        <f t="shared" si="15"/>
        <v>67525.919999999998</v>
      </c>
      <c r="V183" s="230"/>
      <c r="W183" s="249" t="s">
        <v>12</v>
      </c>
      <c r="X183" s="249"/>
      <c r="Y183" s="249"/>
    </row>
    <row r="184" spans="1:25" ht="15" customHeight="1" x14ac:dyDescent="0.2">
      <c r="A184" s="211"/>
      <c r="B184" s="211" t="s">
        <v>193</v>
      </c>
      <c r="C184" s="78" t="s">
        <v>407</v>
      </c>
      <c r="D184" s="211" t="s">
        <v>104</v>
      </c>
      <c r="E184" s="144" t="str">
        <f>BOA!B$70</f>
        <v>Kit de instalación</v>
      </c>
      <c r="F184" s="307" t="s">
        <v>229</v>
      </c>
      <c r="G184" s="78" t="s">
        <v>355</v>
      </c>
      <c r="H184" s="307" t="s">
        <v>766</v>
      </c>
      <c r="I184" s="364" t="str">
        <f>BOA!$B$2</f>
        <v>BOA</v>
      </c>
      <c r="J184" s="273" t="s">
        <v>410</v>
      </c>
      <c r="K184" s="364">
        <v>1</v>
      </c>
      <c r="L184" s="273" t="s">
        <v>153</v>
      </c>
      <c r="M184" s="144">
        <f>BOA!G$70*(1-BOA!I$70)</f>
        <v>96</v>
      </c>
      <c r="N184" s="275">
        <f t="shared" ref="N184:N246" si="16">K184*M184</f>
        <v>96</v>
      </c>
      <c r="O184" s="365">
        <v>0</v>
      </c>
      <c r="P184" s="275">
        <f t="shared" ref="P184:P246" si="17">N184*O184</f>
        <v>0</v>
      </c>
      <c r="Q184" s="361">
        <v>0.16</v>
      </c>
      <c r="R184" s="275">
        <f t="shared" ref="R184:R246" si="18">(N184+P184)*Q184</f>
        <v>15.36</v>
      </c>
      <c r="S184" s="275">
        <f t="shared" ref="S184:S246" si="19">N184+P184+R184</f>
        <v>111.36</v>
      </c>
      <c r="T184" s="229">
        <f>INDEX('Glosario Partidas'!$M$8:$M$10,MATCH(L184,'Glosario Partidas'!$L$8:$L$10,0))</f>
        <v>17.5</v>
      </c>
      <c r="U184" s="275">
        <f t="shared" ref="U184:U246" si="20">S184*T184</f>
        <v>1948.8</v>
      </c>
      <c r="V184" s="230"/>
      <c r="W184" s="249" t="s">
        <v>12</v>
      </c>
      <c r="X184" s="249"/>
      <c r="Y184" s="249"/>
    </row>
    <row r="185" spans="1:25" ht="15" customHeight="1" x14ac:dyDescent="0.2">
      <c r="A185" s="211"/>
      <c r="B185" s="211" t="s">
        <v>193</v>
      </c>
      <c r="C185" s="78" t="s">
        <v>407</v>
      </c>
      <c r="D185" s="211" t="s">
        <v>104</v>
      </c>
      <c r="E185" s="144" t="str">
        <f>BOA!B$71</f>
        <v>Campana profesional para exterior acero inox., 48" x 33"</v>
      </c>
      <c r="F185" s="307" t="s">
        <v>229</v>
      </c>
      <c r="G185" s="78" t="s">
        <v>355</v>
      </c>
      <c r="H185" s="307" t="s">
        <v>766</v>
      </c>
      <c r="I185" s="364" t="str">
        <f>BOA!$B$2</f>
        <v>BOA</v>
      </c>
      <c r="J185" s="273" t="s">
        <v>410</v>
      </c>
      <c r="K185" s="364">
        <v>1</v>
      </c>
      <c r="L185" s="273" t="s">
        <v>153</v>
      </c>
      <c r="M185" s="144">
        <f>BOA!G$71*(1-BOA!I$71)</f>
        <v>2733</v>
      </c>
      <c r="N185" s="275">
        <f t="shared" si="16"/>
        <v>2733</v>
      </c>
      <c r="O185" s="365">
        <v>0</v>
      </c>
      <c r="P185" s="275">
        <f t="shared" si="17"/>
        <v>0</v>
      </c>
      <c r="Q185" s="361">
        <v>0.16</v>
      </c>
      <c r="R185" s="275">
        <f t="shared" si="18"/>
        <v>437.28000000000003</v>
      </c>
      <c r="S185" s="275">
        <f t="shared" si="19"/>
        <v>3170.28</v>
      </c>
      <c r="T185" s="229">
        <f>INDEX('Glosario Partidas'!$M$8:$M$10,MATCH(L185,'Glosario Partidas'!$L$8:$L$10,0))</f>
        <v>17.5</v>
      </c>
      <c r="U185" s="275">
        <f t="shared" si="20"/>
        <v>55479.9</v>
      </c>
      <c r="V185" s="230"/>
      <c r="W185" s="249" t="s">
        <v>12</v>
      </c>
      <c r="X185" s="249"/>
      <c r="Y185" s="249"/>
    </row>
    <row r="186" spans="1:25" ht="15" customHeight="1" x14ac:dyDescent="0.2">
      <c r="A186" s="211"/>
      <c r="B186" s="211" t="s">
        <v>193</v>
      </c>
      <c r="C186" s="78" t="s">
        <v>407</v>
      </c>
      <c r="D186" s="211" t="s">
        <v>104</v>
      </c>
      <c r="E186" s="144" t="str">
        <f>BOA!B$72</f>
        <v>Motor de extracción interno para campanas, 1200 CFM</v>
      </c>
      <c r="F186" s="307" t="s">
        <v>229</v>
      </c>
      <c r="G186" s="78" t="s">
        <v>355</v>
      </c>
      <c r="H186" s="307" t="s">
        <v>766</v>
      </c>
      <c r="I186" s="364" t="str">
        <f>BOA!$B$2</f>
        <v>BOA</v>
      </c>
      <c r="J186" s="273" t="s">
        <v>410</v>
      </c>
      <c r="K186" s="364">
        <v>1</v>
      </c>
      <c r="L186" s="273" t="s">
        <v>153</v>
      </c>
      <c r="M186" s="144">
        <f>BOA!G$72*(1-BOA!I$72)</f>
        <v>1142.4000000000001</v>
      </c>
      <c r="N186" s="275">
        <f t="shared" si="16"/>
        <v>1142.4000000000001</v>
      </c>
      <c r="O186" s="365">
        <v>0</v>
      </c>
      <c r="P186" s="275">
        <f t="shared" si="17"/>
        <v>0</v>
      </c>
      <c r="Q186" s="361">
        <v>0.16</v>
      </c>
      <c r="R186" s="275">
        <f t="shared" si="18"/>
        <v>182.78400000000002</v>
      </c>
      <c r="S186" s="275">
        <f t="shared" si="19"/>
        <v>1325.1840000000002</v>
      </c>
      <c r="T186" s="229">
        <f>INDEX('Glosario Partidas'!$M$8:$M$10,MATCH(L186,'Glosario Partidas'!$L$8:$L$10,0))</f>
        <v>17.5</v>
      </c>
      <c r="U186" s="275">
        <f t="shared" si="20"/>
        <v>23190.720000000005</v>
      </c>
      <c r="V186" s="230"/>
      <c r="W186" s="249" t="s">
        <v>12</v>
      </c>
      <c r="X186" s="249"/>
      <c r="Y186" s="249"/>
    </row>
    <row r="187" spans="1:25" ht="15" customHeight="1" x14ac:dyDescent="0.2">
      <c r="A187" s="211"/>
      <c r="B187" s="211" t="s">
        <v>193</v>
      </c>
      <c r="C187" s="78" t="s">
        <v>407</v>
      </c>
      <c r="D187" s="211" t="s">
        <v>104</v>
      </c>
      <c r="E187" s="144" t="str">
        <f>BOA!B$73</f>
        <v>Tarja</v>
      </c>
      <c r="F187" s="307" t="s">
        <v>229</v>
      </c>
      <c r="G187" s="78" t="s">
        <v>355</v>
      </c>
      <c r="H187" s="307" t="s">
        <v>766</v>
      </c>
      <c r="I187" s="364" t="str">
        <f>BOA!$B$2</f>
        <v>BOA</v>
      </c>
      <c r="J187" s="273" t="s">
        <v>410</v>
      </c>
      <c r="K187" s="364">
        <v>1</v>
      </c>
      <c r="L187" s="273" t="s">
        <v>153</v>
      </c>
      <c r="M187" s="144">
        <f>BOA!G$73*(1-BOA!I$73)</f>
        <v>1040</v>
      </c>
      <c r="N187" s="275">
        <f t="shared" si="16"/>
        <v>1040</v>
      </c>
      <c r="O187" s="365">
        <v>0</v>
      </c>
      <c r="P187" s="275">
        <f t="shared" si="17"/>
        <v>0</v>
      </c>
      <c r="Q187" s="361">
        <v>0.16</v>
      </c>
      <c r="R187" s="275">
        <f t="shared" si="18"/>
        <v>166.4</v>
      </c>
      <c r="S187" s="275">
        <f t="shared" si="19"/>
        <v>1206.4000000000001</v>
      </c>
      <c r="T187" s="229">
        <f>INDEX('Glosario Partidas'!$M$8:$M$10,MATCH(L187,'Glosario Partidas'!$L$8:$L$10,0))</f>
        <v>17.5</v>
      </c>
      <c r="U187" s="275">
        <f t="shared" si="20"/>
        <v>21112</v>
      </c>
      <c r="V187" s="230"/>
      <c r="W187" s="249" t="s">
        <v>12</v>
      </c>
      <c r="X187" s="249"/>
      <c r="Y187" s="249"/>
    </row>
    <row r="188" spans="1:25" ht="15" customHeight="1" x14ac:dyDescent="0.2">
      <c r="A188" s="211"/>
      <c r="B188" s="211" t="s">
        <v>193</v>
      </c>
      <c r="C188" s="78" t="s">
        <v>407</v>
      </c>
      <c r="D188" s="211" t="s">
        <v>104</v>
      </c>
      <c r="E188" s="144" t="str">
        <f>BOA!B$74</f>
        <v>Sink</v>
      </c>
      <c r="F188" s="307" t="s">
        <v>229</v>
      </c>
      <c r="G188" s="78" t="s">
        <v>355</v>
      </c>
      <c r="H188" s="307" t="s">
        <v>766</v>
      </c>
      <c r="I188" s="364" t="str">
        <f>BOA!$B$2</f>
        <v>BOA</v>
      </c>
      <c r="J188" s="273" t="s">
        <v>410</v>
      </c>
      <c r="K188" s="364">
        <v>2</v>
      </c>
      <c r="L188" s="273" t="s">
        <v>153</v>
      </c>
      <c r="M188" s="144">
        <f>BOA!G$74*(1-BOA!I$74)</f>
        <v>104</v>
      </c>
      <c r="N188" s="275">
        <f t="shared" si="16"/>
        <v>208</v>
      </c>
      <c r="O188" s="365">
        <v>0</v>
      </c>
      <c r="P188" s="275">
        <f t="shared" si="17"/>
        <v>0</v>
      </c>
      <c r="Q188" s="361">
        <v>0.16</v>
      </c>
      <c r="R188" s="275">
        <f t="shared" si="18"/>
        <v>33.28</v>
      </c>
      <c r="S188" s="275">
        <f t="shared" si="19"/>
        <v>241.28</v>
      </c>
      <c r="T188" s="229">
        <f>INDEX('Glosario Partidas'!$M$8:$M$10,MATCH(L188,'Glosario Partidas'!$L$8:$L$10,0))</f>
        <v>17.5</v>
      </c>
      <c r="U188" s="275">
        <f t="shared" si="20"/>
        <v>4222.3999999999996</v>
      </c>
      <c r="V188" s="230"/>
      <c r="W188" s="249" t="s">
        <v>12</v>
      </c>
      <c r="X188" s="249"/>
      <c r="Y188" s="249"/>
    </row>
    <row r="189" spans="1:25" ht="15" customHeight="1" x14ac:dyDescent="0.2">
      <c r="A189" s="211"/>
      <c r="B189" s="211" t="s">
        <v>193</v>
      </c>
      <c r="C189" s="78" t="s">
        <v>407</v>
      </c>
      <c r="D189" s="211" t="s">
        <v>104</v>
      </c>
      <c r="E189" s="144" t="str">
        <f>BOA!B$75</f>
        <v>Triturador</v>
      </c>
      <c r="F189" s="307" t="s">
        <v>229</v>
      </c>
      <c r="G189" s="78" t="s">
        <v>355</v>
      </c>
      <c r="H189" s="307" t="s">
        <v>766</v>
      </c>
      <c r="I189" s="364" t="str">
        <f>BOA!$B$2</f>
        <v>BOA</v>
      </c>
      <c r="J189" s="273" t="s">
        <v>410</v>
      </c>
      <c r="K189" s="364">
        <v>1</v>
      </c>
      <c r="L189" s="273" t="s">
        <v>153</v>
      </c>
      <c r="M189" s="144">
        <f>BOA!G$75*(1-BOA!I$75)</f>
        <v>598.4</v>
      </c>
      <c r="N189" s="275">
        <f t="shared" si="16"/>
        <v>598.4</v>
      </c>
      <c r="O189" s="365">
        <v>0</v>
      </c>
      <c r="P189" s="275">
        <f t="shared" si="17"/>
        <v>0</v>
      </c>
      <c r="Q189" s="361">
        <v>0.16</v>
      </c>
      <c r="R189" s="275">
        <f t="shared" si="18"/>
        <v>95.744</v>
      </c>
      <c r="S189" s="275">
        <f t="shared" si="19"/>
        <v>694.14400000000001</v>
      </c>
      <c r="T189" s="229">
        <f>INDEX('Glosario Partidas'!$M$8:$M$10,MATCH(L189,'Glosario Partidas'!$L$8:$L$10,0))</f>
        <v>17.5</v>
      </c>
      <c r="U189" s="275">
        <f t="shared" si="20"/>
        <v>12147.52</v>
      </c>
      <c r="V189" s="230"/>
      <c r="W189" s="249" t="s">
        <v>12</v>
      </c>
      <c r="X189" s="249"/>
      <c r="Y189" s="249"/>
    </row>
    <row r="190" spans="1:25" ht="15" customHeight="1" x14ac:dyDescent="0.2">
      <c r="A190" s="211"/>
      <c r="B190" s="211" t="s">
        <v>193</v>
      </c>
      <c r="C190" s="78" t="s">
        <v>407</v>
      </c>
      <c r="D190" s="211" t="s">
        <v>104</v>
      </c>
      <c r="E190" s="316" t="s">
        <v>811</v>
      </c>
      <c r="F190" s="307" t="s">
        <v>229</v>
      </c>
      <c r="G190" s="78" t="s">
        <v>355</v>
      </c>
      <c r="H190" s="307" t="s">
        <v>766</v>
      </c>
      <c r="I190" s="315" t="s">
        <v>812</v>
      </c>
      <c r="J190" s="211" t="s">
        <v>410</v>
      </c>
      <c r="K190" s="224">
        <v>1</v>
      </c>
      <c r="L190" s="211" t="s">
        <v>153</v>
      </c>
      <c r="M190" s="316">
        <v>6325.8</v>
      </c>
      <c r="N190" s="310">
        <f t="shared" si="16"/>
        <v>6325.8</v>
      </c>
      <c r="O190" s="317">
        <v>0</v>
      </c>
      <c r="P190" s="227">
        <f t="shared" si="17"/>
        <v>0</v>
      </c>
      <c r="Q190" s="366">
        <v>0.16</v>
      </c>
      <c r="R190" s="310">
        <f t="shared" si="18"/>
        <v>1012.128</v>
      </c>
      <c r="S190" s="310">
        <f t="shared" si="19"/>
        <v>7337.9279999999999</v>
      </c>
      <c r="T190" s="229">
        <f>INDEX('Glosario Partidas'!$M$8:$M$10,MATCH(L190,'Glosario Partidas'!$L$8:$L$10,0))</f>
        <v>17.5</v>
      </c>
      <c r="U190" s="310">
        <f t="shared" si="20"/>
        <v>128413.73999999999</v>
      </c>
      <c r="V190" s="230" t="s">
        <v>813</v>
      </c>
      <c r="W190" s="249" t="s">
        <v>13</v>
      </c>
      <c r="X190" s="249"/>
      <c r="Y190" s="249"/>
    </row>
    <row r="191" spans="1:25" ht="15" customHeight="1" x14ac:dyDescent="0.2">
      <c r="A191" s="211"/>
      <c r="B191" s="211" t="s">
        <v>193</v>
      </c>
      <c r="C191" s="78" t="s">
        <v>407</v>
      </c>
      <c r="D191" s="211" t="s">
        <v>104</v>
      </c>
      <c r="E191" s="316" t="s">
        <v>814</v>
      </c>
      <c r="F191" s="307" t="s">
        <v>229</v>
      </c>
      <c r="G191" s="78" t="s">
        <v>355</v>
      </c>
      <c r="H191" s="307" t="s">
        <v>766</v>
      </c>
      <c r="I191" s="315" t="s">
        <v>812</v>
      </c>
      <c r="J191" s="211" t="s">
        <v>410</v>
      </c>
      <c r="K191" s="224">
        <v>1</v>
      </c>
      <c r="L191" s="211" t="s">
        <v>153</v>
      </c>
      <c r="M191" s="316">
        <v>204</v>
      </c>
      <c r="N191" s="310">
        <f t="shared" si="16"/>
        <v>204</v>
      </c>
      <c r="O191" s="317">
        <v>0</v>
      </c>
      <c r="P191" s="227">
        <f t="shared" si="17"/>
        <v>0</v>
      </c>
      <c r="Q191" s="366">
        <v>0.16</v>
      </c>
      <c r="R191" s="310">
        <f t="shared" si="18"/>
        <v>32.64</v>
      </c>
      <c r="S191" s="310">
        <f t="shared" si="19"/>
        <v>236.64</v>
      </c>
      <c r="T191" s="229">
        <f>INDEX('Glosario Partidas'!$M$8:$M$10,MATCH(L191,'Glosario Partidas'!$L$8:$L$10,0))</f>
        <v>17.5</v>
      </c>
      <c r="U191" s="310">
        <f t="shared" si="20"/>
        <v>4141.2</v>
      </c>
      <c r="V191" s="230" t="s">
        <v>815</v>
      </c>
      <c r="W191" s="249" t="s">
        <v>13</v>
      </c>
      <c r="X191" s="249"/>
      <c r="Y191" s="249"/>
    </row>
    <row r="192" spans="1:25" ht="15" customHeight="1" x14ac:dyDescent="0.2">
      <c r="A192" s="211"/>
      <c r="B192" s="211" t="s">
        <v>193</v>
      </c>
      <c r="C192" s="78" t="s">
        <v>407</v>
      </c>
      <c r="D192" s="211" t="s">
        <v>102</v>
      </c>
      <c r="E192" s="144" t="str">
        <f>BOA!B$7</f>
        <v>Estufa de gas de 48" con 6 quemadores profesionales y plancha, LP</v>
      </c>
      <c r="F192" s="307" t="s">
        <v>229</v>
      </c>
      <c r="G192" s="78" t="s">
        <v>221</v>
      </c>
      <c r="H192" s="307" t="s">
        <v>710</v>
      </c>
      <c r="I192" s="364" t="str">
        <f>BOA!$B$2</f>
        <v>BOA</v>
      </c>
      <c r="J192" s="273" t="s">
        <v>410</v>
      </c>
      <c r="K192" s="364">
        <v>1</v>
      </c>
      <c r="L192" s="273" t="s">
        <v>153</v>
      </c>
      <c r="M192" s="144">
        <f>BOA!G$7*(1-BOA!I$7)</f>
        <v>10729.199999999999</v>
      </c>
      <c r="N192" s="275">
        <f t="shared" si="16"/>
        <v>10729.199999999999</v>
      </c>
      <c r="O192" s="365">
        <v>0</v>
      </c>
      <c r="P192" s="275">
        <f t="shared" si="17"/>
        <v>0</v>
      </c>
      <c r="Q192" s="361">
        <v>0.16</v>
      </c>
      <c r="R192" s="275">
        <f t="shared" si="18"/>
        <v>1716.6719999999998</v>
      </c>
      <c r="S192" s="275">
        <f t="shared" si="19"/>
        <v>12445.871999999999</v>
      </c>
      <c r="T192" s="229">
        <f>INDEX('Glosario Partidas'!$M$8:$M$10,MATCH(L192,'Glosario Partidas'!$L$8:$L$10,0))</f>
        <v>17.5</v>
      </c>
      <c r="U192" s="275">
        <f t="shared" si="20"/>
        <v>217802.75999999998</v>
      </c>
      <c r="V192" s="230"/>
      <c r="W192" s="249" t="s">
        <v>12</v>
      </c>
      <c r="X192" s="249"/>
      <c r="Y192" s="249"/>
    </row>
    <row r="193" spans="1:25" ht="15" customHeight="1" x14ac:dyDescent="0.2">
      <c r="A193" s="211"/>
      <c r="B193" s="211" t="s">
        <v>193</v>
      </c>
      <c r="C193" s="78" t="s">
        <v>407</v>
      </c>
      <c r="D193" s="211" t="s">
        <v>102</v>
      </c>
      <c r="E193" s="144" t="str">
        <f>BOA!B$8</f>
        <v>Campana profesional para revestir, forro de acero inox., 46" x 19"</v>
      </c>
      <c r="F193" s="307" t="s">
        <v>229</v>
      </c>
      <c r="G193" s="78" t="s">
        <v>221</v>
      </c>
      <c r="H193" s="307" t="s">
        <v>710</v>
      </c>
      <c r="I193" s="364" t="str">
        <f>BOA!$B$2</f>
        <v>BOA</v>
      </c>
      <c r="J193" s="273" t="s">
        <v>410</v>
      </c>
      <c r="K193" s="364">
        <v>1</v>
      </c>
      <c r="L193" s="273" t="s">
        <v>153</v>
      </c>
      <c r="M193" s="144">
        <f>BOA!G$8*(1-BOA!I$8)</f>
        <v>1522.2</v>
      </c>
      <c r="N193" s="275">
        <f t="shared" si="16"/>
        <v>1522.2</v>
      </c>
      <c r="O193" s="365">
        <v>0</v>
      </c>
      <c r="P193" s="275">
        <f t="shared" si="17"/>
        <v>0</v>
      </c>
      <c r="Q193" s="361">
        <v>0.16</v>
      </c>
      <c r="R193" s="275">
        <f t="shared" si="18"/>
        <v>243.55200000000002</v>
      </c>
      <c r="S193" s="275">
        <f t="shared" si="19"/>
        <v>1765.752</v>
      </c>
      <c r="T193" s="229">
        <f>INDEX('Glosario Partidas'!$M$8:$M$10,MATCH(L193,'Glosario Partidas'!$L$8:$L$10,0))</f>
        <v>17.5</v>
      </c>
      <c r="U193" s="275">
        <f t="shared" si="20"/>
        <v>30900.66</v>
      </c>
      <c r="V193" s="230"/>
      <c r="W193" s="249" t="s">
        <v>12</v>
      </c>
      <c r="X193" s="249"/>
      <c r="Y193" s="249"/>
    </row>
    <row r="194" spans="1:25" ht="15" customHeight="1" x14ac:dyDescent="0.2">
      <c r="A194" s="211"/>
      <c r="B194" s="211" t="s">
        <v>193</v>
      </c>
      <c r="C194" s="78" t="s">
        <v>407</v>
      </c>
      <c r="D194" s="211" t="s">
        <v>102</v>
      </c>
      <c r="E194" s="144" t="str">
        <f>BOA!B$9</f>
        <v>Motor de extracción interno para campanas de pared interiores, 1200 CFM</v>
      </c>
      <c r="F194" s="307" t="s">
        <v>229</v>
      </c>
      <c r="G194" s="78" t="s">
        <v>221</v>
      </c>
      <c r="H194" s="307" t="s">
        <v>710</v>
      </c>
      <c r="I194" s="364" t="str">
        <f>BOA!$B$2</f>
        <v>BOA</v>
      </c>
      <c r="J194" s="273" t="s">
        <v>410</v>
      </c>
      <c r="K194" s="364">
        <v>1</v>
      </c>
      <c r="L194" s="273" t="s">
        <v>153</v>
      </c>
      <c r="M194" s="144">
        <f>BOA!G$9*(1-BOA!I$9)</f>
        <v>1142.4000000000001</v>
      </c>
      <c r="N194" s="275">
        <f t="shared" si="16"/>
        <v>1142.4000000000001</v>
      </c>
      <c r="O194" s="365">
        <v>0</v>
      </c>
      <c r="P194" s="275">
        <f t="shared" si="17"/>
        <v>0</v>
      </c>
      <c r="Q194" s="361">
        <v>0.16</v>
      </c>
      <c r="R194" s="275">
        <f t="shared" si="18"/>
        <v>182.78400000000002</v>
      </c>
      <c r="S194" s="275">
        <f t="shared" si="19"/>
        <v>1325.1840000000002</v>
      </c>
      <c r="T194" s="229">
        <f>INDEX('Glosario Partidas'!$M$8:$M$10,MATCH(L194,'Glosario Partidas'!$L$8:$L$10,0))</f>
        <v>17.5</v>
      </c>
      <c r="U194" s="275">
        <f t="shared" si="20"/>
        <v>23190.720000000005</v>
      </c>
      <c r="V194" s="230"/>
      <c r="W194" s="249" t="s">
        <v>12</v>
      </c>
      <c r="X194" s="249"/>
      <c r="Y194" s="249"/>
    </row>
    <row r="195" spans="1:25" ht="15" customHeight="1" x14ac:dyDescent="0.2">
      <c r="A195" s="211"/>
      <c r="B195" s="211" t="s">
        <v>193</v>
      </c>
      <c r="C195" s="78" t="s">
        <v>407</v>
      </c>
      <c r="D195" s="211" t="s">
        <v>102</v>
      </c>
      <c r="E195" s="144" t="str">
        <f>BOA!B$10</f>
        <v>Refrigerador y congelador panelable (puerta francesa) de 48"</v>
      </c>
      <c r="F195" s="307" t="s">
        <v>229</v>
      </c>
      <c r="G195" s="78" t="s">
        <v>221</v>
      </c>
      <c r="H195" s="307" t="s">
        <v>710</v>
      </c>
      <c r="I195" s="364" t="str">
        <f>BOA!$B$2</f>
        <v>BOA</v>
      </c>
      <c r="J195" s="273" t="s">
        <v>410</v>
      </c>
      <c r="K195" s="364">
        <v>1</v>
      </c>
      <c r="L195" s="273" t="s">
        <v>153</v>
      </c>
      <c r="M195" s="144">
        <f>BOA!G$10*(1-BOA!I$10)</f>
        <v>11409.6</v>
      </c>
      <c r="N195" s="275">
        <f t="shared" si="16"/>
        <v>11409.6</v>
      </c>
      <c r="O195" s="365">
        <v>0</v>
      </c>
      <c r="P195" s="275">
        <f t="shared" si="17"/>
        <v>0</v>
      </c>
      <c r="Q195" s="361">
        <v>0.16</v>
      </c>
      <c r="R195" s="275">
        <f t="shared" si="18"/>
        <v>1825.5360000000001</v>
      </c>
      <c r="S195" s="275">
        <f t="shared" si="19"/>
        <v>13235.136</v>
      </c>
      <c r="T195" s="229">
        <f>INDEX('Glosario Partidas'!$M$8:$M$10,MATCH(L195,'Glosario Partidas'!$L$8:$L$10,0))</f>
        <v>17.5</v>
      </c>
      <c r="U195" s="275">
        <f t="shared" si="20"/>
        <v>231614.88</v>
      </c>
      <c r="V195" s="230"/>
      <c r="W195" s="249" t="s">
        <v>12</v>
      </c>
      <c r="X195" s="249"/>
      <c r="Y195" s="249"/>
    </row>
    <row r="196" spans="1:25" ht="15" customHeight="1" x14ac:dyDescent="0.2">
      <c r="A196" s="211"/>
      <c r="B196" s="211" t="s">
        <v>193</v>
      </c>
      <c r="C196" s="78" t="s">
        <v>407</v>
      </c>
      <c r="D196" s="211" t="s">
        <v>102</v>
      </c>
      <c r="E196" s="144" t="str">
        <f>BOA!B$11</f>
        <v>Kit de montaje para panel frontal</v>
      </c>
      <c r="F196" s="307" t="s">
        <v>229</v>
      </c>
      <c r="G196" s="78" t="s">
        <v>221</v>
      </c>
      <c r="H196" s="307" t="s">
        <v>710</v>
      </c>
      <c r="I196" s="364" t="str">
        <f>BOA!$B$2</f>
        <v>BOA</v>
      </c>
      <c r="J196" s="273" t="s">
        <v>410</v>
      </c>
      <c r="K196" s="364">
        <v>1</v>
      </c>
      <c r="L196" s="273" t="s">
        <v>153</v>
      </c>
      <c r="M196" s="144">
        <f>BOA!G$11*(1-BOA!I$11)</f>
        <v>111.2</v>
      </c>
      <c r="N196" s="275">
        <f t="shared" si="16"/>
        <v>111.2</v>
      </c>
      <c r="O196" s="365">
        <v>0</v>
      </c>
      <c r="P196" s="275">
        <f t="shared" si="17"/>
        <v>0</v>
      </c>
      <c r="Q196" s="361">
        <v>0.16</v>
      </c>
      <c r="R196" s="275">
        <f t="shared" si="18"/>
        <v>17.792000000000002</v>
      </c>
      <c r="S196" s="275">
        <f t="shared" si="19"/>
        <v>128.99200000000002</v>
      </c>
      <c r="T196" s="229">
        <f>INDEX('Glosario Partidas'!$M$8:$M$10,MATCH(L196,'Glosario Partidas'!$L$8:$L$10,0))</f>
        <v>17.5</v>
      </c>
      <c r="U196" s="275">
        <f t="shared" si="20"/>
        <v>2257.36</v>
      </c>
      <c r="V196" s="230"/>
      <c r="W196" s="249" t="s">
        <v>12</v>
      </c>
      <c r="X196" s="249"/>
      <c r="Y196" s="249"/>
    </row>
    <row r="197" spans="1:25" ht="15" customHeight="1" x14ac:dyDescent="0.2">
      <c r="A197" s="211"/>
      <c r="B197" s="211" t="s">
        <v>193</v>
      </c>
      <c r="C197" s="78" t="s">
        <v>407</v>
      </c>
      <c r="D197" s="211" t="s">
        <v>102</v>
      </c>
      <c r="E197" s="144" t="str">
        <f>BOA!B$12</f>
        <v>Jaladera tubular para puerta arriba</v>
      </c>
      <c r="F197" s="307" t="s">
        <v>229</v>
      </c>
      <c r="G197" s="78" t="s">
        <v>221</v>
      </c>
      <c r="H197" s="307" t="s">
        <v>710</v>
      </c>
      <c r="I197" s="364" t="str">
        <f>BOA!$B$2</f>
        <v>BOA</v>
      </c>
      <c r="J197" s="273" t="s">
        <v>410</v>
      </c>
      <c r="K197" s="364">
        <v>2</v>
      </c>
      <c r="L197" s="273" t="s">
        <v>153</v>
      </c>
      <c r="M197" s="144">
        <f>BOA!G$12*(1-BOA!I$12)</f>
        <v>213.60000000000002</v>
      </c>
      <c r="N197" s="275">
        <f t="shared" si="16"/>
        <v>427.20000000000005</v>
      </c>
      <c r="O197" s="365">
        <v>0</v>
      </c>
      <c r="P197" s="275">
        <f t="shared" si="17"/>
        <v>0</v>
      </c>
      <c r="Q197" s="361">
        <v>0.16</v>
      </c>
      <c r="R197" s="275">
        <f t="shared" si="18"/>
        <v>68.352000000000004</v>
      </c>
      <c r="S197" s="275">
        <f t="shared" si="19"/>
        <v>495.55200000000002</v>
      </c>
      <c r="T197" s="229">
        <f>INDEX('Glosario Partidas'!$M$8:$M$10,MATCH(L197,'Glosario Partidas'!$L$8:$L$10,0))</f>
        <v>17.5</v>
      </c>
      <c r="U197" s="275">
        <f t="shared" si="20"/>
        <v>8672.16</v>
      </c>
      <c r="V197" s="230"/>
      <c r="W197" s="249" t="s">
        <v>12</v>
      </c>
      <c r="X197" s="249"/>
      <c r="Y197" s="249"/>
    </row>
    <row r="198" spans="1:25" ht="15" customHeight="1" x14ac:dyDescent="0.2">
      <c r="A198" s="211"/>
      <c r="B198" s="211" t="s">
        <v>193</v>
      </c>
      <c r="C198" s="78" t="s">
        <v>407</v>
      </c>
      <c r="D198" s="211" t="s">
        <v>102</v>
      </c>
      <c r="E198" s="144" t="str">
        <f>BOA!B$13</f>
        <v>Jaladera tubular para cajón de 48"</v>
      </c>
      <c r="F198" s="307" t="s">
        <v>229</v>
      </c>
      <c r="G198" s="78" t="s">
        <v>221</v>
      </c>
      <c r="H198" s="307" t="s">
        <v>710</v>
      </c>
      <c r="I198" s="364" t="str">
        <f>BOA!$B$2</f>
        <v>BOA</v>
      </c>
      <c r="J198" s="273" t="s">
        <v>410</v>
      </c>
      <c r="K198" s="364">
        <v>1</v>
      </c>
      <c r="L198" s="273" t="s">
        <v>153</v>
      </c>
      <c r="M198" s="144">
        <f>BOA!G$13*(1-BOA!I$13)</f>
        <v>213.60000000000002</v>
      </c>
      <c r="N198" s="275">
        <f t="shared" si="16"/>
        <v>213.60000000000002</v>
      </c>
      <c r="O198" s="365">
        <v>0</v>
      </c>
      <c r="P198" s="275">
        <f t="shared" si="17"/>
        <v>0</v>
      </c>
      <c r="Q198" s="361">
        <v>0.16</v>
      </c>
      <c r="R198" s="275">
        <f t="shared" si="18"/>
        <v>34.176000000000002</v>
      </c>
      <c r="S198" s="275">
        <f t="shared" si="19"/>
        <v>247.77600000000001</v>
      </c>
      <c r="T198" s="229">
        <f>INDEX('Glosario Partidas'!$M$8:$M$10,MATCH(L198,'Glosario Partidas'!$L$8:$L$10,0))</f>
        <v>17.5</v>
      </c>
      <c r="U198" s="275">
        <f t="shared" si="20"/>
        <v>4336.08</v>
      </c>
      <c r="V198" s="230"/>
      <c r="W198" s="249" t="s">
        <v>12</v>
      </c>
      <c r="X198" s="249"/>
      <c r="Y198" s="249"/>
    </row>
    <row r="199" spans="1:25" ht="15" customHeight="1" x14ac:dyDescent="0.2">
      <c r="A199" s="211"/>
      <c r="B199" s="211" t="s">
        <v>193</v>
      </c>
      <c r="C199" s="78" t="s">
        <v>407</v>
      </c>
      <c r="D199" s="211" t="s">
        <v>102</v>
      </c>
      <c r="E199" s="144" t="str">
        <f>BOA!B$14</f>
        <v>Kit de instalación</v>
      </c>
      <c r="F199" s="307" t="s">
        <v>229</v>
      </c>
      <c r="G199" s="78" t="s">
        <v>221</v>
      </c>
      <c r="H199" s="307" t="s">
        <v>710</v>
      </c>
      <c r="I199" s="364" t="str">
        <f>BOA!$B$2</f>
        <v>BOA</v>
      </c>
      <c r="J199" s="273" t="s">
        <v>410</v>
      </c>
      <c r="K199" s="364">
        <v>1</v>
      </c>
      <c r="L199" s="273" t="s">
        <v>153</v>
      </c>
      <c r="M199" s="144">
        <f>BOA!G$14*(1-BOA!I$14)</f>
        <v>96</v>
      </c>
      <c r="N199" s="275">
        <f t="shared" si="16"/>
        <v>96</v>
      </c>
      <c r="O199" s="365">
        <v>0</v>
      </c>
      <c r="P199" s="275">
        <f t="shared" si="17"/>
        <v>0</v>
      </c>
      <c r="Q199" s="361">
        <v>0.16</v>
      </c>
      <c r="R199" s="275">
        <f t="shared" si="18"/>
        <v>15.36</v>
      </c>
      <c r="S199" s="275">
        <f t="shared" si="19"/>
        <v>111.36</v>
      </c>
      <c r="T199" s="229">
        <f>INDEX('Glosario Partidas'!$M$8:$M$10,MATCH(L199,'Glosario Partidas'!$L$8:$L$10,0))</f>
        <v>17.5</v>
      </c>
      <c r="U199" s="275">
        <f t="shared" si="20"/>
        <v>1948.8</v>
      </c>
      <c r="V199" s="230"/>
      <c r="W199" s="249" t="s">
        <v>12</v>
      </c>
      <c r="X199" s="249"/>
      <c r="Y199" s="249"/>
    </row>
    <row r="200" spans="1:25" ht="15" customHeight="1" x14ac:dyDescent="0.2">
      <c r="A200" s="211"/>
      <c r="B200" s="211" t="s">
        <v>193</v>
      </c>
      <c r="C200" s="78" t="s">
        <v>407</v>
      </c>
      <c r="D200" s="211" t="s">
        <v>102</v>
      </c>
      <c r="E200" s="144" t="str">
        <f>BOA!B$15</f>
        <v>Microondas con puerta drop down de 30", serie E</v>
      </c>
      <c r="F200" s="307" t="s">
        <v>229</v>
      </c>
      <c r="G200" s="78" t="s">
        <v>221</v>
      </c>
      <c r="H200" s="307" t="s">
        <v>710</v>
      </c>
      <c r="I200" s="364" t="str">
        <f>BOA!$B$2</f>
        <v>BOA</v>
      </c>
      <c r="J200" s="273" t="s">
        <v>410</v>
      </c>
      <c r="K200" s="364">
        <v>1</v>
      </c>
      <c r="L200" s="273" t="s">
        <v>153</v>
      </c>
      <c r="M200" s="144">
        <f>BOA!G$15*(1-BOA!I$15)</f>
        <v>2481.6</v>
      </c>
      <c r="N200" s="275">
        <f t="shared" si="16"/>
        <v>2481.6</v>
      </c>
      <c r="O200" s="365">
        <v>0</v>
      </c>
      <c r="P200" s="275">
        <f t="shared" si="17"/>
        <v>0</v>
      </c>
      <c r="Q200" s="361">
        <v>0.16</v>
      </c>
      <c r="R200" s="275">
        <f t="shared" si="18"/>
        <v>397.05599999999998</v>
      </c>
      <c r="S200" s="275">
        <f t="shared" si="19"/>
        <v>2878.6559999999999</v>
      </c>
      <c r="T200" s="229">
        <f>INDEX('Glosario Partidas'!$M$8:$M$10,MATCH(L200,'Glosario Partidas'!$L$8:$L$10,0))</f>
        <v>17.5</v>
      </c>
      <c r="U200" s="275">
        <f t="shared" si="20"/>
        <v>50376.479999999996</v>
      </c>
      <c r="V200" s="230"/>
      <c r="W200" s="249" t="s">
        <v>12</v>
      </c>
      <c r="X200" s="249"/>
      <c r="Y200" s="249"/>
    </row>
    <row r="201" spans="1:25" ht="15" customHeight="1" x14ac:dyDescent="0.2">
      <c r="A201" s="211"/>
      <c r="B201" s="211" t="s">
        <v>193</v>
      </c>
      <c r="C201" s="78" t="s">
        <v>407</v>
      </c>
      <c r="D201" s="211" t="s">
        <v>102</v>
      </c>
      <c r="E201" s="144" t="str">
        <f>BOA!B$16</f>
        <v>Lavavajillas panelable para 16 juegos (con gola)</v>
      </c>
      <c r="F201" s="307" t="s">
        <v>229</v>
      </c>
      <c r="G201" s="78" t="s">
        <v>221</v>
      </c>
      <c r="H201" s="307" t="s">
        <v>710</v>
      </c>
      <c r="I201" s="364" t="str">
        <f>BOA!$B$2</f>
        <v>BOA</v>
      </c>
      <c r="J201" s="273" t="s">
        <v>410</v>
      </c>
      <c r="K201" s="364">
        <v>1</v>
      </c>
      <c r="L201" s="273" t="s">
        <v>153</v>
      </c>
      <c r="M201" s="144">
        <f>BOA!G$16*(1-BOA!I$16)</f>
        <v>1543.2</v>
      </c>
      <c r="N201" s="275">
        <f t="shared" si="16"/>
        <v>1543.2</v>
      </c>
      <c r="O201" s="365">
        <v>0</v>
      </c>
      <c r="P201" s="275">
        <f t="shared" si="17"/>
        <v>0</v>
      </c>
      <c r="Q201" s="361">
        <v>0.16</v>
      </c>
      <c r="R201" s="275">
        <f t="shared" si="18"/>
        <v>246.91200000000001</v>
      </c>
      <c r="S201" s="275">
        <f t="shared" si="19"/>
        <v>1790.1120000000001</v>
      </c>
      <c r="T201" s="229">
        <f>INDEX('Glosario Partidas'!$M$8:$M$10,MATCH(L201,'Glosario Partidas'!$L$8:$L$10,0))</f>
        <v>17.5</v>
      </c>
      <c r="U201" s="275">
        <f t="shared" si="20"/>
        <v>31326.960000000003</v>
      </c>
      <c r="V201" s="230"/>
      <c r="W201" s="249" t="s">
        <v>12</v>
      </c>
      <c r="X201" s="249"/>
      <c r="Y201" s="249"/>
    </row>
    <row r="202" spans="1:25" ht="15" customHeight="1" x14ac:dyDescent="0.2">
      <c r="A202" s="211"/>
      <c r="B202" s="211" t="s">
        <v>193</v>
      </c>
      <c r="C202" s="78" t="s">
        <v>407</v>
      </c>
      <c r="D202" s="211" t="s">
        <v>102</v>
      </c>
      <c r="E202" s="144" t="str">
        <f>BOA!B$17</f>
        <v>Centro de bebidas bajo cubierta 24", apertura derecha ADA</v>
      </c>
      <c r="F202" s="307" t="s">
        <v>229</v>
      </c>
      <c r="G202" s="78" t="s">
        <v>221</v>
      </c>
      <c r="H202" s="307" t="s">
        <v>710</v>
      </c>
      <c r="I202" s="364" t="str">
        <f>BOA!$B$2</f>
        <v>BOA</v>
      </c>
      <c r="J202" s="273" t="s">
        <v>410</v>
      </c>
      <c r="K202" s="364">
        <v>1</v>
      </c>
      <c r="L202" s="273" t="s">
        <v>153</v>
      </c>
      <c r="M202" s="144">
        <f>BOA!G$17*(1-BOA!I$17)</f>
        <v>2740.7999999999997</v>
      </c>
      <c r="N202" s="275">
        <f t="shared" si="16"/>
        <v>2740.7999999999997</v>
      </c>
      <c r="O202" s="365">
        <v>0</v>
      </c>
      <c r="P202" s="275">
        <f t="shared" si="17"/>
        <v>0</v>
      </c>
      <c r="Q202" s="361">
        <v>0.16</v>
      </c>
      <c r="R202" s="275">
        <f t="shared" si="18"/>
        <v>438.52799999999996</v>
      </c>
      <c r="S202" s="275">
        <f t="shared" si="19"/>
        <v>3179.3279999999995</v>
      </c>
      <c r="T202" s="229">
        <f>INDEX('Glosario Partidas'!$M$8:$M$10,MATCH(L202,'Glosario Partidas'!$L$8:$L$10,0))</f>
        <v>17.5</v>
      </c>
      <c r="U202" s="275">
        <f t="shared" si="20"/>
        <v>55638.239999999991</v>
      </c>
      <c r="V202" s="230"/>
      <c r="W202" s="249" t="s">
        <v>12</v>
      </c>
      <c r="X202" s="249"/>
      <c r="Y202" s="249"/>
    </row>
    <row r="203" spans="1:25" ht="15" customHeight="1" x14ac:dyDescent="0.2">
      <c r="A203" s="211"/>
      <c r="B203" s="211" t="s">
        <v>193</v>
      </c>
      <c r="C203" s="78" t="s">
        <v>407</v>
      </c>
      <c r="D203" s="211" t="s">
        <v>102</v>
      </c>
      <c r="E203" s="144" t="str">
        <f>BOA!B$21</f>
        <v>Jaladera tubular</v>
      </c>
      <c r="F203" s="307" t="s">
        <v>229</v>
      </c>
      <c r="G203" s="78" t="s">
        <v>221</v>
      </c>
      <c r="H203" s="307" t="s">
        <v>710</v>
      </c>
      <c r="I203" s="364" t="str">
        <f>BOA!$B$2</f>
        <v>BOA</v>
      </c>
      <c r="J203" s="273" t="s">
        <v>410</v>
      </c>
      <c r="K203" s="364">
        <v>1</v>
      </c>
      <c r="L203" s="273" t="s">
        <v>153</v>
      </c>
      <c r="M203" s="144">
        <f>BOA!G$21*(1-BOA!I$21)</f>
        <v>185.60000000000002</v>
      </c>
      <c r="N203" s="275">
        <f t="shared" si="16"/>
        <v>185.60000000000002</v>
      </c>
      <c r="O203" s="365">
        <v>0</v>
      </c>
      <c r="P203" s="275">
        <f t="shared" si="17"/>
        <v>0</v>
      </c>
      <c r="Q203" s="361">
        <v>0.16</v>
      </c>
      <c r="R203" s="275">
        <f t="shared" si="18"/>
        <v>29.696000000000005</v>
      </c>
      <c r="S203" s="275">
        <f t="shared" si="19"/>
        <v>215.29600000000002</v>
      </c>
      <c r="T203" s="229">
        <f>INDEX('Glosario Partidas'!$M$8:$M$10,MATCH(L203,'Glosario Partidas'!$L$8:$L$10,0))</f>
        <v>17.5</v>
      </c>
      <c r="U203" s="275">
        <f t="shared" si="20"/>
        <v>3767.6800000000003</v>
      </c>
      <c r="V203" s="230"/>
      <c r="W203" s="249" t="s">
        <v>12</v>
      </c>
      <c r="X203" s="249"/>
      <c r="Y203" s="249"/>
    </row>
    <row r="204" spans="1:25" ht="15" customHeight="1" x14ac:dyDescent="0.2">
      <c r="A204" s="211"/>
      <c r="B204" s="211" t="s">
        <v>193</v>
      </c>
      <c r="C204" s="78" t="s">
        <v>407</v>
      </c>
      <c r="D204" s="211" t="s">
        <v>102</v>
      </c>
      <c r="E204" s="144" t="str">
        <f>BOA!B$22</f>
        <v>Kit de instalación</v>
      </c>
      <c r="F204" s="307" t="s">
        <v>229</v>
      </c>
      <c r="G204" s="78" t="s">
        <v>221</v>
      </c>
      <c r="H204" s="307" t="s">
        <v>710</v>
      </c>
      <c r="I204" s="364" t="str">
        <f>BOA!$B$2</f>
        <v>BOA</v>
      </c>
      <c r="J204" s="273" t="s">
        <v>410</v>
      </c>
      <c r="K204" s="364">
        <v>1</v>
      </c>
      <c r="L204" s="273" t="s">
        <v>153</v>
      </c>
      <c r="M204" s="144">
        <f>BOA!G$22*(1-BOA!I$22)</f>
        <v>96</v>
      </c>
      <c r="N204" s="275">
        <f t="shared" si="16"/>
        <v>96</v>
      </c>
      <c r="O204" s="365">
        <v>0</v>
      </c>
      <c r="P204" s="275">
        <f t="shared" si="17"/>
        <v>0</v>
      </c>
      <c r="Q204" s="361">
        <v>0.16</v>
      </c>
      <c r="R204" s="275">
        <f t="shared" si="18"/>
        <v>15.36</v>
      </c>
      <c r="S204" s="275">
        <f t="shared" si="19"/>
        <v>111.36</v>
      </c>
      <c r="T204" s="229">
        <f>INDEX('Glosario Partidas'!$M$8:$M$10,MATCH(L204,'Glosario Partidas'!$L$8:$L$10,0))</f>
        <v>17.5</v>
      </c>
      <c r="U204" s="275">
        <f t="shared" si="20"/>
        <v>1948.8</v>
      </c>
      <c r="V204" s="230"/>
      <c r="W204" s="249" t="s">
        <v>12</v>
      </c>
      <c r="X204" s="249"/>
      <c r="Y204" s="249"/>
    </row>
    <row r="205" spans="1:25" ht="15" customHeight="1" x14ac:dyDescent="0.2">
      <c r="A205" s="211"/>
      <c r="B205" s="211" t="s">
        <v>193</v>
      </c>
      <c r="C205" s="78" t="s">
        <v>407</v>
      </c>
      <c r="D205" s="211" t="s">
        <v>102</v>
      </c>
      <c r="E205" s="144" t="str">
        <f>BOA!B$23</f>
        <v>Tarja</v>
      </c>
      <c r="F205" s="307" t="s">
        <v>229</v>
      </c>
      <c r="G205" s="78" t="s">
        <v>221</v>
      </c>
      <c r="H205" s="307" t="s">
        <v>710</v>
      </c>
      <c r="I205" s="364" t="str">
        <f>BOA!$B$2</f>
        <v>BOA</v>
      </c>
      <c r="J205" s="273" t="s">
        <v>410</v>
      </c>
      <c r="K205" s="364">
        <v>1</v>
      </c>
      <c r="L205" s="273" t="s">
        <v>153</v>
      </c>
      <c r="M205" s="144">
        <f>BOA!G$23*(1-BOA!I$23)</f>
        <v>1040</v>
      </c>
      <c r="N205" s="275">
        <f t="shared" si="16"/>
        <v>1040</v>
      </c>
      <c r="O205" s="365">
        <v>0</v>
      </c>
      <c r="P205" s="275">
        <f t="shared" si="17"/>
        <v>0</v>
      </c>
      <c r="Q205" s="361">
        <v>0.16</v>
      </c>
      <c r="R205" s="275">
        <f t="shared" si="18"/>
        <v>166.4</v>
      </c>
      <c r="S205" s="275">
        <f t="shared" si="19"/>
        <v>1206.4000000000001</v>
      </c>
      <c r="T205" s="229">
        <f>INDEX('Glosario Partidas'!$M$8:$M$10,MATCH(L205,'Glosario Partidas'!$L$8:$L$10,0))</f>
        <v>17.5</v>
      </c>
      <c r="U205" s="275">
        <f t="shared" si="20"/>
        <v>21112</v>
      </c>
      <c r="V205" s="230"/>
      <c r="W205" s="249" t="s">
        <v>12</v>
      </c>
      <c r="X205" s="249"/>
      <c r="Y205" s="249"/>
    </row>
    <row r="206" spans="1:25" ht="15" customHeight="1" x14ac:dyDescent="0.2">
      <c r="A206" s="211"/>
      <c r="B206" s="211" t="s">
        <v>193</v>
      </c>
      <c r="C206" s="78" t="s">
        <v>407</v>
      </c>
      <c r="D206" s="211" t="s">
        <v>102</v>
      </c>
      <c r="E206" s="144" t="str">
        <f>BOA!B$24</f>
        <v>Sink</v>
      </c>
      <c r="F206" s="307" t="s">
        <v>229</v>
      </c>
      <c r="G206" s="78" t="s">
        <v>221</v>
      </c>
      <c r="H206" s="307" t="s">
        <v>710</v>
      </c>
      <c r="I206" s="364" t="str">
        <f>BOA!$B$2</f>
        <v>BOA</v>
      </c>
      <c r="J206" s="273" t="s">
        <v>410</v>
      </c>
      <c r="K206" s="364">
        <v>2</v>
      </c>
      <c r="L206" s="273" t="s">
        <v>153</v>
      </c>
      <c r="M206" s="144">
        <f>BOA!G$24*(1-BOA!I$24)</f>
        <v>104</v>
      </c>
      <c r="N206" s="275">
        <f t="shared" si="16"/>
        <v>208</v>
      </c>
      <c r="O206" s="365">
        <v>0</v>
      </c>
      <c r="P206" s="275">
        <f t="shared" si="17"/>
        <v>0</v>
      </c>
      <c r="Q206" s="361">
        <v>0.16</v>
      </c>
      <c r="R206" s="275">
        <f t="shared" si="18"/>
        <v>33.28</v>
      </c>
      <c r="S206" s="275">
        <f t="shared" si="19"/>
        <v>241.28</v>
      </c>
      <c r="T206" s="229">
        <f>INDEX('Glosario Partidas'!$M$8:$M$10,MATCH(L206,'Glosario Partidas'!$L$8:$L$10,0))</f>
        <v>17.5</v>
      </c>
      <c r="U206" s="275">
        <f t="shared" si="20"/>
        <v>4222.3999999999996</v>
      </c>
      <c r="V206" s="230"/>
      <c r="W206" s="249" t="s">
        <v>12</v>
      </c>
      <c r="X206" s="249"/>
      <c r="Y206" s="249"/>
    </row>
    <row r="207" spans="1:25" ht="15" customHeight="1" x14ac:dyDescent="0.2">
      <c r="A207" s="211"/>
      <c r="B207" s="211" t="s">
        <v>193</v>
      </c>
      <c r="C207" s="78" t="s">
        <v>407</v>
      </c>
      <c r="D207" s="211" t="s">
        <v>102</v>
      </c>
      <c r="E207" s="144" t="str">
        <f>BOA!B$25</f>
        <v>Triturador</v>
      </c>
      <c r="F207" s="307" t="s">
        <v>229</v>
      </c>
      <c r="G207" s="78" t="s">
        <v>221</v>
      </c>
      <c r="H207" s="307" t="s">
        <v>710</v>
      </c>
      <c r="I207" s="364" t="str">
        <f>BOA!$B$2</f>
        <v>BOA</v>
      </c>
      <c r="J207" s="273" t="s">
        <v>410</v>
      </c>
      <c r="K207" s="364">
        <v>1</v>
      </c>
      <c r="L207" s="273" t="s">
        <v>153</v>
      </c>
      <c r="M207" s="144">
        <f>BOA!G$25*(1-BOA!I$25)</f>
        <v>598.4</v>
      </c>
      <c r="N207" s="275">
        <f t="shared" si="16"/>
        <v>598.4</v>
      </c>
      <c r="O207" s="365">
        <v>0</v>
      </c>
      <c r="P207" s="275">
        <f t="shared" si="17"/>
        <v>0</v>
      </c>
      <c r="Q207" s="361">
        <v>0.16</v>
      </c>
      <c r="R207" s="275">
        <f t="shared" si="18"/>
        <v>95.744</v>
      </c>
      <c r="S207" s="275">
        <f t="shared" si="19"/>
        <v>694.14400000000001</v>
      </c>
      <c r="T207" s="229">
        <f>INDEX('Glosario Partidas'!$M$8:$M$10,MATCH(L207,'Glosario Partidas'!$L$8:$L$10,0))</f>
        <v>17.5</v>
      </c>
      <c r="U207" s="275">
        <f t="shared" si="20"/>
        <v>12147.52</v>
      </c>
      <c r="V207" s="230"/>
      <c r="W207" s="249" t="s">
        <v>12</v>
      </c>
      <c r="X207" s="249"/>
      <c r="Y207" s="249"/>
    </row>
    <row r="208" spans="1:25" ht="15" customHeight="1" x14ac:dyDescent="0.2">
      <c r="A208" s="211"/>
      <c r="B208" s="211" t="s">
        <v>193</v>
      </c>
      <c r="C208" s="78" t="s">
        <v>407</v>
      </c>
      <c r="D208" s="211" t="s">
        <v>104</v>
      </c>
      <c r="E208" s="144" t="str">
        <f>BOA!B$51</f>
        <v>Máquina de hielo residencial gourmet 65 lb con bomba de drenaje</v>
      </c>
      <c r="F208" s="307" t="s">
        <v>229</v>
      </c>
      <c r="G208" s="78" t="s">
        <v>221</v>
      </c>
      <c r="H208" s="307" t="s">
        <v>710</v>
      </c>
      <c r="I208" s="364" t="str">
        <f>BOA!$B$2</f>
        <v>BOA</v>
      </c>
      <c r="J208" s="273" t="s">
        <v>410</v>
      </c>
      <c r="K208" s="364">
        <v>1</v>
      </c>
      <c r="L208" s="273" t="s">
        <v>153</v>
      </c>
      <c r="M208" s="144">
        <f>BOA!G$51*(1-BOA!I$51)</f>
        <v>4768</v>
      </c>
      <c r="N208" s="275">
        <f t="shared" si="16"/>
        <v>4768</v>
      </c>
      <c r="O208" s="365">
        <v>0</v>
      </c>
      <c r="P208" s="275">
        <f t="shared" si="17"/>
        <v>0</v>
      </c>
      <c r="Q208" s="361">
        <v>0.16</v>
      </c>
      <c r="R208" s="275">
        <f t="shared" si="18"/>
        <v>762.88</v>
      </c>
      <c r="S208" s="275">
        <f t="shared" si="19"/>
        <v>5530.88</v>
      </c>
      <c r="T208" s="229">
        <f>INDEX('Glosario Partidas'!$M$8:$M$10,MATCH(L208,'Glosario Partidas'!$L$8:$L$10,0))</f>
        <v>17.5</v>
      </c>
      <c r="U208" s="275">
        <f t="shared" si="20"/>
        <v>96790.400000000009</v>
      </c>
      <c r="V208" s="230"/>
      <c r="W208" s="249" t="s">
        <v>12</v>
      </c>
      <c r="X208" s="249"/>
      <c r="Y208" s="249"/>
    </row>
    <row r="209" spans="1:25" ht="15" customHeight="1" x14ac:dyDescent="0.2">
      <c r="A209" s="211"/>
      <c r="B209" s="211" t="s">
        <v>193</v>
      </c>
      <c r="C209" s="78" t="s">
        <v>407</v>
      </c>
      <c r="D209" s="211" t="s">
        <v>104</v>
      </c>
      <c r="E209" s="144" t="str">
        <f>BOA!B$52</f>
        <v>Kit de instalación</v>
      </c>
      <c r="F209" s="307" t="s">
        <v>229</v>
      </c>
      <c r="G209" s="78" t="s">
        <v>221</v>
      </c>
      <c r="H209" s="307" t="s">
        <v>710</v>
      </c>
      <c r="I209" s="364" t="str">
        <f>BOA!$B$2</f>
        <v>BOA</v>
      </c>
      <c r="J209" s="273" t="s">
        <v>410</v>
      </c>
      <c r="K209" s="364">
        <v>1</v>
      </c>
      <c r="L209" s="273" t="s">
        <v>153</v>
      </c>
      <c r="M209" s="144">
        <f>BOA!G$52*(1-BOA!I$52)</f>
        <v>96</v>
      </c>
      <c r="N209" s="275">
        <f t="shared" si="16"/>
        <v>96</v>
      </c>
      <c r="O209" s="365">
        <v>0</v>
      </c>
      <c r="P209" s="275">
        <f t="shared" si="17"/>
        <v>0</v>
      </c>
      <c r="Q209" s="361">
        <v>0.16</v>
      </c>
      <c r="R209" s="275">
        <f t="shared" si="18"/>
        <v>15.36</v>
      </c>
      <c r="S209" s="275">
        <f t="shared" si="19"/>
        <v>111.36</v>
      </c>
      <c r="T209" s="229">
        <f>INDEX('Glosario Partidas'!$M$8:$M$10,MATCH(L209,'Glosario Partidas'!$L$8:$L$10,0))</f>
        <v>17.5</v>
      </c>
      <c r="U209" s="275">
        <f t="shared" si="20"/>
        <v>1948.8</v>
      </c>
      <c r="V209" s="230"/>
      <c r="W209" s="249" t="s">
        <v>12</v>
      </c>
      <c r="X209" s="249"/>
      <c r="Y209" s="249"/>
    </row>
    <row r="210" spans="1:25" ht="15" customHeight="1" x14ac:dyDescent="0.2">
      <c r="A210" s="211"/>
      <c r="B210" s="211" t="s">
        <v>193</v>
      </c>
      <c r="C210" s="78" t="s">
        <v>407</v>
      </c>
      <c r="D210" s="211" t="s">
        <v>104</v>
      </c>
      <c r="E210" s="144" t="str">
        <f>BOA!B$53</f>
        <v>Refrigerador bajo cubierta exterior 24", apertura derecha</v>
      </c>
      <c r="F210" s="307" t="s">
        <v>229</v>
      </c>
      <c r="G210" s="78" t="s">
        <v>221</v>
      </c>
      <c r="H210" s="307" t="s">
        <v>710</v>
      </c>
      <c r="I210" s="364" t="str">
        <f>BOA!$B$2</f>
        <v>BOA</v>
      </c>
      <c r="J210" s="273" t="s">
        <v>410</v>
      </c>
      <c r="K210" s="364">
        <v>1</v>
      </c>
      <c r="L210" s="273" t="s">
        <v>153</v>
      </c>
      <c r="M210" s="144">
        <f>BOA!G$53*(1-BOA!I$53)</f>
        <v>3326.4</v>
      </c>
      <c r="N210" s="275">
        <f t="shared" si="16"/>
        <v>3326.4</v>
      </c>
      <c r="O210" s="365">
        <v>0</v>
      </c>
      <c r="P210" s="275">
        <f t="shared" si="17"/>
        <v>0</v>
      </c>
      <c r="Q210" s="361">
        <v>0.16</v>
      </c>
      <c r="R210" s="275">
        <f t="shared" si="18"/>
        <v>532.22400000000005</v>
      </c>
      <c r="S210" s="275">
        <f t="shared" si="19"/>
        <v>3858.6240000000003</v>
      </c>
      <c r="T210" s="229">
        <f>INDEX('Glosario Partidas'!$M$8:$M$10,MATCH(L210,'Glosario Partidas'!$L$8:$L$10,0))</f>
        <v>17.5</v>
      </c>
      <c r="U210" s="275">
        <f t="shared" si="20"/>
        <v>67525.919999999998</v>
      </c>
      <c r="V210" s="230"/>
      <c r="W210" s="249" t="s">
        <v>12</v>
      </c>
      <c r="X210" s="249"/>
      <c r="Y210" s="249"/>
    </row>
    <row r="211" spans="1:25" ht="15" customHeight="1" x14ac:dyDescent="0.2">
      <c r="A211" s="211"/>
      <c r="B211" s="211" t="s">
        <v>193</v>
      </c>
      <c r="C211" s="78" t="s">
        <v>407</v>
      </c>
      <c r="D211" s="211" t="s">
        <v>104</v>
      </c>
      <c r="E211" s="144" t="str">
        <f>BOA!B$56</f>
        <v>Kit de instalación</v>
      </c>
      <c r="F211" s="307" t="s">
        <v>229</v>
      </c>
      <c r="G211" s="78" t="s">
        <v>221</v>
      </c>
      <c r="H211" s="307" t="s">
        <v>710</v>
      </c>
      <c r="I211" s="364" t="str">
        <f>BOA!$B$2</f>
        <v>BOA</v>
      </c>
      <c r="J211" s="273" t="s">
        <v>410</v>
      </c>
      <c r="K211" s="364">
        <v>1</v>
      </c>
      <c r="L211" s="273" t="s">
        <v>153</v>
      </c>
      <c r="M211" s="144">
        <f>BOA!G$56*(1-BOA!I$56)</f>
        <v>96</v>
      </c>
      <c r="N211" s="275">
        <f t="shared" si="16"/>
        <v>96</v>
      </c>
      <c r="O211" s="365">
        <v>0</v>
      </c>
      <c r="P211" s="275">
        <f t="shared" si="17"/>
        <v>0</v>
      </c>
      <c r="Q211" s="361">
        <v>0.16</v>
      </c>
      <c r="R211" s="275">
        <f t="shared" si="18"/>
        <v>15.36</v>
      </c>
      <c r="S211" s="275">
        <f t="shared" si="19"/>
        <v>111.36</v>
      </c>
      <c r="T211" s="229">
        <f>INDEX('Glosario Partidas'!$M$8:$M$10,MATCH(L211,'Glosario Partidas'!$L$8:$L$10,0))</f>
        <v>17.5</v>
      </c>
      <c r="U211" s="275">
        <f t="shared" si="20"/>
        <v>1948.8</v>
      </c>
      <c r="V211" s="230"/>
      <c r="W211" s="249" t="s">
        <v>12</v>
      </c>
      <c r="X211" s="249"/>
      <c r="Y211" s="249"/>
    </row>
    <row r="212" spans="1:25" ht="15" customHeight="1" x14ac:dyDescent="0.2">
      <c r="A212" s="211"/>
      <c r="B212" s="211" t="s">
        <v>193</v>
      </c>
      <c r="C212" s="78" t="s">
        <v>407</v>
      </c>
      <c r="D212" s="211" t="s">
        <v>104</v>
      </c>
      <c r="E212" s="144" t="str">
        <f>BOA!B$57</f>
        <v>Campana profesional para exterior acero inox., 48" x 33"</v>
      </c>
      <c r="F212" s="307" t="s">
        <v>229</v>
      </c>
      <c r="G212" s="78" t="s">
        <v>221</v>
      </c>
      <c r="H212" s="307" t="s">
        <v>710</v>
      </c>
      <c r="I212" s="364" t="str">
        <f>BOA!$B$2</f>
        <v>BOA</v>
      </c>
      <c r="J212" s="273" t="s">
        <v>410</v>
      </c>
      <c r="K212" s="364">
        <v>1</v>
      </c>
      <c r="L212" s="273" t="s">
        <v>153</v>
      </c>
      <c r="M212" s="144">
        <f>BOA!G$57*(1-BOA!I$57)</f>
        <v>2733</v>
      </c>
      <c r="N212" s="275">
        <f t="shared" si="16"/>
        <v>2733</v>
      </c>
      <c r="O212" s="365">
        <v>0</v>
      </c>
      <c r="P212" s="275">
        <f t="shared" si="17"/>
        <v>0</v>
      </c>
      <c r="Q212" s="361">
        <v>0.16</v>
      </c>
      <c r="R212" s="275">
        <f t="shared" si="18"/>
        <v>437.28000000000003</v>
      </c>
      <c r="S212" s="275">
        <f t="shared" si="19"/>
        <v>3170.28</v>
      </c>
      <c r="T212" s="229">
        <f>INDEX('Glosario Partidas'!$M$8:$M$10,MATCH(L212,'Glosario Partidas'!$L$8:$L$10,0))</f>
        <v>17.5</v>
      </c>
      <c r="U212" s="275">
        <f t="shared" si="20"/>
        <v>55479.9</v>
      </c>
      <c r="V212" s="230"/>
      <c r="W212" s="249" t="s">
        <v>12</v>
      </c>
      <c r="X212" s="249"/>
      <c r="Y212" s="249"/>
    </row>
    <row r="213" spans="1:25" ht="15" customHeight="1" x14ac:dyDescent="0.2">
      <c r="A213" s="211"/>
      <c r="B213" s="211" t="s">
        <v>193</v>
      </c>
      <c r="C213" s="78" t="s">
        <v>407</v>
      </c>
      <c r="D213" s="211" t="s">
        <v>104</v>
      </c>
      <c r="E213" s="144" t="str">
        <f>BOA!B$58</f>
        <v>Motor de extracción interno para campanas, 1200 CFM</v>
      </c>
      <c r="F213" s="307" t="s">
        <v>229</v>
      </c>
      <c r="G213" s="78" t="s">
        <v>221</v>
      </c>
      <c r="H213" s="307" t="s">
        <v>710</v>
      </c>
      <c r="I213" s="364" t="str">
        <f>BOA!$B$2</f>
        <v>BOA</v>
      </c>
      <c r="J213" s="273" t="s">
        <v>410</v>
      </c>
      <c r="K213" s="364">
        <v>1</v>
      </c>
      <c r="L213" s="273" t="s">
        <v>153</v>
      </c>
      <c r="M213" s="144">
        <f>BOA!G$58*(1-BOA!I$58)</f>
        <v>1142.4000000000001</v>
      </c>
      <c r="N213" s="275">
        <f t="shared" si="16"/>
        <v>1142.4000000000001</v>
      </c>
      <c r="O213" s="365">
        <v>0</v>
      </c>
      <c r="P213" s="275">
        <f t="shared" si="17"/>
        <v>0</v>
      </c>
      <c r="Q213" s="361">
        <v>0.16</v>
      </c>
      <c r="R213" s="275">
        <f t="shared" si="18"/>
        <v>182.78400000000002</v>
      </c>
      <c r="S213" s="275">
        <f t="shared" si="19"/>
        <v>1325.1840000000002</v>
      </c>
      <c r="T213" s="229">
        <f>INDEX('Glosario Partidas'!$M$8:$M$10,MATCH(L213,'Glosario Partidas'!$L$8:$L$10,0))</f>
        <v>17.5</v>
      </c>
      <c r="U213" s="275">
        <f t="shared" si="20"/>
        <v>23190.720000000005</v>
      </c>
      <c r="V213" s="230"/>
      <c r="W213" s="249" t="s">
        <v>12</v>
      </c>
      <c r="X213" s="249"/>
      <c r="Y213" s="249"/>
    </row>
    <row r="214" spans="1:25" ht="15" customHeight="1" x14ac:dyDescent="0.2">
      <c r="A214" s="211"/>
      <c r="B214" s="211" t="s">
        <v>193</v>
      </c>
      <c r="C214" s="78" t="s">
        <v>407</v>
      </c>
      <c r="D214" s="211" t="s">
        <v>104</v>
      </c>
      <c r="E214" s="144" t="str">
        <f>BOA!B$59</f>
        <v>Tarja</v>
      </c>
      <c r="F214" s="307" t="s">
        <v>229</v>
      </c>
      <c r="G214" s="78" t="s">
        <v>221</v>
      </c>
      <c r="H214" s="307" t="s">
        <v>710</v>
      </c>
      <c r="I214" s="364" t="str">
        <f>BOA!$B$2</f>
        <v>BOA</v>
      </c>
      <c r="J214" s="273" t="s">
        <v>410</v>
      </c>
      <c r="K214" s="364">
        <v>1</v>
      </c>
      <c r="L214" s="273" t="s">
        <v>153</v>
      </c>
      <c r="M214" s="144">
        <f>BOA!G$59*(1-BOA!I$59)</f>
        <v>1040</v>
      </c>
      <c r="N214" s="275">
        <f t="shared" si="16"/>
        <v>1040</v>
      </c>
      <c r="O214" s="365">
        <v>0</v>
      </c>
      <c r="P214" s="275">
        <f t="shared" si="17"/>
        <v>0</v>
      </c>
      <c r="Q214" s="361">
        <v>0.16</v>
      </c>
      <c r="R214" s="275">
        <f t="shared" si="18"/>
        <v>166.4</v>
      </c>
      <c r="S214" s="275">
        <f t="shared" si="19"/>
        <v>1206.4000000000001</v>
      </c>
      <c r="T214" s="229">
        <f>INDEX('Glosario Partidas'!$M$8:$M$10,MATCH(L214,'Glosario Partidas'!$L$8:$L$10,0))</f>
        <v>17.5</v>
      </c>
      <c r="U214" s="275">
        <f t="shared" si="20"/>
        <v>21112</v>
      </c>
      <c r="V214" s="230"/>
      <c r="W214" s="249" t="s">
        <v>12</v>
      </c>
      <c r="X214" s="249"/>
      <c r="Y214" s="249"/>
    </row>
    <row r="215" spans="1:25" ht="15" customHeight="1" x14ac:dyDescent="0.2">
      <c r="A215" s="211"/>
      <c r="B215" s="211" t="s">
        <v>193</v>
      </c>
      <c r="C215" s="78" t="s">
        <v>407</v>
      </c>
      <c r="D215" s="211" t="s">
        <v>104</v>
      </c>
      <c r="E215" s="144" t="str">
        <f>BOA!B$60</f>
        <v>Sink</v>
      </c>
      <c r="F215" s="307" t="s">
        <v>229</v>
      </c>
      <c r="G215" s="78" t="s">
        <v>221</v>
      </c>
      <c r="H215" s="307" t="s">
        <v>710</v>
      </c>
      <c r="I215" s="364" t="str">
        <f>BOA!$B$2</f>
        <v>BOA</v>
      </c>
      <c r="J215" s="273" t="s">
        <v>410</v>
      </c>
      <c r="K215" s="364">
        <v>2</v>
      </c>
      <c r="L215" s="273" t="s">
        <v>153</v>
      </c>
      <c r="M215" s="144">
        <f>BOA!G$60*(1-BOA!I$60)</f>
        <v>104</v>
      </c>
      <c r="N215" s="275">
        <f t="shared" si="16"/>
        <v>208</v>
      </c>
      <c r="O215" s="365">
        <v>0</v>
      </c>
      <c r="P215" s="275">
        <f t="shared" si="17"/>
        <v>0</v>
      </c>
      <c r="Q215" s="361">
        <v>0.16</v>
      </c>
      <c r="R215" s="275">
        <f t="shared" si="18"/>
        <v>33.28</v>
      </c>
      <c r="S215" s="275">
        <f t="shared" si="19"/>
        <v>241.28</v>
      </c>
      <c r="T215" s="229">
        <f>INDEX('Glosario Partidas'!$M$8:$M$10,MATCH(L215,'Glosario Partidas'!$L$8:$L$10,0))</f>
        <v>17.5</v>
      </c>
      <c r="U215" s="275">
        <f t="shared" si="20"/>
        <v>4222.3999999999996</v>
      </c>
      <c r="V215" s="230"/>
      <c r="W215" s="249" t="s">
        <v>12</v>
      </c>
      <c r="X215" s="249"/>
      <c r="Y215" s="249"/>
    </row>
    <row r="216" spans="1:25" ht="15" customHeight="1" x14ac:dyDescent="0.2">
      <c r="A216" s="211"/>
      <c r="B216" s="211" t="s">
        <v>193</v>
      </c>
      <c r="C216" s="78" t="s">
        <v>407</v>
      </c>
      <c r="D216" s="211" t="s">
        <v>104</v>
      </c>
      <c r="E216" s="144" t="str">
        <f>BOA!B$61</f>
        <v>Triturador</v>
      </c>
      <c r="F216" s="307" t="s">
        <v>229</v>
      </c>
      <c r="G216" s="78" t="s">
        <v>221</v>
      </c>
      <c r="H216" s="307" t="s">
        <v>710</v>
      </c>
      <c r="I216" s="364" t="str">
        <f>BOA!$B$2</f>
        <v>BOA</v>
      </c>
      <c r="J216" s="273" t="s">
        <v>410</v>
      </c>
      <c r="K216" s="364">
        <v>1</v>
      </c>
      <c r="L216" s="273" t="s">
        <v>153</v>
      </c>
      <c r="M216" s="144">
        <f>BOA!G$61*(1-BOA!I$61)</f>
        <v>598.4</v>
      </c>
      <c r="N216" s="275">
        <f t="shared" si="16"/>
        <v>598.4</v>
      </c>
      <c r="O216" s="365">
        <v>0</v>
      </c>
      <c r="P216" s="275">
        <f t="shared" si="17"/>
        <v>0</v>
      </c>
      <c r="Q216" s="361">
        <v>0.16</v>
      </c>
      <c r="R216" s="275">
        <f t="shared" si="18"/>
        <v>95.744</v>
      </c>
      <c r="S216" s="275">
        <f t="shared" si="19"/>
        <v>694.14400000000001</v>
      </c>
      <c r="T216" s="229">
        <f>INDEX('Glosario Partidas'!$M$8:$M$10,MATCH(L216,'Glosario Partidas'!$L$8:$L$10,0))</f>
        <v>17.5</v>
      </c>
      <c r="U216" s="275">
        <f t="shared" si="20"/>
        <v>12147.52</v>
      </c>
      <c r="V216" s="230"/>
      <c r="W216" s="249" t="s">
        <v>12</v>
      </c>
      <c r="X216" s="249"/>
      <c r="Y216" s="249"/>
    </row>
    <row r="217" spans="1:25" ht="15" customHeight="1" x14ac:dyDescent="0.2">
      <c r="A217" s="211"/>
      <c r="B217" s="211" t="s">
        <v>193</v>
      </c>
      <c r="C217" s="78" t="s">
        <v>407</v>
      </c>
      <c r="D217" s="211" t="s">
        <v>104</v>
      </c>
      <c r="E217" s="316" t="s">
        <v>811</v>
      </c>
      <c r="F217" s="307" t="s">
        <v>229</v>
      </c>
      <c r="G217" s="78" t="s">
        <v>221</v>
      </c>
      <c r="H217" s="307" t="s">
        <v>710</v>
      </c>
      <c r="I217" s="315" t="s">
        <v>812</v>
      </c>
      <c r="J217" s="211" t="s">
        <v>410</v>
      </c>
      <c r="K217" s="224">
        <v>1</v>
      </c>
      <c r="L217" s="211" t="s">
        <v>153</v>
      </c>
      <c r="M217" s="316">
        <v>6325.8</v>
      </c>
      <c r="N217" s="310">
        <f t="shared" si="16"/>
        <v>6325.8</v>
      </c>
      <c r="O217" s="317">
        <v>0</v>
      </c>
      <c r="P217" s="227">
        <f t="shared" si="17"/>
        <v>0</v>
      </c>
      <c r="Q217" s="366">
        <v>0.16</v>
      </c>
      <c r="R217" s="310">
        <f t="shared" si="18"/>
        <v>1012.128</v>
      </c>
      <c r="S217" s="310">
        <f t="shared" si="19"/>
        <v>7337.9279999999999</v>
      </c>
      <c r="T217" s="229">
        <f>INDEX('Glosario Partidas'!$M$8:$M$10,MATCH(L217,'Glosario Partidas'!$L$8:$L$10,0))</f>
        <v>17.5</v>
      </c>
      <c r="U217" s="310">
        <f t="shared" si="20"/>
        <v>128413.73999999999</v>
      </c>
      <c r="V217" s="230" t="s">
        <v>813</v>
      </c>
      <c r="W217" s="249" t="s">
        <v>13</v>
      </c>
      <c r="X217" s="249"/>
      <c r="Y217" s="249"/>
    </row>
    <row r="218" spans="1:25" ht="15" customHeight="1" x14ac:dyDescent="0.2">
      <c r="A218" s="211"/>
      <c r="B218" s="211" t="s">
        <v>193</v>
      </c>
      <c r="C218" s="78" t="s">
        <v>407</v>
      </c>
      <c r="D218" s="211" t="s">
        <v>104</v>
      </c>
      <c r="E218" s="316" t="s">
        <v>814</v>
      </c>
      <c r="F218" s="307" t="s">
        <v>229</v>
      </c>
      <c r="G218" s="78" t="s">
        <v>221</v>
      </c>
      <c r="H218" s="307" t="s">
        <v>710</v>
      </c>
      <c r="I218" s="315" t="s">
        <v>812</v>
      </c>
      <c r="J218" s="211" t="s">
        <v>410</v>
      </c>
      <c r="K218" s="224">
        <v>1</v>
      </c>
      <c r="L218" s="211" t="s">
        <v>153</v>
      </c>
      <c r="M218" s="316">
        <v>204</v>
      </c>
      <c r="N218" s="310">
        <f t="shared" si="16"/>
        <v>204</v>
      </c>
      <c r="O218" s="317">
        <v>0</v>
      </c>
      <c r="P218" s="227">
        <f t="shared" si="17"/>
        <v>0</v>
      </c>
      <c r="Q218" s="366">
        <v>0.16</v>
      </c>
      <c r="R218" s="310">
        <f t="shared" si="18"/>
        <v>32.64</v>
      </c>
      <c r="S218" s="310">
        <f t="shared" si="19"/>
        <v>236.64</v>
      </c>
      <c r="T218" s="229">
        <f>INDEX('Glosario Partidas'!$M$8:$M$10,MATCH(L218,'Glosario Partidas'!$L$8:$L$10,0))</f>
        <v>17.5</v>
      </c>
      <c r="U218" s="310">
        <f t="shared" si="20"/>
        <v>4141.2</v>
      </c>
      <c r="V218" s="230" t="s">
        <v>815</v>
      </c>
      <c r="W218" s="249" t="s">
        <v>13</v>
      </c>
      <c r="X218" s="249"/>
      <c r="Y218" s="249"/>
    </row>
    <row r="219" spans="1:25" ht="15" customHeight="1" x14ac:dyDescent="0.2">
      <c r="A219" s="211"/>
      <c r="B219" s="211" t="s">
        <v>193</v>
      </c>
      <c r="C219" s="78" t="s">
        <v>407</v>
      </c>
      <c r="D219" s="211" t="s">
        <v>102</v>
      </c>
      <c r="E219" s="144" t="str">
        <f>BOA!B$29</f>
        <v>Estufa de gas de 48" con 6 quemadores profesionales y plancha, LP</v>
      </c>
      <c r="F219" s="307" t="s">
        <v>229</v>
      </c>
      <c r="G219" s="78" t="s">
        <v>354</v>
      </c>
      <c r="H219" s="307" t="s">
        <v>713</v>
      </c>
      <c r="I219" s="364" t="str">
        <f>BOA!$B$2</f>
        <v>BOA</v>
      </c>
      <c r="J219" s="273" t="s">
        <v>410</v>
      </c>
      <c r="K219" s="364">
        <v>1</v>
      </c>
      <c r="L219" s="273" t="s">
        <v>153</v>
      </c>
      <c r="M219" s="144">
        <f>BOA!G$29*(1-BOA!I$29)</f>
        <v>10729.199999999999</v>
      </c>
      <c r="N219" s="275">
        <f t="shared" si="16"/>
        <v>10729.199999999999</v>
      </c>
      <c r="O219" s="365">
        <v>0</v>
      </c>
      <c r="P219" s="275">
        <f t="shared" si="17"/>
        <v>0</v>
      </c>
      <c r="Q219" s="361">
        <v>0.16</v>
      </c>
      <c r="R219" s="275">
        <f t="shared" si="18"/>
        <v>1716.6719999999998</v>
      </c>
      <c r="S219" s="275">
        <f t="shared" si="19"/>
        <v>12445.871999999999</v>
      </c>
      <c r="T219" s="229">
        <f>INDEX('Glosario Partidas'!$M$8:$M$10,MATCH(L219,'Glosario Partidas'!$L$8:$L$10,0))</f>
        <v>17.5</v>
      </c>
      <c r="U219" s="275">
        <f t="shared" si="20"/>
        <v>217802.75999999998</v>
      </c>
      <c r="V219" s="230"/>
      <c r="W219" s="249" t="s">
        <v>12</v>
      </c>
      <c r="X219" s="249"/>
      <c r="Y219" s="249"/>
    </row>
    <row r="220" spans="1:25" ht="15" customHeight="1" x14ac:dyDescent="0.2">
      <c r="A220" s="211"/>
      <c r="B220" s="211" t="s">
        <v>193</v>
      </c>
      <c r="C220" s="78" t="s">
        <v>407</v>
      </c>
      <c r="D220" s="211" t="s">
        <v>102</v>
      </c>
      <c r="E220" s="144" t="str">
        <f>BOA!B$30</f>
        <v>Campana profesional para revestir, forro de acero inox., 46" x 19"</v>
      </c>
      <c r="F220" s="307" t="s">
        <v>229</v>
      </c>
      <c r="G220" s="78" t="s">
        <v>354</v>
      </c>
      <c r="H220" s="307" t="s">
        <v>713</v>
      </c>
      <c r="I220" s="364" t="str">
        <f>BOA!$B$2</f>
        <v>BOA</v>
      </c>
      <c r="J220" s="273" t="s">
        <v>410</v>
      </c>
      <c r="K220" s="364">
        <v>1</v>
      </c>
      <c r="L220" s="273" t="s">
        <v>153</v>
      </c>
      <c r="M220" s="144">
        <f>BOA!G$30*(1-BOA!I$30)</f>
        <v>1522.2</v>
      </c>
      <c r="N220" s="275">
        <f t="shared" si="16"/>
        <v>1522.2</v>
      </c>
      <c r="O220" s="365">
        <v>0</v>
      </c>
      <c r="P220" s="275">
        <f t="shared" si="17"/>
        <v>0</v>
      </c>
      <c r="Q220" s="361">
        <v>0.16</v>
      </c>
      <c r="R220" s="275">
        <f t="shared" si="18"/>
        <v>243.55200000000002</v>
      </c>
      <c r="S220" s="275">
        <f t="shared" si="19"/>
        <v>1765.752</v>
      </c>
      <c r="T220" s="229">
        <f>INDEX('Glosario Partidas'!$M$8:$M$10,MATCH(L220,'Glosario Partidas'!$L$8:$L$10,0))</f>
        <v>17.5</v>
      </c>
      <c r="U220" s="275">
        <f t="shared" si="20"/>
        <v>30900.66</v>
      </c>
      <c r="V220" s="230"/>
      <c r="W220" s="249" t="s">
        <v>12</v>
      </c>
      <c r="X220" s="249"/>
      <c r="Y220" s="249"/>
    </row>
    <row r="221" spans="1:25" ht="15" customHeight="1" x14ac:dyDescent="0.2">
      <c r="A221" s="211"/>
      <c r="B221" s="211" t="s">
        <v>193</v>
      </c>
      <c r="C221" s="78" t="s">
        <v>407</v>
      </c>
      <c r="D221" s="211" t="s">
        <v>102</v>
      </c>
      <c r="E221" s="144" t="str">
        <f>BOA!B$31</f>
        <v>Motor de extracción interno para campanas de pared interiores, 1200 CFM</v>
      </c>
      <c r="F221" s="307" t="s">
        <v>229</v>
      </c>
      <c r="G221" s="78" t="s">
        <v>354</v>
      </c>
      <c r="H221" s="307" t="s">
        <v>713</v>
      </c>
      <c r="I221" s="364" t="str">
        <f>BOA!$B$2</f>
        <v>BOA</v>
      </c>
      <c r="J221" s="273" t="s">
        <v>410</v>
      </c>
      <c r="K221" s="364">
        <v>1</v>
      </c>
      <c r="L221" s="273" t="s">
        <v>153</v>
      </c>
      <c r="M221" s="144">
        <f>BOA!G$31*(1-BOA!I$31)</f>
        <v>1142.4000000000001</v>
      </c>
      <c r="N221" s="275">
        <f t="shared" si="16"/>
        <v>1142.4000000000001</v>
      </c>
      <c r="O221" s="365">
        <v>0</v>
      </c>
      <c r="P221" s="275">
        <f t="shared" si="17"/>
        <v>0</v>
      </c>
      <c r="Q221" s="361">
        <v>0.16</v>
      </c>
      <c r="R221" s="275">
        <f t="shared" si="18"/>
        <v>182.78400000000002</v>
      </c>
      <c r="S221" s="275">
        <f t="shared" si="19"/>
        <v>1325.1840000000002</v>
      </c>
      <c r="T221" s="229">
        <f>INDEX('Glosario Partidas'!$M$8:$M$10,MATCH(L221,'Glosario Partidas'!$L$8:$L$10,0))</f>
        <v>17.5</v>
      </c>
      <c r="U221" s="275">
        <f t="shared" si="20"/>
        <v>23190.720000000005</v>
      </c>
      <c r="V221" s="230"/>
      <c r="W221" s="249" t="s">
        <v>12</v>
      </c>
      <c r="X221" s="249"/>
      <c r="Y221" s="249"/>
    </row>
    <row r="222" spans="1:25" ht="15" customHeight="1" x14ac:dyDescent="0.2">
      <c r="A222" s="211"/>
      <c r="B222" s="211" t="s">
        <v>193</v>
      </c>
      <c r="C222" s="78" t="s">
        <v>407</v>
      </c>
      <c r="D222" s="211" t="s">
        <v>102</v>
      </c>
      <c r="E222" s="144" t="str">
        <f>BOA!B$32</f>
        <v>Refrigerador y congelador panelable (puerta francesa) de 48"</v>
      </c>
      <c r="F222" s="307" t="s">
        <v>229</v>
      </c>
      <c r="G222" s="78" t="s">
        <v>354</v>
      </c>
      <c r="H222" s="307" t="s">
        <v>713</v>
      </c>
      <c r="I222" s="364" t="str">
        <f>BOA!$B$2</f>
        <v>BOA</v>
      </c>
      <c r="J222" s="273" t="s">
        <v>410</v>
      </c>
      <c r="K222" s="364">
        <v>1</v>
      </c>
      <c r="L222" s="273" t="s">
        <v>153</v>
      </c>
      <c r="M222" s="144">
        <f>BOA!G$32*(1-BOA!I$32)</f>
        <v>11409.6</v>
      </c>
      <c r="N222" s="275">
        <f t="shared" si="16"/>
        <v>11409.6</v>
      </c>
      <c r="O222" s="365">
        <v>0</v>
      </c>
      <c r="P222" s="275">
        <f t="shared" si="17"/>
        <v>0</v>
      </c>
      <c r="Q222" s="361">
        <v>0.16</v>
      </c>
      <c r="R222" s="275">
        <f t="shared" si="18"/>
        <v>1825.5360000000001</v>
      </c>
      <c r="S222" s="275">
        <f t="shared" si="19"/>
        <v>13235.136</v>
      </c>
      <c r="T222" s="229">
        <f>INDEX('Glosario Partidas'!$M$8:$M$10,MATCH(L222,'Glosario Partidas'!$L$8:$L$10,0))</f>
        <v>17.5</v>
      </c>
      <c r="U222" s="275">
        <f t="shared" si="20"/>
        <v>231614.88</v>
      </c>
      <c r="V222" s="230"/>
      <c r="W222" s="249" t="s">
        <v>12</v>
      </c>
      <c r="X222" s="249"/>
      <c r="Y222" s="249"/>
    </row>
    <row r="223" spans="1:25" ht="15" customHeight="1" x14ac:dyDescent="0.2">
      <c r="A223" s="211"/>
      <c r="B223" s="211" t="s">
        <v>193</v>
      </c>
      <c r="C223" s="78" t="s">
        <v>407</v>
      </c>
      <c r="D223" s="211" t="s">
        <v>102</v>
      </c>
      <c r="E223" s="144" t="str">
        <f>BOA!B$33</f>
        <v>Kit de montaje para panel frontal</v>
      </c>
      <c r="F223" s="307" t="s">
        <v>229</v>
      </c>
      <c r="G223" s="78" t="s">
        <v>354</v>
      </c>
      <c r="H223" s="307" t="s">
        <v>713</v>
      </c>
      <c r="I223" s="364" t="str">
        <f>BOA!$B$2</f>
        <v>BOA</v>
      </c>
      <c r="J223" s="273" t="s">
        <v>410</v>
      </c>
      <c r="K223" s="364">
        <v>1</v>
      </c>
      <c r="L223" s="273" t="s">
        <v>153</v>
      </c>
      <c r="M223" s="144">
        <f>BOA!G$33*(1-BOA!I$33)</f>
        <v>111.2</v>
      </c>
      <c r="N223" s="275">
        <f t="shared" si="16"/>
        <v>111.2</v>
      </c>
      <c r="O223" s="365">
        <v>0</v>
      </c>
      <c r="P223" s="275">
        <f t="shared" si="17"/>
        <v>0</v>
      </c>
      <c r="Q223" s="361">
        <v>0.16</v>
      </c>
      <c r="R223" s="275">
        <f t="shared" si="18"/>
        <v>17.792000000000002</v>
      </c>
      <c r="S223" s="275">
        <f t="shared" si="19"/>
        <v>128.99200000000002</v>
      </c>
      <c r="T223" s="229">
        <f>INDEX('Glosario Partidas'!$M$8:$M$10,MATCH(L223,'Glosario Partidas'!$L$8:$L$10,0))</f>
        <v>17.5</v>
      </c>
      <c r="U223" s="275">
        <f t="shared" si="20"/>
        <v>2257.36</v>
      </c>
      <c r="V223" s="230"/>
      <c r="W223" s="249" t="s">
        <v>12</v>
      </c>
      <c r="X223" s="249"/>
      <c r="Y223" s="249"/>
    </row>
    <row r="224" spans="1:25" ht="15" customHeight="1" x14ac:dyDescent="0.2">
      <c r="A224" s="211"/>
      <c r="B224" s="211" t="s">
        <v>193</v>
      </c>
      <c r="C224" s="78" t="s">
        <v>407</v>
      </c>
      <c r="D224" s="211" t="s">
        <v>102</v>
      </c>
      <c r="E224" s="144" t="str">
        <f>BOA!B$34</f>
        <v>Jaladera tubular para puerta arriba</v>
      </c>
      <c r="F224" s="307" t="s">
        <v>229</v>
      </c>
      <c r="G224" s="78" t="s">
        <v>354</v>
      </c>
      <c r="H224" s="307" t="s">
        <v>713</v>
      </c>
      <c r="I224" s="364" t="str">
        <f>BOA!$B$2</f>
        <v>BOA</v>
      </c>
      <c r="J224" s="273" t="s">
        <v>410</v>
      </c>
      <c r="K224" s="364">
        <v>2</v>
      </c>
      <c r="L224" s="273" t="s">
        <v>153</v>
      </c>
      <c r="M224" s="144">
        <f>BOA!G$34*(1-BOA!I$34)</f>
        <v>213.60000000000002</v>
      </c>
      <c r="N224" s="275">
        <f t="shared" si="16"/>
        <v>427.20000000000005</v>
      </c>
      <c r="O224" s="365">
        <v>0</v>
      </c>
      <c r="P224" s="275">
        <f t="shared" si="17"/>
        <v>0</v>
      </c>
      <c r="Q224" s="361">
        <v>0.16</v>
      </c>
      <c r="R224" s="275">
        <f t="shared" si="18"/>
        <v>68.352000000000004</v>
      </c>
      <c r="S224" s="275">
        <f t="shared" si="19"/>
        <v>495.55200000000002</v>
      </c>
      <c r="T224" s="229">
        <f>INDEX('Glosario Partidas'!$M$8:$M$10,MATCH(L224,'Glosario Partidas'!$L$8:$L$10,0))</f>
        <v>17.5</v>
      </c>
      <c r="U224" s="275">
        <f t="shared" si="20"/>
        <v>8672.16</v>
      </c>
      <c r="V224" s="230"/>
      <c r="W224" s="249" t="s">
        <v>12</v>
      </c>
      <c r="X224" s="249"/>
      <c r="Y224" s="249"/>
    </row>
    <row r="225" spans="1:25" ht="15" customHeight="1" x14ac:dyDescent="0.2">
      <c r="A225" s="211"/>
      <c r="B225" s="211" t="s">
        <v>193</v>
      </c>
      <c r="C225" s="78" t="s">
        <v>407</v>
      </c>
      <c r="D225" s="211" t="s">
        <v>102</v>
      </c>
      <c r="E225" s="144" t="str">
        <f>BOA!B$35</f>
        <v>Jaladera tubular para cajón de 48"</v>
      </c>
      <c r="F225" s="307" t="s">
        <v>229</v>
      </c>
      <c r="G225" s="78" t="s">
        <v>354</v>
      </c>
      <c r="H225" s="307" t="s">
        <v>713</v>
      </c>
      <c r="I225" s="364" t="str">
        <f>BOA!$B$2</f>
        <v>BOA</v>
      </c>
      <c r="J225" s="273" t="s">
        <v>410</v>
      </c>
      <c r="K225" s="364">
        <v>1</v>
      </c>
      <c r="L225" s="273" t="s">
        <v>153</v>
      </c>
      <c r="M225" s="144">
        <f>BOA!G$35*(1-BOA!I$35)</f>
        <v>213.60000000000002</v>
      </c>
      <c r="N225" s="275">
        <f t="shared" si="16"/>
        <v>213.60000000000002</v>
      </c>
      <c r="O225" s="365">
        <v>0</v>
      </c>
      <c r="P225" s="275">
        <f t="shared" si="17"/>
        <v>0</v>
      </c>
      <c r="Q225" s="361">
        <v>0.16</v>
      </c>
      <c r="R225" s="275">
        <f t="shared" si="18"/>
        <v>34.176000000000002</v>
      </c>
      <c r="S225" s="275">
        <f t="shared" si="19"/>
        <v>247.77600000000001</v>
      </c>
      <c r="T225" s="229">
        <f>INDEX('Glosario Partidas'!$M$8:$M$10,MATCH(L225,'Glosario Partidas'!$L$8:$L$10,0))</f>
        <v>17.5</v>
      </c>
      <c r="U225" s="275">
        <f t="shared" si="20"/>
        <v>4336.08</v>
      </c>
      <c r="V225" s="230"/>
      <c r="W225" s="249" t="s">
        <v>12</v>
      </c>
      <c r="X225" s="249"/>
      <c r="Y225" s="249"/>
    </row>
    <row r="226" spans="1:25" ht="15" customHeight="1" x14ac:dyDescent="0.2">
      <c r="A226" s="211"/>
      <c r="B226" s="211" t="s">
        <v>193</v>
      </c>
      <c r="C226" s="78" t="s">
        <v>407</v>
      </c>
      <c r="D226" s="211" t="s">
        <v>102</v>
      </c>
      <c r="E226" s="144" t="str">
        <f>BOA!B$36</f>
        <v>Kit de instalación</v>
      </c>
      <c r="F226" s="307" t="s">
        <v>229</v>
      </c>
      <c r="G226" s="78" t="s">
        <v>354</v>
      </c>
      <c r="H226" s="307" t="s">
        <v>713</v>
      </c>
      <c r="I226" s="364" t="str">
        <f>BOA!$B$2</f>
        <v>BOA</v>
      </c>
      <c r="J226" s="273" t="s">
        <v>410</v>
      </c>
      <c r="K226" s="364">
        <v>1</v>
      </c>
      <c r="L226" s="273" t="s">
        <v>153</v>
      </c>
      <c r="M226" s="144">
        <f>BOA!G$36*(1-BOA!I$36)</f>
        <v>96</v>
      </c>
      <c r="N226" s="275">
        <f t="shared" si="16"/>
        <v>96</v>
      </c>
      <c r="O226" s="365">
        <v>0</v>
      </c>
      <c r="P226" s="275">
        <f t="shared" si="17"/>
        <v>0</v>
      </c>
      <c r="Q226" s="361">
        <v>0.16</v>
      </c>
      <c r="R226" s="275">
        <f t="shared" si="18"/>
        <v>15.36</v>
      </c>
      <c r="S226" s="275">
        <f t="shared" si="19"/>
        <v>111.36</v>
      </c>
      <c r="T226" s="229">
        <f>INDEX('Glosario Partidas'!$M$8:$M$10,MATCH(L226,'Glosario Partidas'!$L$8:$L$10,0))</f>
        <v>17.5</v>
      </c>
      <c r="U226" s="275">
        <f t="shared" si="20"/>
        <v>1948.8</v>
      </c>
      <c r="V226" s="230"/>
      <c r="W226" s="249" t="s">
        <v>12</v>
      </c>
      <c r="X226" s="249"/>
      <c r="Y226" s="249"/>
    </row>
    <row r="227" spans="1:25" ht="15" customHeight="1" x14ac:dyDescent="0.2">
      <c r="A227" s="211"/>
      <c r="B227" s="211" t="s">
        <v>193</v>
      </c>
      <c r="C227" s="78" t="s">
        <v>407</v>
      </c>
      <c r="D227" s="211" t="s">
        <v>102</v>
      </c>
      <c r="E227" s="144" t="str">
        <f>BOA!B$37</f>
        <v>Microondas con puerta drop down de 30", serie E</v>
      </c>
      <c r="F227" s="307" t="s">
        <v>229</v>
      </c>
      <c r="G227" s="78" t="s">
        <v>354</v>
      </c>
      <c r="H227" s="307" t="s">
        <v>713</v>
      </c>
      <c r="I227" s="364" t="str">
        <f>BOA!$B$2</f>
        <v>BOA</v>
      </c>
      <c r="J227" s="273" t="s">
        <v>410</v>
      </c>
      <c r="K227" s="364">
        <v>1</v>
      </c>
      <c r="L227" s="273" t="s">
        <v>153</v>
      </c>
      <c r="M227" s="144">
        <f>BOA!G$37*(1-BOA!I$37)</f>
        <v>2481.6</v>
      </c>
      <c r="N227" s="275">
        <f t="shared" si="16"/>
        <v>2481.6</v>
      </c>
      <c r="O227" s="365">
        <v>0</v>
      </c>
      <c r="P227" s="275">
        <f t="shared" si="17"/>
        <v>0</v>
      </c>
      <c r="Q227" s="361">
        <v>0.16</v>
      </c>
      <c r="R227" s="275">
        <f t="shared" si="18"/>
        <v>397.05599999999998</v>
      </c>
      <c r="S227" s="275">
        <f t="shared" si="19"/>
        <v>2878.6559999999999</v>
      </c>
      <c r="T227" s="229">
        <f>INDEX('Glosario Partidas'!$M$8:$M$10,MATCH(L227,'Glosario Partidas'!$L$8:$L$10,0))</f>
        <v>17.5</v>
      </c>
      <c r="U227" s="275">
        <f t="shared" si="20"/>
        <v>50376.479999999996</v>
      </c>
      <c r="V227" s="230"/>
      <c r="W227" s="249" t="s">
        <v>12</v>
      </c>
      <c r="X227" s="249"/>
      <c r="Y227" s="249"/>
    </row>
    <row r="228" spans="1:25" ht="15" customHeight="1" x14ac:dyDescent="0.2">
      <c r="A228" s="211"/>
      <c r="B228" s="211" t="s">
        <v>193</v>
      </c>
      <c r="C228" s="78" t="s">
        <v>407</v>
      </c>
      <c r="D228" s="211" t="s">
        <v>102</v>
      </c>
      <c r="E228" s="144" t="str">
        <f>BOA!B$38</f>
        <v>Lavavajillas panelable para 16 juegos (con gola)</v>
      </c>
      <c r="F228" s="307" t="s">
        <v>229</v>
      </c>
      <c r="G228" s="78" t="s">
        <v>354</v>
      </c>
      <c r="H228" s="307" t="s">
        <v>713</v>
      </c>
      <c r="I228" s="364" t="str">
        <f>BOA!$B$2</f>
        <v>BOA</v>
      </c>
      <c r="J228" s="273" t="s">
        <v>410</v>
      </c>
      <c r="K228" s="364">
        <v>1</v>
      </c>
      <c r="L228" s="273" t="s">
        <v>153</v>
      </c>
      <c r="M228" s="144">
        <f>BOA!G$38*(1-BOA!I$38)</f>
        <v>1543.2</v>
      </c>
      <c r="N228" s="275">
        <f t="shared" si="16"/>
        <v>1543.2</v>
      </c>
      <c r="O228" s="365">
        <v>0</v>
      </c>
      <c r="P228" s="275">
        <f t="shared" si="17"/>
        <v>0</v>
      </c>
      <c r="Q228" s="361">
        <v>0.16</v>
      </c>
      <c r="R228" s="275">
        <f t="shared" si="18"/>
        <v>246.91200000000001</v>
      </c>
      <c r="S228" s="275">
        <f t="shared" si="19"/>
        <v>1790.1120000000001</v>
      </c>
      <c r="T228" s="229">
        <f>INDEX('Glosario Partidas'!$M$8:$M$10,MATCH(L228,'Glosario Partidas'!$L$8:$L$10,0))</f>
        <v>17.5</v>
      </c>
      <c r="U228" s="275">
        <f t="shared" si="20"/>
        <v>31326.960000000003</v>
      </c>
      <c r="V228" s="230"/>
      <c r="W228" s="249" t="s">
        <v>12</v>
      </c>
      <c r="X228" s="249"/>
      <c r="Y228" s="249"/>
    </row>
    <row r="229" spans="1:25" ht="15" customHeight="1" x14ac:dyDescent="0.2">
      <c r="A229" s="211"/>
      <c r="B229" s="211" t="s">
        <v>193</v>
      </c>
      <c r="C229" s="78" t="s">
        <v>407</v>
      </c>
      <c r="D229" s="211" t="s">
        <v>102</v>
      </c>
      <c r="E229" s="144" t="str">
        <f>BOA!B$39</f>
        <v>Centro de bebidas bajo cubierta 24", apertura derecha ADA</v>
      </c>
      <c r="F229" s="307" t="s">
        <v>229</v>
      </c>
      <c r="G229" s="78" t="s">
        <v>354</v>
      </c>
      <c r="H229" s="307" t="s">
        <v>713</v>
      </c>
      <c r="I229" s="364" t="str">
        <f>BOA!$B$2</f>
        <v>BOA</v>
      </c>
      <c r="J229" s="273" t="s">
        <v>410</v>
      </c>
      <c r="K229" s="364">
        <v>1</v>
      </c>
      <c r="L229" s="273" t="s">
        <v>153</v>
      </c>
      <c r="M229" s="144">
        <f>BOA!G$39*(1-BOA!I$39)</f>
        <v>2740.7999999999997</v>
      </c>
      <c r="N229" s="275">
        <f t="shared" si="16"/>
        <v>2740.7999999999997</v>
      </c>
      <c r="O229" s="365">
        <v>0</v>
      </c>
      <c r="P229" s="275">
        <f t="shared" si="17"/>
        <v>0</v>
      </c>
      <c r="Q229" s="361">
        <v>0.16</v>
      </c>
      <c r="R229" s="275">
        <f t="shared" si="18"/>
        <v>438.52799999999996</v>
      </c>
      <c r="S229" s="275">
        <f t="shared" si="19"/>
        <v>3179.3279999999995</v>
      </c>
      <c r="T229" s="229">
        <f>INDEX('Glosario Partidas'!$M$8:$M$10,MATCH(L229,'Glosario Partidas'!$L$8:$L$10,0))</f>
        <v>17.5</v>
      </c>
      <c r="U229" s="275">
        <f t="shared" si="20"/>
        <v>55638.239999999991</v>
      </c>
      <c r="V229" s="230"/>
      <c r="W229" s="249" t="s">
        <v>12</v>
      </c>
      <c r="X229" s="249"/>
      <c r="Y229" s="249"/>
    </row>
    <row r="230" spans="1:25" ht="15" customHeight="1" x14ac:dyDescent="0.2">
      <c r="A230" s="211"/>
      <c r="B230" s="211" t="s">
        <v>193</v>
      </c>
      <c r="C230" s="78" t="s">
        <v>407</v>
      </c>
      <c r="D230" s="211" t="s">
        <v>102</v>
      </c>
      <c r="E230" s="144" t="str">
        <f>BOA!B$43</f>
        <v>Jaladera tubular</v>
      </c>
      <c r="F230" s="307" t="s">
        <v>229</v>
      </c>
      <c r="G230" s="78" t="s">
        <v>354</v>
      </c>
      <c r="H230" s="307" t="s">
        <v>713</v>
      </c>
      <c r="I230" s="364" t="str">
        <f>BOA!$B$2</f>
        <v>BOA</v>
      </c>
      <c r="J230" s="273" t="s">
        <v>410</v>
      </c>
      <c r="K230" s="364">
        <v>1</v>
      </c>
      <c r="L230" s="273" t="s">
        <v>153</v>
      </c>
      <c r="M230" s="144">
        <f>BOA!G$43*(1-BOA!I$43)</f>
        <v>185.60000000000002</v>
      </c>
      <c r="N230" s="275">
        <f t="shared" si="16"/>
        <v>185.60000000000002</v>
      </c>
      <c r="O230" s="365">
        <v>0</v>
      </c>
      <c r="P230" s="275">
        <f t="shared" si="17"/>
        <v>0</v>
      </c>
      <c r="Q230" s="361">
        <v>0.16</v>
      </c>
      <c r="R230" s="275">
        <f t="shared" si="18"/>
        <v>29.696000000000005</v>
      </c>
      <c r="S230" s="275">
        <f t="shared" si="19"/>
        <v>215.29600000000002</v>
      </c>
      <c r="T230" s="229">
        <f>INDEX('Glosario Partidas'!$M$8:$M$10,MATCH(L230,'Glosario Partidas'!$L$8:$L$10,0))</f>
        <v>17.5</v>
      </c>
      <c r="U230" s="275">
        <f t="shared" si="20"/>
        <v>3767.6800000000003</v>
      </c>
      <c r="V230" s="230"/>
      <c r="W230" s="249" t="s">
        <v>12</v>
      </c>
      <c r="X230" s="249"/>
      <c r="Y230" s="249"/>
    </row>
    <row r="231" spans="1:25" ht="15" customHeight="1" x14ac:dyDescent="0.2">
      <c r="A231" s="211"/>
      <c r="B231" s="211" t="s">
        <v>193</v>
      </c>
      <c r="C231" s="78" t="s">
        <v>407</v>
      </c>
      <c r="D231" s="211" t="s">
        <v>102</v>
      </c>
      <c r="E231" s="144" t="str">
        <f>BOA!B$44</f>
        <v>Kit de instalación</v>
      </c>
      <c r="F231" s="307" t="s">
        <v>229</v>
      </c>
      <c r="G231" s="78" t="s">
        <v>354</v>
      </c>
      <c r="H231" s="307" t="s">
        <v>713</v>
      </c>
      <c r="I231" s="364" t="str">
        <f>BOA!$B$2</f>
        <v>BOA</v>
      </c>
      <c r="J231" s="273" t="s">
        <v>410</v>
      </c>
      <c r="K231" s="364">
        <v>1</v>
      </c>
      <c r="L231" s="273" t="s">
        <v>153</v>
      </c>
      <c r="M231" s="144">
        <f>BOA!G$44*(1-BOA!I$44)</f>
        <v>96</v>
      </c>
      <c r="N231" s="275">
        <f t="shared" si="16"/>
        <v>96</v>
      </c>
      <c r="O231" s="365">
        <v>0</v>
      </c>
      <c r="P231" s="275">
        <f t="shared" si="17"/>
        <v>0</v>
      </c>
      <c r="Q231" s="361">
        <v>0.16</v>
      </c>
      <c r="R231" s="275">
        <f t="shared" si="18"/>
        <v>15.36</v>
      </c>
      <c r="S231" s="275">
        <f t="shared" si="19"/>
        <v>111.36</v>
      </c>
      <c r="T231" s="229">
        <f>INDEX('Glosario Partidas'!$M$8:$M$10,MATCH(L231,'Glosario Partidas'!$L$8:$L$10,0))</f>
        <v>17.5</v>
      </c>
      <c r="U231" s="275">
        <f t="shared" si="20"/>
        <v>1948.8</v>
      </c>
      <c r="V231" s="230"/>
      <c r="W231" s="249" t="s">
        <v>12</v>
      </c>
      <c r="X231" s="249"/>
      <c r="Y231" s="249"/>
    </row>
    <row r="232" spans="1:25" ht="15" customHeight="1" x14ac:dyDescent="0.2">
      <c r="A232" s="211"/>
      <c r="B232" s="211" t="s">
        <v>193</v>
      </c>
      <c r="C232" s="78" t="s">
        <v>407</v>
      </c>
      <c r="D232" s="211" t="s">
        <v>102</v>
      </c>
      <c r="E232" s="144" t="str">
        <f>BOA!B$45</f>
        <v>Tarja</v>
      </c>
      <c r="F232" s="307" t="s">
        <v>229</v>
      </c>
      <c r="G232" s="78" t="s">
        <v>354</v>
      </c>
      <c r="H232" s="307" t="s">
        <v>713</v>
      </c>
      <c r="I232" s="364" t="str">
        <f>BOA!$B$2</f>
        <v>BOA</v>
      </c>
      <c r="J232" s="273" t="s">
        <v>410</v>
      </c>
      <c r="K232" s="364">
        <v>1</v>
      </c>
      <c r="L232" s="273" t="s">
        <v>153</v>
      </c>
      <c r="M232" s="144">
        <f>BOA!G$45*(1-BOA!I$45)</f>
        <v>1040</v>
      </c>
      <c r="N232" s="275">
        <f t="shared" si="16"/>
        <v>1040</v>
      </c>
      <c r="O232" s="365">
        <v>0</v>
      </c>
      <c r="P232" s="275">
        <f t="shared" si="17"/>
        <v>0</v>
      </c>
      <c r="Q232" s="361">
        <v>0.16</v>
      </c>
      <c r="R232" s="275">
        <f t="shared" si="18"/>
        <v>166.4</v>
      </c>
      <c r="S232" s="275">
        <f t="shared" si="19"/>
        <v>1206.4000000000001</v>
      </c>
      <c r="T232" s="229">
        <f>INDEX('Glosario Partidas'!$M$8:$M$10,MATCH(L232,'Glosario Partidas'!$L$8:$L$10,0))</f>
        <v>17.5</v>
      </c>
      <c r="U232" s="275">
        <f t="shared" si="20"/>
        <v>21112</v>
      </c>
      <c r="V232" s="230"/>
      <c r="W232" s="249" t="s">
        <v>12</v>
      </c>
      <c r="X232" s="249"/>
      <c r="Y232" s="249"/>
    </row>
    <row r="233" spans="1:25" ht="15" customHeight="1" x14ac:dyDescent="0.2">
      <c r="A233" s="211"/>
      <c r="B233" s="211" t="s">
        <v>193</v>
      </c>
      <c r="C233" s="78" t="s">
        <v>407</v>
      </c>
      <c r="D233" s="211" t="s">
        <v>102</v>
      </c>
      <c r="E233" s="144" t="str">
        <f>BOA!B$46</f>
        <v>Sink</v>
      </c>
      <c r="F233" s="307" t="s">
        <v>229</v>
      </c>
      <c r="G233" s="78" t="s">
        <v>354</v>
      </c>
      <c r="H233" s="307" t="s">
        <v>713</v>
      </c>
      <c r="I233" s="364" t="str">
        <f>BOA!$B$2</f>
        <v>BOA</v>
      </c>
      <c r="J233" s="273" t="s">
        <v>410</v>
      </c>
      <c r="K233" s="364">
        <v>2</v>
      </c>
      <c r="L233" s="273" t="s">
        <v>153</v>
      </c>
      <c r="M233" s="144">
        <f>BOA!G$46*(1-BOA!I$46)</f>
        <v>104</v>
      </c>
      <c r="N233" s="275">
        <f t="shared" si="16"/>
        <v>208</v>
      </c>
      <c r="O233" s="365">
        <v>0</v>
      </c>
      <c r="P233" s="275">
        <f t="shared" si="17"/>
        <v>0</v>
      </c>
      <c r="Q233" s="361">
        <v>0.16</v>
      </c>
      <c r="R233" s="275">
        <f t="shared" si="18"/>
        <v>33.28</v>
      </c>
      <c r="S233" s="275">
        <f t="shared" si="19"/>
        <v>241.28</v>
      </c>
      <c r="T233" s="229">
        <f>INDEX('Glosario Partidas'!$M$8:$M$10,MATCH(L233,'Glosario Partidas'!$L$8:$L$10,0))</f>
        <v>17.5</v>
      </c>
      <c r="U233" s="275">
        <f t="shared" si="20"/>
        <v>4222.3999999999996</v>
      </c>
      <c r="V233" s="230"/>
      <c r="W233" s="249" t="s">
        <v>12</v>
      </c>
      <c r="X233" s="249"/>
      <c r="Y233" s="249"/>
    </row>
    <row r="234" spans="1:25" ht="15" customHeight="1" x14ac:dyDescent="0.2">
      <c r="A234" s="211"/>
      <c r="B234" s="211" t="s">
        <v>193</v>
      </c>
      <c r="C234" s="78" t="s">
        <v>407</v>
      </c>
      <c r="D234" s="211" t="s">
        <v>102</v>
      </c>
      <c r="E234" s="144" t="str">
        <f>BOA!B$47</f>
        <v>Triturador</v>
      </c>
      <c r="F234" s="307" t="s">
        <v>229</v>
      </c>
      <c r="G234" s="78" t="s">
        <v>354</v>
      </c>
      <c r="H234" s="307" t="s">
        <v>713</v>
      </c>
      <c r="I234" s="364" t="str">
        <f>BOA!$B$2</f>
        <v>BOA</v>
      </c>
      <c r="J234" s="273" t="s">
        <v>410</v>
      </c>
      <c r="K234" s="364">
        <v>1</v>
      </c>
      <c r="L234" s="273" t="s">
        <v>153</v>
      </c>
      <c r="M234" s="144">
        <f>BOA!G$47*(1-BOA!I$47)</f>
        <v>598.4</v>
      </c>
      <c r="N234" s="275">
        <f t="shared" si="16"/>
        <v>598.4</v>
      </c>
      <c r="O234" s="365">
        <v>0</v>
      </c>
      <c r="P234" s="275">
        <f t="shared" si="17"/>
        <v>0</v>
      </c>
      <c r="Q234" s="361">
        <v>0.16</v>
      </c>
      <c r="R234" s="275">
        <f t="shared" si="18"/>
        <v>95.744</v>
      </c>
      <c r="S234" s="275">
        <f t="shared" si="19"/>
        <v>694.14400000000001</v>
      </c>
      <c r="T234" s="229">
        <f>INDEX('Glosario Partidas'!$M$8:$M$10,MATCH(L234,'Glosario Partidas'!$L$8:$L$10,0))</f>
        <v>17.5</v>
      </c>
      <c r="U234" s="275">
        <f t="shared" si="20"/>
        <v>12147.52</v>
      </c>
      <c r="V234" s="230"/>
      <c r="W234" s="249" t="s">
        <v>12</v>
      </c>
      <c r="X234" s="249"/>
      <c r="Y234" s="249"/>
    </row>
    <row r="235" spans="1:25" ht="15" customHeight="1" x14ac:dyDescent="0.2">
      <c r="A235" s="211"/>
      <c r="B235" s="211" t="s">
        <v>193</v>
      </c>
      <c r="C235" s="78" t="s">
        <v>407</v>
      </c>
      <c r="D235" s="211" t="s">
        <v>104</v>
      </c>
      <c r="E235" s="144" t="str">
        <f>BOA!B$65</f>
        <v>Máquina de hielo residencial gourmet 65 lb con bomba de drenaje</v>
      </c>
      <c r="F235" s="307" t="s">
        <v>229</v>
      </c>
      <c r="G235" s="78" t="s">
        <v>355</v>
      </c>
      <c r="H235" s="307" t="s">
        <v>767</v>
      </c>
      <c r="I235" s="364" t="str">
        <f>BOA!$B$2</f>
        <v>BOA</v>
      </c>
      <c r="J235" s="273" t="s">
        <v>410</v>
      </c>
      <c r="K235" s="364">
        <v>1</v>
      </c>
      <c r="L235" s="273" t="s">
        <v>153</v>
      </c>
      <c r="M235" s="144">
        <f>BOA!G$65*(1-BOA!I$65)</f>
        <v>4768</v>
      </c>
      <c r="N235" s="275">
        <f t="shared" si="16"/>
        <v>4768</v>
      </c>
      <c r="O235" s="365">
        <v>0</v>
      </c>
      <c r="P235" s="275">
        <f t="shared" si="17"/>
        <v>0</v>
      </c>
      <c r="Q235" s="361">
        <v>0.16</v>
      </c>
      <c r="R235" s="275">
        <f t="shared" si="18"/>
        <v>762.88</v>
      </c>
      <c r="S235" s="275">
        <f t="shared" si="19"/>
        <v>5530.88</v>
      </c>
      <c r="T235" s="229">
        <f>INDEX('Glosario Partidas'!$M$8:$M$10,MATCH(L235,'Glosario Partidas'!$L$8:$L$10,0))</f>
        <v>17.5</v>
      </c>
      <c r="U235" s="275">
        <f t="shared" si="20"/>
        <v>96790.400000000009</v>
      </c>
      <c r="V235" s="230"/>
      <c r="W235" s="249" t="s">
        <v>12</v>
      </c>
      <c r="X235" s="249"/>
      <c r="Y235" s="249"/>
    </row>
    <row r="236" spans="1:25" ht="15" customHeight="1" x14ac:dyDescent="0.2">
      <c r="A236" s="211"/>
      <c r="B236" s="211" t="s">
        <v>193</v>
      </c>
      <c r="C236" s="78" t="s">
        <v>407</v>
      </c>
      <c r="D236" s="211" t="s">
        <v>104</v>
      </c>
      <c r="E236" s="144" t="str">
        <f>BOA!B$66</f>
        <v>Kit de instalación</v>
      </c>
      <c r="F236" s="307" t="s">
        <v>229</v>
      </c>
      <c r="G236" s="78" t="s">
        <v>355</v>
      </c>
      <c r="H236" s="307" t="s">
        <v>767</v>
      </c>
      <c r="I236" s="364" t="str">
        <f>BOA!$B$2</f>
        <v>BOA</v>
      </c>
      <c r="J236" s="273" t="s">
        <v>410</v>
      </c>
      <c r="K236" s="364">
        <v>1</v>
      </c>
      <c r="L236" s="273" t="s">
        <v>153</v>
      </c>
      <c r="M236" s="144">
        <f>BOA!G$66*(1-BOA!I$66)</f>
        <v>96</v>
      </c>
      <c r="N236" s="275">
        <f t="shared" si="16"/>
        <v>96</v>
      </c>
      <c r="O236" s="365">
        <v>0</v>
      </c>
      <c r="P236" s="275">
        <f t="shared" si="17"/>
        <v>0</v>
      </c>
      <c r="Q236" s="361">
        <v>0.16</v>
      </c>
      <c r="R236" s="275">
        <f t="shared" si="18"/>
        <v>15.36</v>
      </c>
      <c r="S236" s="275">
        <f t="shared" si="19"/>
        <v>111.36</v>
      </c>
      <c r="T236" s="229">
        <f>INDEX('Glosario Partidas'!$M$8:$M$10,MATCH(L236,'Glosario Partidas'!$L$8:$L$10,0))</f>
        <v>17.5</v>
      </c>
      <c r="U236" s="275">
        <f t="shared" si="20"/>
        <v>1948.8</v>
      </c>
      <c r="V236" s="230"/>
      <c r="W236" s="249" t="s">
        <v>12</v>
      </c>
      <c r="X236" s="249"/>
      <c r="Y236" s="249"/>
    </row>
    <row r="237" spans="1:25" ht="15" customHeight="1" x14ac:dyDescent="0.2">
      <c r="A237" s="211"/>
      <c r="B237" s="211" t="s">
        <v>193</v>
      </c>
      <c r="C237" s="78" t="s">
        <v>407</v>
      </c>
      <c r="D237" s="211" t="s">
        <v>104</v>
      </c>
      <c r="E237" s="144" t="str">
        <f>BOA!B$67</f>
        <v>Refrigerador bajo cubierta exterior 24", apertura derecha</v>
      </c>
      <c r="F237" s="307" t="s">
        <v>229</v>
      </c>
      <c r="G237" s="78" t="s">
        <v>355</v>
      </c>
      <c r="H237" s="307" t="s">
        <v>767</v>
      </c>
      <c r="I237" s="364" t="str">
        <f>BOA!$B$2</f>
        <v>BOA</v>
      </c>
      <c r="J237" s="273" t="s">
        <v>410</v>
      </c>
      <c r="K237" s="364">
        <v>1</v>
      </c>
      <c r="L237" s="273" t="s">
        <v>153</v>
      </c>
      <c r="M237" s="144">
        <f>BOA!G$67*(1-BOA!I$67)</f>
        <v>3326.4</v>
      </c>
      <c r="N237" s="275">
        <f t="shared" si="16"/>
        <v>3326.4</v>
      </c>
      <c r="O237" s="365">
        <v>0</v>
      </c>
      <c r="P237" s="275">
        <f t="shared" si="17"/>
        <v>0</v>
      </c>
      <c r="Q237" s="361">
        <v>0.16</v>
      </c>
      <c r="R237" s="275">
        <f t="shared" si="18"/>
        <v>532.22400000000005</v>
      </c>
      <c r="S237" s="275">
        <f t="shared" si="19"/>
        <v>3858.6240000000003</v>
      </c>
      <c r="T237" s="229">
        <f>INDEX('Glosario Partidas'!$M$8:$M$10,MATCH(L237,'Glosario Partidas'!$L$8:$L$10,0))</f>
        <v>17.5</v>
      </c>
      <c r="U237" s="275">
        <f t="shared" si="20"/>
        <v>67525.919999999998</v>
      </c>
      <c r="V237" s="230"/>
      <c r="W237" s="249" t="s">
        <v>12</v>
      </c>
      <c r="X237" s="249"/>
      <c r="Y237" s="249"/>
    </row>
    <row r="238" spans="1:25" ht="15" customHeight="1" x14ac:dyDescent="0.2">
      <c r="A238" s="211"/>
      <c r="B238" s="211" t="s">
        <v>193</v>
      </c>
      <c r="C238" s="78" t="s">
        <v>407</v>
      </c>
      <c r="D238" s="211" t="s">
        <v>104</v>
      </c>
      <c r="E238" s="144" t="str">
        <f>BOA!B$70</f>
        <v>Kit de instalación</v>
      </c>
      <c r="F238" s="307" t="s">
        <v>229</v>
      </c>
      <c r="G238" s="78" t="s">
        <v>355</v>
      </c>
      <c r="H238" s="307" t="s">
        <v>767</v>
      </c>
      <c r="I238" s="364" t="str">
        <f>BOA!$B$2</f>
        <v>BOA</v>
      </c>
      <c r="J238" s="273" t="s">
        <v>410</v>
      </c>
      <c r="K238" s="364">
        <v>1</v>
      </c>
      <c r="L238" s="273" t="s">
        <v>153</v>
      </c>
      <c r="M238" s="144">
        <f>BOA!G$70*(1-BOA!I$70)</f>
        <v>96</v>
      </c>
      <c r="N238" s="275">
        <f t="shared" si="16"/>
        <v>96</v>
      </c>
      <c r="O238" s="365">
        <v>0</v>
      </c>
      <c r="P238" s="275">
        <f t="shared" si="17"/>
        <v>0</v>
      </c>
      <c r="Q238" s="361">
        <v>0.16</v>
      </c>
      <c r="R238" s="275">
        <f t="shared" si="18"/>
        <v>15.36</v>
      </c>
      <c r="S238" s="275">
        <f t="shared" si="19"/>
        <v>111.36</v>
      </c>
      <c r="T238" s="229">
        <f>INDEX('Glosario Partidas'!$M$8:$M$10,MATCH(L238,'Glosario Partidas'!$L$8:$L$10,0))</f>
        <v>17.5</v>
      </c>
      <c r="U238" s="275">
        <f t="shared" si="20"/>
        <v>1948.8</v>
      </c>
      <c r="V238" s="230"/>
      <c r="W238" s="249" t="s">
        <v>12</v>
      </c>
      <c r="X238" s="249"/>
      <c r="Y238" s="249"/>
    </row>
    <row r="239" spans="1:25" ht="15" customHeight="1" x14ac:dyDescent="0.2">
      <c r="A239" s="211"/>
      <c r="B239" s="211" t="s">
        <v>193</v>
      </c>
      <c r="C239" s="78" t="s">
        <v>407</v>
      </c>
      <c r="D239" s="211" t="s">
        <v>104</v>
      </c>
      <c r="E239" s="144" t="str">
        <f>BOA!B$71</f>
        <v>Campana profesional para exterior acero inox., 48" x 33"</v>
      </c>
      <c r="F239" s="307" t="s">
        <v>229</v>
      </c>
      <c r="G239" s="78" t="s">
        <v>355</v>
      </c>
      <c r="H239" s="307" t="s">
        <v>767</v>
      </c>
      <c r="I239" s="364" t="str">
        <f>BOA!$B$2</f>
        <v>BOA</v>
      </c>
      <c r="J239" s="273" t="s">
        <v>410</v>
      </c>
      <c r="K239" s="364">
        <v>1</v>
      </c>
      <c r="L239" s="273" t="s">
        <v>153</v>
      </c>
      <c r="M239" s="144">
        <f>BOA!G$71*(1-BOA!I$71)</f>
        <v>2733</v>
      </c>
      <c r="N239" s="275">
        <f t="shared" si="16"/>
        <v>2733</v>
      </c>
      <c r="O239" s="365">
        <v>0</v>
      </c>
      <c r="P239" s="275">
        <f t="shared" si="17"/>
        <v>0</v>
      </c>
      <c r="Q239" s="361">
        <v>0.16</v>
      </c>
      <c r="R239" s="275">
        <f t="shared" si="18"/>
        <v>437.28000000000003</v>
      </c>
      <c r="S239" s="275">
        <f t="shared" si="19"/>
        <v>3170.28</v>
      </c>
      <c r="T239" s="229">
        <f>INDEX('Glosario Partidas'!$M$8:$M$10,MATCH(L239,'Glosario Partidas'!$L$8:$L$10,0))</f>
        <v>17.5</v>
      </c>
      <c r="U239" s="275">
        <f t="shared" si="20"/>
        <v>55479.9</v>
      </c>
      <c r="V239" s="230"/>
      <c r="W239" s="249" t="s">
        <v>12</v>
      </c>
      <c r="X239" s="249"/>
      <c r="Y239" s="249"/>
    </row>
    <row r="240" spans="1:25" ht="15" customHeight="1" x14ac:dyDescent="0.2">
      <c r="A240" s="211"/>
      <c r="B240" s="211" t="s">
        <v>193</v>
      </c>
      <c r="C240" s="78" t="s">
        <v>407</v>
      </c>
      <c r="D240" s="211" t="s">
        <v>104</v>
      </c>
      <c r="E240" s="144" t="str">
        <f>BOA!B$72</f>
        <v>Motor de extracción interno para campanas, 1200 CFM</v>
      </c>
      <c r="F240" s="307" t="s">
        <v>229</v>
      </c>
      <c r="G240" s="78" t="s">
        <v>355</v>
      </c>
      <c r="H240" s="307" t="s">
        <v>767</v>
      </c>
      <c r="I240" s="364" t="str">
        <f>BOA!$B$2</f>
        <v>BOA</v>
      </c>
      <c r="J240" s="273" t="s">
        <v>410</v>
      </c>
      <c r="K240" s="364">
        <v>1</v>
      </c>
      <c r="L240" s="273" t="s">
        <v>153</v>
      </c>
      <c r="M240" s="144">
        <f>BOA!G$72*(1-BOA!I$72)</f>
        <v>1142.4000000000001</v>
      </c>
      <c r="N240" s="275">
        <f t="shared" si="16"/>
        <v>1142.4000000000001</v>
      </c>
      <c r="O240" s="365">
        <v>0</v>
      </c>
      <c r="P240" s="275">
        <f t="shared" si="17"/>
        <v>0</v>
      </c>
      <c r="Q240" s="361">
        <v>0.16</v>
      </c>
      <c r="R240" s="275">
        <f t="shared" si="18"/>
        <v>182.78400000000002</v>
      </c>
      <c r="S240" s="275">
        <f t="shared" si="19"/>
        <v>1325.1840000000002</v>
      </c>
      <c r="T240" s="229">
        <f>INDEX('Glosario Partidas'!$M$8:$M$10,MATCH(L240,'Glosario Partidas'!$L$8:$L$10,0))</f>
        <v>17.5</v>
      </c>
      <c r="U240" s="275">
        <f t="shared" si="20"/>
        <v>23190.720000000005</v>
      </c>
      <c r="V240" s="230"/>
      <c r="W240" s="249" t="s">
        <v>12</v>
      </c>
      <c r="X240" s="249"/>
      <c r="Y240" s="249"/>
    </row>
    <row r="241" spans="1:25" ht="15" customHeight="1" x14ac:dyDescent="0.2">
      <c r="A241" s="211"/>
      <c r="B241" s="211" t="s">
        <v>193</v>
      </c>
      <c r="C241" s="78" t="s">
        <v>407</v>
      </c>
      <c r="D241" s="211" t="s">
        <v>104</v>
      </c>
      <c r="E241" s="144" t="str">
        <f>BOA!B$73</f>
        <v>Tarja</v>
      </c>
      <c r="F241" s="307" t="s">
        <v>229</v>
      </c>
      <c r="G241" s="78" t="s">
        <v>355</v>
      </c>
      <c r="H241" s="307" t="s">
        <v>767</v>
      </c>
      <c r="I241" s="364" t="str">
        <f>BOA!$B$2</f>
        <v>BOA</v>
      </c>
      <c r="J241" s="273" t="s">
        <v>410</v>
      </c>
      <c r="K241" s="364">
        <v>1</v>
      </c>
      <c r="L241" s="273" t="s">
        <v>153</v>
      </c>
      <c r="M241" s="144">
        <f>BOA!G$73*(1-BOA!I$73)</f>
        <v>1040</v>
      </c>
      <c r="N241" s="275">
        <f t="shared" si="16"/>
        <v>1040</v>
      </c>
      <c r="O241" s="365">
        <v>0</v>
      </c>
      <c r="P241" s="275">
        <f t="shared" si="17"/>
        <v>0</v>
      </c>
      <c r="Q241" s="361">
        <v>0.16</v>
      </c>
      <c r="R241" s="275">
        <f t="shared" si="18"/>
        <v>166.4</v>
      </c>
      <c r="S241" s="275">
        <f t="shared" si="19"/>
        <v>1206.4000000000001</v>
      </c>
      <c r="T241" s="229">
        <f>INDEX('Glosario Partidas'!$M$8:$M$10,MATCH(L241,'Glosario Partidas'!$L$8:$L$10,0))</f>
        <v>17.5</v>
      </c>
      <c r="U241" s="275">
        <f t="shared" si="20"/>
        <v>21112</v>
      </c>
      <c r="V241" s="230"/>
      <c r="W241" s="249" t="s">
        <v>12</v>
      </c>
      <c r="X241" s="249"/>
      <c r="Y241" s="249"/>
    </row>
    <row r="242" spans="1:25" ht="15" customHeight="1" x14ac:dyDescent="0.2">
      <c r="A242" s="211"/>
      <c r="B242" s="211" t="s">
        <v>193</v>
      </c>
      <c r="C242" s="78" t="s">
        <v>407</v>
      </c>
      <c r="D242" s="211" t="s">
        <v>104</v>
      </c>
      <c r="E242" s="144" t="str">
        <f>BOA!B$74</f>
        <v>Sink</v>
      </c>
      <c r="F242" s="307" t="s">
        <v>229</v>
      </c>
      <c r="G242" s="78" t="s">
        <v>355</v>
      </c>
      <c r="H242" s="307" t="s">
        <v>767</v>
      </c>
      <c r="I242" s="364" t="str">
        <f>BOA!$B$2</f>
        <v>BOA</v>
      </c>
      <c r="J242" s="273" t="s">
        <v>410</v>
      </c>
      <c r="K242" s="364">
        <v>2</v>
      </c>
      <c r="L242" s="273" t="s">
        <v>153</v>
      </c>
      <c r="M242" s="144">
        <f>BOA!G$74*(1-BOA!I$74)</f>
        <v>104</v>
      </c>
      <c r="N242" s="275">
        <f t="shared" si="16"/>
        <v>208</v>
      </c>
      <c r="O242" s="365">
        <v>0</v>
      </c>
      <c r="P242" s="275">
        <f t="shared" si="17"/>
        <v>0</v>
      </c>
      <c r="Q242" s="361">
        <v>0.16</v>
      </c>
      <c r="R242" s="275">
        <f t="shared" si="18"/>
        <v>33.28</v>
      </c>
      <c r="S242" s="275">
        <f t="shared" si="19"/>
        <v>241.28</v>
      </c>
      <c r="T242" s="229">
        <f>INDEX('Glosario Partidas'!$M$8:$M$10,MATCH(L242,'Glosario Partidas'!$L$8:$L$10,0))</f>
        <v>17.5</v>
      </c>
      <c r="U242" s="275">
        <f t="shared" si="20"/>
        <v>4222.3999999999996</v>
      </c>
      <c r="V242" s="230"/>
      <c r="W242" s="249" t="s">
        <v>12</v>
      </c>
      <c r="X242" s="249"/>
      <c r="Y242" s="249"/>
    </row>
    <row r="243" spans="1:25" ht="15" customHeight="1" x14ac:dyDescent="0.2">
      <c r="A243" s="211"/>
      <c r="B243" s="211" t="s">
        <v>193</v>
      </c>
      <c r="C243" s="78" t="s">
        <v>407</v>
      </c>
      <c r="D243" s="211" t="s">
        <v>104</v>
      </c>
      <c r="E243" s="144" t="str">
        <f>BOA!B$75</f>
        <v>Triturador</v>
      </c>
      <c r="F243" s="307" t="s">
        <v>229</v>
      </c>
      <c r="G243" s="78" t="s">
        <v>355</v>
      </c>
      <c r="H243" s="307" t="s">
        <v>767</v>
      </c>
      <c r="I243" s="364" t="str">
        <f>BOA!$B$2</f>
        <v>BOA</v>
      </c>
      <c r="J243" s="273" t="s">
        <v>410</v>
      </c>
      <c r="K243" s="364">
        <v>1</v>
      </c>
      <c r="L243" s="273" t="s">
        <v>153</v>
      </c>
      <c r="M243" s="144">
        <f>BOA!G$75*(1-BOA!I$75)</f>
        <v>598.4</v>
      </c>
      <c r="N243" s="275">
        <f t="shared" si="16"/>
        <v>598.4</v>
      </c>
      <c r="O243" s="365">
        <v>0</v>
      </c>
      <c r="P243" s="275">
        <f t="shared" si="17"/>
        <v>0</v>
      </c>
      <c r="Q243" s="361">
        <v>0.16</v>
      </c>
      <c r="R243" s="275">
        <f t="shared" si="18"/>
        <v>95.744</v>
      </c>
      <c r="S243" s="275">
        <f t="shared" si="19"/>
        <v>694.14400000000001</v>
      </c>
      <c r="T243" s="229">
        <f>INDEX('Glosario Partidas'!$M$8:$M$10,MATCH(L243,'Glosario Partidas'!$L$8:$L$10,0))</f>
        <v>17.5</v>
      </c>
      <c r="U243" s="275">
        <f t="shared" si="20"/>
        <v>12147.52</v>
      </c>
      <c r="V243" s="230"/>
      <c r="W243" s="249" t="s">
        <v>12</v>
      </c>
      <c r="X243" s="249"/>
      <c r="Y243" s="249"/>
    </row>
    <row r="244" spans="1:25" ht="15" customHeight="1" x14ac:dyDescent="0.2">
      <c r="A244" s="211"/>
      <c r="B244" s="211" t="s">
        <v>193</v>
      </c>
      <c r="C244" s="78" t="s">
        <v>407</v>
      </c>
      <c r="D244" s="211" t="s">
        <v>104</v>
      </c>
      <c r="E244" s="316" t="s">
        <v>811</v>
      </c>
      <c r="F244" s="307" t="s">
        <v>229</v>
      </c>
      <c r="G244" s="78" t="s">
        <v>355</v>
      </c>
      <c r="H244" s="307" t="s">
        <v>767</v>
      </c>
      <c r="I244" s="315" t="s">
        <v>812</v>
      </c>
      <c r="J244" s="211" t="s">
        <v>410</v>
      </c>
      <c r="K244" s="224">
        <v>1</v>
      </c>
      <c r="L244" s="211" t="s">
        <v>153</v>
      </c>
      <c r="M244" s="316">
        <v>6325.8</v>
      </c>
      <c r="N244" s="310">
        <f t="shared" si="16"/>
        <v>6325.8</v>
      </c>
      <c r="O244" s="317">
        <v>0</v>
      </c>
      <c r="P244" s="227">
        <f t="shared" si="17"/>
        <v>0</v>
      </c>
      <c r="Q244" s="366">
        <v>0.16</v>
      </c>
      <c r="R244" s="310">
        <f t="shared" si="18"/>
        <v>1012.128</v>
      </c>
      <c r="S244" s="310">
        <f t="shared" si="19"/>
        <v>7337.9279999999999</v>
      </c>
      <c r="T244" s="229">
        <f>INDEX('Glosario Partidas'!$M$8:$M$10,MATCH(L244,'Glosario Partidas'!$L$8:$L$10,0))</f>
        <v>17.5</v>
      </c>
      <c r="U244" s="310">
        <f t="shared" si="20"/>
        <v>128413.73999999999</v>
      </c>
      <c r="V244" s="230" t="s">
        <v>813</v>
      </c>
      <c r="W244" s="249" t="s">
        <v>13</v>
      </c>
      <c r="X244" s="249"/>
      <c r="Y244" s="249"/>
    </row>
    <row r="245" spans="1:25" ht="15" customHeight="1" x14ac:dyDescent="0.2">
      <c r="A245" s="211"/>
      <c r="B245" s="211" t="s">
        <v>193</v>
      </c>
      <c r="C245" s="78" t="s">
        <v>407</v>
      </c>
      <c r="D245" s="211" t="s">
        <v>104</v>
      </c>
      <c r="E245" s="316" t="s">
        <v>814</v>
      </c>
      <c r="F245" s="307" t="s">
        <v>229</v>
      </c>
      <c r="G245" s="78" t="s">
        <v>355</v>
      </c>
      <c r="H245" s="307" t="s">
        <v>767</v>
      </c>
      <c r="I245" s="315" t="s">
        <v>812</v>
      </c>
      <c r="J245" s="211" t="s">
        <v>410</v>
      </c>
      <c r="K245" s="224">
        <v>1</v>
      </c>
      <c r="L245" s="211" t="s">
        <v>153</v>
      </c>
      <c r="M245" s="316">
        <v>204</v>
      </c>
      <c r="N245" s="310">
        <f t="shared" si="16"/>
        <v>204</v>
      </c>
      <c r="O245" s="317">
        <v>0</v>
      </c>
      <c r="P245" s="227">
        <f t="shared" si="17"/>
        <v>0</v>
      </c>
      <c r="Q245" s="366">
        <v>0.16</v>
      </c>
      <c r="R245" s="310">
        <f t="shared" si="18"/>
        <v>32.64</v>
      </c>
      <c r="S245" s="310">
        <f t="shared" si="19"/>
        <v>236.64</v>
      </c>
      <c r="T245" s="229">
        <f>INDEX('Glosario Partidas'!$M$8:$M$10,MATCH(L245,'Glosario Partidas'!$L$8:$L$10,0))</f>
        <v>17.5</v>
      </c>
      <c r="U245" s="310">
        <f t="shared" si="20"/>
        <v>4141.2</v>
      </c>
      <c r="V245" s="230" t="s">
        <v>815</v>
      </c>
      <c r="W245" s="249" t="s">
        <v>13</v>
      </c>
      <c r="X245" s="249"/>
      <c r="Y245" s="249"/>
    </row>
    <row r="246" spans="1:25" ht="15" customHeight="1" x14ac:dyDescent="0.2">
      <c r="A246" s="211"/>
      <c r="B246" s="211" t="s">
        <v>193</v>
      </c>
      <c r="C246" s="78" t="s">
        <v>105</v>
      </c>
      <c r="D246" s="211" t="s">
        <v>105</v>
      </c>
      <c r="E246" s="316" t="s">
        <v>1145</v>
      </c>
      <c r="F246" s="307" t="s">
        <v>229</v>
      </c>
      <c r="G246" s="78" t="s">
        <v>221</v>
      </c>
      <c r="H246" s="307" t="s">
        <v>708</v>
      </c>
      <c r="I246" s="315" t="s">
        <v>816</v>
      </c>
      <c r="J246" s="211" t="s">
        <v>314</v>
      </c>
      <c r="K246" s="224">
        <v>1</v>
      </c>
      <c r="L246" s="211" t="s">
        <v>269</v>
      </c>
      <c r="M246" s="316">
        <f>45000/2</f>
        <v>22500</v>
      </c>
      <c r="N246" s="310">
        <f t="shared" si="16"/>
        <v>22500</v>
      </c>
      <c r="O246" s="317">
        <v>0</v>
      </c>
      <c r="P246" s="227">
        <f t="shared" si="17"/>
        <v>0</v>
      </c>
      <c r="Q246" s="366">
        <v>0.16</v>
      </c>
      <c r="R246" s="310">
        <f t="shared" si="18"/>
        <v>3600</v>
      </c>
      <c r="S246" s="310">
        <f t="shared" si="19"/>
        <v>26100</v>
      </c>
      <c r="T246" s="229">
        <f>INDEX('Glosario Partidas'!$M$8:$M$10,MATCH(L246,'Glosario Partidas'!$L$8:$L$10,0))</f>
        <v>1</v>
      </c>
      <c r="U246" s="310">
        <f t="shared" si="20"/>
        <v>26100</v>
      </c>
      <c r="V246" s="230" t="s">
        <v>817</v>
      </c>
      <c r="W246" s="249" t="s">
        <v>13</v>
      </c>
      <c r="X246" s="249" t="s">
        <v>491</v>
      </c>
      <c r="Y246" s="249"/>
    </row>
    <row r="247" spans="1:25" ht="15" customHeight="1" x14ac:dyDescent="0.2">
      <c r="A247" s="211"/>
      <c r="B247" s="211" t="s">
        <v>193</v>
      </c>
      <c r="C247" s="78" t="s">
        <v>105</v>
      </c>
      <c r="D247" s="211" t="s">
        <v>105</v>
      </c>
      <c r="E247" s="316" t="s">
        <v>1146</v>
      </c>
      <c r="F247" s="307" t="s">
        <v>229</v>
      </c>
      <c r="G247" s="78" t="s">
        <v>221</v>
      </c>
      <c r="H247" s="307" t="s">
        <v>708</v>
      </c>
      <c r="I247" s="315" t="s">
        <v>816</v>
      </c>
      <c r="J247" s="211" t="s">
        <v>314</v>
      </c>
      <c r="K247" s="224">
        <v>1</v>
      </c>
      <c r="L247" s="211" t="s">
        <v>269</v>
      </c>
      <c r="M247" s="316">
        <f t="shared" ref="M247:M257" si="21">45000/2</f>
        <v>22500</v>
      </c>
      <c r="N247" s="310">
        <f t="shared" ref="N247:N257" si="22">K247*M247</f>
        <v>22500</v>
      </c>
      <c r="O247" s="317">
        <v>0</v>
      </c>
      <c r="P247" s="227">
        <f t="shared" ref="P247:P257" si="23">N247*O247</f>
        <v>0</v>
      </c>
      <c r="Q247" s="366">
        <v>0.16</v>
      </c>
      <c r="R247" s="310">
        <f t="shared" ref="R247:R257" si="24">(N247+P247)*Q247</f>
        <v>3600</v>
      </c>
      <c r="S247" s="310">
        <f t="shared" ref="S247:S257" si="25">N247+P247+R247</f>
        <v>26100</v>
      </c>
      <c r="T247" s="229">
        <f>INDEX('Glosario Partidas'!$M$8:$M$10,MATCH(L247,'Glosario Partidas'!$L$8:$L$10,0))</f>
        <v>1</v>
      </c>
      <c r="U247" s="310">
        <f t="shared" ref="U247:U257" si="26">S247*T247</f>
        <v>26100</v>
      </c>
      <c r="V247" s="230" t="s">
        <v>315</v>
      </c>
      <c r="W247" s="249" t="s">
        <v>13</v>
      </c>
      <c r="X247" s="249" t="s">
        <v>491</v>
      </c>
      <c r="Y247" s="249"/>
    </row>
    <row r="248" spans="1:25" ht="15" customHeight="1" x14ac:dyDescent="0.2">
      <c r="A248" s="211"/>
      <c r="B248" s="211" t="s">
        <v>193</v>
      </c>
      <c r="C248" s="78" t="s">
        <v>105</v>
      </c>
      <c r="D248" s="211" t="s">
        <v>105</v>
      </c>
      <c r="E248" s="316" t="s">
        <v>1145</v>
      </c>
      <c r="F248" s="307" t="s">
        <v>229</v>
      </c>
      <c r="G248" s="78" t="s">
        <v>354</v>
      </c>
      <c r="H248" s="307" t="s">
        <v>711</v>
      </c>
      <c r="I248" s="315" t="s">
        <v>816</v>
      </c>
      <c r="J248" s="211" t="s">
        <v>314</v>
      </c>
      <c r="K248" s="224">
        <v>1</v>
      </c>
      <c r="L248" s="211" t="s">
        <v>269</v>
      </c>
      <c r="M248" s="316">
        <f t="shared" si="21"/>
        <v>22500</v>
      </c>
      <c r="N248" s="310">
        <f t="shared" si="22"/>
        <v>22500</v>
      </c>
      <c r="O248" s="317">
        <v>0</v>
      </c>
      <c r="P248" s="227">
        <f t="shared" si="23"/>
        <v>0</v>
      </c>
      <c r="Q248" s="366">
        <v>0.16</v>
      </c>
      <c r="R248" s="310">
        <f t="shared" si="24"/>
        <v>3600</v>
      </c>
      <c r="S248" s="310">
        <f t="shared" si="25"/>
        <v>26100</v>
      </c>
      <c r="T248" s="229">
        <f>INDEX('Glosario Partidas'!$M$8:$M$10,MATCH(L248,'Glosario Partidas'!$L$8:$L$10,0))</f>
        <v>1</v>
      </c>
      <c r="U248" s="310">
        <f t="shared" si="26"/>
        <v>26100</v>
      </c>
      <c r="V248" s="230" t="s">
        <v>817</v>
      </c>
      <c r="W248" s="249" t="s">
        <v>13</v>
      </c>
      <c r="X248" s="249" t="s">
        <v>491</v>
      </c>
      <c r="Y248" s="249"/>
    </row>
    <row r="249" spans="1:25" ht="15" customHeight="1" x14ac:dyDescent="0.2">
      <c r="A249" s="211"/>
      <c r="B249" s="211" t="s">
        <v>193</v>
      </c>
      <c r="C249" s="78" t="s">
        <v>105</v>
      </c>
      <c r="D249" s="211" t="s">
        <v>105</v>
      </c>
      <c r="E249" s="316" t="s">
        <v>1146</v>
      </c>
      <c r="F249" s="307" t="s">
        <v>229</v>
      </c>
      <c r="G249" s="78" t="s">
        <v>354</v>
      </c>
      <c r="H249" s="307" t="s">
        <v>711</v>
      </c>
      <c r="I249" s="315" t="s">
        <v>816</v>
      </c>
      <c r="J249" s="211" t="s">
        <v>314</v>
      </c>
      <c r="K249" s="224">
        <v>1</v>
      </c>
      <c r="L249" s="211" t="s">
        <v>269</v>
      </c>
      <c r="M249" s="316">
        <f t="shared" si="21"/>
        <v>22500</v>
      </c>
      <c r="N249" s="310">
        <f t="shared" si="22"/>
        <v>22500</v>
      </c>
      <c r="O249" s="317">
        <v>0</v>
      </c>
      <c r="P249" s="227">
        <f t="shared" si="23"/>
        <v>0</v>
      </c>
      <c r="Q249" s="366">
        <v>0.16</v>
      </c>
      <c r="R249" s="310">
        <f t="shared" si="24"/>
        <v>3600</v>
      </c>
      <c r="S249" s="310">
        <f t="shared" si="25"/>
        <v>26100</v>
      </c>
      <c r="T249" s="229">
        <f>INDEX('Glosario Partidas'!$M$8:$M$10,MATCH(L249,'Glosario Partidas'!$L$8:$L$10,0))</f>
        <v>1</v>
      </c>
      <c r="U249" s="310">
        <f t="shared" si="26"/>
        <v>26100</v>
      </c>
      <c r="V249" s="230" t="s">
        <v>315</v>
      </c>
      <c r="W249" s="249" t="s">
        <v>13</v>
      </c>
      <c r="X249" s="249" t="s">
        <v>491</v>
      </c>
      <c r="Y249" s="249"/>
    </row>
    <row r="250" spans="1:25" ht="15" customHeight="1" x14ac:dyDescent="0.2">
      <c r="A250" s="211"/>
      <c r="B250" s="211" t="s">
        <v>193</v>
      </c>
      <c r="C250" s="78" t="s">
        <v>105</v>
      </c>
      <c r="D250" s="211" t="s">
        <v>105</v>
      </c>
      <c r="E250" s="316" t="s">
        <v>1145</v>
      </c>
      <c r="F250" s="307" t="s">
        <v>229</v>
      </c>
      <c r="G250" s="78" t="s">
        <v>355</v>
      </c>
      <c r="H250" s="307" t="s">
        <v>766</v>
      </c>
      <c r="I250" s="315" t="s">
        <v>816</v>
      </c>
      <c r="J250" s="211" t="s">
        <v>314</v>
      </c>
      <c r="K250" s="224">
        <v>1</v>
      </c>
      <c r="L250" s="211" t="s">
        <v>269</v>
      </c>
      <c r="M250" s="316">
        <f t="shared" si="21"/>
        <v>22500</v>
      </c>
      <c r="N250" s="310">
        <f t="shared" si="22"/>
        <v>22500</v>
      </c>
      <c r="O250" s="317">
        <v>0</v>
      </c>
      <c r="P250" s="227">
        <f t="shared" si="23"/>
        <v>0</v>
      </c>
      <c r="Q250" s="366">
        <v>0.16</v>
      </c>
      <c r="R250" s="310">
        <f t="shared" si="24"/>
        <v>3600</v>
      </c>
      <c r="S250" s="310">
        <f t="shared" si="25"/>
        <v>26100</v>
      </c>
      <c r="T250" s="229">
        <f>INDEX('Glosario Partidas'!$M$8:$M$10,MATCH(L250,'Glosario Partidas'!$L$8:$L$10,0))</f>
        <v>1</v>
      </c>
      <c r="U250" s="310">
        <f t="shared" si="26"/>
        <v>26100</v>
      </c>
      <c r="V250" s="230" t="s">
        <v>817</v>
      </c>
      <c r="W250" s="249" t="s">
        <v>13</v>
      </c>
      <c r="X250" s="249" t="s">
        <v>491</v>
      </c>
      <c r="Y250" s="249"/>
    </row>
    <row r="251" spans="1:25" ht="15" customHeight="1" x14ac:dyDescent="0.2">
      <c r="A251" s="211"/>
      <c r="B251" s="211" t="s">
        <v>193</v>
      </c>
      <c r="C251" s="78" t="s">
        <v>105</v>
      </c>
      <c r="D251" s="211" t="s">
        <v>105</v>
      </c>
      <c r="E251" s="316" t="s">
        <v>1146</v>
      </c>
      <c r="F251" s="307" t="s">
        <v>229</v>
      </c>
      <c r="G251" s="78" t="s">
        <v>355</v>
      </c>
      <c r="H251" s="307" t="s">
        <v>766</v>
      </c>
      <c r="I251" s="315" t="s">
        <v>816</v>
      </c>
      <c r="J251" s="211" t="s">
        <v>314</v>
      </c>
      <c r="K251" s="224">
        <v>1</v>
      </c>
      <c r="L251" s="211" t="s">
        <v>269</v>
      </c>
      <c r="M251" s="316">
        <f t="shared" si="21"/>
        <v>22500</v>
      </c>
      <c r="N251" s="310">
        <f t="shared" si="22"/>
        <v>22500</v>
      </c>
      <c r="O251" s="317">
        <v>0</v>
      </c>
      <c r="P251" s="227">
        <f t="shared" si="23"/>
        <v>0</v>
      </c>
      <c r="Q251" s="366">
        <v>0.16</v>
      </c>
      <c r="R251" s="310">
        <f t="shared" si="24"/>
        <v>3600</v>
      </c>
      <c r="S251" s="310">
        <f t="shared" si="25"/>
        <v>26100</v>
      </c>
      <c r="T251" s="229">
        <f>INDEX('Glosario Partidas'!$M$8:$M$10,MATCH(L251,'Glosario Partidas'!$L$8:$L$10,0))</f>
        <v>1</v>
      </c>
      <c r="U251" s="310">
        <f t="shared" si="26"/>
        <v>26100</v>
      </c>
      <c r="V251" s="230" t="s">
        <v>315</v>
      </c>
      <c r="W251" s="249" t="s">
        <v>13</v>
      </c>
      <c r="X251" s="249" t="s">
        <v>491</v>
      </c>
      <c r="Y251" s="249"/>
    </row>
    <row r="252" spans="1:25" ht="15" customHeight="1" x14ac:dyDescent="0.2">
      <c r="A252" s="211"/>
      <c r="B252" s="211" t="s">
        <v>193</v>
      </c>
      <c r="C252" s="78" t="s">
        <v>105</v>
      </c>
      <c r="D252" s="211" t="s">
        <v>105</v>
      </c>
      <c r="E252" s="316" t="s">
        <v>1145</v>
      </c>
      <c r="F252" s="307" t="s">
        <v>229</v>
      </c>
      <c r="G252" s="78" t="s">
        <v>221</v>
      </c>
      <c r="H252" s="307" t="s">
        <v>710</v>
      </c>
      <c r="I252" s="315" t="s">
        <v>816</v>
      </c>
      <c r="J252" s="211" t="s">
        <v>314</v>
      </c>
      <c r="K252" s="224">
        <v>1</v>
      </c>
      <c r="L252" s="211" t="s">
        <v>269</v>
      </c>
      <c r="M252" s="316">
        <f t="shared" si="21"/>
        <v>22500</v>
      </c>
      <c r="N252" s="310">
        <f t="shared" si="22"/>
        <v>22500</v>
      </c>
      <c r="O252" s="317">
        <v>0</v>
      </c>
      <c r="P252" s="227">
        <f t="shared" si="23"/>
        <v>0</v>
      </c>
      <c r="Q252" s="366">
        <v>0.16</v>
      </c>
      <c r="R252" s="310">
        <f t="shared" si="24"/>
        <v>3600</v>
      </c>
      <c r="S252" s="310">
        <f t="shared" si="25"/>
        <v>26100</v>
      </c>
      <c r="T252" s="229">
        <f>INDEX('Glosario Partidas'!$M$8:$M$10,MATCH(L252,'Glosario Partidas'!$L$8:$L$10,0))</f>
        <v>1</v>
      </c>
      <c r="U252" s="310">
        <f t="shared" si="26"/>
        <v>26100</v>
      </c>
      <c r="V252" s="230" t="s">
        <v>817</v>
      </c>
      <c r="W252" s="249" t="s">
        <v>13</v>
      </c>
      <c r="X252" s="249" t="s">
        <v>491</v>
      </c>
      <c r="Y252" s="249"/>
    </row>
    <row r="253" spans="1:25" ht="15" customHeight="1" x14ac:dyDescent="0.2">
      <c r="A253" s="211"/>
      <c r="B253" s="211" t="s">
        <v>193</v>
      </c>
      <c r="C253" s="78" t="s">
        <v>105</v>
      </c>
      <c r="D253" s="211" t="s">
        <v>105</v>
      </c>
      <c r="E253" s="316" t="s">
        <v>1146</v>
      </c>
      <c r="F253" s="307" t="s">
        <v>229</v>
      </c>
      <c r="G253" s="78" t="s">
        <v>221</v>
      </c>
      <c r="H253" s="307" t="s">
        <v>710</v>
      </c>
      <c r="I253" s="315" t="s">
        <v>816</v>
      </c>
      <c r="J253" s="211" t="s">
        <v>314</v>
      </c>
      <c r="K253" s="224">
        <v>1</v>
      </c>
      <c r="L253" s="211" t="s">
        <v>269</v>
      </c>
      <c r="M253" s="316">
        <f t="shared" si="21"/>
        <v>22500</v>
      </c>
      <c r="N253" s="310">
        <f t="shared" si="22"/>
        <v>22500</v>
      </c>
      <c r="O253" s="317">
        <v>0</v>
      </c>
      <c r="P253" s="227">
        <f t="shared" si="23"/>
        <v>0</v>
      </c>
      <c r="Q253" s="366">
        <v>0.16</v>
      </c>
      <c r="R253" s="310">
        <f t="shared" si="24"/>
        <v>3600</v>
      </c>
      <c r="S253" s="310">
        <f t="shared" si="25"/>
        <v>26100</v>
      </c>
      <c r="T253" s="229">
        <f>INDEX('Glosario Partidas'!$M$8:$M$10,MATCH(L253,'Glosario Partidas'!$L$8:$L$10,0))</f>
        <v>1</v>
      </c>
      <c r="U253" s="310">
        <f t="shared" si="26"/>
        <v>26100</v>
      </c>
      <c r="V253" s="230" t="s">
        <v>315</v>
      </c>
      <c r="W253" s="249" t="s">
        <v>13</v>
      </c>
      <c r="X253" s="249" t="s">
        <v>491</v>
      </c>
      <c r="Y253" s="249"/>
    </row>
    <row r="254" spans="1:25" ht="15" customHeight="1" x14ac:dyDescent="0.2">
      <c r="A254" s="211"/>
      <c r="B254" s="211" t="s">
        <v>193</v>
      </c>
      <c r="C254" s="78" t="s">
        <v>105</v>
      </c>
      <c r="D254" s="211" t="s">
        <v>105</v>
      </c>
      <c r="E254" s="316" t="s">
        <v>1145</v>
      </c>
      <c r="F254" s="307" t="s">
        <v>229</v>
      </c>
      <c r="G254" s="78" t="s">
        <v>354</v>
      </c>
      <c r="H254" s="307" t="s">
        <v>713</v>
      </c>
      <c r="I254" s="315" t="s">
        <v>816</v>
      </c>
      <c r="J254" s="211" t="s">
        <v>314</v>
      </c>
      <c r="K254" s="224">
        <v>1</v>
      </c>
      <c r="L254" s="211" t="s">
        <v>269</v>
      </c>
      <c r="M254" s="316">
        <f t="shared" si="21"/>
        <v>22500</v>
      </c>
      <c r="N254" s="310">
        <f t="shared" si="22"/>
        <v>22500</v>
      </c>
      <c r="O254" s="317">
        <v>0</v>
      </c>
      <c r="P254" s="227">
        <f t="shared" si="23"/>
        <v>0</v>
      </c>
      <c r="Q254" s="366">
        <v>0.16</v>
      </c>
      <c r="R254" s="310">
        <f t="shared" si="24"/>
        <v>3600</v>
      </c>
      <c r="S254" s="310">
        <f t="shared" si="25"/>
        <v>26100</v>
      </c>
      <c r="T254" s="229">
        <f>INDEX('Glosario Partidas'!$M$8:$M$10,MATCH(L254,'Glosario Partidas'!$L$8:$L$10,0))</f>
        <v>1</v>
      </c>
      <c r="U254" s="310">
        <f t="shared" si="26"/>
        <v>26100</v>
      </c>
      <c r="V254" s="230" t="s">
        <v>817</v>
      </c>
      <c r="W254" s="249" t="s">
        <v>13</v>
      </c>
      <c r="X254" s="249" t="s">
        <v>491</v>
      </c>
      <c r="Y254" s="249"/>
    </row>
    <row r="255" spans="1:25" ht="15" customHeight="1" x14ac:dyDescent="0.2">
      <c r="A255" s="211"/>
      <c r="B255" s="211" t="s">
        <v>193</v>
      </c>
      <c r="C255" s="78" t="s">
        <v>105</v>
      </c>
      <c r="D255" s="211" t="s">
        <v>105</v>
      </c>
      <c r="E255" s="316" t="s">
        <v>1146</v>
      </c>
      <c r="F255" s="307" t="s">
        <v>229</v>
      </c>
      <c r="G255" s="78" t="s">
        <v>354</v>
      </c>
      <c r="H255" s="307" t="s">
        <v>713</v>
      </c>
      <c r="I255" s="315" t="s">
        <v>816</v>
      </c>
      <c r="J255" s="211" t="s">
        <v>314</v>
      </c>
      <c r="K255" s="224">
        <v>1</v>
      </c>
      <c r="L255" s="211" t="s">
        <v>269</v>
      </c>
      <c r="M255" s="316">
        <f t="shared" si="21"/>
        <v>22500</v>
      </c>
      <c r="N255" s="310">
        <f t="shared" si="22"/>
        <v>22500</v>
      </c>
      <c r="O255" s="317">
        <v>0</v>
      </c>
      <c r="P255" s="227">
        <f t="shared" si="23"/>
        <v>0</v>
      </c>
      <c r="Q255" s="366">
        <v>0.16</v>
      </c>
      <c r="R255" s="310">
        <f t="shared" si="24"/>
        <v>3600</v>
      </c>
      <c r="S255" s="310">
        <f t="shared" si="25"/>
        <v>26100</v>
      </c>
      <c r="T255" s="229">
        <f>INDEX('Glosario Partidas'!$M$8:$M$10,MATCH(L255,'Glosario Partidas'!$L$8:$L$10,0))</f>
        <v>1</v>
      </c>
      <c r="U255" s="310">
        <f t="shared" si="26"/>
        <v>26100</v>
      </c>
      <c r="V255" s="230" t="s">
        <v>315</v>
      </c>
      <c r="W255" s="249" t="s">
        <v>13</v>
      </c>
      <c r="X255" s="249" t="s">
        <v>491</v>
      </c>
      <c r="Y255" s="249"/>
    </row>
    <row r="256" spans="1:25" ht="15" customHeight="1" x14ac:dyDescent="0.2">
      <c r="A256" s="211"/>
      <c r="B256" s="211" t="s">
        <v>193</v>
      </c>
      <c r="C256" s="78" t="s">
        <v>105</v>
      </c>
      <c r="D256" s="211" t="s">
        <v>105</v>
      </c>
      <c r="E256" s="316" t="s">
        <v>1145</v>
      </c>
      <c r="F256" s="307" t="s">
        <v>229</v>
      </c>
      <c r="G256" s="78" t="s">
        <v>355</v>
      </c>
      <c r="H256" s="307" t="s">
        <v>767</v>
      </c>
      <c r="I256" s="315" t="s">
        <v>816</v>
      </c>
      <c r="J256" s="211" t="s">
        <v>314</v>
      </c>
      <c r="K256" s="224">
        <v>1</v>
      </c>
      <c r="L256" s="211" t="s">
        <v>269</v>
      </c>
      <c r="M256" s="316">
        <f t="shared" si="21"/>
        <v>22500</v>
      </c>
      <c r="N256" s="310">
        <f t="shared" si="22"/>
        <v>22500</v>
      </c>
      <c r="O256" s="317">
        <v>0</v>
      </c>
      <c r="P256" s="227">
        <f t="shared" si="23"/>
        <v>0</v>
      </c>
      <c r="Q256" s="366">
        <v>0.16</v>
      </c>
      <c r="R256" s="310">
        <f t="shared" si="24"/>
        <v>3600</v>
      </c>
      <c r="S256" s="310">
        <f t="shared" si="25"/>
        <v>26100</v>
      </c>
      <c r="T256" s="229">
        <f>INDEX('Glosario Partidas'!$M$8:$M$10,MATCH(L256,'Glosario Partidas'!$L$8:$L$10,0))</f>
        <v>1</v>
      </c>
      <c r="U256" s="310">
        <f t="shared" si="26"/>
        <v>26100</v>
      </c>
      <c r="V256" s="230" t="s">
        <v>817</v>
      </c>
      <c r="W256" s="249" t="s">
        <v>13</v>
      </c>
      <c r="X256" s="249" t="s">
        <v>491</v>
      </c>
      <c r="Y256" s="249"/>
    </row>
    <row r="257" spans="1:25" ht="15" customHeight="1" x14ac:dyDescent="0.2">
      <c r="A257" s="211"/>
      <c r="B257" s="211" t="s">
        <v>193</v>
      </c>
      <c r="C257" s="78" t="s">
        <v>105</v>
      </c>
      <c r="D257" s="211" t="s">
        <v>105</v>
      </c>
      <c r="E257" s="316" t="s">
        <v>1146</v>
      </c>
      <c r="F257" s="307" t="s">
        <v>229</v>
      </c>
      <c r="G257" s="78" t="s">
        <v>355</v>
      </c>
      <c r="H257" s="307" t="s">
        <v>767</v>
      </c>
      <c r="I257" s="315" t="s">
        <v>816</v>
      </c>
      <c r="J257" s="211" t="s">
        <v>314</v>
      </c>
      <c r="K257" s="224">
        <v>1</v>
      </c>
      <c r="L257" s="211" t="s">
        <v>269</v>
      </c>
      <c r="M257" s="316">
        <f t="shared" si="21"/>
        <v>22500</v>
      </c>
      <c r="N257" s="310">
        <f t="shared" si="22"/>
        <v>22500</v>
      </c>
      <c r="O257" s="317">
        <v>0</v>
      </c>
      <c r="P257" s="227">
        <f t="shared" si="23"/>
        <v>0</v>
      </c>
      <c r="Q257" s="366">
        <v>0.16</v>
      </c>
      <c r="R257" s="310">
        <f t="shared" si="24"/>
        <v>3600</v>
      </c>
      <c r="S257" s="310">
        <f t="shared" si="25"/>
        <v>26100</v>
      </c>
      <c r="T257" s="229">
        <f>INDEX('Glosario Partidas'!$M$8:$M$10,MATCH(L257,'Glosario Partidas'!$L$8:$L$10,0))</f>
        <v>1</v>
      </c>
      <c r="U257" s="310">
        <f t="shared" si="26"/>
        <v>26100</v>
      </c>
      <c r="V257" s="230" t="s">
        <v>315</v>
      </c>
      <c r="W257" s="249" t="s">
        <v>13</v>
      </c>
      <c r="X257" s="249" t="s">
        <v>491</v>
      </c>
      <c r="Y257" s="249"/>
    </row>
    <row r="258" spans="1:25" ht="15" customHeight="1" x14ac:dyDescent="0.2">
      <c r="B258" t="s">
        <v>185</v>
      </c>
      <c r="N258">
        <f>SUM(N2:N257)</f>
        <v>1619690.3199999994</v>
      </c>
      <c r="Q258" s="149"/>
      <c r="S258">
        <f>SUM(R2:R257)</f>
        <v>259150.45119999986</v>
      </c>
      <c r="U258">
        <f>SUM(U2:U257)</f>
        <v>25879830.886399992</v>
      </c>
    </row>
    <row r="259" spans="1:25" ht="15" customHeight="1" x14ac:dyDescent="0.2">
      <c r="B259" s="211"/>
      <c r="C259" s="78"/>
      <c r="D259" s="211"/>
      <c r="E259" s="316"/>
      <c r="F259" s="307"/>
      <c r="G259" s="78"/>
      <c r="H259" s="307"/>
      <c r="I259" s="315"/>
      <c r="J259" s="211"/>
      <c r="K259" s="224"/>
      <c r="L259" s="211"/>
      <c r="M259" s="316"/>
      <c r="N259" s="310"/>
      <c r="O259" s="317"/>
      <c r="P259" s="227"/>
      <c r="Q259" s="366"/>
      <c r="R259" s="310"/>
      <c r="S259" s="310"/>
      <c r="T259" s="229"/>
      <c r="U259" s="310"/>
      <c r="V259" s="230"/>
      <c r="W259" s="249"/>
      <c r="X259" s="249"/>
      <c r="Y259" s="249"/>
    </row>
    <row r="260" spans="1:25" ht="15" customHeight="1" x14ac:dyDescent="0.2">
      <c r="A260" s="211"/>
      <c r="B260" s="211"/>
      <c r="C260" s="78"/>
      <c r="D260" s="211"/>
      <c r="E260" s="316"/>
      <c r="F260" s="307"/>
      <c r="G260" s="78"/>
      <c r="H260" s="307"/>
      <c r="I260" s="315"/>
      <c r="J260" s="211"/>
      <c r="K260" s="224"/>
      <c r="L260" s="211"/>
      <c r="M260" s="316"/>
      <c r="N260" s="310"/>
      <c r="O260" s="317"/>
      <c r="P260" s="227"/>
      <c r="Q260" s="366"/>
      <c r="R260" s="310"/>
      <c r="S260" s="310"/>
      <c r="T260" s="229"/>
      <c r="U260" s="310"/>
      <c r="V260" s="230"/>
      <c r="W260" s="249"/>
      <c r="X260" s="249"/>
      <c r="Y260" s="249"/>
    </row>
    <row r="261" spans="1:25" ht="15" customHeight="1" x14ac:dyDescent="0.2">
      <c r="A261" s="211"/>
      <c r="B261" s="211"/>
      <c r="C261" s="78"/>
      <c r="D261" s="211"/>
      <c r="E261" s="316"/>
      <c r="F261" s="307"/>
      <c r="G261" s="78"/>
      <c r="H261" s="307"/>
      <c r="I261" s="315"/>
      <c r="J261" s="211"/>
      <c r="K261" s="224"/>
      <c r="L261" s="211"/>
      <c r="M261" s="316"/>
      <c r="N261" s="310"/>
      <c r="O261" s="317"/>
      <c r="P261" s="227"/>
      <c r="Q261" s="366"/>
      <c r="R261" s="310"/>
      <c r="S261" s="310"/>
      <c r="T261" s="229"/>
      <c r="U261" s="310"/>
      <c r="V261" s="230"/>
      <c r="W261" s="249"/>
      <c r="X261" s="249"/>
      <c r="Y261" s="249"/>
    </row>
    <row r="262" spans="1:25" ht="15" customHeight="1" x14ac:dyDescent="0.2">
      <c r="A262" s="211"/>
      <c r="B262" s="211"/>
      <c r="C262" s="78"/>
      <c r="D262" s="211"/>
      <c r="E262" s="316"/>
      <c r="F262" s="307"/>
      <c r="G262" s="78"/>
      <c r="H262" s="307"/>
      <c r="I262" s="315"/>
      <c r="J262" s="211"/>
      <c r="K262" s="224"/>
      <c r="L262" s="211"/>
      <c r="M262" s="316"/>
      <c r="N262" s="310"/>
      <c r="O262" s="317"/>
      <c r="P262" s="227"/>
      <c r="Q262" s="366"/>
      <c r="R262" s="310"/>
      <c r="S262" s="310"/>
      <c r="T262" s="229"/>
      <c r="U262" s="310"/>
      <c r="V262" s="230"/>
      <c r="W262" s="249"/>
      <c r="X262" s="249"/>
      <c r="Y262" s="249"/>
    </row>
    <row r="263" spans="1:25" ht="15" customHeight="1" x14ac:dyDescent="0.2">
      <c r="B263" s="211"/>
      <c r="C263" s="78"/>
      <c r="D263" s="211"/>
      <c r="E263" s="316"/>
      <c r="F263" s="307"/>
      <c r="G263" s="78"/>
      <c r="H263" s="307"/>
      <c r="I263" s="315"/>
      <c r="J263" s="211"/>
      <c r="K263" s="224"/>
      <c r="L263" s="211"/>
      <c r="M263" s="316"/>
      <c r="N263" s="310"/>
      <c r="O263" s="317"/>
      <c r="P263" s="227"/>
      <c r="Q263" s="366"/>
      <c r="R263" s="310"/>
      <c r="S263" s="310"/>
      <c r="T263" s="229"/>
      <c r="U263" s="310"/>
      <c r="V263" s="230"/>
      <c r="W263" s="249"/>
      <c r="X263" s="249"/>
      <c r="Y263" s="249"/>
    </row>
    <row r="264" spans="1:25" ht="15" customHeight="1" x14ac:dyDescent="0.2">
      <c r="A264" s="211"/>
      <c r="B264" s="211"/>
      <c r="C264" s="78"/>
      <c r="D264" s="211"/>
      <c r="E264" s="316"/>
      <c r="F264" s="307"/>
      <c r="G264" s="78"/>
      <c r="H264" s="307"/>
      <c r="I264" s="315"/>
      <c r="J264" s="211"/>
      <c r="K264" s="224"/>
      <c r="L264" s="211"/>
      <c r="M264" s="316"/>
      <c r="N264" s="310"/>
      <c r="O264" s="317"/>
      <c r="P264" s="227"/>
      <c r="Q264" s="366"/>
      <c r="R264" s="310"/>
      <c r="S264" s="310"/>
      <c r="T264" s="229"/>
      <c r="U264" s="310"/>
      <c r="V264" s="230"/>
      <c r="W264" s="249"/>
      <c r="X264" s="249"/>
      <c r="Y264" s="249"/>
    </row>
    <row r="265" spans="1:25" ht="15" customHeight="1" x14ac:dyDescent="0.2">
      <c r="A265" s="211"/>
      <c r="B265" s="211"/>
      <c r="C265" s="78"/>
      <c r="D265" s="211"/>
      <c r="E265" s="316"/>
      <c r="F265" s="307"/>
      <c r="G265" s="78"/>
      <c r="H265" s="307"/>
      <c r="I265" s="315"/>
      <c r="J265" s="211"/>
      <c r="K265" s="224"/>
      <c r="L265" s="211"/>
      <c r="M265" s="316"/>
      <c r="N265" s="310"/>
      <c r="O265" s="317"/>
      <c r="P265" s="227"/>
      <c r="Q265" s="366"/>
      <c r="R265" s="310"/>
      <c r="S265" s="310"/>
      <c r="T265" s="229"/>
      <c r="U265" s="310"/>
      <c r="V265" s="230"/>
      <c r="W265" s="249"/>
      <c r="X265" s="249"/>
      <c r="Y265" s="249"/>
    </row>
    <row r="266" spans="1:25" ht="15" customHeight="1" x14ac:dyDescent="0.2">
      <c r="A266" s="211"/>
      <c r="B266" s="211"/>
      <c r="C266" s="78"/>
      <c r="D266" s="211"/>
      <c r="E266" s="316"/>
      <c r="F266" s="307"/>
      <c r="G266" s="78"/>
      <c r="H266" s="307"/>
      <c r="I266" s="315"/>
      <c r="J266" s="211"/>
      <c r="K266" s="224"/>
      <c r="L266" s="211"/>
      <c r="M266" s="316"/>
      <c r="N266" s="310"/>
      <c r="O266" s="317"/>
      <c r="P266" s="227"/>
      <c r="Q266" s="366"/>
      <c r="R266" s="310"/>
      <c r="S266" s="310"/>
      <c r="T266" s="229"/>
      <c r="U266" s="310"/>
      <c r="V266" s="230"/>
      <c r="W266" s="249"/>
      <c r="X266" s="249"/>
      <c r="Y266" s="249"/>
    </row>
    <row r="267" spans="1:25" ht="15" customHeight="1" x14ac:dyDescent="0.2">
      <c r="A267" s="211"/>
      <c r="B267" s="211"/>
      <c r="C267" s="78"/>
      <c r="D267" s="211"/>
      <c r="E267" s="316"/>
      <c r="F267" s="307"/>
      <c r="G267" s="78"/>
      <c r="H267" s="307"/>
      <c r="I267" s="315"/>
      <c r="J267" s="211"/>
      <c r="K267" s="224"/>
      <c r="L267" s="211"/>
      <c r="M267" s="316"/>
      <c r="N267" s="310"/>
      <c r="O267" s="317"/>
      <c r="P267" s="227"/>
      <c r="Q267" s="366"/>
      <c r="R267" s="310"/>
      <c r="S267" s="310"/>
      <c r="T267" s="229"/>
      <c r="U267" s="310"/>
      <c r="V267" s="230"/>
      <c r="W267" s="249"/>
      <c r="X267" s="249"/>
      <c r="Y267" s="249"/>
    </row>
    <row r="268" spans="1:25" ht="15" customHeight="1" x14ac:dyDescent="0.2">
      <c r="A268" s="211"/>
      <c r="B268" s="211"/>
      <c r="C268" s="78"/>
      <c r="D268" s="211"/>
      <c r="E268" s="316"/>
      <c r="F268" s="307"/>
      <c r="G268" s="78"/>
      <c r="H268" s="307"/>
      <c r="I268" s="315"/>
      <c r="J268" s="211"/>
      <c r="K268" s="224"/>
      <c r="L268" s="211"/>
      <c r="M268" s="316"/>
      <c r="N268" s="310"/>
      <c r="O268" s="317"/>
      <c r="P268" s="227"/>
      <c r="Q268" s="366"/>
      <c r="R268" s="310"/>
      <c r="S268" s="310"/>
      <c r="T268" s="229"/>
      <c r="U268" s="310"/>
      <c r="V268" s="230"/>
      <c r="W268" s="249"/>
      <c r="X268" s="249"/>
      <c r="Y268" s="249"/>
    </row>
    <row r="269" spans="1:25" ht="15" customHeight="1" x14ac:dyDescent="0.2">
      <c r="A269" s="211"/>
      <c r="B269" s="211"/>
      <c r="C269" s="78"/>
      <c r="D269" s="211"/>
      <c r="E269" s="316"/>
      <c r="F269" s="307"/>
      <c r="G269" s="78"/>
      <c r="H269" s="307"/>
      <c r="I269" s="315"/>
      <c r="J269" s="211"/>
      <c r="K269" s="224"/>
      <c r="L269" s="211"/>
      <c r="M269" s="316"/>
      <c r="N269" s="310"/>
      <c r="O269" s="317"/>
      <c r="P269" s="227"/>
      <c r="Q269" s="366"/>
      <c r="R269" s="310"/>
      <c r="S269" s="310"/>
      <c r="T269" s="229"/>
      <c r="U269" s="310"/>
      <c r="V269" s="230"/>
      <c r="W269" s="249"/>
      <c r="X269" s="249"/>
      <c r="Y269" s="249"/>
    </row>
    <row r="270" spans="1:25" ht="15" customHeight="1" x14ac:dyDescent="0.2">
      <c r="B270" s="211"/>
      <c r="C270" s="78"/>
      <c r="D270" s="211"/>
      <c r="E270" s="316"/>
      <c r="F270" s="307"/>
      <c r="G270" s="78"/>
      <c r="H270" s="307"/>
      <c r="I270" s="315"/>
      <c r="J270" s="211"/>
      <c r="K270" s="224"/>
      <c r="L270" s="211"/>
      <c r="M270" s="316"/>
      <c r="N270" s="310"/>
      <c r="O270" s="317"/>
      <c r="P270" s="227"/>
      <c r="Q270" s="366"/>
      <c r="R270" s="310"/>
      <c r="S270" s="310"/>
      <c r="T270" s="229"/>
      <c r="U270" s="310"/>
      <c r="V270" s="230"/>
      <c r="W270" s="249"/>
      <c r="X270" s="249"/>
      <c r="Y270" s="249"/>
    </row>
    <row r="271" spans="1:25" ht="15" customHeight="1" x14ac:dyDescent="0.2">
      <c r="A271" s="211"/>
      <c r="B271" s="211"/>
      <c r="C271" s="78"/>
      <c r="D271" s="211"/>
      <c r="E271" s="316"/>
      <c r="F271" s="307"/>
      <c r="G271" s="78"/>
      <c r="H271" s="307"/>
      <c r="I271" s="315"/>
      <c r="J271" s="211"/>
      <c r="K271" s="224"/>
      <c r="L271" s="211"/>
      <c r="M271" s="316"/>
      <c r="N271" s="310"/>
      <c r="O271" s="317"/>
      <c r="P271" s="227"/>
      <c r="Q271" s="366"/>
      <c r="R271" s="310"/>
      <c r="S271" s="310"/>
      <c r="T271" s="229"/>
      <c r="U271" s="310"/>
      <c r="V271" s="230"/>
      <c r="W271" s="249"/>
      <c r="X271" s="249"/>
      <c r="Y271" s="249"/>
    </row>
    <row r="272" spans="1:25" ht="15" customHeight="1" x14ac:dyDescent="0.2">
      <c r="A272" s="211"/>
      <c r="B272" s="211"/>
      <c r="C272" s="78"/>
      <c r="D272" s="211"/>
      <c r="E272" s="316"/>
      <c r="F272" s="307"/>
      <c r="G272" s="78"/>
      <c r="H272" s="307"/>
      <c r="I272" s="315"/>
      <c r="J272" s="211"/>
      <c r="K272" s="224"/>
      <c r="L272" s="211"/>
      <c r="M272" s="316"/>
      <c r="N272" s="310"/>
      <c r="O272" s="317"/>
      <c r="P272" s="227"/>
      <c r="Q272" s="366"/>
      <c r="R272" s="310"/>
      <c r="S272" s="310"/>
      <c r="T272" s="229"/>
      <c r="U272" s="310"/>
      <c r="V272" s="230"/>
      <c r="W272" s="249"/>
      <c r="X272" s="249"/>
      <c r="Y272" s="249"/>
    </row>
    <row r="273" spans="1:25" ht="15" customHeight="1" x14ac:dyDescent="0.2">
      <c r="A273" s="211"/>
      <c r="B273" s="211"/>
      <c r="C273" s="78"/>
      <c r="D273" s="211"/>
      <c r="E273" s="316"/>
      <c r="F273" s="307"/>
      <c r="G273" s="78"/>
      <c r="H273" s="307"/>
      <c r="I273" s="315"/>
      <c r="J273" s="211"/>
      <c r="K273" s="224"/>
      <c r="L273" s="211"/>
      <c r="M273" s="316"/>
      <c r="N273" s="310"/>
      <c r="O273" s="317"/>
      <c r="P273" s="227"/>
      <c r="Q273" s="366"/>
      <c r="R273" s="310"/>
      <c r="S273" s="310"/>
      <c r="T273" s="229"/>
      <c r="U273" s="310"/>
      <c r="V273" s="230"/>
      <c r="W273" s="249"/>
      <c r="X273" s="249"/>
      <c r="Y273" s="249"/>
    </row>
    <row r="274" spans="1:25" ht="15" customHeight="1" x14ac:dyDescent="0.2">
      <c r="Q274" s="149"/>
    </row>
    <row r="277" spans="1:25" x14ac:dyDescent="0.2"/>
    <row r="278" spans="1:25" x14ac:dyDescent="0.2"/>
  </sheetData>
  <autoFilter ref="A1:W258" xr:uid="{00000000-0009-0000-0000-000032000000}"/>
  <dataValidations count="2">
    <dataValidation type="list" allowBlank="1" errorTitle="Valor inválido" error="Selecciona Contratado o No Contratado" promptTitle="Contratado/No Contratado" prompt="Selecciona estado" sqref="X2:X255" xr:uid="{00000000-0002-0000-32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Y2:Y255" xr:uid="{00000000-0002-0000-3200-000001000000}">
      <formula1>"Sí,No"</formula1>
      <formula2>0</formula2>
    </dataValidation>
  </dataValidations>
  <hyperlinks>
    <hyperlink ref="A1" location="'BUY OUT'!A1" display="⬅ Resumen PU" xr:uid="{00000000-0004-0000-3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22"/>
  <sheetViews>
    <sheetView zoomScale="160" zoomScaleNormal="160" workbookViewId="0">
      <selection activeCell="K17" sqref="K17"/>
    </sheetView>
  </sheetViews>
  <sheetFormatPr baseColWidth="10" defaultColWidth="8.6640625" defaultRowHeight="15" customHeight="1" x14ac:dyDescent="0.2"/>
  <cols>
    <col min="1" max="1" width="9.1640625" customWidth="1"/>
    <col min="2" max="2" width="32.5" customWidth="1"/>
    <col min="3" max="3" width="8.33203125" customWidth="1"/>
    <col min="4" max="4" width="9.1640625" customWidth="1"/>
    <col min="5" max="6" width="12.5" customWidth="1"/>
    <col min="7" max="7" width="10.1640625" customWidth="1"/>
    <col min="8" max="22" width="13" customWidth="1"/>
  </cols>
  <sheetData>
    <row r="1" spans="1:15" ht="15" customHeight="1" x14ac:dyDescent="0.2">
      <c r="A1" s="367" t="s">
        <v>818</v>
      </c>
      <c r="B1" s="258"/>
      <c r="C1" s="259" t="s">
        <v>495</v>
      </c>
      <c r="D1" s="268"/>
      <c r="E1" s="268"/>
      <c r="F1" s="268"/>
      <c r="G1" s="268"/>
    </row>
    <row r="2" spans="1:15" ht="15" customHeight="1" x14ac:dyDescent="0.2">
      <c r="A2" s="367" t="s">
        <v>819</v>
      </c>
      <c r="B2" s="268" t="s">
        <v>404</v>
      </c>
      <c r="C2" s="268"/>
      <c r="D2" s="268"/>
      <c r="E2" s="268"/>
      <c r="F2" s="268"/>
      <c r="G2" s="268"/>
    </row>
    <row r="3" spans="1:15" ht="15" customHeight="1" x14ac:dyDescent="0.2">
      <c r="A3" s="268"/>
      <c r="B3" s="368"/>
      <c r="C3" s="268"/>
      <c r="D3" s="268"/>
      <c r="E3" s="268"/>
      <c r="F3" s="268"/>
      <c r="G3" s="268"/>
    </row>
    <row r="4" spans="1:15" ht="15" customHeight="1" x14ac:dyDescent="0.2">
      <c r="A4" s="369" t="s">
        <v>221</v>
      </c>
      <c r="B4" s="370"/>
      <c r="C4" s="370"/>
      <c r="D4" s="370"/>
      <c r="E4" s="371" t="s">
        <v>820</v>
      </c>
      <c r="F4" s="370"/>
      <c r="G4" s="268"/>
      <c r="I4" s="369" t="s">
        <v>821</v>
      </c>
      <c r="J4" s="372"/>
      <c r="K4" s="372"/>
      <c r="L4" s="372"/>
      <c r="M4" s="372"/>
      <c r="N4" s="372"/>
    </row>
    <row r="5" spans="1:15" ht="15" customHeight="1" x14ac:dyDescent="0.2">
      <c r="A5" s="248" t="s">
        <v>822</v>
      </c>
      <c r="B5" s="248" t="s">
        <v>823</v>
      </c>
      <c r="C5" s="248" t="s">
        <v>824</v>
      </c>
      <c r="D5" s="248" t="s">
        <v>825</v>
      </c>
      <c r="E5" s="248" t="s">
        <v>826</v>
      </c>
      <c r="F5" s="248" t="s">
        <v>827</v>
      </c>
      <c r="G5" s="268"/>
      <c r="I5" s="248" t="s">
        <v>822</v>
      </c>
      <c r="J5" s="248" t="s">
        <v>823</v>
      </c>
      <c r="K5" s="248" t="s">
        <v>824</v>
      </c>
      <c r="L5" s="248" t="s">
        <v>825</v>
      </c>
      <c r="M5" s="248" t="s">
        <v>826</v>
      </c>
      <c r="N5" s="248" t="s">
        <v>827</v>
      </c>
      <c r="O5" s="268"/>
    </row>
    <row r="6" spans="1:15" ht="15" customHeight="1" x14ac:dyDescent="0.2">
      <c r="A6" s="360">
        <v>1</v>
      </c>
      <c r="B6" s="373" t="s">
        <v>808</v>
      </c>
      <c r="C6" s="360" t="s">
        <v>410</v>
      </c>
      <c r="D6" s="374">
        <v>1</v>
      </c>
      <c r="E6" s="375">
        <v>30537.63</v>
      </c>
      <c r="F6" s="376">
        <f>D6*E6</f>
        <v>30537.63</v>
      </c>
      <c r="G6" s="377">
        <f>F6/$F$8</f>
        <v>0.65116452136013114</v>
      </c>
      <c r="I6" s="360">
        <v>1</v>
      </c>
      <c r="J6" s="373" t="s">
        <v>808</v>
      </c>
      <c r="K6" s="360" t="s">
        <v>410</v>
      </c>
      <c r="L6" s="374">
        <v>1</v>
      </c>
      <c r="M6" s="375">
        <v>30537.63</v>
      </c>
      <c r="N6" s="376">
        <f>L6*M6</f>
        <v>30537.63</v>
      </c>
      <c r="O6" s="377">
        <f>N6/$N$8</f>
        <v>0.50926070918806632</v>
      </c>
    </row>
    <row r="7" spans="1:15" ht="15" customHeight="1" x14ac:dyDescent="0.2">
      <c r="A7" s="378">
        <f>A6+1</f>
        <v>2</v>
      </c>
      <c r="B7" s="379" t="s">
        <v>809</v>
      </c>
      <c r="C7" s="378" t="s">
        <v>410</v>
      </c>
      <c r="D7" s="380">
        <v>1</v>
      </c>
      <c r="E7" s="381">
        <v>16359.32</v>
      </c>
      <c r="F7" s="382">
        <f>D7*E7</f>
        <v>16359.32</v>
      </c>
      <c r="G7" s="377">
        <f>F7/$F$8</f>
        <v>0.34883547863986891</v>
      </c>
      <c r="I7" s="378">
        <f>I6+1</f>
        <v>2</v>
      </c>
      <c r="J7" s="379" t="s">
        <v>828</v>
      </c>
      <c r="K7" s="378" t="s">
        <v>410</v>
      </c>
      <c r="L7" s="380">
        <v>1</v>
      </c>
      <c r="M7" s="381">
        <v>29427</v>
      </c>
      <c r="N7" s="382">
        <f>L7*M7</f>
        <v>29427</v>
      </c>
      <c r="O7" s="377">
        <f>N7/$N$8</f>
        <v>0.49073929081193357</v>
      </c>
    </row>
    <row r="8" spans="1:15" ht="15" customHeight="1" x14ac:dyDescent="0.2">
      <c r="A8" s="383" t="s">
        <v>829</v>
      </c>
      <c r="B8" s="383"/>
      <c r="C8" s="383"/>
      <c r="D8" s="383"/>
      <c r="E8" s="384"/>
      <c r="F8" s="384">
        <f>SUM(F6:F7)</f>
        <v>46896.95</v>
      </c>
      <c r="G8" s="268"/>
      <c r="I8" s="383" t="s">
        <v>829</v>
      </c>
      <c r="J8" s="383"/>
      <c r="K8" s="383"/>
      <c r="L8" s="383"/>
      <c r="M8" s="384"/>
      <c r="N8" s="384">
        <f>SUM(N6:N7)</f>
        <v>59964.630000000005</v>
      </c>
      <c r="O8" s="268"/>
    </row>
    <row r="9" spans="1:15" ht="15" customHeight="1" x14ac:dyDescent="0.2">
      <c r="A9" s="385"/>
      <c r="B9" s="385" t="s">
        <v>830</v>
      </c>
      <c r="C9" s="378" t="s">
        <v>410</v>
      </c>
      <c r="D9" s="380">
        <v>1</v>
      </c>
      <c r="E9" s="381">
        <v>14069</v>
      </c>
      <c r="F9" s="382">
        <f>D9*E9</f>
        <v>14069</v>
      </c>
      <c r="G9" s="386">
        <f>F9/F8</f>
        <v>0.29999818751539281</v>
      </c>
      <c r="I9" s="385"/>
      <c r="J9" s="385" t="s">
        <v>830</v>
      </c>
      <c r="K9" s="378" t="s">
        <v>410</v>
      </c>
      <c r="L9" s="380">
        <v>1</v>
      </c>
      <c r="M9" s="381">
        <v>17989</v>
      </c>
      <c r="N9" s="382">
        <f>L9*M9</f>
        <v>17989</v>
      </c>
      <c r="O9" s="386">
        <f>N9/N8</f>
        <v>0.29999351284248726</v>
      </c>
    </row>
    <row r="10" spans="1:15" ht="15" customHeight="1" x14ac:dyDescent="0.2">
      <c r="A10" s="383"/>
      <c r="B10" s="383"/>
      <c r="C10" s="383"/>
      <c r="D10" s="387"/>
      <c r="E10" s="388"/>
      <c r="F10" s="384">
        <f>F9+F8</f>
        <v>60965.95</v>
      </c>
      <c r="G10" s="389"/>
      <c r="I10" s="383"/>
      <c r="J10" s="383"/>
      <c r="K10" s="383"/>
      <c r="L10" s="387"/>
      <c r="M10" s="388"/>
      <c r="N10" s="384">
        <f>N9+N8</f>
        <v>77953.63</v>
      </c>
      <c r="O10" s="389"/>
    </row>
    <row r="11" spans="1:15" ht="15" customHeight="1" x14ac:dyDescent="0.2">
      <c r="A11" s="385"/>
      <c r="B11" s="385" t="s">
        <v>831</v>
      </c>
      <c r="C11" s="378" t="s">
        <v>410</v>
      </c>
      <c r="D11" s="380">
        <v>1</v>
      </c>
      <c r="E11" s="381">
        <v>9144</v>
      </c>
      <c r="F11" s="382">
        <f>D11*E11</f>
        <v>9144</v>
      </c>
      <c r="G11" s="386">
        <f>F11/F10</f>
        <v>0.14998536068083906</v>
      </c>
      <c r="I11" s="385"/>
      <c r="J11" s="385" t="s">
        <v>831</v>
      </c>
      <c r="K11" s="378" t="s">
        <v>410</v>
      </c>
      <c r="L11" s="380">
        <v>1</v>
      </c>
      <c r="M11" s="381">
        <v>11693</v>
      </c>
      <c r="N11" s="382">
        <f>L11*M11</f>
        <v>11693</v>
      </c>
      <c r="O11" s="386">
        <f>N11/N10</f>
        <v>0.14999942914781517</v>
      </c>
    </row>
    <row r="12" spans="1:15" ht="15" customHeight="1" x14ac:dyDescent="0.2">
      <c r="A12" s="383"/>
      <c r="B12" s="383"/>
      <c r="C12" s="383"/>
      <c r="D12" s="383"/>
      <c r="E12" s="384"/>
      <c r="F12" s="384">
        <f>F10+F11</f>
        <v>70109.95</v>
      </c>
      <c r="G12" s="268"/>
      <c r="I12" s="383"/>
      <c r="J12" s="383"/>
      <c r="K12" s="383"/>
      <c r="L12" s="383"/>
      <c r="M12" s="384"/>
      <c r="N12" s="384">
        <f>N10+N11</f>
        <v>89646.63</v>
      </c>
      <c r="O12" s="268"/>
    </row>
    <row r="13" spans="1:15" ht="15" customHeight="1" x14ac:dyDescent="0.2">
      <c r="A13" s="385" t="s">
        <v>832</v>
      </c>
      <c r="B13" s="385"/>
      <c r="C13" s="385"/>
      <c r="D13" s="385"/>
      <c r="E13" s="382"/>
      <c r="F13" s="382">
        <f>F12*0.16</f>
        <v>11217.592000000001</v>
      </c>
      <c r="G13" s="268"/>
      <c r="I13" s="385" t="s">
        <v>832</v>
      </c>
      <c r="J13" s="385"/>
      <c r="K13" s="385"/>
      <c r="L13" s="385"/>
      <c r="M13" s="382"/>
      <c r="N13" s="382">
        <f>N12*0.16</f>
        <v>14343.460800000001</v>
      </c>
      <c r="O13" s="268"/>
    </row>
    <row r="14" spans="1:15" ht="15" customHeight="1" x14ac:dyDescent="0.2">
      <c r="A14" s="390" t="s">
        <v>185</v>
      </c>
      <c r="B14" s="390"/>
      <c r="C14" s="390"/>
      <c r="D14" s="390"/>
      <c r="E14" s="391"/>
      <c r="F14" s="391">
        <f>F12+F13</f>
        <v>81327.542000000001</v>
      </c>
      <c r="G14" s="268"/>
      <c r="I14" s="390" t="s">
        <v>185</v>
      </c>
      <c r="J14" s="390"/>
      <c r="K14" s="390"/>
      <c r="L14" s="390"/>
      <c r="M14" s="391"/>
      <c r="N14" s="391">
        <f>N12+N13</f>
        <v>103990.09080000001</v>
      </c>
      <c r="O14" s="268"/>
    </row>
    <row r="15" spans="1:15" ht="15" customHeight="1" x14ac:dyDescent="0.2">
      <c r="A15" s="268"/>
      <c r="B15" s="268"/>
      <c r="C15" s="268"/>
      <c r="D15" s="268"/>
      <c r="E15" s="392"/>
      <c r="F15" s="392"/>
      <c r="G15" s="268"/>
    </row>
    <row r="16" spans="1:15" ht="15" customHeight="1" x14ac:dyDescent="0.2">
      <c r="A16" s="393" t="s">
        <v>833</v>
      </c>
      <c r="B16" s="394"/>
      <c r="C16" s="248" t="s">
        <v>834</v>
      </c>
      <c r="D16" s="248" t="s">
        <v>824</v>
      </c>
      <c r="E16" s="248" t="s">
        <v>825</v>
      </c>
      <c r="F16" s="248" t="s">
        <v>826</v>
      </c>
      <c r="G16" s="248" t="s">
        <v>835</v>
      </c>
      <c r="H16" s="248" t="s">
        <v>836</v>
      </c>
      <c r="I16" s="248" t="s">
        <v>185</v>
      </c>
      <c r="J16" s="394"/>
    </row>
    <row r="17" spans="1:11" ht="15" customHeight="1" x14ac:dyDescent="0.2">
      <c r="A17" s="373">
        <v>1</v>
      </c>
      <c r="B17" s="395" t="s">
        <v>808</v>
      </c>
      <c r="C17" s="378" t="s">
        <v>221</v>
      </c>
      <c r="D17" s="360" t="s">
        <v>410</v>
      </c>
      <c r="E17" s="396">
        <v>1</v>
      </c>
      <c r="F17" s="381">
        <v>30537.63</v>
      </c>
      <c r="G17" s="376">
        <f>F9*G6</f>
        <v>9161.2336510156856</v>
      </c>
      <c r="H17" s="376">
        <f>E11*G6</f>
        <v>5954.248383317039</v>
      </c>
      <c r="I17" s="376">
        <f>SUM(F17:H17)</f>
        <v>45653.112034332727</v>
      </c>
      <c r="J17" s="397" t="s">
        <v>221</v>
      </c>
      <c r="K17" s="376"/>
    </row>
    <row r="18" spans="1:11" ht="15" customHeight="1" x14ac:dyDescent="0.2">
      <c r="A18" s="385">
        <v>2</v>
      </c>
      <c r="B18" s="398" t="s">
        <v>809</v>
      </c>
      <c r="C18" s="378" t="s">
        <v>221</v>
      </c>
      <c r="D18" s="378" t="s">
        <v>410</v>
      </c>
      <c r="E18" s="399">
        <v>1</v>
      </c>
      <c r="F18" s="381">
        <v>16359.32</v>
      </c>
      <c r="G18" s="382">
        <f>E9*G7</f>
        <v>4907.7663489843153</v>
      </c>
      <c r="H18" s="382">
        <f>E11*G7</f>
        <v>3189.7516166829614</v>
      </c>
      <c r="I18" s="382">
        <f>SUM(F18:H18)</f>
        <v>24456.837965667277</v>
      </c>
      <c r="J18" s="400" t="s">
        <v>221</v>
      </c>
      <c r="K18" s="376"/>
    </row>
    <row r="19" spans="1:11" ht="15" customHeight="1" x14ac:dyDescent="0.2">
      <c r="A19" s="385">
        <v>3</v>
      </c>
      <c r="B19" s="401" t="s">
        <v>808</v>
      </c>
      <c r="C19" s="378" t="s">
        <v>821</v>
      </c>
      <c r="D19" s="378" t="s">
        <v>410</v>
      </c>
      <c r="E19" s="399">
        <v>1</v>
      </c>
      <c r="F19" s="381">
        <v>30537.63</v>
      </c>
      <c r="G19" s="382">
        <f>M9*O6</f>
        <v>9161.0908975841248</v>
      </c>
      <c r="H19" s="382">
        <f>M11*O6</f>
        <v>5954.7854725360594</v>
      </c>
      <c r="I19" s="382">
        <f>SUM(F19:H19)</f>
        <v>45653.506370120187</v>
      </c>
      <c r="J19" s="400" t="s">
        <v>354</v>
      </c>
      <c r="K19" s="376"/>
    </row>
    <row r="20" spans="1:11" ht="15" customHeight="1" x14ac:dyDescent="0.2">
      <c r="A20" s="268">
        <v>4</v>
      </c>
      <c r="B20" s="402" t="s">
        <v>810</v>
      </c>
      <c r="C20" s="378" t="s">
        <v>821</v>
      </c>
      <c r="D20" s="360" t="s">
        <v>410</v>
      </c>
      <c r="E20" s="396">
        <v>1</v>
      </c>
      <c r="F20" s="375">
        <v>29427</v>
      </c>
      <c r="G20" s="382">
        <f>M9*O7</f>
        <v>8827.9091024158733</v>
      </c>
      <c r="H20" s="382">
        <f>M11*O7</f>
        <v>5738.2145274639388</v>
      </c>
      <c r="I20" s="382">
        <f>SUM(F20:H20)</f>
        <v>43993.12362987981</v>
      </c>
      <c r="J20" s="397" t="s">
        <v>354</v>
      </c>
      <c r="K20" s="376"/>
    </row>
    <row r="21" spans="1:11" ht="15" customHeight="1" x14ac:dyDescent="0.2">
      <c r="A21" s="373"/>
      <c r="G21" s="403"/>
      <c r="H21" s="403"/>
    </row>
    <row r="22" spans="1:11" ht="15" customHeight="1" x14ac:dyDescent="0.2">
      <c r="E22" s="40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93"/>
  <sheetViews>
    <sheetView topLeftCell="A18" zoomScale="130" zoomScaleNormal="130" workbookViewId="0">
      <selection activeCell="I2" sqref="I2"/>
    </sheetView>
  </sheetViews>
  <sheetFormatPr baseColWidth="10" defaultColWidth="10.6640625" defaultRowHeight="15" customHeight="1" x14ac:dyDescent="0.2"/>
  <cols>
    <col min="1" max="1" width="13.33203125" customWidth="1"/>
    <col min="2" max="2" width="75.1640625" customWidth="1"/>
    <col min="3" max="22" width="13.33203125" customWidth="1"/>
  </cols>
  <sheetData>
    <row r="1" spans="1:22" ht="15" customHeight="1" x14ac:dyDescent="0.2">
      <c r="A1" s="405" t="s">
        <v>818</v>
      </c>
      <c r="B1" s="406" t="s">
        <v>837</v>
      </c>
      <c r="C1" s="406"/>
      <c r="D1" s="406"/>
      <c r="G1" s="151"/>
      <c r="H1" s="151"/>
    </row>
    <row r="2" spans="1:22" ht="15" customHeight="1" x14ac:dyDescent="0.2">
      <c r="A2" s="405" t="s">
        <v>819</v>
      </c>
      <c r="B2" s="407" t="s">
        <v>812</v>
      </c>
      <c r="C2" s="407"/>
      <c r="D2" s="407"/>
      <c r="G2" s="151"/>
      <c r="H2" s="151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</row>
    <row r="3" spans="1:22" ht="15" customHeight="1" x14ac:dyDescent="0.2">
      <c r="B3" s="1"/>
      <c r="G3" s="151"/>
      <c r="H3" s="151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</row>
    <row r="4" spans="1:22" ht="15" customHeight="1" x14ac:dyDescent="0.2">
      <c r="G4" s="151"/>
      <c r="H4" s="151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</row>
    <row r="5" spans="1:22" ht="15" customHeight="1" x14ac:dyDescent="0.2">
      <c r="A5" s="409"/>
      <c r="B5" s="409"/>
      <c r="C5" s="409"/>
      <c r="D5" s="409"/>
      <c r="E5" s="409"/>
      <c r="F5" s="409"/>
      <c r="G5" s="410"/>
      <c r="H5" s="410"/>
      <c r="I5" s="409"/>
      <c r="J5" s="410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</row>
    <row r="6" spans="1:22" ht="15" customHeight="1" x14ac:dyDescent="0.2">
      <c r="A6" s="129"/>
      <c r="B6" s="411" t="s">
        <v>838</v>
      </c>
      <c r="C6" s="411"/>
      <c r="D6" s="411"/>
      <c r="E6" s="129"/>
      <c r="F6" s="129"/>
      <c r="G6" s="412"/>
      <c r="H6" s="412"/>
      <c r="I6" s="129"/>
      <c r="J6" s="412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</row>
    <row r="7" spans="1:22" ht="15" customHeight="1" x14ac:dyDescent="0.2">
      <c r="A7" s="413" t="s">
        <v>839</v>
      </c>
      <c r="B7" s="414" t="s">
        <v>840</v>
      </c>
      <c r="C7" s="413" t="s">
        <v>841</v>
      </c>
      <c r="D7" s="413" t="s">
        <v>842</v>
      </c>
      <c r="E7" s="413" t="s">
        <v>843</v>
      </c>
      <c r="F7" s="413">
        <v>4</v>
      </c>
      <c r="G7" s="415">
        <v>17882</v>
      </c>
      <c r="H7" s="415">
        <f t="shared" ref="H7:H25" si="0">F7*G7</f>
        <v>71528</v>
      </c>
      <c r="I7" s="416">
        <v>0.4</v>
      </c>
      <c r="J7" s="415">
        <f t="shared" ref="J7:J25" si="1">H7*(1-I7)</f>
        <v>42916.799999999996</v>
      </c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</row>
    <row r="8" spans="1:22" ht="15" customHeight="1" x14ac:dyDescent="0.2">
      <c r="A8" s="413" t="s">
        <v>844</v>
      </c>
      <c r="B8" s="414" t="s">
        <v>845</v>
      </c>
      <c r="C8" s="413" t="s">
        <v>846</v>
      </c>
      <c r="D8" s="413" t="s">
        <v>842</v>
      </c>
      <c r="E8" s="413" t="s">
        <v>843</v>
      </c>
      <c r="F8" s="413">
        <v>4</v>
      </c>
      <c r="G8" s="415">
        <v>2537</v>
      </c>
      <c r="H8" s="415">
        <f t="shared" si="0"/>
        <v>10148</v>
      </c>
      <c r="I8" s="416">
        <v>0.4</v>
      </c>
      <c r="J8" s="415">
        <f t="shared" si="1"/>
        <v>6088.8</v>
      </c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</row>
    <row r="9" spans="1:22" ht="15" customHeight="1" x14ac:dyDescent="0.2">
      <c r="A9" s="413" t="s">
        <v>847</v>
      </c>
      <c r="B9" s="414" t="s">
        <v>848</v>
      </c>
      <c r="C9" s="413" t="s">
        <v>849</v>
      </c>
      <c r="D9" s="413" t="s">
        <v>842</v>
      </c>
      <c r="E9" s="413" t="s">
        <v>843</v>
      </c>
      <c r="F9" s="413">
        <v>4</v>
      </c>
      <c r="G9" s="415">
        <v>1428</v>
      </c>
      <c r="H9" s="415">
        <f t="shared" si="0"/>
        <v>5712</v>
      </c>
      <c r="I9" s="416">
        <v>0.2</v>
      </c>
      <c r="J9" s="415">
        <f t="shared" si="1"/>
        <v>4569.6000000000004</v>
      </c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</row>
    <row r="10" spans="1:22" ht="15" customHeight="1" x14ac:dyDescent="0.2">
      <c r="A10" s="413" t="s">
        <v>850</v>
      </c>
      <c r="B10" s="414" t="s">
        <v>851</v>
      </c>
      <c r="C10" s="413" t="s">
        <v>852</v>
      </c>
      <c r="D10" s="413" t="s">
        <v>853</v>
      </c>
      <c r="E10" s="413" t="s">
        <v>843</v>
      </c>
      <c r="F10" s="413">
        <v>4</v>
      </c>
      <c r="G10" s="415">
        <v>19016</v>
      </c>
      <c r="H10" s="415">
        <f t="shared" si="0"/>
        <v>76064</v>
      </c>
      <c r="I10" s="416">
        <v>0.4</v>
      </c>
      <c r="J10" s="415">
        <f t="shared" si="1"/>
        <v>45638.400000000001</v>
      </c>
      <c r="K10" s="268" t="s">
        <v>854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</row>
    <row r="11" spans="1:22" ht="15" customHeight="1" x14ac:dyDescent="0.2">
      <c r="A11" s="413" t="s">
        <v>855</v>
      </c>
      <c r="B11" s="414" t="s">
        <v>856</v>
      </c>
      <c r="C11" s="413" t="s">
        <v>857</v>
      </c>
      <c r="D11" s="413" t="s">
        <v>853</v>
      </c>
      <c r="E11" s="413" t="s">
        <v>843</v>
      </c>
      <c r="F11" s="413">
        <v>4</v>
      </c>
      <c r="G11" s="415">
        <v>139</v>
      </c>
      <c r="H11" s="415">
        <f t="shared" si="0"/>
        <v>556</v>
      </c>
      <c r="I11" s="416">
        <v>0.2</v>
      </c>
      <c r="J11" s="415">
        <f t="shared" si="1"/>
        <v>444.8</v>
      </c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</row>
    <row r="12" spans="1:22" ht="15" customHeight="1" x14ac:dyDescent="0.2">
      <c r="A12" s="413" t="s">
        <v>858</v>
      </c>
      <c r="B12" s="414" t="s">
        <v>859</v>
      </c>
      <c r="C12" s="413" t="s">
        <v>860</v>
      </c>
      <c r="D12" s="413" t="s">
        <v>853</v>
      </c>
      <c r="E12" s="413" t="s">
        <v>843</v>
      </c>
      <c r="F12" s="413">
        <v>8</v>
      </c>
      <c r="G12" s="415">
        <v>267</v>
      </c>
      <c r="H12" s="415">
        <f t="shared" si="0"/>
        <v>2136</v>
      </c>
      <c r="I12" s="416">
        <v>0.2</v>
      </c>
      <c r="J12" s="415">
        <f t="shared" si="1"/>
        <v>1708.8000000000002</v>
      </c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</row>
    <row r="13" spans="1:22" ht="15" customHeight="1" x14ac:dyDescent="0.2">
      <c r="A13" s="413" t="s">
        <v>861</v>
      </c>
      <c r="B13" s="414" t="s">
        <v>862</v>
      </c>
      <c r="C13" s="413" t="s">
        <v>863</v>
      </c>
      <c r="D13" s="413" t="s">
        <v>853</v>
      </c>
      <c r="E13" s="413" t="s">
        <v>843</v>
      </c>
      <c r="F13" s="413">
        <v>4</v>
      </c>
      <c r="G13" s="415">
        <v>267</v>
      </c>
      <c r="H13" s="415">
        <f t="shared" si="0"/>
        <v>1068</v>
      </c>
      <c r="I13" s="416">
        <v>0.2</v>
      </c>
      <c r="J13" s="415">
        <f t="shared" si="1"/>
        <v>854.40000000000009</v>
      </c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</row>
    <row r="14" spans="1:22" ht="15" customHeight="1" x14ac:dyDescent="0.2">
      <c r="A14" s="413" t="s">
        <v>864</v>
      </c>
      <c r="B14" s="414" t="s">
        <v>865</v>
      </c>
      <c r="C14" s="413" t="s">
        <v>866</v>
      </c>
      <c r="D14" s="413" t="s">
        <v>853</v>
      </c>
      <c r="E14" s="413" t="s">
        <v>843</v>
      </c>
      <c r="F14" s="413">
        <v>4</v>
      </c>
      <c r="G14" s="415">
        <v>120</v>
      </c>
      <c r="H14" s="415">
        <f t="shared" si="0"/>
        <v>480</v>
      </c>
      <c r="I14" s="416">
        <v>0.2</v>
      </c>
      <c r="J14" s="415">
        <f t="shared" si="1"/>
        <v>384</v>
      </c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</row>
    <row r="15" spans="1:22" ht="15" customHeight="1" x14ac:dyDescent="0.2">
      <c r="A15" s="413" t="s">
        <v>867</v>
      </c>
      <c r="B15" s="414" t="s">
        <v>868</v>
      </c>
      <c r="C15" s="413" t="s">
        <v>869</v>
      </c>
      <c r="D15" s="413" t="s">
        <v>842</v>
      </c>
      <c r="E15" s="413" t="s">
        <v>843</v>
      </c>
      <c r="F15" s="413">
        <v>4</v>
      </c>
      <c r="G15" s="415">
        <v>4136</v>
      </c>
      <c r="H15" s="415">
        <f t="shared" si="0"/>
        <v>16544</v>
      </c>
      <c r="I15" s="416">
        <v>0.4</v>
      </c>
      <c r="J15" s="415">
        <f t="shared" si="1"/>
        <v>9926.4</v>
      </c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</row>
    <row r="16" spans="1:22" ht="15" customHeight="1" x14ac:dyDescent="0.2">
      <c r="A16" s="413" t="s">
        <v>870</v>
      </c>
      <c r="B16" s="414" t="s">
        <v>871</v>
      </c>
      <c r="C16" s="413" t="s">
        <v>872</v>
      </c>
      <c r="D16" s="413" t="s">
        <v>873</v>
      </c>
      <c r="E16" s="413" t="s">
        <v>843</v>
      </c>
      <c r="F16" s="413">
        <v>4</v>
      </c>
      <c r="G16" s="415">
        <v>1929</v>
      </c>
      <c r="H16" s="415">
        <f t="shared" si="0"/>
        <v>7716</v>
      </c>
      <c r="I16" s="416">
        <v>0.2</v>
      </c>
      <c r="J16" s="415">
        <f t="shared" si="1"/>
        <v>6172.8</v>
      </c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</row>
    <row r="17" spans="1:21" ht="15" customHeight="1" x14ac:dyDescent="0.2">
      <c r="A17" s="413" t="s">
        <v>874</v>
      </c>
      <c r="B17" s="414" t="s">
        <v>875</v>
      </c>
      <c r="C17" s="413" t="s">
        <v>876</v>
      </c>
      <c r="D17" s="413" t="s">
        <v>853</v>
      </c>
      <c r="E17" s="413" t="s">
        <v>843</v>
      </c>
      <c r="F17" s="413">
        <v>2</v>
      </c>
      <c r="G17" s="415">
        <v>4568</v>
      </c>
      <c r="H17" s="415">
        <f t="shared" si="0"/>
        <v>9136</v>
      </c>
      <c r="I17" s="416">
        <v>0.4</v>
      </c>
      <c r="J17" s="415">
        <f t="shared" si="1"/>
        <v>5481.5999999999995</v>
      </c>
      <c r="K17" s="268" t="s">
        <v>854</v>
      </c>
      <c r="L17" s="268"/>
      <c r="M17" s="268"/>
      <c r="N17" s="268"/>
      <c r="O17" s="268"/>
      <c r="P17" s="268"/>
      <c r="Q17" s="268"/>
      <c r="R17" s="268"/>
      <c r="S17" s="268"/>
      <c r="T17" s="268"/>
      <c r="U17" s="268"/>
    </row>
    <row r="18" spans="1:21" ht="15" customHeight="1" x14ac:dyDescent="0.2">
      <c r="A18" s="413" t="s">
        <v>877</v>
      </c>
      <c r="B18" s="414" t="s">
        <v>878</v>
      </c>
      <c r="C18" s="413" t="s">
        <v>879</v>
      </c>
      <c r="D18" s="413" t="s">
        <v>853</v>
      </c>
      <c r="E18" s="413" t="s">
        <v>843</v>
      </c>
      <c r="F18" s="413">
        <v>2</v>
      </c>
      <c r="G18" s="415">
        <v>232</v>
      </c>
      <c r="H18" s="415">
        <f t="shared" si="0"/>
        <v>464</v>
      </c>
      <c r="I18" s="416">
        <v>0.2</v>
      </c>
      <c r="J18" s="415">
        <f t="shared" si="1"/>
        <v>371.20000000000005</v>
      </c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</row>
    <row r="19" spans="1:21" ht="15" customHeight="1" x14ac:dyDescent="0.2">
      <c r="A19" s="413" t="s">
        <v>880</v>
      </c>
      <c r="B19" s="414" t="s">
        <v>865</v>
      </c>
      <c r="C19" s="413" t="s">
        <v>881</v>
      </c>
      <c r="D19" s="413" t="s">
        <v>853</v>
      </c>
      <c r="E19" s="413" t="s">
        <v>843</v>
      </c>
      <c r="F19" s="413">
        <v>2</v>
      </c>
      <c r="G19" s="415">
        <v>120</v>
      </c>
      <c r="H19" s="415">
        <f t="shared" si="0"/>
        <v>240</v>
      </c>
      <c r="I19" s="416">
        <v>0.2</v>
      </c>
      <c r="J19" s="415">
        <f t="shared" si="1"/>
        <v>192</v>
      </c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</row>
    <row r="20" spans="1:21" ht="15" customHeight="1" x14ac:dyDescent="0.2">
      <c r="A20" s="413" t="s">
        <v>882</v>
      </c>
      <c r="B20" s="414" t="s">
        <v>883</v>
      </c>
      <c r="C20" s="413" t="s">
        <v>884</v>
      </c>
      <c r="D20" s="413" t="s">
        <v>853</v>
      </c>
      <c r="E20" s="413" t="s">
        <v>843</v>
      </c>
      <c r="F20" s="413">
        <v>2</v>
      </c>
      <c r="G20" s="415">
        <v>4568</v>
      </c>
      <c r="H20" s="415">
        <f t="shared" si="0"/>
        <v>9136</v>
      </c>
      <c r="I20" s="416">
        <v>0.4</v>
      </c>
      <c r="J20" s="415">
        <f t="shared" si="1"/>
        <v>5481.5999999999995</v>
      </c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</row>
    <row r="21" spans="1:21" ht="15" customHeight="1" x14ac:dyDescent="0.2">
      <c r="A21" s="413" t="s">
        <v>885</v>
      </c>
      <c r="B21" s="414" t="s">
        <v>878</v>
      </c>
      <c r="C21" s="413" t="s">
        <v>879</v>
      </c>
      <c r="D21" s="413" t="s">
        <v>853</v>
      </c>
      <c r="E21" s="413" t="s">
        <v>843</v>
      </c>
      <c r="F21" s="413">
        <v>2</v>
      </c>
      <c r="G21" s="415">
        <v>232</v>
      </c>
      <c r="H21" s="415">
        <f t="shared" si="0"/>
        <v>464</v>
      </c>
      <c r="I21" s="416">
        <v>0.2</v>
      </c>
      <c r="J21" s="415">
        <f t="shared" si="1"/>
        <v>371.20000000000005</v>
      </c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</row>
    <row r="22" spans="1:21" ht="15" customHeight="1" x14ac:dyDescent="0.2">
      <c r="A22" s="413" t="s">
        <v>886</v>
      </c>
      <c r="B22" s="414" t="s">
        <v>865</v>
      </c>
      <c r="C22" s="413" t="s">
        <v>881</v>
      </c>
      <c r="D22" s="413" t="s">
        <v>853</v>
      </c>
      <c r="E22" s="413" t="s">
        <v>843</v>
      </c>
      <c r="F22" s="413">
        <v>2</v>
      </c>
      <c r="G22" s="415">
        <v>120</v>
      </c>
      <c r="H22" s="415">
        <f t="shared" si="0"/>
        <v>240</v>
      </c>
      <c r="I22" s="416">
        <v>0.2</v>
      </c>
      <c r="J22" s="415">
        <f t="shared" si="1"/>
        <v>192</v>
      </c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</row>
    <row r="23" spans="1:21" ht="15" customHeight="1" x14ac:dyDescent="0.2">
      <c r="A23" s="413" t="s">
        <v>887</v>
      </c>
      <c r="B23" s="414" t="s">
        <v>888</v>
      </c>
      <c r="C23" s="413" t="s">
        <v>889</v>
      </c>
      <c r="D23" s="413" t="s">
        <v>890</v>
      </c>
      <c r="E23" s="413" t="s">
        <v>843</v>
      </c>
      <c r="F23" s="413">
        <v>4</v>
      </c>
      <c r="G23" s="415">
        <v>1300</v>
      </c>
      <c r="H23" s="415">
        <f t="shared" si="0"/>
        <v>5200</v>
      </c>
      <c r="I23" s="416">
        <v>0.2</v>
      </c>
      <c r="J23" s="415">
        <f t="shared" si="1"/>
        <v>4160</v>
      </c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</row>
    <row r="24" spans="1:21" ht="15" customHeight="1" x14ac:dyDescent="0.2">
      <c r="A24" s="413" t="s">
        <v>891</v>
      </c>
      <c r="B24" s="414" t="s">
        <v>892</v>
      </c>
      <c r="C24" s="413" t="s">
        <v>893</v>
      </c>
      <c r="D24" s="413" t="s">
        <v>890</v>
      </c>
      <c r="E24" s="413" t="s">
        <v>843</v>
      </c>
      <c r="F24" s="413">
        <v>8</v>
      </c>
      <c r="G24" s="415">
        <v>130</v>
      </c>
      <c r="H24" s="415">
        <f t="shared" si="0"/>
        <v>1040</v>
      </c>
      <c r="I24" s="416">
        <v>0.2</v>
      </c>
      <c r="J24" s="415">
        <f t="shared" si="1"/>
        <v>832</v>
      </c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</row>
    <row r="25" spans="1:21" ht="15" customHeight="1" x14ac:dyDescent="0.2">
      <c r="A25" s="413" t="s">
        <v>894</v>
      </c>
      <c r="B25" s="414" t="s">
        <v>895</v>
      </c>
      <c r="C25" s="413" t="s">
        <v>896</v>
      </c>
      <c r="D25" s="413" t="s">
        <v>897</v>
      </c>
      <c r="E25" s="413" t="s">
        <v>843</v>
      </c>
      <c r="F25" s="413">
        <v>4</v>
      </c>
      <c r="G25" s="415">
        <v>748</v>
      </c>
      <c r="H25" s="415">
        <f t="shared" si="0"/>
        <v>2992</v>
      </c>
      <c r="I25" s="416">
        <v>0.2</v>
      </c>
      <c r="J25" s="415">
        <f t="shared" si="1"/>
        <v>2393.6</v>
      </c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</row>
    <row r="26" spans="1:21" ht="15" customHeight="1" x14ac:dyDescent="0.2">
      <c r="A26" s="417" t="s">
        <v>898</v>
      </c>
      <c r="B26" s="350"/>
      <c r="C26" s="350"/>
      <c r="D26" s="350"/>
      <c r="E26" s="350"/>
      <c r="F26" s="350"/>
      <c r="G26" s="418"/>
      <c r="H26" s="418">
        <f>SUM(H7:H25)</f>
        <v>220864</v>
      </c>
      <c r="I26" s="350"/>
      <c r="J26" s="418">
        <f>SUM(J7:J25)</f>
        <v>138180.00000000003</v>
      </c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</row>
    <row r="27" spans="1:21" ht="15" customHeight="1" x14ac:dyDescent="0.2">
      <c r="A27" s="417"/>
      <c r="B27" s="350"/>
      <c r="C27" s="350"/>
      <c r="D27" s="350"/>
      <c r="E27" s="350"/>
      <c r="F27" s="350"/>
      <c r="G27" s="418"/>
      <c r="H27" s="418"/>
      <c r="I27" s="350"/>
      <c r="J27" s="41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</row>
    <row r="28" spans="1:21" ht="15" customHeight="1" x14ac:dyDescent="0.2">
      <c r="A28" s="129"/>
      <c r="B28" s="411" t="s">
        <v>899</v>
      </c>
      <c r="C28" s="411"/>
      <c r="D28" s="411"/>
      <c r="E28" s="129"/>
      <c r="F28" s="129"/>
      <c r="G28" s="412"/>
      <c r="H28" s="412"/>
      <c r="I28" s="129"/>
      <c r="J28" s="412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</row>
    <row r="29" spans="1:21" ht="15" customHeight="1" x14ac:dyDescent="0.2">
      <c r="A29" s="413" t="s">
        <v>900</v>
      </c>
      <c r="B29" s="414" t="s">
        <v>840</v>
      </c>
      <c r="C29" s="413" t="s">
        <v>841</v>
      </c>
      <c r="D29" s="413" t="s">
        <v>842</v>
      </c>
      <c r="E29" s="413" t="s">
        <v>843</v>
      </c>
      <c r="F29" s="413">
        <v>4</v>
      </c>
      <c r="G29" s="415">
        <v>17882</v>
      </c>
      <c r="H29" s="415">
        <f t="shared" ref="H29:H47" si="2">F29*G29</f>
        <v>71528</v>
      </c>
      <c r="I29" s="416">
        <v>0.4</v>
      </c>
      <c r="J29" s="415">
        <f t="shared" ref="J29:J47" si="3">H29*(1-I29)</f>
        <v>42916.799999999996</v>
      </c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</row>
    <row r="30" spans="1:21" ht="15" customHeight="1" x14ac:dyDescent="0.2">
      <c r="A30" s="413" t="s">
        <v>901</v>
      </c>
      <c r="B30" s="414" t="s">
        <v>845</v>
      </c>
      <c r="C30" s="413" t="s">
        <v>846</v>
      </c>
      <c r="D30" s="413" t="s">
        <v>842</v>
      </c>
      <c r="E30" s="413" t="s">
        <v>843</v>
      </c>
      <c r="F30" s="413">
        <v>4</v>
      </c>
      <c r="G30" s="415">
        <v>2537</v>
      </c>
      <c r="H30" s="415">
        <f t="shared" si="2"/>
        <v>10148</v>
      </c>
      <c r="I30" s="416">
        <v>0.4</v>
      </c>
      <c r="J30" s="415">
        <f t="shared" si="3"/>
        <v>6088.8</v>
      </c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</row>
    <row r="31" spans="1:21" ht="15" customHeight="1" x14ac:dyDescent="0.2">
      <c r="A31" s="413" t="s">
        <v>902</v>
      </c>
      <c r="B31" s="414" t="s">
        <v>848</v>
      </c>
      <c r="C31" s="413" t="s">
        <v>849</v>
      </c>
      <c r="D31" s="413" t="s">
        <v>842</v>
      </c>
      <c r="E31" s="413" t="s">
        <v>843</v>
      </c>
      <c r="F31" s="413">
        <v>4</v>
      </c>
      <c r="G31" s="415">
        <v>1428</v>
      </c>
      <c r="H31" s="415">
        <f t="shared" si="2"/>
        <v>5712</v>
      </c>
      <c r="I31" s="416">
        <v>0.2</v>
      </c>
      <c r="J31" s="415">
        <f t="shared" si="3"/>
        <v>4569.6000000000004</v>
      </c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</row>
    <row r="32" spans="1:21" ht="15" customHeight="1" x14ac:dyDescent="0.2">
      <c r="A32" s="413" t="s">
        <v>903</v>
      </c>
      <c r="B32" s="414" t="s">
        <v>851</v>
      </c>
      <c r="C32" s="413" t="s">
        <v>852</v>
      </c>
      <c r="D32" s="413" t="s">
        <v>853</v>
      </c>
      <c r="E32" s="413" t="s">
        <v>843</v>
      </c>
      <c r="F32" s="413">
        <v>4</v>
      </c>
      <c r="G32" s="415">
        <v>19016</v>
      </c>
      <c r="H32" s="415">
        <f t="shared" si="2"/>
        <v>76064</v>
      </c>
      <c r="I32" s="416">
        <v>0.4</v>
      </c>
      <c r="J32" s="415">
        <f t="shared" si="3"/>
        <v>45638.400000000001</v>
      </c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</row>
    <row r="33" spans="1:21" ht="15" customHeight="1" x14ac:dyDescent="0.2">
      <c r="A33" s="413" t="s">
        <v>904</v>
      </c>
      <c r="B33" s="414" t="s">
        <v>856</v>
      </c>
      <c r="C33" s="413" t="s">
        <v>857</v>
      </c>
      <c r="D33" s="413" t="s">
        <v>853</v>
      </c>
      <c r="E33" s="413" t="s">
        <v>843</v>
      </c>
      <c r="F33" s="413">
        <v>4</v>
      </c>
      <c r="G33" s="415">
        <v>139</v>
      </c>
      <c r="H33" s="415">
        <f t="shared" si="2"/>
        <v>556</v>
      </c>
      <c r="I33" s="416">
        <v>0.2</v>
      </c>
      <c r="J33" s="415">
        <f t="shared" si="3"/>
        <v>444.8</v>
      </c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</row>
    <row r="34" spans="1:21" ht="15" customHeight="1" x14ac:dyDescent="0.2">
      <c r="A34" s="413" t="s">
        <v>905</v>
      </c>
      <c r="B34" s="414" t="s">
        <v>859</v>
      </c>
      <c r="C34" s="413" t="s">
        <v>860</v>
      </c>
      <c r="D34" s="413" t="s">
        <v>853</v>
      </c>
      <c r="E34" s="413" t="s">
        <v>843</v>
      </c>
      <c r="F34" s="413">
        <v>8</v>
      </c>
      <c r="G34" s="415">
        <v>267</v>
      </c>
      <c r="H34" s="415">
        <f t="shared" si="2"/>
        <v>2136</v>
      </c>
      <c r="I34" s="416">
        <v>0.2</v>
      </c>
      <c r="J34" s="415">
        <f t="shared" si="3"/>
        <v>1708.8000000000002</v>
      </c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</row>
    <row r="35" spans="1:21" ht="15" customHeight="1" x14ac:dyDescent="0.2">
      <c r="A35" s="413" t="s">
        <v>906</v>
      </c>
      <c r="B35" s="414" t="s">
        <v>862</v>
      </c>
      <c r="C35" s="413" t="s">
        <v>863</v>
      </c>
      <c r="D35" s="413" t="s">
        <v>853</v>
      </c>
      <c r="E35" s="413" t="s">
        <v>843</v>
      </c>
      <c r="F35" s="413">
        <v>4</v>
      </c>
      <c r="G35" s="415">
        <v>267</v>
      </c>
      <c r="H35" s="415">
        <f t="shared" si="2"/>
        <v>1068</v>
      </c>
      <c r="I35" s="416">
        <v>0.2</v>
      </c>
      <c r="J35" s="415">
        <f t="shared" si="3"/>
        <v>854.40000000000009</v>
      </c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</row>
    <row r="36" spans="1:21" ht="15" customHeight="1" x14ac:dyDescent="0.2">
      <c r="A36" s="413" t="s">
        <v>907</v>
      </c>
      <c r="B36" s="414" t="s">
        <v>865</v>
      </c>
      <c r="C36" s="413" t="s">
        <v>866</v>
      </c>
      <c r="D36" s="413" t="s">
        <v>853</v>
      </c>
      <c r="E36" s="413" t="s">
        <v>843</v>
      </c>
      <c r="F36" s="413">
        <v>4</v>
      </c>
      <c r="G36" s="415">
        <v>120</v>
      </c>
      <c r="H36" s="415">
        <f t="shared" si="2"/>
        <v>480</v>
      </c>
      <c r="I36" s="416">
        <v>0.2</v>
      </c>
      <c r="J36" s="415">
        <f t="shared" si="3"/>
        <v>384</v>
      </c>
      <c r="M36" s="367"/>
      <c r="R36" s="367"/>
      <c r="T36" s="367"/>
    </row>
    <row r="37" spans="1:21" ht="15" customHeight="1" x14ac:dyDescent="0.2">
      <c r="A37" s="413" t="s">
        <v>908</v>
      </c>
      <c r="B37" s="414" t="s">
        <v>868</v>
      </c>
      <c r="C37" s="413" t="s">
        <v>869</v>
      </c>
      <c r="D37" s="413" t="s">
        <v>842</v>
      </c>
      <c r="E37" s="413" t="s">
        <v>843</v>
      </c>
      <c r="F37" s="413">
        <v>4</v>
      </c>
      <c r="G37" s="415">
        <v>4136</v>
      </c>
      <c r="H37" s="415">
        <f t="shared" si="2"/>
        <v>16544</v>
      </c>
      <c r="I37" s="416">
        <v>0.4</v>
      </c>
      <c r="J37" s="415">
        <f t="shared" si="3"/>
        <v>9926.4</v>
      </c>
    </row>
    <row r="38" spans="1:21" ht="19.5" customHeight="1" x14ac:dyDescent="0.2">
      <c r="A38" s="413" t="s">
        <v>909</v>
      </c>
      <c r="B38" s="414" t="s">
        <v>871</v>
      </c>
      <c r="C38" s="413" t="s">
        <v>872</v>
      </c>
      <c r="D38" s="413" t="s">
        <v>873</v>
      </c>
      <c r="E38" s="413" t="s">
        <v>843</v>
      </c>
      <c r="F38" s="413">
        <v>4</v>
      </c>
      <c r="G38" s="415">
        <v>1929</v>
      </c>
      <c r="H38" s="415">
        <f t="shared" si="2"/>
        <v>7716</v>
      </c>
      <c r="I38" s="416">
        <v>0.2</v>
      </c>
      <c r="J38" s="415">
        <f t="shared" si="3"/>
        <v>6172.8</v>
      </c>
    </row>
    <row r="39" spans="1:21" ht="15" customHeight="1" x14ac:dyDescent="0.2">
      <c r="A39" s="413" t="s">
        <v>910</v>
      </c>
      <c r="B39" s="414" t="s">
        <v>875</v>
      </c>
      <c r="C39" s="413" t="s">
        <v>876</v>
      </c>
      <c r="D39" s="413" t="s">
        <v>853</v>
      </c>
      <c r="E39" s="413" t="s">
        <v>843</v>
      </c>
      <c r="F39" s="413">
        <v>2</v>
      </c>
      <c r="G39" s="415">
        <v>4568</v>
      </c>
      <c r="H39" s="415">
        <f t="shared" si="2"/>
        <v>9136</v>
      </c>
      <c r="I39" s="416">
        <v>0.4</v>
      </c>
      <c r="J39" s="415">
        <f t="shared" si="3"/>
        <v>5481.5999999999995</v>
      </c>
    </row>
    <row r="40" spans="1:21" ht="15" customHeight="1" x14ac:dyDescent="0.2">
      <c r="A40" s="413" t="s">
        <v>911</v>
      </c>
      <c r="B40" s="414" t="s">
        <v>878</v>
      </c>
      <c r="C40" s="413" t="s">
        <v>879</v>
      </c>
      <c r="D40" s="413" t="s">
        <v>853</v>
      </c>
      <c r="E40" s="413" t="s">
        <v>843</v>
      </c>
      <c r="F40" s="413">
        <v>2</v>
      </c>
      <c r="G40" s="415">
        <v>232</v>
      </c>
      <c r="H40" s="415">
        <f t="shared" si="2"/>
        <v>464</v>
      </c>
      <c r="I40" s="416">
        <v>0.2</v>
      </c>
      <c r="J40" s="415">
        <f t="shared" si="3"/>
        <v>371.20000000000005</v>
      </c>
    </row>
    <row r="41" spans="1:21" ht="15" customHeight="1" x14ac:dyDescent="0.2">
      <c r="A41" s="413" t="s">
        <v>912</v>
      </c>
      <c r="B41" s="414" t="s">
        <v>865</v>
      </c>
      <c r="C41" s="413" t="s">
        <v>881</v>
      </c>
      <c r="D41" s="413" t="s">
        <v>853</v>
      </c>
      <c r="E41" s="413" t="s">
        <v>843</v>
      </c>
      <c r="F41" s="413">
        <v>2</v>
      </c>
      <c r="G41" s="415">
        <v>120</v>
      </c>
      <c r="H41" s="415">
        <f t="shared" si="2"/>
        <v>240</v>
      </c>
      <c r="I41" s="416">
        <v>0.2</v>
      </c>
      <c r="J41" s="415">
        <f t="shared" si="3"/>
        <v>192</v>
      </c>
    </row>
    <row r="42" spans="1:21" ht="15" customHeight="1" x14ac:dyDescent="0.2">
      <c r="A42" s="413" t="s">
        <v>913</v>
      </c>
      <c r="B42" s="414" t="s">
        <v>883</v>
      </c>
      <c r="C42" s="413" t="s">
        <v>884</v>
      </c>
      <c r="D42" s="413" t="s">
        <v>853</v>
      </c>
      <c r="E42" s="413" t="s">
        <v>843</v>
      </c>
      <c r="F42" s="413">
        <v>2</v>
      </c>
      <c r="G42" s="415">
        <v>4568</v>
      </c>
      <c r="H42" s="415">
        <f t="shared" si="2"/>
        <v>9136</v>
      </c>
      <c r="I42" s="416">
        <v>0.4</v>
      </c>
      <c r="J42" s="415">
        <f t="shared" si="3"/>
        <v>5481.5999999999995</v>
      </c>
    </row>
    <row r="43" spans="1:21" ht="15" customHeight="1" x14ac:dyDescent="0.2">
      <c r="A43" s="413" t="s">
        <v>914</v>
      </c>
      <c r="B43" s="414" t="s">
        <v>878</v>
      </c>
      <c r="C43" s="413" t="s">
        <v>879</v>
      </c>
      <c r="D43" s="413" t="s">
        <v>853</v>
      </c>
      <c r="E43" s="413" t="s">
        <v>843</v>
      </c>
      <c r="F43" s="413">
        <v>2</v>
      </c>
      <c r="G43" s="415">
        <v>232</v>
      </c>
      <c r="H43" s="415">
        <f t="shared" si="2"/>
        <v>464</v>
      </c>
      <c r="I43" s="416">
        <v>0.2</v>
      </c>
      <c r="J43" s="415">
        <f t="shared" si="3"/>
        <v>371.20000000000005</v>
      </c>
    </row>
    <row r="44" spans="1:21" ht="15" customHeight="1" x14ac:dyDescent="0.2">
      <c r="A44" s="413" t="s">
        <v>915</v>
      </c>
      <c r="B44" s="414" t="s">
        <v>865</v>
      </c>
      <c r="C44" s="413" t="s">
        <v>881</v>
      </c>
      <c r="D44" s="413" t="s">
        <v>853</v>
      </c>
      <c r="E44" s="413" t="s">
        <v>843</v>
      </c>
      <c r="F44" s="413">
        <v>2</v>
      </c>
      <c r="G44" s="415">
        <v>120</v>
      </c>
      <c r="H44" s="415">
        <f t="shared" si="2"/>
        <v>240</v>
      </c>
      <c r="I44" s="416">
        <v>0.2</v>
      </c>
      <c r="J44" s="415">
        <f t="shared" si="3"/>
        <v>192</v>
      </c>
    </row>
    <row r="45" spans="1:21" ht="15" customHeight="1" x14ac:dyDescent="0.2">
      <c r="A45" s="413" t="s">
        <v>916</v>
      </c>
      <c r="B45" s="414" t="s">
        <v>888</v>
      </c>
      <c r="C45" s="413" t="s">
        <v>889</v>
      </c>
      <c r="D45" s="413" t="s">
        <v>890</v>
      </c>
      <c r="E45" s="413" t="s">
        <v>843</v>
      </c>
      <c r="F45" s="413">
        <v>4</v>
      </c>
      <c r="G45" s="415">
        <v>1300</v>
      </c>
      <c r="H45" s="415">
        <f t="shared" si="2"/>
        <v>5200</v>
      </c>
      <c r="I45" s="416">
        <v>0.2</v>
      </c>
      <c r="J45" s="415">
        <f t="shared" si="3"/>
        <v>4160</v>
      </c>
    </row>
    <row r="46" spans="1:21" ht="15" customHeight="1" x14ac:dyDescent="0.2">
      <c r="A46" s="413" t="s">
        <v>917</v>
      </c>
      <c r="B46" s="414" t="s">
        <v>892</v>
      </c>
      <c r="C46" s="413" t="s">
        <v>893</v>
      </c>
      <c r="D46" s="413" t="s">
        <v>890</v>
      </c>
      <c r="E46" s="413" t="s">
        <v>843</v>
      </c>
      <c r="F46" s="413">
        <v>8</v>
      </c>
      <c r="G46" s="415">
        <v>130</v>
      </c>
      <c r="H46" s="415">
        <f t="shared" si="2"/>
        <v>1040</v>
      </c>
      <c r="I46" s="416">
        <v>0.2</v>
      </c>
      <c r="J46" s="415">
        <f t="shared" si="3"/>
        <v>832</v>
      </c>
    </row>
    <row r="47" spans="1:21" ht="15" customHeight="1" x14ac:dyDescent="0.2">
      <c r="A47" s="413" t="s">
        <v>918</v>
      </c>
      <c r="B47" s="414" t="s">
        <v>895</v>
      </c>
      <c r="C47" s="413" t="s">
        <v>896</v>
      </c>
      <c r="D47" s="413" t="s">
        <v>897</v>
      </c>
      <c r="E47" s="413" t="s">
        <v>843</v>
      </c>
      <c r="F47" s="413">
        <v>4</v>
      </c>
      <c r="G47" s="415">
        <v>748</v>
      </c>
      <c r="H47" s="415">
        <f t="shared" si="2"/>
        <v>2992</v>
      </c>
      <c r="I47" s="416">
        <v>0.2</v>
      </c>
      <c r="J47" s="415">
        <f t="shared" si="3"/>
        <v>2393.6</v>
      </c>
    </row>
    <row r="48" spans="1:21" ht="15" customHeight="1" x14ac:dyDescent="0.2">
      <c r="A48" s="417" t="s">
        <v>919</v>
      </c>
      <c r="B48" s="350"/>
      <c r="C48" s="350"/>
      <c r="D48" s="350"/>
      <c r="E48" s="350"/>
      <c r="F48" s="350"/>
      <c r="G48" s="418"/>
      <c r="H48" s="418">
        <f>SUM(H29:H47)</f>
        <v>220864</v>
      </c>
      <c r="I48" s="350"/>
      <c r="J48" s="418">
        <f>SUM(J29:J47)</f>
        <v>138180.00000000003</v>
      </c>
    </row>
    <row r="49" spans="1:11" ht="15" customHeight="1" x14ac:dyDescent="0.2">
      <c r="A49" s="413"/>
      <c r="B49" s="414"/>
      <c r="C49" s="413"/>
      <c r="D49" s="413"/>
      <c r="E49" s="413"/>
      <c r="F49" s="413"/>
      <c r="G49" s="415"/>
      <c r="H49" s="415"/>
      <c r="I49" s="416"/>
      <c r="J49" s="415"/>
    </row>
    <row r="50" spans="1:11" ht="15" customHeight="1" x14ac:dyDescent="0.2">
      <c r="A50" s="129"/>
      <c r="B50" s="411" t="s">
        <v>920</v>
      </c>
      <c r="C50" s="411"/>
      <c r="D50" s="411"/>
      <c r="E50" s="129"/>
      <c r="F50" s="129"/>
      <c r="G50" s="412"/>
      <c r="H50" s="412"/>
      <c r="I50" s="129"/>
      <c r="J50" s="412"/>
      <c r="K50" t="s">
        <v>921</v>
      </c>
    </row>
    <row r="51" spans="1:11" ht="15" customHeight="1" x14ac:dyDescent="0.2">
      <c r="A51" s="413" t="s">
        <v>922</v>
      </c>
      <c r="B51" s="414" t="s">
        <v>923</v>
      </c>
      <c r="C51" s="413" t="s">
        <v>924</v>
      </c>
      <c r="D51" s="413" t="s">
        <v>925</v>
      </c>
      <c r="E51" s="413" t="s">
        <v>843</v>
      </c>
      <c r="F51" s="413">
        <v>4</v>
      </c>
      <c r="G51" s="415">
        <v>5960</v>
      </c>
      <c r="H51" s="415">
        <f t="shared" ref="H51:H61" si="4">F51*G51</f>
        <v>23840</v>
      </c>
      <c r="I51" s="416">
        <v>0.2</v>
      </c>
      <c r="J51" s="415">
        <f t="shared" ref="J51:J61" si="5">H51*(1-I51)</f>
        <v>19072</v>
      </c>
    </row>
    <row r="52" spans="1:11" ht="15" customHeight="1" x14ac:dyDescent="0.2">
      <c r="A52" s="413" t="s">
        <v>926</v>
      </c>
      <c r="B52" s="414" t="s">
        <v>865</v>
      </c>
      <c r="C52" s="413" t="s">
        <v>927</v>
      </c>
      <c r="D52" s="413" t="s">
        <v>853</v>
      </c>
      <c r="E52" s="413" t="s">
        <v>843</v>
      </c>
      <c r="F52" s="413">
        <v>4</v>
      </c>
      <c r="G52" s="415">
        <v>120</v>
      </c>
      <c r="H52" s="415">
        <f t="shared" si="4"/>
        <v>480</v>
      </c>
      <c r="I52" s="416">
        <v>0.2</v>
      </c>
      <c r="J52" s="415">
        <f t="shared" si="5"/>
        <v>384</v>
      </c>
    </row>
    <row r="53" spans="1:11" ht="15" customHeight="1" x14ac:dyDescent="0.2">
      <c r="A53" s="413" t="s">
        <v>928</v>
      </c>
      <c r="B53" s="414" t="s">
        <v>929</v>
      </c>
      <c r="C53" s="413" t="s">
        <v>930</v>
      </c>
      <c r="D53" s="413" t="s">
        <v>853</v>
      </c>
      <c r="E53" s="413" t="s">
        <v>843</v>
      </c>
      <c r="F53" s="413">
        <v>2</v>
      </c>
      <c r="G53" s="415">
        <v>5544</v>
      </c>
      <c r="H53" s="415">
        <f t="shared" si="4"/>
        <v>11088</v>
      </c>
      <c r="I53" s="416">
        <v>0.4</v>
      </c>
      <c r="J53" s="415">
        <f t="shared" si="5"/>
        <v>6652.8</v>
      </c>
    </row>
    <row r="54" spans="1:11" ht="15" customHeight="1" x14ac:dyDescent="0.2">
      <c r="A54" s="413" t="s">
        <v>931</v>
      </c>
      <c r="B54" s="414" t="s">
        <v>865</v>
      </c>
      <c r="C54" s="413" t="s">
        <v>881</v>
      </c>
      <c r="D54" s="413" t="s">
        <v>853</v>
      </c>
      <c r="E54" s="413" t="s">
        <v>843</v>
      </c>
      <c r="F54" s="413">
        <v>2</v>
      </c>
      <c r="G54" s="415">
        <v>120</v>
      </c>
      <c r="H54" s="415">
        <f t="shared" si="4"/>
        <v>240</v>
      </c>
      <c r="I54" s="416">
        <v>0.2</v>
      </c>
      <c r="J54" s="415">
        <f t="shared" si="5"/>
        <v>192</v>
      </c>
    </row>
    <row r="55" spans="1:11" ht="15" customHeight="1" x14ac:dyDescent="0.2">
      <c r="A55" s="413" t="s">
        <v>932</v>
      </c>
      <c r="B55" s="414" t="s">
        <v>933</v>
      </c>
      <c r="C55" s="413" t="s">
        <v>934</v>
      </c>
      <c r="D55" s="413" t="s">
        <v>853</v>
      </c>
      <c r="E55" s="413" t="s">
        <v>843</v>
      </c>
      <c r="F55" s="413">
        <v>2</v>
      </c>
      <c r="G55" s="415">
        <v>5544</v>
      </c>
      <c r="H55" s="415">
        <f t="shared" si="4"/>
        <v>11088</v>
      </c>
      <c r="I55" s="416">
        <v>0.4</v>
      </c>
      <c r="J55" s="415">
        <f t="shared" si="5"/>
        <v>6652.8</v>
      </c>
    </row>
    <row r="56" spans="1:11" ht="15" customHeight="1" x14ac:dyDescent="0.2">
      <c r="A56" s="413" t="s">
        <v>935</v>
      </c>
      <c r="B56" s="414" t="s">
        <v>865</v>
      </c>
      <c r="C56" s="413" t="s">
        <v>881</v>
      </c>
      <c r="D56" s="413" t="s">
        <v>853</v>
      </c>
      <c r="E56" s="413" t="s">
        <v>843</v>
      </c>
      <c r="F56" s="413">
        <v>2</v>
      </c>
      <c r="G56" s="415">
        <v>120</v>
      </c>
      <c r="H56" s="415">
        <f t="shared" si="4"/>
        <v>240</v>
      </c>
      <c r="I56" s="416">
        <v>0.2</v>
      </c>
      <c r="J56" s="415">
        <f t="shared" si="5"/>
        <v>192</v>
      </c>
    </row>
    <row r="57" spans="1:11" ht="15" customHeight="1" x14ac:dyDescent="0.2">
      <c r="A57" s="413" t="s">
        <v>936</v>
      </c>
      <c r="B57" s="414" t="s">
        <v>937</v>
      </c>
      <c r="C57" s="413" t="s">
        <v>938</v>
      </c>
      <c r="D57" s="413" t="s">
        <v>842</v>
      </c>
      <c r="E57" s="413" t="s">
        <v>843</v>
      </c>
      <c r="F57" s="413">
        <v>4</v>
      </c>
      <c r="G57" s="415">
        <v>4555</v>
      </c>
      <c r="H57" s="415">
        <f t="shared" si="4"/>
        <v>18220</v>
      </c>
      <c r="I57" s="416">
        <v>0.4</v>
      </c>
      <c r="J57" s="415">
        <f t="shared" si="5"/>
        <v>10932</v>
      </c>
      <c r="K57" s="268"/>
    </row>
    <row r="58" spans="1:11" ht="15" customHeight="1" x14ac:dyDescent="0.2">
      <c r="A58" s="413" t="s">
        <v>939</v>
      </c>
      <c r="B58" s="414" t="s">
        <v>940</v>
      </c>
      <c r="C58" s="413" t="s">
        <v>849</v>
      </c>
      <c r="D58" s="413" t="s">
        <v>842</v>
      </c>
      <c r="E58" s="413" t="s">
        <v>843</v>
      </c>
      <c r="F58" s="413">
        <v>4</v>
      </c>
      <c r="G58" s="415">
        <v>1428</v>
      </c>
      <c r="H58" s="415">
        <f t="shared" si="4"/>
        <v>5712</v>
      </c>
      <c r="I58" s="416">
        <v>0.2</v>
      </c>
      <c r="J58" s="415">
        <f t="shared" si="5"/>
        <v>4569.6000000000004</v>
      </c>
      <c r="K58" s="268" t="s">
        <v>941</v>
      </c>
    </row>
    <row r="59" spans="1:11" ht="15" customHeight="1" x14ac:dyDescent="0.2">
      <c r="A59" s="413" t="s">
        <v>942</v>
      </c>
      <c r="B59" s="414" t="s">
        <v>888</v>
      </c>
      <c r="C59" s="413" t="s">
        <v>889</v>
      </c>
      <c r="D59" s="413" t="s">
        <v>890</v>
      </c>
      <c r="E59" s="413" t="s">
        <v>843</v>
      </c>
      <c r="F59" s="413">
        <v>4</v>
      </c>
      <c r="G59" s="415">
        <v>1300</v>
      </c>
      <c r="H59" s="415">
        <f t="shared" si="4"/>
        <v>5200</v>
      </c>
      <c r="I59" s="416">
        <v>0.2</v>
      </c>
      <c r="J59" s="415">
        <f t="shared" si="5"/>
        <v>4160</v>
      </c>
      <c r="K59" s="268" t="s">
        <v>941</v>
      </c>
    </row>
    <row r="60" spans="1:11" ht="15" customHeight="1" x14ac:dyDescent="0.2">
      <c r="A60" s="413" t="s">
        <v>943</v>
      </c>
      <c r="B60" s="414" t="s">
        <v>892</v>
      </c>
      <c r="C60" s="413" t="s">
        <v>893</v>
      </c>
      <c r="D60" s="413" t="s">
        <v>890</v>
      </c>
      <c r="E60" s="413" t="s">
        <v>843</v>
      </c>
      <c r="F60" s="413">
        <v>8</v>
      </c>
      <c r="G60" s="415">
        <v>130</v>
      </c>
      <c r="H60" s="415">
        <f t="shared" si="4"/>
        <v>1040</v>
      </c>
      <c r="I60" s="416">
        <v>0.2</v>
      </c>
      <c r="J60" s="415">
        <f t="shared" si="5"/>
        <v>832</v>
      </c>
      <c r="K60" s="268" t="s">
        <v>941</v>
      </c>
    </row>
    <row r="61" spans="1:11" ht="15" customHeight="1" x14ac:dyDescent="0.2">
      <c r="A61" s="413" t="s">
        <v>944</v>
      </c>
      <c r="B61" s="414" t="s">
        <v>895</v>
      </c>
      <c r="C61" s="413" t="s">
        <v>896</v>
      </c>
      <c r="D61" s="413" t="s">
        <v>897</v>
      </c>
      <c r="E61" s="413" t="s">
        <v>843</v>
      </c>
      <c r="F61" s="413">
        <v>4</v>
      </c>
      <c r="G61" s="415">
        <v>748</v>
      </c>
      <c r="H61" s="415">
        <f t="shared" si="4"/>
        <v>2992</v>
      </c>
      <c r="I61" s="416">
        <v>0.2</v>
      </c>
      <c r="J61" s="415">
        <f t="shared" si="5"/>
        <v>2393.6</v>
      </c>
      <c r="K61" s="268" t="s">
        <v>945</v>
      </c>
    </row>
    <row r="62" spans="1:11" ht="15" customHeight="1" x14ac:dyDescent="0.2">
      <c r="A62" s="417" t="s">
        <v>946</v>
      </c>
      <c r="B62" s="350"/>
      <c r="C62" s="350"/>
      <c r="D62" s="350"/>
      <c r="E62" s="350"/>
      <c r="F62" s="350"/>
      <c r="G62" s="418"/>
      <c r="H62" s="418">
        <f>SUM(H51:H61)</f>
        <v>80140</v>
      </c>
      <c r="I62" s="350"/>
      <c r="J62" s="418">
        <f>SUM(J51:J61)</f>
        <v>56032.799999999996</v>
      </c>
      <c r="K62" s="268" t="s">
        <v>941</v>
      </c>
    </row>
    <row r="63" spans="1:11" ht="15" customHeight="1" x14ac:dyDescent="0.2">
      <c r="A63" s="417"/>
      <c r="B63" s="350"/>
      <c r="C63" s="350"/>
      <c r="D63" s="350"/>
      <c r="E63" s="350"/>
      <c r="F63" s="350"/>
      <c r="G63" s="418"/>
      <c r="H63" s="418"/>
      <c r="I63" s="350"/>
      <c r="J63" s="418"/>
      <c r="K63" s="268"/>
    </row>
    <row r="64" spans="1:11" ht="15" customHeight="1" x14ac:dyDescent="0.2">
      <c r="A64" s="129"/>
      <c r="B64" s="411" t="s">
        <v>947</v>
      </c>
      <c r="C64" s="411"/>
      <c r="D64" s="411"/>
      <c r="E64" s="129"/>
      <c r="F64" s="129"/>
      <c r="G64" s="412"/>
      <c r="H64" s="412"/>
      <c r="I64" s="129"/>
      <c r="J64" s="412"/>
      <c r="K64" s="268"/>
    </row>
    <row r="65" spans="1:11" ht="15" customHeight="1" x14ac:dyDescent="0.2">
      <c r="A65" s="413" t="s">
        <v>948</v>
      </c>
      <c r="B65" s="414" t="s">
        <v>923</v>
      </c>
      <c r="C65" s="413" t="s">
        <v>924</v>
      </c>
      <c r="D65" s="413" t="s">
        <v>925</v>
      </c>
      <c r="E65" s="413" t="s">
        <v>843</v>
      </c>
      <c r="F65" s="413">
        <v>4</v>
      </c>
      <c r="G65" s="415">
        <v>5960</v>
      </c>
      <c r="H65" s="415">
        <f t="shared" ref="H65:H75" si="6">F65*G65</f>
        <v>23840</v>
      </c>
      <c r="I65" s="416">
        <v>0.2</v>
      </c>
      <c r="J65" s="415">
        <f t="shared" ref="J65:J75" si="7">H65*(1-I65)</f>
        <v>19072</v>
      </c>
      <c r="K65" s="268" t="s">
        <v>941</v>
      </c>
    </row>
    <row r="66" spans="1:11" ht="15" customHeight="1" x14ac:dyDescent="0.2">
      <c r="A66" s="413" t="s">
        <v>949</v>
      </c>
      <c r="B66" s="414" t="s">
        <v>865</v>
      </c>
      <c r="C66" s="413" t="s">
        <v>927</v>
      </c>
      <c r="D66" s="413" t="s">
        <v>853</v>
      </c>
      <c r="E66" s="413" t="s">
        <v>843</v>
      </c>
      <c r="F66" s="413">
        <v>4</v>
      </c>
      <c r="G66" s="415">
        <v>120</v>
      </c>
      <c r="H66" s="415">
        <f t="shared" si="6"/>
        <v>480</v>
      </c>
      <c r="I66" s="416">
        <v>0.2</v>
      </c>
      <c r="J66" s="415">
        <f t="shared" si="7"/>
        <v>384</v>
      </c>
      <c r="K66" s="268" t="s">
        <v>941</v>
      </c>
    </row>
    <row r="67" spans="1:11" ht="15" customHeight="1" x14ac:dyDescent="0.2">
      <c r="A67" s="413" t="s">
        <v>950</v>
      </c>
      <c r="B67" s="414" t="s">
        <v>929</v>
      </c>
      <c r="C67" s="413" t="s">
        <v>930</v>
      </c>
      <c r="D67" s="413" t="s">
        <v>853</v>
      </c>
      <c r="E67" s="413" t="s">
        <v>843</v>
      </c>
      <c r="F67" s="413">
        <v>2</v>
      </c>
      <c r="G67" s="415">
        <v>5544</v>
      </c>
      <c r="H67" s="415">
        <f t="shared" si="6"/>
        <v>11088</v>
      </c>
      <c r="I67" s="416">
        <v>0.4</v>
      </c>
      <c r="J67" s="415">
        <f t="shared" si="7"/>
        <v>6652.8</v>
      </c>
      <c r="K67" s="268" t="s">
        <v>941</v>
      </c>
    </row>
    <row r="68" spans="1:11" ht="15" customHeight="1" x14ac:dyDescent="0.2">
      <c r="A68" s="413" t="s">
        <v>951</v>
      </c>
      <c r="B68" s="414" t="s">
        <v>865</v>
      </c>
      <c r="C68" s="413" t="s">
        <v>881</v>
      </c>
      <c r="D68" s="413" t="s">
        <v>853</v>
      </c>
      <c r="E68" s="413" t="s">
        <v>843</v>
      </c>
      <c r="F68" s="413">
        <v>2</v>
      </c>
      <c r="G68" s="415">
        <v>120</v>
      </c>
      <c r="H68" s="415">
        <f t="shared" si="6"/>
        <v>240</v>
      </c>
      <c r="I68" s="416">
        <v>0.2</v>
      </c>
      <c r="J68" s="415">
        <f t="shared" si="7"/>
        <v>192</v>
      </c>
      <c r="K68" s="268" t="s">
        <v>945</v>
      </c>
    </row>
    <row r="69" spans="1:11" ht="15" customHeight="1" x14ac:dyDescent="0.2">
      <c r="A69" s="413" t="s">
        <v>952</v>
      </c>
      <c r="B69" s="414" t="s">
        <v>933</v>
      </c>
      <c r="C69" s="413" t="s">
        <v>934</v>
      </c>
      <c r="D69" s="413" t="s">
        <v>853</v>
      </c>
      <c r="E69" s="413" t="s">
        <v>843</v>
      </c>
      <c r="F69" s="413">
        <v>2</v>
      </c>
      <c r="G69" s="415">
        <v>5544</v>
      </c>
      <c r="H69" s="415">
        <f t="shared" si="6"/>
        <v>11088</v>
      </c>
      <c r="I69" s="416">
        <v>0.4</v>
      </c>
      <c r="J69" s="415">
        <f t="shared" si="7"/>
        <v>6652.8</v>
      </c>
      <c r="K69" s="268" t="s">
        <v>941</v>
      </c>
    </row>
    <row r="70" spans="1:11" ht="15" customHeight="1" x14ac:dyDescent="0.2">
      <c r="A70" s="413" t="s">
        <v>953</v>
      </c>
      <c r="B70" s="414" t="s">
        <v>865</v>
      </c>
      <c r="C70" s="413" t="s">
        <v>881</v>
      </c>
      <c r="D70" s="413" t="s">
        <v>853</v>
      </c>
      <c r="E70" s="413" t="s">
        <v>843</v>
      </c>
      <c r="F70" s="413">
        <v>2</v>
      </c>
      <c r="G70" s="415">
        <v>120</v>
      </c>
      <c r="H70" s="415">
        <f t="shared" si="6"/>
        <v>240</v>
      </c>
      <c r="I70" s="416">
        <v>0.2</v>
      </c>
      <c r="J70" s="415">
        <f t="shared" si="7"/>
        <v>192</v>
      </c>
      <c r="K70" s="268"/>
    </row>
    <row r="71" spans="1:11" ht="15" customHeight="1" x14ac:dyDescent="0.2">
      <c r="A71" s="413" t="s">
        <v>954</v>
      </c>
      <c r="B71" s="414" t="s">
        <v>937</v>
      </c>
      <c r="C71" s="413" t="s">
        <v>938</v>
      </c>
      <c r="D71" s="413" t="s">
        <v>842</v>
      </c>
      <c r="E71" s="413" t="s">
        <v>843</v>
      </c>
      <c r="F71" s="413">
        <v>4</v>
      </c>
      <c r="G71" s="415">
        <v>4555</v>
      </c>
      <c r="H71" s="415">
        <f t="shared" si="6"/>
        <v>18220</v>
      </c>
      <c r="I71" s="416">
        <v>0.4</v>
      </c>
      <c r="J71" s="415">
        <f t="shared" si="7"/>
        <v>10932</v>
      </c>
      <c r="K71" s="268"/>
    </row>
    <row r="72" spans="1:11" ht="15" customHeight="1" x14ac:dyDescent="0.2">
      <c r="A72" s="413" t="s">
        <v>955</v>
      </c>
      <c r="B72" s="414" t="s">
        <v>940</v>
      </c>
      <c r="C72" s="413" t="s">
        <v>849</v>
      </c>
      <c r="D72" s="413" t="s">
        <v>842</v>
      </c>
      <c r="E72" s="413" t="s">
        <v>843</v>
      </c>
      <c r="F72" s="413">
        <v>4</v>
      </c>
      <c r="G72" s="415">
        <v>1428</v>
      </c>
      <c r="H72" s="415">
        <f t="shared" si="6"/>
        <v>5712</v>
      </c>
      <c r="I72" s="416">
        <v>0.2</v>
      </c>
      <c r="J72" s="415">
        <f t="shared" si="7"/>
        <v>4569.6000000000004</v>
      </c>
      <c r="K72" s="268" t="s">
        <v>941</v>
      </c>
    </row>
    <row r="73" spans="1:11" ht="15" customHeight="1" x14ac:dyDescent="0.2">
      <c r="A73" s="413" t="s">
        <v>956</v>
      </c>
      <c r="B73" s="414" t="s">
        <v>888</v>
      </c>
      <c r="C73" s="413" t="s">
        <v>889</v>
      </c>
      <c r="D73" s="413" t="s">
        <v>890</v>
      </c>
      <c r="E73" s="413" t="s">
        <v>843</v>
      </c>
      <c r="F73" s="413">
        <v>4</v>
      </c>
      <c r="G73" s="415">
        <v>1300</v>
      </c>
      <c r="H73" s="415">
        <f t="shared" si="6"/>
        <v>5200</v>
      </c>
      <c r="I73" s="416">
        <v>0.2</v>
      </c>
      <c r="J73" s="415">
        <f t="shared" si="7"/>
        <v>4160</v>
      </c>
      <c r="K73" s="268" t="s">
        <v>941</v>
      </c>
    </row>
    <row r="74" spans="1:11" ht="15" customHeight="1" x14ac:dyDescent="0.2">
      <c r="A74" s="413" t="s">
        <v>957</v>
      </c>
      <c r="B74" s="414" t="s">
        <v>892</v>
      </c>
      <c r="C74" s="413" t="s">
        <v>893</v>
      </c>
      <c r="D74" s="413" t="s">
        <v>890</v>
      </c>
      <c r="E74" s="413" t="s">
        <v>843</v>
      </c>
      <c r="F74" s="413">
        <v>8</v>
      </c>
      <c r="G74" s="415">
        <v>130</v>
      </c>
      <c r="H74" s="415">
        <f t="shared" si="6"/>
        <v>1040</v>
      </c>
      <c r="I74" s="416">
        <v>0.2</v>
      </c>
      <c r="J74" s="415">
        <f t="shared" si="7"/>
        <v>832</v>
      </c>
      <c r="K74" s="268" t="s">
        <v>941</v>
      </c>
    </row>
    <row r="75" spans="1:11" ht="15" customHeight="1" x14ac:dyDescent="0.2">
      <c r="A75" s="413" t="s">
        <v>958</v>
      </c>
      <c r="B75" s="414" t="s">
        <v>895</v>
      </c>
      <c r="C75" s="413" t="s">
        <v>896</v>
      </c>
      <c r="D75" s="413" t="s">
        <v>897</v>
      </c>
      <c r="E75" s="413" t="s">
        <v>843</v>
      </c>
      <c r="F75" s="413">
        <v>4</v>
      </c>
      <c r="G75" s="415">
        <v>748</v>
      </c>
      <c r="H75" s="415">
        <f t="shared" si="6"/>
        <v>2992</v>
      </c>
      <c r="I75" s="416">
        <v>0.2</v>
      </c>
      <c r="J75" s="415">
        <f t="shared" si="7"/>
        <v>2393.6</v>
      </c>
      <c r="K75" s="268" t="s">
        <v>945</v>
      </c>
    </row>
    <row r="76" spans="1:11" ht="15" customHeight="1" x14ac:dyDescent="0.2">
      <c r="A76" s="417" t="s">
        <v>959</v>
      </c>
      <c r="B76" s="350"/>
      <c r="C76" s="350"/>
      <c r="D76" s="350"/>
      <c r="E76" s="350"/>
      <c r="F76" s="350"/>
      <c r="G76" s="418"/>
      <c r="H76" s="418">
        <f>SUM(H65:H75)</f>
        <v>80140</v>
      </c>
      <c r="I76" s="350"/>
      <c r="J76" s="418">
        <f>SUM(J65:J75)</f>
        <v>56032.799999999996</v>
      </c>
      <c r="K76" s="268" t="s">
        <v>941</v>
      </c>
    </row>
    <row r="77" spans="1:11" ht="15" customHeight="1" x14ac:dyDescent="0.2">
      <c r="A77" s="417"/>
      <c r="B77" s="350"/>
      <c r="C77" s="350"/>
      <c r="D77" s="350"/>
      <c r="E77" s="350"/>
      <c r="F77" s="350"/>
      <c r="G77" s="418"/>
      <c r="H77" s="418"/>
      <c r="I77" s="350"/>
      <c r="J77" s="418"/>
      <c r="K77" s="268"/>
    </row>
    <row r="78" spans="1:11" ht="15" customHeight="1" x14ac:dyDescent="0.2">
      <c r="A78" s="417" t="s">
        <v>960</v>
      </c>
      <c r="B78" s="350"/>
      <c r="C78" s="350"/>
      <c r="D78" s="350"/>
      <c r="E78" s="350"/>
      <c r="F78" s="350"/>
      <c r="G78" s="418"/>
      <c r="H78" s="418"/>
      <c r="I78" s="350"/>
      <c r="J78" s="418">
        <f>J26+J48+J62+J76</f>
        <v>388425.60000000003</v>
      </c>
      <c r="K78" s="268"/>
    </row>
    <row r="79" spans="1:11" ht="15" customHeight="1" x14ac:dyDescent="0.2">
      <c r="A79" s="419" t="s">
        <v>961</v>
      </c>
      <c r="B79" s="129"/>
      <c r="C79" s="129"/>
      <c r="D79" s="129"/>
      <c r="E79" s="129"/>
      <c r="F79" s="129"/>
      <c r="G79" s="129"/>
      <c r="H79" s="129"/>
      <c r="I79" s="129"/>
      <c r="J79" s="412">
        <f>J78*0.16</f>
        <v>62148.096000000005</v>
      </c>
      <c r="K79" s="268" t="s">
        <v>941</v>
      </c>
    </row>
    <row r="80" spans="1:11" ht="15" customHeight="1" x14ac:dyDescent="0.2">
      <c r="A80" s="413"/>
      <c r="B80" s="414"/>
      <c r="C80" s="413"/>
      <c r="D80" s="413"/>
      <c r="E80" s="413"/>
      <c r="F80" s="413"/>
      <c r="G80" s="415"/>
      <c r="H80" s="415"/>
      <c r="I80" s="416"/>
      <c r="J80" s="415"/>
      <c r="K80" s="268" t="s">
        <v>941</v>
      </c>
    </row>
    <row r="81" spans="1:11" ht="15" customHeight="1" x14ac:dyDescent="0.2">
      <c r="A81" s="419" t="s">
        <v>962</v>
      </c>
      <c r="B81" s="129"/>
      <c r="C81" s="129"/>
      <c r="D81" s="129"/>
      <c r="E81" s="129"/>
      <c r="F81" s="129"/>
      <c r="G81" s="129"/>
      <c r="H81" s="129"/>
      <c r="I81" s="129"/>
      <c r="J81" s="412">
        <f>J78+J79</f>
        <v>450573.69600000005</v>
      </c>
      <c r="K81" s="268" t="s">
        <v>941</v>
      </c>
    </row>
    <row r="82" spans="1:11" ht="15" customHeight="1" x14ac:dyDescent="0.2">
      <c r="A82" s="413"/>
      <c r="B82" s="414"/>
      <c r="C82" s="413"/>
      <c r="D82" s="413"/>
      <c r="E82" s="413"/>
      <c r="F82" s="413"/>
      <c r="G82" s="415"/>
      <c r="H82" s="415"/>
      <c r="I82" s="416"/>
      <c r="J82" s="415"/>
      <c r="K82" s="268" t="s">
        <v>945</v>
      </c>
    </row>
    <row r="83" spans="1:11" ht="15" customHeight="1" x14ac:dyDescent="0.2">
      <c r="A83" s="419" t="s">
        <v>963</v>
      </c>
      <c r="B83" s="129"/>
      <c r="C83" s="129"/>
      <c r="D83" s="129"/>
      <c r="E83" s="129"/>
      <c r="F83" s="129"/>
      <c r="G83" s="129"/>
      <c r="H83" s="129"/>
      <c r="I83" s="129"/>
      <c r="J83" s="412">
        <f>J81*17.5</f>
        <v>7885039.6800000006</v>
      </c>
      <c r="K83" s="268" t="s">
        <v>941</v>
      </c>
    </row>
    <row r="84" spans="1:11" ht="15" customHeight="1" x14ac:dyDescent="0.2">
      <c r="A84" s="417"/>
      <c r="B84" s="350"/>
      <c r="C84" s="350"/>
      <c r="D84" s="350"/>
      <c r="E84" s="350"/>
      <c r="F84" s="350"/>
      <c r="G84" s="418"/>
      <c r="H84" s="418"/>
      <c r="I84" s="350"/>
      <c r="J84" s="418"/>
      <c r="K84" s="268"/>
    </row>
    <row r="86" spans="1:11" ht="15" customHeight="1" x14ac:dyDescent="0.2">
      <c r="A86" s="417"/>
      <c r="B86" s="350"/>
      <c r="C86" s="350"/>
      <c r="D86" s="350"/>
      <c r="E86" s="350"/>
      <c r="F86" s="350"/>
      <c r="G86" s="350"/>
      <c r="H86" s="350"/>
      <c r="I86" s="350"/>
      <c r="J86" s="418"/>
    </row>
    <row r="87" spans="1:11" ht="15" customHeight="1" x14ac:dyDescent="0.2">
      <c r="A87" s="413"/>
      <c r="J87" s="415"/>
    </row>
    <row r="89" spans="1:11" ht="15" customHeight="1" x14ac:dyDescent="0.2">
      <c r="A89" s="419"/>
      <c r="B89" s="129"/>
      <c r="C89" s="129"/>
      <c r="D89" s="129"/>
      <c r="E89" s="129"/>
      <c r="F89" s="129"/>
      <c r="G89" s="129"/>
      <c r="H89" s="129"/>
      <c r="I89" s="129"/>
      <c r="J89" s="412"/>
    </row>
    <row r="91" spans="1:11" ht="15" customHeight="1" x14ac:dyDescent="0.2">
      <c r="J91" s="149"/>
    </row>
    <row r="92" spans="1:11" ht="15" customHeight="1" x14ac:dyDescent="0.2">
      <c r="J92" s="149"/>
    </row>
    <row r="93" spans="1:11" ht="15" customHeight="1" x14ac:dyDescent="0.2">
      <c r="J93" s="14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AC432"/>
  <sheetViews>
    <sheetView showGridLines="0" topLeftCell="J92" zoomScale="130" zoomScaleNormal="130" workbookViewId="0">
      <selection activeCell="Q310" sqref="Q310"/>
    </sheetView>
  </sheetViews>
  <sheetFormatPr baseColWidth="10" defaultColWidth="8.6640625" defaultRowHeight="15" x14ac:dyDescent="0.2"/>
  <cols>
    <col min="1" max="1" width="13" customWidth="1"/>
    <col min="3" max="3" width="16.6640625" customWidth="1"/>
    <col min="4" max="4" width="28.1640625" customWidth="1"/>
    <col min="5" max="5" width="36.6640625" customWidth="1"/>
    <col min="6" max="6" width="13" customWidth="1"/>
    <col min="9" max="9" width="17.1640625" customWidth="1"/>
    <col min="10" max="10" width="13" customWidth="1"/>
    <col min="13" max="13" width="10.6640625" customWidth="1"/>
    <col min="14" max="14" width="13" customWidth="1"/>
    <col min="24" max="24" width="22" customWidth="1"/>
    <col min="25" max="25" width="12" customWidth="1"/>
  </cols>
  <sheetData>
    <row r="1" spans="1:29" ht="15" customHeight="1" x14ac:dyDescent="0.2">
      <c r="A1" s="358" t="s">
        <v>488</v>
      </c>
      <c r="B1" s="358" t="s">
        <v>295</v>
      </c>
      <c r="C1" s="359" t="s">
        <v>807</v>
      </c>
      <c r="D1" s="358" t="s">
        <v>2</v>
      </c>
      <c r="E1" s="358" t="s">
        <v>296</v>
      </c>
      <c r="F1" s="358" t="s">
        <v>215</v>
      </c>
      <c r="G1" s="358" t="s">
        <v>297</v>
      </c>
      <c r="H1" s="358" t="s">
        <v>168</v>
      </c>
      <c r="I1" s="358" t="s">
        <v>298</v>
      </c>
      <c r="J1" s="358" t="s">
        <v>299</v>
      </c>
      <c r="K1" s="358" t="s">
        <v>300</v>
      </c>
      <c r="L1" s="358" t="s">
        <v>301</v>
      </c>
      <c r="M1" s="358" t="s">
        <v>302</v>
      </c>
      <c r="N1" s="358" t="s">
        <v>303</v>
      </c>
      <c r="O1" s="358" t="s">
        <v>304</v>
      </c>
      <c r="P1" s="358" t="s">
        <v>305</v>
      </c>
      <c r="Q1" s="358" t="s">
        <v>306</v>
      </c>
      <c r="R1" s="358" t="s">
        <v>307</v>
      </c>
      <c r="S1" s="358" t="s">
        <v>308</v>
      </c>
      <c r="T1" s="358" t="s">
        <v>309</v>
      </c>
      <c r="U1" s="358" t="s">
        <v>310</v>
      </c>
      <c r="V1" s="358" t="s">
        <v>311</v>
      </c>
      <c r="W1" s="358" t="s">
        <v>312</v>
      </c>
      <c r="X1" s="358" t="s">
        <v>489</v>
      </c>
      <c r="Y1" s="358" t="s">
        <v>490</v>
      </c>
      <c r="AB1" s="248" t="s">
        <v>14</v>
      </c>
      <c r="AC1" s="248" t="s">
        <v>15</v>
      </c>
    </row>
    <row r="2" spans="1:29" ht="15" customHeight="1" x14ac:dyDescent="0.2">
      <c r="A2" s="273"/>
      <c r="B2" s="273" t="s">
        <v>188</v>
      </c>
      <c r="C2" s="273" t="s">
        <v>112</v>
      </c>
      <c r="D2" s="273" t="s">
        <v>112</v>
      </c>
      <c r="E2" s="269" t="s">
        <v>964</v>
      </c>
      <c r="F2" s="311" t="s">
        <v>220</v>
      </c>
      <c r="G2" s="269" t="s">
        <v>221</v>
      </c>
      <c r="H2" s="311" t="s">
        <v>700</v>
      </c>
      <c r="I2" s="302" t="s">
        <v>456</v>
      </c>
      <c r="J2" s="273" t="s">
        <v>410</v>
      </c>
      <c r="K2" s="302">
        <v>1</v>
      </c>
      <c r="L2" s="273" t="s">
        <v>269</v>
      </c>
      <c r="M2" s="274">
        <v>150000</v>
      </c>
      <c r="N2" s="275">
        <f t="shared" ref="N2:N65" si="0">K2*M2</f>
        <v>150000</v>
      </c>
      <c r="O2" s="311">
        <v>0</v>
      </c>
      <c r="P2" s="273">
        <f t="shared" ref="P2:P65" si="1">N2*O2</f>
        <v>0</v>
      </c>
      <c r="Q2" s="313">
        <v>0.16</v>
      </c>
      <c r="R2" s="275">
        <f t="shared" ref="R2:R65" si="2">(N2+P2)*Q2</f>
        <v>24000</v>
      </c>
      <c r="S2" s="275">
        <f t="shared" ref="S2:S65" si="3">N2+P2+R2</f>
        <v>174000</v>
      </c>
      <c r="T2" s="275">
        <f>INDEX('Glosario Partidas'!$M$8:$M$10,MATCH(L2,'Glosario Partidas'!$L$8:$L$10,0))</f>
        <v>1</v>
      </c>
      <c r="U2" s="275">
        <f t="shared" ref="U2:U65" si="4">S2*T2</f>
        <v>174000</v>
      </c>
      <c r="V2" s="311" t="s">
        <v>965</v>
      </c>
      <c r="W2" s="311" t="s">
        <v>12</v>
      </c>
      <c r="X2" s="311" t="s">
        <v>493</v>
      </c>
      <c r="Y2" s="311"/>
    </row>
    <row r="3" spans="1:29" ht="15" customHeight="1" x14ac:dyDescent="0.2">
      <c r="A3" s="273"/>
      <c r="B3" s="273" t="s">
        <v>188</v>
      </c>
      <c r="C3" s="273" t="s">
        <v>112</v>
      </c>
      <c r="D3" s="273" t="s">
        <v>112</v>
      </c>
      <c r="E3" s="269" t="s">
        <v>966</v>
      </c>
      <c r="F3" s="311" t="s">
        <v>220</v>
      </c>
      <c r="G3" s="269" t="s">
        <v>221</v>
      </c>
      <c r="H3" s="311" t="s">
        <v>700</v>
      </c>
      <c r="I3" s="302" t="s">
        <v>456</v>
      </c>
      <c r="J3" s="273" t="s">
        <v>410</v>
      </c>
      <c r="K3" s="302">
        <v>1</v>
      </c>
      <c r="L3" s="273" t="s">
        <v>269</v>
      </c>
      <c r="M3" s="274">
        <v>150000</v>
      </c>
      <c r="N3" s="275">
        <f t="shared" si="0"/>
        <v>150000</v>
      </c>
      <c r="O3" s="311">
        <v>0</v>
      </c>
      <c r="P3" s="273">
        <f t="shared" si="1"/>
        <v>0</v>
      </c>
      <c r="Q3" s="313">
        <v>0.16</v>
      </c>
      <c r="R3" s="275">
        <f t="shared" si="2"/>
        <v>24000</v>
      </c>
      <c r="S3" s="275">
        <f t="shared" si="3"/>
        <v>174000</v>
      </c>
      <c r="T3" s="275">
        <f>INDEX('Glosario Partidas'!$M$8:$M$10,MATCH(L3,'Glosario Partidas'!$L$8:$L$10,0))</f>
        <v>1</v>
      </c>
      <c r="U3" s="275">
        <f t="shared" si="4"/>
        <v>174000</v>
      </c>
      <c r="V3" s="311" t="s">
        <v>965</v>
      </c>
      <c r="W3" s="311" t="s">
        <v>12</v>
      </c>
      <c r="X3" s="311" t="s">
        <v>493</v>
      </c>
      <c r="Y3" s="311"/>
    </row>
    <row r="4" spans="1:29" ht="15" customHeight="1" x14ac:dyDescent="0.2">
      <c r="A4" s="273"/>
      <c r="B4" s="273" t="s">
        <v>188</v>
      </c>
      <c r="C4" s="273" t="s">
        <v>112</v>
      </c>
      <c r="D4" s="273" t="s">
        <v>112</v>
      </c>
      <c r="E4" s="269" t="s">
        <v>967</v>
      </c>
      <c r="F4" s="311" t="s">
        <v>220</v>
      </c>
      <c r="G4" s="269" t="s">
        <v>221</v>
      </c>
      <c r="H4" s="311" t="s">
        <v>700</v>
      </c>
      <c r="I4" s="302" t="s">
        <v>456</v>
      </c>
      <c r="J4" s="273" t="s">
        <v>410</v>
      </c>
      <c r="K4" s="302">
        <v>1</v>
      </c>
      <c r="L4" s="273" t="s">
        <v>269</v>
      </c>
      <c r="M4" s="274">
        <v>150000</v>
      </c>
      <c r="N4" s="275">
        <f t="shared" si="0"/>
        <v>150000</v>
      </c>
      <c r="O4" s="311">
        <v>0</v>
      </c>
      <c r="P4" s="273">
        <f t="shared" si="1"/>
        <v>0</v>
      </c>
      <c r="Q4" s="313">
        <v>0.16</v>
      </c>
      <c r="R4" s="275">
        <f t="shared" si="2"/>
        <v>24000</v>
      </c>
      <c r="S4" s="275">
        <f t="shared" si="3"/>
        <v>174000</v>
      </c>
      <c r="T4" s="275">
        <f>INDEX('Glosario Partidas'!$M$8:$M$10,MATCH(L4,'Glosario Partidas'!$L$8:$L$10,0))</f>
        <v>1</v>
      </c>
      <c r="U4" s="275">
        <f t="shared" si="4"/>
        <v>174000</v>
      </c>
      <c r="V4" s="311" t="s">
        <v>965</v>
      </c>
      <c r="W4" s="311" t="s">
        <v>12</v>
      </c>
      <c r="X4" s="311" t="s">
        <v>493</v>
      </c>
      <c r="Y4" s="311"/>
    </row>
    <row r="5" spans="1:29" ht="15" customHeight="1" x14ac:dyDescent="0.2">
      <c r="A5" s="273"/>
      <c r="B5" s="273" t="s">
        <v>188</v>
      </c>
      <c r="C5" s="273" t="s">
        <v>112</v>
      </c>
      <c r="D5" s="273" t="s">
        <v>112</v>
      </c>
      <c r="E5" s="269" t="s">
        <v>968</v>
      </c>
      <c r="F5" s="311" t="s">
        <v>220</v>
      </c>
      <c r="G5" s="269" t="s">
        <v>221</v>
      </c>
      <c r="H5" s="311" t="s">
        <v>700</v>
      </c>
      <c r="I5" s="302" t="s">
        <v>456</v>
      </c>
      <c r="J5" s="273" t="s">
        <v>410</v>
      </c>
      <c r="K5" s="302">
        <v>1</v>
      </c>
      <c r="L5" s="273" t="s">
        <v>269</v>
      </c>
      <c r="M5" s="274">
        <v>200000</v>
      </c>
      <c r="N5" s="275">
        <f t="shared" si="0"/>
        <v>200000</v>
      </c>
      <c r="O5" s="311">
        <v>0</v>
      </c>
      <c r="P5" s="273">
        <f t="shared" si="1"/>
        <v>0</v>
      </c>
      <c r="Q5" s="313">
        <v>0.16</v>
      </c>
      <c r="R5" s="275">
        <f t="shared" si="2"/>
        <v>32000</v>
      </c>
      <c r="S5" s="275">
        <f t="shared" si="3"/>
        <v>232000</v>
      </c>
      <c r="T5" s="275">
        <f>INDEX('Glosario Partidas'!$M$8:$M$10,MATCH(L5,'Glosario Partidas'!$L$8:$L$10,0))</f>
        <v>1</v>
      </c>
      <c r="U5" s="275">
        <f t="shared" si="4"/>
        <v>232000</v>
      </c>
      <c r="V5" s="311" t="s">
        <v>965</v>
      </c>
      <c r="W5" s="311" t="s">
        <v>12</v>
      </c>
      <c r="X5" s="311" t="s">
        <v>493</v>
      </c>
      <c r="Y5" s="311"/>
    </row>
    <row r="6" spans="1:29" ht="15" customHeight="1" x14ac:dyDescent="0.2">
      <c r="A6" s="273"/>
      <c r="B6" s="273" t="s">
        <v>188</v>
      </c>
      <c r="C6" s="273" t="s">
        <v>112</v>
      </c>
      <c r="D6" s="273" t="s">
        <v>112</v>
      </c>
      <c r="E6" s="269" t="s">
        <v>969</v>
      </c>
      <c r="F6" s="311" t="s">
        <v>220</v>
      </c>
      <c r="G6" s="269" t="s">
        <v>221</v>
      </c>
      <c r="H6" s="311" t="s">
        <v>700</v>
      </c>
      <c r="I6" s="302" t="s">
        <v>456</v>
      </c>
      <c r="J6" s="273" t="s">
        <v>410</v>
      </c>
      <c r="K6" s="302">
        <v>1</v>
      </c>
      <c r="L6" s="273" t="s">
        <v>269</v>
      </c>
      <c r="M6" s="274">
        <v>200000</v>
      </c>
      <c r="N6" s="275">
        <f t="shared" si="0"/>
        <v>200000</v>
      </c>
      <c r="O6" s="311">
        <v>0</v>
      </c>
      <c r="P6" s="273">
        <f t="shared" si="1"/>
        <v>0</v>
      </c>
      <c r="Q6" s="313">
        <v>0.16</v>
      </c>
      <c r="R6" s="275">
        <f t="shared" si="2"/>
        <v>32000</v>
      </c>
      <c r="S6" s="275">
        <f t="shared" si="3"/>
        <v>232000</v>
      </c>
      <c r="T6" s="275">
        <f>INDEX('Glosario Partidas'!$M$8:$M$10,MATCH(L6,'Glosario Partidas'!$L$8:$L$10,0))</f>
        <v>1</v>
      </c>
      <c r="U6" s="275">
        <f t="shared" si="4"/>
        <v>232000</v>
      </c>
      <c r="V6" s="311" t="s">
        <v>965</v>
      </c>
      <c r="W6" s="311" t="s">
        <v>12</v>
      </c>
      <c r="X6" s="311" t="s">
        <v>493</v>
      </c>
      <c r="Y6" s="311"/>
    </row>
    <row r="7" spans="1:29" ht="15" customHeight="1" x14ac:dyDescent="0.2">
      <c r="A7" s="273"/>
      <c r="B7" s="273" t="s">
        <v>188</v>
      </c>
      <c r="C7" s="273" t="s">
        <v>112</v>
      </c>
      <c r="D7" s="273" t="s">
        <v>970</v>
      </c>
      <c r="E7" s="269" t="s">
        <v>964</v>
      </c>
      <c r="F7" s="311" t="s">
        <v>220</v>
      </c>
      <c r="G7" s="269" t="s">
        <v>221</v>
      </c>
      <c r="H7" s="311" t="s">
        <v>700</v>
      </c>
      <c r="I7" s="302" t="s">
        <v>456</v>
      </c>
      <c r="J7" s="273" t="s">
        <v>410</v>
      </c>
      <c r="K7" s="302">
        <v>1</v>
      </c>
      <c r="L7" s="273" t="s">
        <v>269</v>
      </c>
      <c r="M7" s="274">
        <v>40000</v>
      </c>
      <c r="N7" s="275">
        <f t="shared" si="0"/>
        <v>40000</v>
      </c>
      <c r="O7" s="311">
        <v>0</v>
      </c>
      <c r="P7" s="273">
        <f t="shared" si="1"/>
        <v>0</v>
      </c>
      <c r="Q7" s="313">
        <v>0.16</v>
      </c>
      <c r="R7" s="275">
        <f t="shared" si="2"/>
        <v>6400</v>
      </c>
      <c r="S7" s="275">
        <f t="shared" si="3"/>
        <v>46400</v>
      </c>
      <c r="T7" s="275">
        <f>INDEX('Glosario Partidas'!$M$8:$M$10,MATCH(L7,'Glosario Partidas'!$L$8:$L$10,0))</f>
        <v>1</v>
      </c>
      <c r="U7" s="275">
        <f t="shared" si="4"/>
        <v>46400</v>
      </c>
      <c r="V7" s="311" t="s">
        <v>965</v>
      </c>
      <c r="W7" s="311" t="s">
        <v>12</v>
      </c>
      <c r="X7" s="311" t="s">
        <v>493</v>
      </c>
      <c r="Y7" s="311"/>
    </row>
    <row r="8" spans="1:29" ht="15" customHeight="1" x14ac:dyDescent="0.2">
      <c r="A8" s="273"/>
      <c r="B8" s="273" t="s">
        <v>188</v>
      </c>
      <c r="C8" s="273" t="s">
        <v>112</v>
      </c>
      <c r="D8" s="273" t="s">
        <v>970</v>
      </c>
      <c r="E8" s="269" t="s">
        <v>966</v>
      </c>
      <c r="F8" s="311" t="s">
        <v>220</v>
      </c>
      <c r="G8" s="269" t="s">
        <v>221</v>
      </c>
      <c r="H8" s="311" t="s">
        <v>700</v>
      </c>
      <c r="I8" s="302" t="s">
        <v>456</v>
      </c>
      <c r="J8" s="273" t="s">
        <v>410</v>
      </c>
      <c r="K8" s="302">
        <v>1</v>
      </c>
      <c r="L8" s="273" t="s">
        <v>269</v>
      </c>
      <c r="M8" s="274">
        <v>40000</v>
      </c>
      <c r="N8" s="275">
        <f t="shared" si="0"/>
        <v>40000</v>
      </c>
      <c r="O8" s="311">
        <v>0</v>
      </c>
      <c r="P8" s="273">
        <f t="shared" si="1"/>
        <v>0</v>
      </c>
      <c r="Q8" s="313">
        <v>0.16</v>
      </c>
      <c r="R8" s="275">
        <f t="shared" si="2"/>
        <v>6400</v>
      </c>
      <c r="S8" s="275">
        <f t="shared" si="3"/>
        <v>46400</v>
      </c>
      <c r="T8" s="275">
        <f>INDEX('Glosario Partidas'!$M$8:$M$10,MATCH(L8,'Glosario Partidas'!$L$8:$L$10,0))</f>
        <v>1</v>
      </c>
      <c r="U8" s="275">
        <f t="shared" si="4"/>
        <v>46400</v>
      </c>
      <c r="V8" s="311" t="s">
        <v>965</v>
      </c>
      <c r="W8" s="311" t="s">
        <v>12</v>
      </c>
      <c r="X8" s="311" t="s">
        <v>493</v>
      </c>
      <c r="Y8" s="311"/>
    </row>
    <row r="9" spans="1:29" ht="15" customHeight="1" x14ac:dyDescent="0.2">
      <c r="A9" s="273"/>
      <c r="B9" s="273" t="s">
        <v>188</v>
      </c>
      <c r="C9" s="273" t="s">
        <v>112</v>
      </c>
      <c r="D9" s="273" t="s">
        <v>970</v>
      </c>
      <c r="E9" s="269" t="s">
        <v>967</v>
      </c>
      <c r="F9" s="311" t="s">
        <v>220</v>
      </c>
      <c r="G9" s="269" t="s">
        <v>221</v>
      </c>
      <c r="H9" s="311" t="s">
        <v>700</v>
      </c>
      <c r="I9" s="302" t="s">
        <v>456</v>
      </c>
      <c r="J9" s="273" t="s">
        <v>410</v>
      </c>
      <c r="K9" s="302">
        <v>1</v>
      </c>
      <c r="L9" s="273" t="s">
        <v>269</v>
      </c>
      <c r="M9" s="274">
        <v>40000</v>
      </c>
      <c r="N9" s="275">
        <f t="shared" si="0"/>
        <v>40000</v>
      </c>
      <c r="O9" s="311">
        <v>0</v>
      </c>
      <c r="P9" s="273">
        <f t="shared" si="1"/>
        <v>0</v>
      </c>
      <c r="Q9" s="313">
        <v>0.16</v>
      </c>
      <c r="R9" s="275">
        <f t="shared" si="2"/>
        <v>6400</v>
      </c>
      <c r="S9" s="275">
        <f t="shared" si="3"/>
        <v>46400</v>
      </c>
      <c r="T9" s="275">
        <f>INDEX('Glosario Partidas'!$M$8:$M$10,MATCH(L9,'Glosario Partidas'!$L$8:$L$10,0))</f>
        <v>1</v>
      </c>
      <c r="U9" s="275">
        <f t="shared" si="4"/>
        <v>46400</v>
      </c>
      <c r="V9" s="311" t="s">
        <v>965</v>
      </c>
      <c r="W9" s="311" t="s">
        <v>12</v>
      </c>
      <c r="X9" s="311" t="s">
        <v>493</v>
      </c>
      <c r="Y9" s="311"/>
    </row>
    <row r="10" spans="1:29" ht="15" customHeight="1" x14ac:dyDescent="0.2">
      <c r="A10" s="273"/>
      <c r="B10" s="273" t="s">
        <v>188</v>
      </c>
      <c r="C10" s="273" t="s">
        <v>112</v>
      </c>
      <c r="D10" s="273" t="s">
        <v>970</v>
      </c>
      <c r="E10" s="269" t="s">
        <v>968</v>
      </c>
      <c r="F10" s="311" t="s">
        <v>220</v>
      </c>
      <c r="G10" s="269" t="s">
        <v>221</v>
      </c>
      <c r="H10" s="311" t="s">
        <v>700</v>
      </c>
      <c r="I10" s="302" t="s">
        <v>456</v>
      </c>
      <c r="J10" s="273" t="s">
        <v>410</v>
      </c>
      <c r="K10" s="302">
        <v>1</v>
      </c>
      <c r="L10" s="273" t="s">
        <v>269</v>
      </c>
      <c r="M10" s="274">
        <v>60000</v>
      </c>
      <c r="N10" s="275">
        <f t="shared" si="0"/>
        <v>60000</v>
      </c>
      <c r="O10" s="311">
        <v>0</v>
      </c>
      <c r="P10" s="273">
        <f t="shared" si="1"/>
        <v>0</v>
      </c>
      <c r="Q10" s="313">
        <v>0.16</v>
      </c>
      <c r="R10" s="275">
        <f t="shared" si="2"/>
        <v>9600</v>
      </c>
      <c r="S10" s="275">
        <f t="shared" si="3"/>
        <v>69600</v>
      </c>
      <c r="T10" s="275">
        <f>INDEX('Glosario Partidas'!$M$8:$M$10,MATCH(L10,'Glosario Partidas'!$L$8:$L$10,0))</f>
        <v>1</v>
      </c>
      <c r="U10" s="275">
        <f t="shared" si="4"/>
        <v>69600</v>
      </c>
      <c r="V10" s="311" t="s">
        <v>965</v>
      </c>
      <c r="W10" s="311" t="s">
        <v>12</v>
      </c>
      <c r="X10" s="311" t="s">
        <v>493</v>
      </c>
      <c r="Y10" s="311"/>
    </row>
    <row r="11" spans="1:29" ht="15" customHeight="1" x14ac:dyDescent="0.2">
      <c r="A11" s="273"/>
      <c r="B11" s="273" t="s">
        <v>188</v>
      </c>
      <c r="C11" s="273" t="s">
        <v>112</v>
      </c>
      <c r="D11" s="273" t="s">
        <v>970</v>
      </c>
      <c r="E11" s="269" t="s">
        <v>969</v>
      </c>
      <c r="F11" s="311" t="s">
        <v>220</v>
      </c>
      <c r="G11" s="269" t="s">
        <v>221</v>
      </c>
      <c r="H11" s="311" t="s">
        <v>700</v>
      </c>
      <c r="I11" s="302" t="s">
        <v>456</v>
      </c>
      <c r="J11" s="273" t="s">
        <v>410</v>
      </c>
      <c r="K11" s="302">
        <v>1</v>
      </c>
      <c r="L11" s="273" t="s">
        <v>269</v>
      </c>
      <c r="M11" s="274">
        <v>60000</v>
      </c>
      <c r="N11" s="275">
        <f t="shared" si="0"/>
        <v>60000</v>
      </c>
      <c r="O11" s="311">
        <v>0</v>
      </c>
      <c r="P11" s="273">
        <f t="shared" si="1"/>
        <v>0</v>
      </c>
      <c r="Q11" s="313">
        <v>0.16</v>
      </c>
      <c r="R11" s="275">
        <f t="shared" si="2"/>
        <v>9600</v>
      </c>
      <c r="S11" s="275">
        <f t="shared" si="3"/>
        <v>69600</v>
      </c>
      <c r="T11" s="275">
        <f>INDEX('Glosario Partidas'!$M$8:$M$10,MATCH(L11,'Glosario Partidas'!$L$8:$L$10,0))</f>
        <v>1</v>
      </c>
      <c r="U11" s="275">
        <f t="shared" si="4"/>
        <v>69600</v>
      </c>
      <c r="V11" s="311" t="s">
        <v>965</v>
      </c>
      <c r="W11" s="311" t="s">
        <v>12</v>
      </c>
      <c r="X11" s="311" t="s">
        <v>493</v>
      </c>
      <c r="Y11" s="311"/>
    </row>
    <row r="12" spans="1:29" ht="15" customHeight="1" x14ac:dyDescent="0.2">
      <c r="A12" s="273"/>
      <c r="B12" s="273" t="s">
        <v>188</v>
      </c>
      <c r="C12" s="273" t="s">
        <v>113</v>
      </c>
      <c r="D12" s="273" t="s">
        <v>971</v>
      </c>
      <c r="E12" s="269" t="s">
        <v>972</v>
      </c>
      <c r="F12" s="311" t="s">
        <v>220</v>
      </c>
      <c r="G12" s="269" t="s">
        <v>221</v>
      </c>
      <c r="H12" s="311" t="s">
        <v>700</v>
      </c>
      <c r="I12" s="302" t="s">
        <v>456</v>
      </c>
      <c r="J12" s="273" t="s">
        <v>410</v>
      </c>
      <c r="K12" s="302">
        <v>1</v>
      </c>
      <c r="L12" s="273" t="s">
        <v>269</v>
      </c>
      <c r="M12" s="274">
        <v>195000</v>
      </c>
      <c r="N12" s="275">
        <f t="shared" si="0"/>
        <v>195000</v>
      </c>
      <c r="O12" s="311">
        <v>0</v>
      </c>
      <c r="P12" s="273">
        <f t="shared" si="1"/>
        <v>0</v>
      </c>
      <c r="Q12" s="313">
        <v>0.16</v>
      </c>
      <c r="R12" s="275">
        <f t="shared" si="2"/>
        <v>31200</v>
      </c>
      <c r="S12" s="275">
        <f t="shared" si="3"/>
        <v>226200</v>
      </c>
      <c r="T12" s="275">
        <f>INDEX('Glosario Partidas'!$M$8:$M$10,MATCH(L12,'Glosario Partidas'!$L$8:$L$10,0))</f>
        <v>1</v>
      </c>
      <c r="U12" s="275">
        <f t="shared" si="4"/>
        <v>226200</v>
      </c>
      <c r="V12" s="311" t="s">
        <v>965</v>
      </c>
      <c r="W12" s="311" t="s">
        <v>12</v>
      </c>
      <c r="X12" s="311" t="s">
        <v>493</v>
      </c>
      <c r="Y12" s="311"/>
    </row>
    <row r="13" spans="1:29" ht="15" customHeight="1" x14ac:dyDescent="0.2">
      <c r="A13" s="273"/>
      <c r="B13" s="273" t="s">
        <v>188</v>
      </c>
      <c r="C13" s="273" t="s">
        <v>113</v>
      </c>
      <c r="D13" s="273" t="s">
        <v>973</v>
      </c>
      <c r="E13" s="269" t="s">
        <v>974</v>
      </c>
      <c r="F13" s="311" t="s">
        <v>220</v>
      </c>
      <c r="G13" s="269" t="s">
        <v>221</v>
      </c>
      <c r="H13" s="311" t="s">
        <v>700</v>
      </c>
      <c r="I13" s="302" t="s">
        <v>456</v>
      </c>
      <c r="J13" s="273" t="s">
        <v>410</v>
      </c>
      <c r="K13" s="302">
        <v>1</v>
      </c>
      <c r="L13" s="273" t="s">
        <v>269</v>
      </c>
      <c r="M13" s="274">
        <v>38000</v>
      </c>
      <c r="N13" s="275">
        <f t="shared" si="0"/>
        <v>38000</v>
      </c>
      <c r="O13" s="311">
        <v>0</v>
      </c>
      <c r="P13" s="273">
        <f t="shared" si="1"/>
        <v>0</v>
      </c>
      <c r="Q13" s="313">
        <v>0.16</v>
      </c>
      <c r="R13" s="275">
        <f t="shared" si="2"/>
        <v>6080</v>
      </c>
      <c r="S13" s="275">
        <f t="shared" si="3"/>
        <v>44080</v>
      </c>
      <c r="T13" s="275">
        <f>INDEX('Glosario Partidas'!$M$8:$M$10,MATCH(L13,'Glosario Partidas'!$L$8:$L$10,0))</f>
        <v>1</v>
      </c>
      <c r="U13" s="275">
        <f t="shared" si="4"/>
        <v>44080</v>
      </c>
      <c r="V13" s="311" t="s">
        <v>965</v>
      </c>
      <c r="W13" s="311" t="s">
        <v>12</v>
      </c>
      <c r="X13" s="311" t="s">
        <v>493</v>
      </c>
      <c r="Y13" s="311"/>
    </row>
    <row r="14" spans="1:29" ht="15" customHeight="1" x14ac:dyDescent="0.2">
      <c r="A14" s="273"/>
      <c r="B14" s="273" t="s">
        <v>188</v>
      </c>
      <c r="C14" s="273" t="s">
        <v>113</v>
      </c>
      <c r="D14" s="273" t="s">
        <v>973</v>
      </c>
      <c r="E14" s="269" t="s">
        <v>975</v>
      </c>
      <c r="F14" s="311" t="s">
        <v>220</v>
      </c>
      <c r="G14" s="269" t="s">
        <v>221</v>
      </c>
      <c r="H14" s="311" t="s">
        <v>700</v>
      </c>
      <c r="I14" s="302" t="s">
        <v>456</v>
      </c>
      <c r="J14" s="273" t="s">
        <v>410</v>
      </c>
      <c r="K14" s="302">
        <v>1</v>
      </c>
      <c r="L14" s="273" t="s">
        <v>269</v>
      </c>
      <c r="M14" s="274">
        <v>38000</v>
      </c>
      <c r="N14" s="275">
        <f t="shared" si="0"/>
        <v>38000</v>
      </c>
      <c r="O14" s="311">
        <v>0</v>
      </c>
      <c r="P14" s="273">
        <f t="shared" si="1"/>
        <v>0</v>
      </c>
      <c r="Q14" s="313">
        <v>0.16</v>
      </c>
      <c r="R14" s="275">
        <f t="shared" si="2"/>
        <v>6080</v>
      </c>
      <c r="S14" s="275">
        <f t="shared" si="3"/>
        <v>44080</v>
      </c>
      <c r="T14" s="275">
        <f>INDEX('Glosario Partidas'!$M$8:$M$10,MATCH(L14,'Glosario Partidas'!$L$8:$L$10,0))</f>
        <v>1</v>
      </c>
      <c r="U14" s="275">
        <f t="shared" si="4"/>
        <v>44080</v>
      </c>
      <c r="V14" s="311" t="s">
        <v>965</v>
      </c>
      <c r="W14" s="311" t="s">
        <v>12</v>
      </c>
      <c r="X14" s="311" t="s">
        <v>493</v>
      </c>
      <c r="Y14" s="311"/>
    </row>
    <row r="15" spans="1:29" ht="15" customHeight="1" x14ac:dyDescent="0.2">
      <c r="A15" s="273"/>
      <c r="B15" s="273" t="s">
        <v>188</v>
      </c>
      <c r="C15" s="273" t="s">
        <v>113</v>
      </c>
      <c r="D15" s="273" t="s">
        <v>973</v>
      </c>
      <c r="E15" s="269" t="s">
        <v>976</v>
      </c>
      <c r="F15" s="311" t="s">
        <v>220</v>
      </c>
      <c r="G15" s="269" t="s">
        <v>221</v>
      </c>
      <c r="H15" s="311" t="s">
        <v>700</v>
      </c>
      <c r="I15" s="302" t="s">
        <v>456</v>
      </c>
      <c r="J15" s="273" t="s">
        <v>410</v>
      </c>
      <c r="K15" s="302">
        <v>1</v>
      </c>
      <c r="L15" s="273" t="s">
        <v>269</v>
      </c>
      <c r="M15" s="274">
        <v>38000</v>
      </c>
      <c r="N15" s="275">
        <f t="shared" si="0"/>
        <v>38000</v>
      </c>
      <c r="O15" s="311">
        <v>0</v>
      </c>
      <c r="P15" s="273">
        <f t="shared" si="1"/>
        <v>0</v>
      </c>
      <c r="Q15" s="313">
        <v>0.16</v>
      </c>
      <c r="R15" s="275">
        <f t="shared" si="2"/>
        <v>6080</v>
      </c>
      <c r="S15" s="275">
        <f t="shared" si="3"/>
        <v>44080</v>
      </c>
      <c r="T15" s="275">
        <f>INDEX('Glosario Partidas'!$M$8:$M$10,MATCH(L15,'Glosario Partidas'!$L$8:$L$10,0))</f>
        <v>1</v>
      </c>
      <c r="U15" s="275">
        <f t="shared" si="4"/>
        <v>44080</v>
      </c>
      <c r="V15" s="311" t="s">
        <v>965</v>
      </c>
      <c r="W15" s="311" t="s">
        <v>12</v>
      </c>
      <c r="X15" s="311" t="s">
        <v>493</v>
      </c>
      <c r="Y15" s="311"/>
    </row>
    <row r="16" spans="1:29" ht="15" customHeight="1" x14ac:dyDescent="0.2">
      <c r="A16" s="273"/>
      <c r="B16" s="273" t="s">
        <v>188</v>
      </c>
      <c r="C16" s="273" t="s">
        <v>113</v>
      </c>
      <c r="D16" s="273" t="s">
        <v>977</v>
      </c>
      <c r="E16" s="269" t="s">
        <v>978</v>
      </c>
      <c r="F16" s="311" t="s">
        <v>220</v>
      </c>
      <c r="G16" s="269" t="s">
        <v>221</v>
      </c>
      <c r="H16" s="311" t="s">
        <v>700</v>
      </c>
      <c r="I16" s="302" t="s">
        <v>456</v>
      </c>
      <c r="J16" s="273" t="s">
        <v>410</v>
      </c>
      <c r="K16" s="302">
        <v>1</v>
      </c>
      <c r="L16" s="273" t="s">
        <v>269</v>
      </c>
      <c r="M16" s="274">
        <v>46000</v>
      </c>
      <c r="N16" s="275">
        <f t="shared" si="0"/>
        <v>46000</v>
      </c>
      <c r="O16" s="311">
        <v>0</v>
      </c>
      <c r="P16" s="273">
        <f t="shared" si="1"/>
        <v>0</v>
      </c>
      <c r="Q16" s="313">
        <v>0.16</v>
      </c>
      <c r="R16" s="275">
        <f t="shared" si="2"/>
        <v>7360</v>
      </c>
      <c r="S16" s="275">
        <f t="shared" si="3"/>
        <v>53360</v>
      </c>
      <c r="T16" s="275">
        <f>INDEX('Glosario Partidas'!$M$8:$M$10,MATCH(L16,'Glosario Partidas'!$L$8:$L$10,0))</f>
        <v>1</v>
      </c>
      <c r="U16" s="275">
        <f t="shared" si="4"/>
        <v>53360</v>
      </c>
      <c r="V16" s="311" t="s">
        <v>965</v>
      </c>
      <c r="W16" s="311" t="s">
        <v>12</v>
      </c>
      <c r="X16" s="311" t="s">
        <v>493</v>
      </c>
      <c r="Y16" s="311"/>
    </row>
    <row r="17" spans="1:25" ht="15" customHeight="1" x14ac:dyDescent="0.2">
      <c r="A17" s="273"/>
      <c r="B17" s="273" t="s">
        <v>188</v>
      </c>
      <c r="C17" s="273" t="s">
        <v>113</v>
      </c>
      <c r="D17" s="273" t="s">
        <v>977</v>
      </c>
      <c r="E17" s="269" t="s">
        <v>979</v>
      </c>
      <c r="F17" s="311" t="s">
        <v>220</v>
      </c>
      <c r="G17" s="269" t="s">
        <v>221</v>
      </c>
      <c r="H17" s="311" t="s">
        <v>700</v>
      </c>
      <c r="I17" s="302" t="s">
        <v>456</v>
      </c>
      <c r="J17" s="273" t="s">
        <v>410</v>
      </c>
      <c r="K17" s="302">
        <v>1</v>
      </c>
      <c r="L17" s="273" t="s">
        <v>269</v>
      </c>
      <c r="M17" s="274">
        <v>46000</v>
      </c>
      <c r="N17" s="275">
        <f t="shared" si="0"/>
        <v>46000</v>
      </c>
      <c r="O17" s="311">
        <v>0</v>
      </c>
      <c r="P17" s="273">
        <f t="shared" si="1"/>
        <v>0</v>
      </c>
      <c r="Q17" s="313">
        <v>0.16</v>
      </c>
      <c r="R17" s="275">
        <f t="shared" si="2"/>
        <v>7360</v>
      </c>
      <c r="S17" s="275">
        <f t="shared" si="3"/>
        <v>53360</v>
      </c>
      <c r="T17" s="275">
        <f>INDEX('Glosario Partidas'!$M$8:$M$10,MATCH(L17,'Glosario Partidas'!$L$8:$L$10,0))</f>
        <v>1</v>
      </c>
      <c r="U17" s="275">
        <f t="shared" si="4"/>
        <v>53360</v>
      </c>
      <c r="V17" s="311" t="s">
        <v>965</v>
      </c>
      <c r="W17" s="311" t="s">
        <v>12</v>
      </c>
      <c r="X17" s="311" t="s">
        <v>493</v>
      </c>
      <c r="Y17" s="311"/>
    </row>
    <row r="18" spans="1:25" ht="15" customHeight="1" x14ac:dyDescent="0.2">
      <c r="A18" s="273"/>
      <c r="B18" s="273" t="s">
        <v>188</v>
      </c>
      <c r="C18" s="273" t="s">
        <v>113</v>
      </c>
      <c r="D18" s="273" t="s">
        <v>977</v>
      </c>
      <c r="E18" s="269" t="s">
        <v>980</v>
      </c>
      <c r="F18" s="311" t="s">
        <v>220</v>
      </c>
      <c r="G18" s="269" t="s">
        <v>221</v>
      </c>
      <c r="H18" s="311" t="s">
        <v>700</v>
      </c>
      <c r="I18" s="302" t="s">
        <v>456</v>
      </c>
      <c r="J18" s="273" t="s">
        <v>410</v>
      </c>
      <c r="K18" s="302">
        <v>1</v>
      </c>
      <c r="L18" s="273" t="s">
        <v>269</v>
      </c>
      <c r="M18" s="274">
        <v>46000</v>
      </c>
      <c r="N18" s="275">
        <f t="shared" si="0"/>
        <v>46000</v>
      </c>
      <c r="O18" s="311">
        <v>0</v>
      </c>
      <c r="P18" s="273">
        <f t="shared" si="1"/>
        <v>0</v>
      </c>
      <c r="Q18" s="313">
        <v>0.16</v>
      </c>
      <c r="R18" s="275">
        <f t="shared" si="2"/>
        <v>7360</v>
      </c>
      <c r="S18" s="275">
        <f t="shared" si="3"/>
        <v>53360</v>
      </c>
      <c r="T18" s="275">
        <f>INDEX('Glosario Partidas'!$M$8:$M$10,MATCH(L18,'Glosario Partidas'!$L$8:$L$10,0))</f>
        <v>1</v>
      </c>
      <c r="U18" s="275">
        <f t="shared" si="4"/>
        <v>53360</v>
      </c>
      <c r="V18" s="311" t="s">
        <v>965</v>
      </c>
      <c r="W18" s="311" t="s">
        <v>12</v>
      </c>
      <c r="X18" s="311" t="s">
        <v>493</v>
      </c>
      <c r="Y18" s="311"/>
    </row>
    <row r="19" spans="1:25" ht="15" customHeight="1" x14ac:dyDescent="0.2">
      <c r="A19" s="273"/>
      <c r="B19" s="273" t="s">
        <v>188</v>
      </c>
      <c r="C19" s="273" t="s">
        <v>113</v>
      </c>
      <c r="D19" s="273" t="s">
        <v>977</v>
      </c>
      <c r="E19" s="269" t="s">
        <v>981</v>
      </c>
      <c r="F19" s="311" t="s">
        <v>220</v>
      </c>
      <c r="G19" s="269" t="s">
        <v>221</v>
      </c>
      <c r="H19" s="311" t="s">
        <v>700</v>
      </c>
      <c r="I19" s="302" t="s">
        <v>456</v>
      </c>
      <c r="J19" s="273" t="s">
        <v>410</v>
      </c>
      <c r="K19" s="302">
        <v>1</v>
      </c>
      <c r="L19" s="273" t="s">
        <v>269</v>
      </c>
      <c r="M19" s="274">
        <v>46000</v>
      </c>
      <c r="N19" s="275">
        <f t="shared" si="0"/>
        <v>46000</v>
      </c>
      <c r="O19" s="311">
        <v>0</v>
      </c>
      <c r="P19" s="273">
        <f t="shared" si="1"/>
        <v>0</v>
      </c>
      <c r="Q19" s="313">
        <v>0.16</v>
      </c>
      <c r="R19" s="275">
        <f t="shared" si="2"/>
        <v>7360</v>
      </c>
      <c r="S19" s="275">
        <f t="shared" si="3"/>
        <v>53360</v>
      </c>
      <c r="T19" s="275">
        <f>INDEX('Glosario Partidas'!$M$8:$M$10,MATCH(L19,'Glosario Partidas'!$L$8:$L$10,0))</f>
        <v>1</v>
      </c>
      <c r="U19" s="275">
        <f t="shared" si="4"/>
        <v>53360</v>
      </c>
      <c r="V19" s="311" t="s">
        <v>965</v>
      </c>
      <c r="W19" s="311" t="s">
        <v>12</v>
      </c>
      <c r="X19" s="311" t="s">
        <v>493</v>
      </c>
      <c r="Y19" s="311"/>
    </row>
    <row r="20" spans="1:25" ht="15" customHeight="1" x14ac:dyDescent="0.2">
      <c r="A20" s="273"/>
      <c r="B20" s="273" t="s">
        <v>188</v>
      </c>
      <c r="C20" s="273" t="s">
        <v>113</v>
      </c>
      <c r="D20" s="273" t="s">
        <v>977</v>
      </c>
      <c r="E20" s="269" t="s">
        <v>982</v>
      </c>
      <c r="F20" s="311" t="s">
        <v>220</v>
      </c>
      <c r="G20" s="269" t="s">
        <v>221</v>
      </c>
      <c r="H20" s="311" t="s">
        <v>700</v>
      </c>
      <c r="I20" s="302" t="s">
        <v>456</v>
      </c>
      <c r="J20" s="273" t="s">
        <v>410</v>
      </c>
      <c r="K20" s="302">
        <v>1</v>
      </c>
      <c r="L20" s="273" t="s">
        <v>269</v>
      </c>
      <c r="M20" s="274">
        <v>46000</v>
      </c>
      <c r="N20" s="275">
        <f t="shared" si="0"/>
        <v>46000</v>
      </c>
      <c r="O20" s="311">
        <v>0</v>
      </c>
      <c r="P20" s="273">
        <f t="shared" si="1"/>
        <v>0</v>
      </c>
      <c r="Q20" s="313">
        <v>0.16</v>
      </c>
      <c r="R20" s="275">
        <f t="shared" si="2"/>
        <v>7360</v>
      </c>
      <c r="S20" s="275">
        <f t="shared" si="3"/>
        <v>53360</v>
      </c>
      <c r="T20" s="275">
        <f>INDEX('Glosario Partidas'!$M$8:$M$10,MATCH(L20,'Glosario Partidas'!$L$8:$L$10,0))</f>
        <v>1</v>
      </c>
      <c r="U20" s="275">
        <f t="shared" si="4"/>
        <v>53360</v>
      </c>
      <c r="V20" s="311" t="s">
        <v>965</v>
      </c>
      <c r="W20" s="311" t="s">
        <v>12</v>
      </c>
      <c r="X20" s="311" t="s">
        <v>493</v>
      </c>
      <c r="Y20" s="311"/>
    </row>
    <row r="21" spans="1:25" ht="15" customHeight="1" x14ac:dyDescent="0.2">
      <c r="A21" s="273"/>
      <c r="B21" s="273" t="s">
        <v>188</v>
      </c>
      <c r="C21" s="273" t="s">
        <v>113</v>
      </c>
      <c r="D21" s="273" t="s">
        <v>977</v>
      </c>
      <c r="E21" s="269" t="s">
        <v>983</v>
      </c>
      <c r="F21" s="311" t="s">
        <v>220</v>
      </c>
      <c r="G21" s="269" t="s">
        <v>221</v>
      </c>
      <c r="H21" s="311" t="s">
        <v>700</v>
      </c>
      <c r="I21" s="302" t="s">
        <v>456</v>
      </c>
      <c r="J21" s="273" t="s">
        <v>410</v>
      </c>
      <c r="K21" s="302">
        <v>1</v>
      </c>
      <c r="L21" s="273" t="s">
        <v>269</v>
      </c>
      <c r="M21" s="274">
        <v>46000</v>
      </c>
      <c r="N21" s="275">
        <f t="shared" si="0"/>
        <v>46000</v>
      </c>
      <c r="O21" s="311">
        <v>0</v>
      </c>
      <c r="P21" s="273">
        <f t="shared" si="1"/>
        <v>0</v>
      </c>
      <c r="Q21" s="313">
        <v>0.16</v>
      </c>
      <c r="R21" s="275">
        <f t="shared" si="2"/>
        <v>7360</v>
      </c>
      <c r="S21" s="275">
        <f t="shared" si="3"/>
        <v>53360</v>
      </c>
      <c r="T21" s="275">
        <f>INDEX('Glosario Partidas'!$M$8:$M$10,MATCH(L21,'Glosario Partidas'!$L$8:$L$10,0))</f>
        <v>1</v>
      </c>
      <c r="U21" s="275">
        <f t="shared" si="4"/>
        <v>53360</v>
      </c>
      <c r="V21" s="311" t="s">
        <v>965</v>
      </c>
      <c r="W21" s="311" t="s">
        <v>12</v>
      </c>
      <c r="X21" s="311" t="s">
        <v>493</v>
      </c>
      <c r="Y21" s="311"/>
    </row>
    <row r="22" spans="1:25" ht="15" customHeight="1" x14ac:dyDescent="0.2">
      <c r="A22" s="273"/>
      <c r="B22" s="273" t="s">
        <v>188</v>
      </c>
      <c r="C22" s="273" t="s">
        <v>113</v>
      </c>
      <c r="D22" s="273" t="s">
        <v>984</v>
      </c>
      <c r="E22" s="269" t="s">
        <v>985</v>
      </c>
      <c r="F22" s="311" t="s">
        <v>220</v>
      </c>
      <c r="G22" s="269" t="s">
        <v>221</v>
      </c>
      <c r="H22" s="311" t="s">
        <v>700</v>
      </c>
      <c r="I22" s="302" t="s">
        <v>456</v>
      </c>
      <c r="J22" s="273" t="s">
        <v>410</v>
      </c>
      <c r="K22" s="302">
        <v>1</v>
      </c>
      <c r="L22" s="273" t="s">
        <v>269</v>
      </c>
      <c r="M22" s="274">
        <v>60000</v>
      </c>
      <c r="N22" s="275">
        <f t="shared" si="0"/>
        <v>60000</v>
      </c>
      <c r="O22" s="311">
        <v>0</v>
      </c>
      <c r="P22" s="273">
        <f t="shared" si="1"/>
        <v>0</v>
      </c>
      <c r="Q22" s="313">
        <v>0.16</v>
      </c>
      <c r="R22" s="275">
        <f t="shared" si="2"/>
        <v>9600</v>
      </c>
      <c r="S22" s="275">
        <f t="shared" si="3"/>
        <v>69600</v>
      </c>
      <c r="T22" s="275">
        <f>INDEX('Glosario Partidas'!$M$8:$M$10,MATCH(L22,'Glosario Partidas'!$L$8:$L$10,0))</f>
        <v>1</v>
      </c>
      <c r="U22" s="275">
        <f t="shared" si="4"/>
        <v>69600</v>
      </c>
      <c r="V22" s="311" t="s">
        <v>965</v>
      </c>
      <c r="W22" s="311" t="s">
        <v>12</v>
      </c>
      <c r="X22" s="311" t="s">
        <v>493</v>
      </c>
      <c r="Y22" s="311"/>
    </row>
    <row r="23" spans="1:25" ht="15" customHeight="1" x14ac:dyDescent="0.2">
      <c r="A23" s="273"/>
      <c r="B23" s="273" t="s">
        <v>188</v>
      </c>
      <c r="C23" s="273" t="s">
        <v>113</v>
      </c>
      <c r="D23" s="273" t="s">
        <v>986</v>
      </c>
      <c r="E23" s="269" t="s">
        <v>987</v>
      </c>
      <c r="F23" s="311" t="s">
        <v>220</v>
      </c>
      <c r="G23" s="269" t="s">
        <v>221</v>
      </c>
      <c r="H23" s="311" t="s">
        <v>700</v>
      </c>
      <c r="I23" s="302" t="s">
        <v>456</v>
      </c>
      <c r="J23" s="273" t="s">
        <v>410</v>
      </c>
      <c r="K23" s="302">
        <v>1</v>
      </c>
      <c r="L23" s="273" t="s">
        <v>269</v>
      </c>
      <c r="M23" s="274">
        <v>98000</v>
      </c>
      <c r="N23" s="275">
        <f t="shared" si="0"/>
        <v>98000</v>
      </c>
      <c r="O23" s="311">
        <v>0</v>
      </c>
      <c r="P23" s="273">
        <f t="shared" si="1"/>
        <v>0</v>
      </c>
      <c r="Q23" s="313">
        <v>0.16</v>
      </c>
      <c r="R23" s="275">
        <f t="shared" si="2"/>
        <v>15680</v>
      </c>
      <c r="S23" s="275">
        <f t="shared" si="3"/>
        <v>113680</v>
      </c>
      <c r="T23" s="275">
        <f>INDEX('Glosario Partidas'!$M$8:$M$10,MATCH(L23,'Glosario Partidas'!$L$8:$L$10,0))</f>
        <v>1</v>
      </c>
      <c r="U23" s="275">
        <f t="shared" si="4"/>
        <v>113680</v>
      </c>
      <c r="V23" s="311" t="s">
        <v>965</v>
      </c>
      <c r="W23" s="311" t="s">
        <v>12</v>
      </c>
      <c r="X23" s="311" t="s">
        <v>493</v>
      </c>
      <c r="Y23" s="311"/>
    </row>
    <row r="24" spans="1:25" ht="15" customHeight="1" x14ac:dyDescent="0.2">
      <c r="A24" s="273"/>
      <c r="B24" s="273" t="s">
        <v>188</v>
      </c>
      <c r="C24" s="273" t="s">
        <v>113</v>
      </c>
      <c r="D24" s="273" t="s">
        <v>986</v>
      </c>
      <c r="E24" s="269" t="s">
        <v>988</v>
      </c>
      <c r="F24" s="311" t="s">
        <v>220</v>
      </c>
      <c r="G24" s="269" t="s">
        <v>221</v>
      </c>
      <c r="H24" s="311" t="s">
        <v>700</v>
      </c>
      <c r="I24" s="302" t="s">
        <v>456</v>
      </c>
      <c r="J24" s="273" t="s">
        <v>410</v>
      </c>
      <c r="K24" s="302">
        <v>1</v>
      </c>
      <c r="L24" s="273" t="s">
        <v>269</v>
      </c>
      <c r="M24" s="274">
        <v>98000</v>
      </c>
      <c r="N24" s="275">
        <f t="shared" si="0"/>
        <v>98000</v>
      </c>
      <c r="O24" s="311">
        <v>0</v>
      </c>
      <c r="P24" s="273">
        <f t="shared" si="1"/>
        <v>0</v>
      </c>
      <c r="Q24" s="313">
        <v>0.16</v>
      </c>
      <c r="R24" s="275">
        <f t="shared" si="2"/>
        <v>15680</v>
      </c>
      <c r="S24" s="275">
        <f t="shared" si="3"/>
        <v>113680</v>
      </c>
      <c r="T24" s="275">
        <f>INDEX('Glosario Partidas'!$M$8:$M$10,MATCH(L24,'Glosario Partidas'!$L$8:$L$10,0))</f>
        <v>1</v>
      </c>
      <c r="U24" s="275">
        <f t="shared" si="4"/>
        <v>113680</v>
      </c>
      <c r="V24" s="311" t="s">
        <v>965</v>
      </c>
      <c r="W24" s="311" t="s">
        <v>12</v>
      </c>
      <c r="X24" s="311" t="s">
        <v>493</v>
      </c>
      <c r="Y24" s="311"/>
    </row>
    <row r="25" spans="1:25" ht="15" customHeight="1" x14ac:dyDescent="0.2">
      <c r="A25" s="273"/>
      <c r="B25" s="273" t="s">
        <v>188</v>
      </c>
      <c r="C25" s="273" t="s">
        <v>113</v>
      </c>
      <c r="D25" s="273" t="s">
        <v>984</v>
      </c>
      <c r="E25" s="269" t="s">
        <v>989</v>
      </c>
      <c r="F25" s="311" t="s">
        <v>220</v>
      </c>
      <c r="G25" s="269" t="s">
        <v>221</v>
      </c>
      <c r="H25" s="311" t="s">
        <v>700</v>
      </c>
      <c r="I25" s="302" t="s">
        <v>456</v>
      </c>
      <c r="J25" s="273" t="s">
        <v>410</v>
      </c>
      <c r="K25" s="302">
        <v>1</v>
      </c>
      <c r="L25" s="273" t="s">
        <v>269</v>
      </c>
      <c r="M25" s="274">
        <v>60000</v>
      </c>
      <c r="N25" s="275">
        <f t="shared" si="0"/>
        <v>60000</v>
      </c>
      <c r="O25" s="311">
        <v>0</v>
      </c>
      <c r="P25" s="273">
        <f t="shared" si="1"/>
        <v>0</v>
      </c>
      <c r="Q25" s="313">
        <v>0.16</v>
      </c>
      <c r="R25" s="275">
        <f t="shared" si="2"/>
        <v>9600</v>
      </c>
      <c r="S25" s="275">
        <f t="shared" si="3"/>
        <v>69600</v>
      </c>
      <c r="T25" s="275">
        <f>INDEX('Glosario Partidas'!$M$8:$M$10,MATCH(L25,'Glosario Partidas'!$L$8:$L$10,0))</f>
        <v>1</v>
      </c>
      <c r="U25" s="275">
        <f t="shared" si="4"/>
        <v>69600</v>
      </c>
      <c r="V25" s="311" t="s">
        <v>965</v>
      </c>
      <c r="W25" s="311" t="s">
        <v>12</v>
      </c>
      <c r="X25" s="311" t="s">
        <v>493</v>
      </c>
      <c r="Y25" s="311"/>
    </row>
    <row r="26" spans="1:25" ht="15" customHeight="1" x14ac:dyDescent="0.2">
      <c r="A26" s="273"/>
      <c r="B26" s="273" t="s">
        <v>188</v>
      </c>
      <c r="C26" s="273" t="s">
        <v>113</v>
      </c>
      <c r="D26" s="273" t="s">
        <v>986</v>
      </c>
      <c r="E26" s="269" t="s">
        <v>990</v>
      </c>
      <c r="F26" s="311" t="s">
        <v>220</v>
      </c>
      <c r="G26" s="269" t="s">
        <v>221</v>
      </c>
      <c r="H26" s="311" t="s">
        <v>700</v>
      </c>
      <c r="I26" s="302" t="s">
        <v>456</v>
      </c>
      <c r="J26" s="273" t="s">
        <v>410</v>
      </c>
      <c r="K26" s="302">
        <v>1</v>
      </c>
      <c r="L26" s="273" t="s">
        <v>269</v>
      </c>
      <c r="M26" s="274">
        <v>98000</v>
      </c>
      <c r="N26" s="275">
        <f t="shared" si="0"/>
        <v>98000</v>
      </c>
      <c r="O26" s="311">
        <v>0</v>
      </c>
      <c r="P26" s="273">
        <f t="shared" si="1"/>
        <v>0</v>
      </c>
      <c r="Q26" s="313">
        <v>0.16</v>
      </c>
      <c r="R26" s="275">
        <f t="shared" si="2"/>
        <v>15680</v>
      </c>
      <c r="S26" s="275">
        <f t="shared" si="3"/>
        <v>113680</v>
      </c>
      <c r="T26" s="275">
        <f>INDEX('Glosario Partidas'!$M$8:$M$10,MATCH(L26,'Glosario Partidas'!$L$8:$L$10,0))</f>
        <v>1</v>
      </c>
      <c r="U26" s="275">
        <f t="shared" si="4"/>
        <v>113680</v>
      </c>
      <c r="V26" s="311" t="s">
        <v>965</v>
      </c>
      <c r="W26" s="311" t="s">
        <v>12</v>
      </c>
      <c r="X26" s="311" t="s">
        <v>493</v>
      </c>
      <c r="Y26" s="311"/>
    </row>
    <row r="27" spans="1:25" ht="15" customHeight="1" x14ac:dyDescent="0.2">
      <c r="A27" s="273"/>
      <c r="B27" s="273" t="s">
        <v>188</v>
      </c>
      <c r="C27" s="273" t="s">
        <v>113</v>
      </c>
      <c r="D27" s="273" t="s">
        <v>986</v>
      </c>
      <c r="E27" s="269" t="s">
        <v>991</v>
      </c>
      <c r="F27" s="311" t="s">
        <v>220</v>
      </c>
      <c r="G27" s="269" t="s">
        <v>221</v>
      </c>
      <c r="H27" s="311" t="s">
        <v>700</v>
      </c>
      <c r="I27" s="302" t="s">
        <v>456</v>
      </c>
      <c r="J27" s="273" t="s">
        <v>410</v>
      </c>
      <c r="K27" s="302">
        <v>1</v>
      </c>
      <c r="L27" s="273" t="s">
        <v>269</v>
      </c>
      <c r="M27" s="274">
        <v>98000</v>
      </c>
      <c r="N27" s="275">
        <f t="shared" si="0"/>
        <v>98000</v>
      </c>
      <c r="O27" s="311">
        <v>0</v>
      </c>
      <c r="P27" s="273">
        <f t="shared" si="1"/>
        <v>0</v>
      </c>
      <c r="Q27" s="313">
        <v>0.16</v>
      </c>
      <c r="R27" s="275">
        <f t="shared" si="2"/>
        <v>15680</v>
      </c>
      <c r="S27" s="275">
        <f t="shared" si="3"/>
        <v>113680</v>
      </c>
      <c r="T27" s="275">
        <f>INDEX('Glosario Partidas'!$M$8:$M$10,MATCH(L27,'Glosario Partidas'!$L$8:$L$10,0))</f>
        <v>1</v>
      </c>
      <c r="U27" s="275">
        <f t="shared" si="4"/>
        <v>113680</v>
      </c>
      <c r="V27" s="311" t="s">
        <v>965</v>
      </c>
      <c r="W27" s="311" t="s">
        <v>12</v>
      </c>
      <c r="X27" s="311" t="s">
        <v>493</v>
      </c>
      <c r="Y27" s="311"/>
    </row>
    <row r="28" spans="1:25" ht="15" customHeight="1" x14ac:dyDescent="0.2">
      <c r="A28" s="273"/>
      <c r="B28" s="273" t="s">
        <v>188</v>
      </c>
      <c r="C28" s="273" t="s">
        <v>113</v>
      </c>
      <c r="D28" s="273" t="s">
        <v>992</v>
      </c>
      <c r="E28" s="269" t="s">
        <v>993</v>
      </c>
      <c r="F28" s="311" t="s">
        <v>220</v>
      </c>
      <c r="G28" s="269" t="s">
        <v>221</v>
      </c>
      <c r="H28" s="311" t="s">
        <v>700</v>
      </c>
      <c r="I28" s="302" t="s">
        <v>456</v>
      </c>
      <c r="J28" s="273" t="s">
        <v>410</v>
      </c>
      <c r="K28" s="302">
        <v>16</v>
      </c>
      <c r="L28" s="273" t="s">
        <v>269</v>
      </c>
      <c r="M28" s="274">
        <v>12000</v>
      </c>
      <c r="N28" s="275">
        <f t="shared" si="0"/>
        <v>192000</v>
      </c>
      <c r="O28" s="311">
        <v>0</v>
      </c>
      <c r="P28" s="273">
        <f t="shared" si="1"/>
        <v>0</v>
      </c>
      <c r="Q28" s="313">
        <v>0.16</v>
      </c>
      <c r="R28" s="275">
        <f t="shared" si="2"/>
        <v>30720</v>
      </c>
      <c r="S28" s="275">
        <f t="shared" si="3"/>
        <v>222720</v>
      </c>
      <c r="T28" s="275">
        <f>INDEX('Glosario Partidas'!$M$8:$M$10,MATCH(L28,'Glosario Partidas'!$L$8:$L$10,0))</f>
        <v>1</v>
      </c>
      <c r="U28" s="275">
        <f t="shared" si="4"/>
        <v>222720</v>
      </c>
      <c r="V28" s="311" t="s">
        <v>965</v>
      </c>
      <c r="W28" s="311" t="s">
        <v>12</v>
      </c>
      <c r="X28" s="311" t="s">
        <v>493</v>
      </c>
      <c r="Y28" s="311"/>
    </row>
    <row r="29" spans="1:25" ht="15" customHeight="1" x14ac:dyDescent="0.2">
      <c r="A29" s="273"/>
      <c r="B29" s="273" t="s">
        <v>188</v>
      </c>
      <c r="C29" s="273" t="s">
        <v>114</v>
      </c>
      <c r="D29" s="273" t="s">
        <v>994</v>
      </c>
      <c r="E29" s="269" t="s">
        <v>995</v>
      </c>
      <c r="F29" s="311" t="s">
        <v>220</v>
      </c>
      <c r="G29" s="269" t="s">
        <v>221</v>
      </c>
      <c r="H29" s="311" t="s">
        <v>700</v>
      </c>
      <c r="I29" s="302" t="s">
        <v>456</v>
      </c>
      <c r="J29" s="273" t="s">
        <v>410</v>
      </c>
      <c r="K29" s="302">
        <v>1</v>
      </c>
      <c r="L29" s="273" t="s">
        <v>269</v>
      </c>
      <c r="M29" s="274">
        <v>240000</v>
      </c>
      <c r="N29" s="275">
        <f t="shared" si="0"/>
        <v>240000</v>
      </c>
      <c r="O29" s="311">
        <v>0</v>
      </c>
      <c r="P29" s="273">
        <f t="shared" si="1"/>
        <v>0</v>
      </c>
      <c r="Q29" s="313">
        <v>0.16</v>
      </c>
      <c r="R29" s="275">
        <f t="shared" si="2"/>
        <v>38400</v>
      </c>
      <c r="S29" s="275">
        <f t="shared" si="3"/>
        <v>278400</v>
      </c>
      <c r="T29" s="275">
        <f>INDEX('Glosario Partidas'!$M$8:$M$10,MATCH(L29,'Glosario Partidas'!$L$8:$L$10,0))</f>
        <v>1</v>
      </c>
      <c r="U29" s="275">
        <f t="shared" si="4"/>
        <v>278400</v>
      </c>
      <c r="V29" s="311" t="s">
        <v>965</v>
      </c>
      <c r="W29" s="311" t="s">
        <v>12</v>
      </c>
      <c r="X29" s="311" t="s">
        <v>493</v>
      </c>
      <c r="Y29" s="311"/>
    </row>
    <row r="30" spans="1:25" ht="15" customHeight="1" x14ac:dyDescent="0.2">
      <c r="A30" s="273"/>
      <c r="B30" s="273" t="s">
        <v>188</v>
      </c>
      <c r="C30" s="273" t="s">
        <v>114</v>
      </c>
      <c r="D30" s="273" t="s">
        <v>994</v>
      </c>
      <c r="E30" s="269" t="s">
        <v>996</v>
      </c>
      <c r="F30" s="311" t="s">
        <v>220</v>
      </c>
      <c r="G30" s="269" t="s">
        <v>221</v>
      </c>
      <c r="H30" s="311" t="s">
        <v>700</v>
      </c>
      <c r="I30" s="302" t="s">
        <v>456</v>
      </c>
      <c r="J30" s="273" t="s">
        <v>410</v>
      </c>
      <c r="K30" s="302">
        <v>1</v>
      </c>
      <c r="L30" s="273" t="s">
        <v>269</v>
      </c>
      <c r="M30" s="274">
        <v>240000</v>
      </c>
      <c r="N30" s="275">
        <f t="shared" si="0"/>
        <v>240000</v>
      </c>
      <c r="O30" s="311">
        <v>0</v>
      </c>
      <c r="P30" s="273">
        <f t="shared" si="1"/>
        <v>0</v>
      </c>
      <c r="Q30" s="313">
        <v>0.16</v>
      </c>
      <c r="R30" s="275">
        <f t="shared" si="2"/>
        <v>38400</v>
      </c>
      <c r="S30" s="275">
        <f t="shared" si="3"/>
        <v>278400</v>
      </c>
      <c r="T30" s="275">
        <f>INDEX('Glosario Partidas'!$M$8:$M$10,MATCH(L30,'Glosario Partidas'!$L$8:$L$10,0))</f>
        <v>1</v>
      </c>
      <c r="U30" s="275">
        <f t="shared" si="4"/>
        <v>278400</v>
      </c>
      <c r="V30" s="311" t="s">
        <v>965</v>
      </c>
      <c r="W30" s="311" t="s">
        <v>12</v>
      </c>
      <c r="X30" s="311" t="s">
        <v>493</v>
      </c>
      <c r="Y30" s="311"/>
    </row>
    <row r="31" spans="1:25" ht="15" customHeight="1" x14ac:dyDescent="0.2">
      <c r="A31" s="273"/>
      <c r="B31" s="273" t="s">
        <v>188</v>
      </c>
      <c r="C31" s="273" t="s">
        <v>114</v>
      </c>
      <c r="D31" s="273" t="s">
        <v>997</v>
      </c>
      <c r="E31" s="269" t="s">
        <v>998</v>
      </c>
      <c r="F31" s="311" t="s">
        <v>220</v>
      </c>
      <c r="G31" s="269" t="s">
        <v>221</v>
      </c>
      <c r="H31" s="311" t="s">
        <v>700</v>
      </c>
      <c r="I31" s="302" t="s">
        <v>456</v>
      </c>
      <c r="J31" s="273" t="s">
        <v>410</v>
      </c>
      <c r="K31" s="302">
        <v>1</v>
      </c>
      <c r="L31" s="273" t="s">
        <v>269</v>
      </c>
      <c r="M31" s="274">
        <v>550000</v>
      </c>
      <c r="N31" s="275">
        <f t="shared" si="0"/>
        <v>550000</v>
      </c>
      <c r="O31" s="311">
        <v>0</v>
      </c>
      <c r="P31" s="273">
        <f t="shared" si="1"/>
        <v>0</v>
      </c>
      <c r="Q31" s="313">
        <v>0.16</v>
      </c>
      <c r="R31" s="275">
        <f t="shared" si="2"/>
        <v>88000</v>
      </c>
      <c r="S31" s="275">
        <f t="shared" si="3"/>
        <v>638000</v>
      </c>
      <c r="T31" s="275">
        <f>INDEX('Glosario Partidas'!$M$8:$M$10,MATCH(L31,'Glosario Partidas'!$L$8:$L$10,0))</f>
        <v>1</v>
      </c>
      <c r="U31" s="275">
        <f t="shared" si="4"/>
        <v>638000</v>
      </c>
      <c r="V31" s="311" t="s">
        <v>965</v>
      </c>
      <c r="W31" s="311" t="s">
        <v>12</v>
      </c>
      <c r="X31" s="311" t="s">
        <v>493</v>
      </c>
      <c r="Y31" s="311"/>
    </row>
    <row r="32" spans="1:25" ht="15" customHeight="1" x14ac:dyDescent="0.2">
      <c r="A32" s="273"/>
      <c r="B32" s="273" t="s">
        <v>188</v>
      </c>
      <c r="C32" s="273" t="s">
        <v>114</v>
      </c>
      <c r="D32" s="273" t="s">
        <v>999</v>
      </c>
      <c r="E32" s="269" t="s">
        <v>1000</v>
      </c>
      <c r="F32" s="311" t="s">
        <v>220</v>
      </c>
      <c r="G32" s="269" t="s">
        <v>221</v>
      </c>
      <c r="H32" s="311" t="s">
        <v>700</v>
      </c>
      <c r="I32" s="302" t="s">
        <v>456</v>
      </c>
      <c r="J32" s="273" t="s">
        <v>410</v>
      </c>
      <c r="K32" s="302">
        <v>1</v>
      </c>
      <c r="L32" s="273" t="s">
        <v>269</v>
      </c>
      <c r="M32" s="274">
        <v>360000</v>
      </c>
      <c r="N32" s="275">
        <f t="shared" si="0"/>
        <v>360000</v>
      </c>
      <c r="O32" s="311">
        <v>0</v>
      </c>
      <c r="P32" s="273">
        <f t="shared" si="1"/>
        <v>0</v>
      </c>
      <c r="Q32" s="313">
        <v>0.16</v>
      </c>
      <c r="R32" s="275">
        <f t="shared" si="2"/>
        <v>57600</v>
      </c>
      <c r="S32" s="275">
        <f t="shared" si="3"/>
        <v>417600</v>
      </c>
      <c r="T32" s="275">
        <f>INDEX('Glosario Partidas'!$M$8:$M$10,MATCH(L32,'Glosario Partidas'!$L$8:$L$10,0))</f>
        <v>1</v>
      </c>
      <c r="U32" s="275">
        <f t="shared" si="4"/>
        <v>417600</v>
      </c>
      <c r="V32" s="311" t="s">
        <v>965</v>
      </c>
      <c r="W32" s="311" t="s">
        <v>12</v>
      </c>
      <c r="X32" s="311" t="s">
        <v>493</v>
      </c>
      <c r="Y32" s="311"/>
    </row>
    <row r="33" spans="1:25" ht="15" customHeight="1" x14ac:dyDescent="0.2">
      <c r="A33" s="273"/>
      <c r="B33" s="273" t="s">
        <v>188</v>
      </c>
      <c r="C33" s="273" t="s">
        <v>114</v>
      </c>
      <c r="D33" s="273" t="s">
        <v>1001</v>
      </c>
      <c r="E33" s="269" t="s">
        <v>1002</v>
      </c>
      <c r="F33" s="311" t="s">
        <v>220</v>
      </c>
      <c r="G33" s="269" t="s">
        <v>221</v>
      </c>
      <c r="H33" s="311" t="s">
        <v>700</v>
      </c>
      <c r="I33" s="302" t="s">
        <v>456</v>
      </c>
      <c r="J33" s="273" t="s">
        <v>410</v>
      </c>
      <c r="K33" s="302">
        <v>1</v>
      </c>
      <c r="L33" s="273" t="s">
        <v>269</v>
      </c>
      <c r="M33" s="274">
        <v>240000</v>
      </c>
      <c r="N33" s="275">
        <f t="shared" si="0"/>
        <v>240000</v>
      </c>
      <c r="O33" s="311">
        <v>0</v>
      </c>
      <c r="P33" s="273">
        <f t="shared" si="1"/>
        <v>0</v>
      </c>
      <c r="Q33" s="313">
        <v>0.16</v>
      </c>
      <c r="R33" s="275">
        <f t="shared" si="2"/>
        <v>38400</v>
      </c>
      <c r="S33" s="275">
        <f t="shared" si="3"/>
        <v>278400</v>
      </c>
      <c r="T33" s="275">
        <f>INDEX('Glosario Partidas'!$M$8:$M$10,MATCH(L33,'Glosario Partidas'!$L$8:$L$10,0))</f>
        <v>1</v>
      </c>
      <c r="U33" s="275">
        <f t="shared" si="4"/>
        <v>278400</v>
      </c>
      <c r="V33" s="311" t="s">
        <v>965</v>
      </c>
      <c r="W33" s="311" t="s">
        <v>12</v>
      </c>
      <c r="X33" s="311" t="s">
        <v>493</v>
      </c>
      <c r="Y33" s="311"/>
    </row>
    <row r="34" spans="1:25" ht="15" customHeight="1" x14ac:dyDescent="0.2">
      <c r="A34" s="273"/>
      <c r="B34" s="273" t="s">
        <v>188</v>
      </c>
      <c r="C34" s="273" t="s">
        <v>117</v>
      </c>
      <c r="D34" s="273" t="s">
        <v>117</v>
      </c>
      <c r="E34" s="269" t="s">
        <v>481</v>
      </c>
      <c r="F34" s="311" t="s">
        <v>220</v>
      </c>
      <c r="G34" s="269" t="s">
        <v>221</v>
      </c>
      <c r="H34" s="311" t="s">
        <v>700</v>
      </c>
      <c r="I34" s="315" t="s">
        <v>293</v>
      </c>
      <c r="J34" s="211" t="s">
        <v>410</v>
      </c>
      <c r="K34" s="315">
        <v>2</v>
      </c>
      <c r="L34" s="225" t="s">
        <v>269</v>
      </c>
      <c r="M34" s="316">
        <v>80000</v>
      </c>
      <c r="N34" s="310">
        <f t="shared" si="0"/>
        <v>160000</v>
      </c>
      <c r="O34" s="317">
        <v>0</v>
      </c>
      <c r="P34" s="318">
        <f t="shared" si="1"/>
        <v>0</v>
      </c>
      <c r="Q34" s="317">
        <v>0.16</v>
      </c>
      <c r="R34" s="310">
        <f t="shared" si="2"/>
        <v>25600</v>
      </c>
      <c r="S34" s="310">
        <f t="shared" si="3"/>
        <v>185600</v>
      </c>
      <c r="T34" s="229">
        <f>INDEX('Glosario Partidas'!$M$8:$M$10,MATCH(L34,'Glosario Partidas'!$L$8:$L$10,0))</f>
        <v>1</v>
      </c>
      <c r="U34" s="310">
        <f t="shared" si="4"/>
        <v>185600</v>
      </c>
      <c r="V34" s="307" t="s">
        <v>405</v>
      </c>
      <c r="W34" s="249" t="s">
        <v>13</v>
      </c>
      <c r="X34" s="311" t="s">
        <v>491</v>
      </c>
      <c r="Y34" s="311"/>
    </row>
    <row r="35" spans="1:25" ht="15" customHeight="1" x14ac:dyDescent="0.2">
      <c r="A35" s="273"/>
      <c r="B35" s="273" t="s">
        <v>188</v>
      </c>
      <c r="C35" s="273" t="s">
        <v>115</v>
      </c>
      <c r="D35" s="273" t="s">
        <v>1003</v>
      </c>
      <c r="E35" s="269" t="s">
        <v>1004</v>
      </c>
      <c r="F35" s="311" t="s">
        <v>220</v>
      </c>
      <c r="G35" s="269" t="s">
        <v>221</v>
      </c>
      <c r="H35" s="311" t="s">
        <v>700</v>
      </c>
      <c r="I35" s="302" t="s">
        <v>456</v>
      </c>
      <c r="J35" s="273" t="s">
        <v>410</v>
      </c>
      <c r="K35" s="302">
        <v>1</v>
      </c>
      <c r="L35" s="273" t="s">
        <v>269</v>
      </c>
      <c r="M35" s="274">
        <v>50000</v>
      </c>
      <c r="N35" s="275">
        <f t="shared" si="0"/>
        <v>50000</v>
      </c>
      <c r="O35" s="311">
        <v>0</v>
      </c>
      <c r="P35" s="273">
        <f t="shared" si="1"/>
        <v>0</v>
      </c>
      <c r="Q35" s="313">
        <v>0.16</v>
      </c>
      <c r="R35" s="275">
        <f t="shared" si="2"/>
        <v>8000</v>
      </c>
      <c r="S35" s="275">
        <f t="shared" si="3"/>
        <v>58000</v>
      </c>
      <c r="T35" s="275">
        <f>INDEX('Glosario Partidas'!$M$8:$M$10,MATCH(L35,'Glosario Partidas'!$L$8:$L$10,0))</f>
        <v>1</v>
      </c>
      <c r="U35" s="275">
        <f t="shared" si="4"/>
        <v>58000</v>
      </c>
      <c r="V35" s="311" t="s">
        <v>1005</v>
      </c>
      <c r="W35" s="311" t="s">
        <v>12</v>
      </c>
      <c r="X35" s="311" t="s">
        <v>493</v>
      </c>
      <c r="Y35" s="311"/>
    </row>
    <row r="36" spans="1:25" ht="15" customHeight="1" x14ac:dyDescent="0.2">
      <c r="A36" s="273"/>
      <c r="B36" s="273" t="s">
        <v>188</v>
      </c>
      <c r="C36" s="273" t="s">
        <v>116</v>
      </c>
      <c r="D36" s="273" t="s">
        <v>116</v>
      </c>
      <c r="E36" s="269" t="s">
        <v>1006</v>
      </c>
      <c r="F36" s="311" t="s">
        <v>220</v>
      </c>
      <c r="G36" s="269" t="s">
        <v>221</v>
      </c>
      <c r="H36" s="311" t="s">
        <v>700</v>
      </c>
      <c r="I36" s="302" t="s">
        <v>604</v>
      </c>
      <c r="J36" s="273" t="s">
        <v>207</v>
      </c>
      <c r="K36" s="302">
        <v>1</v>
      </c>
      <c r="L36" s="273" t="s">
        <v>269</v>
      </c>
      <c r="M36" s="274">
        <f>4120597/8</f>
        <v>515074.625</v>
      </c>
      <c r="N36" s="275">
        <f t="shared" si="0"/>
        <v>515074.625</v>
      </c>
      <c r="O36" s="311">
        <v>0</v>
      </c>
      <c r="P36" s="273">
        <f t="shared" si="1"/>
        <v>0</v>
      </c>
      <c r="Q36" s="313">
        <v>0.16</v>
      </c>
      <c r="R36" s="275">
        <f t="shared" si="2"/>
        <v>82411.94</v>
      </c>
      <c r="S36" s="275">
        <f t="shared" si="3"/>
        <v>597486.56499999994</v>
      </c>
      <c r="T36" s="275">
        <f>INDEX('Glosario Partidas'!$M$8:$M$10,MATCH(L36,'Glosario Partidas'!$L$8:$L$10,0))</f>
        <v>1</v>
      </c>
      <c r="U36" s="275">
        <f t="shared" si="4"/>
        <v>597486.56499999994</v>
      </c>
      <c r="V36" s="311" t="s">
        <v>1007</v>
      </c>
      <c r="W36" s="311" t="s">
        <v>12</v>
      </c>
      <c r="X36" s="311" t="s">
        <v>491</v>
      </c>
      <c r="Y36" s="311"/>
    </row>
    <row r="37" spans="1:25" ht="15" customHeight="1" x14ac:dyDescent="0.2">
      <c r="A37" s="273"/>
      <c r="B37" s="273" t="s">
        <v>188</v>
      </c>
      <c r="C37" s="273" t="s">
        <v>112</v>
      </c>
      <c r="D37" s="273" t="s">
        <v>112</v>
      </c>
      <c r="E37" s="269" t="s">
        <v>964</v>
      </c>
      <c r="F37" s="311" t="s">
        <v>220</v>
      </c>
      <c r="G37" s="269" t="s">
        <v>221</v>
      </c>
      <c r="H37" s="311" t="s">
        <v>703</v>
      </c>
      <c r="I37" s="302" t="s">
        <v>456</v>
      </c>
      <c r="J37" s="273" t="s">
        <v>410</v>
      </c>
      <c r="K37" s="302">
        <v>1</v>
      </c>
      <c r="L37" s="273" t="s">
        <v>269</v>
      </c>
      <c r="M37" s="274">
        <v>150000</v>
      </c>
      <c r="N37" s="275">
        <f t="shared" si="0"/>
        <v>150000</v>
      </c>
      <c r="O37" s="311">
        <v>0</v>
      </c>
      <c r="P37" s="273">
        <f t="shared" si="1"/>
        <v>0</v>
      </c>
      <c r="Q37" s="313">
        <v>0.16</v>
      </c>
      <c r="R37" s="275">
        <f t="shared" si="2"/>
        <v>24000</v>
      </c>
      <c r="S37" s="275">
        <f t="shared" si="3"/>
        <v>174000</v>
      </c>
      <c r="T37" s="275">
        <f>INDEX('Glosario Partidas'!$M$8:$M$10,MATCH(L37,'Glosario Partidas'!$L$8:$L$10,0))</f>
        <v>1</v>
      </c>
      <c r="U37" s="275">
        <f t="shared" si="4"/>
        <v>174000</v>
      </c>
      <c r="V37" s="311" t="s">
        <v>965</v>
      </c>
      <c r="W37" s="311" t="s">
        <v>12</v>
      </c>
      <c r="X37" s="311" t="s">
        <v>493</v>
      </c>
      <c r="Y37" s="311"/>
    </row>
    <row r="38" spans="1:25" ht="15" customHeight="1" x14ac:dyDescent="0.2">
      <c r="A38" s="273"/>
      <c r="B38" s="273" t="s">
        <v>188</v>
      </c>
      <c r="C38" s="273" t="s">
        <v>112</v>
      </c>
      <c r="D38" s="273" t="s">
        <v>112</v>
      </c>
      <c r="E38" s="269" t="s">
        <v>966</v>
      </c>
      <c r="F38" s="311" t="s">
        <v>220</v>
      </c>
      <c r="G38" s="269" t="s">
        <v>221</v>
      </c>
      <c r="H38" s="311" t="s">
        <v>703</v>
      </c>
      <c r="I38" s="302" t="s">
        <v>456</v>
      </c>
      <c r="J38" s="273" t="s">
        <v>410</v>
      </c>
      <c r="K38" s="302">
        <v>1</v>
      </c>
      <c r="L38" s="273" t="s">
        <v>269</v>
      </c>
      <c r="M38" s="274">
        <v>150000</v>
      </c>
      <c r="N38" s="275">
        <f t="shared" si="0"/>
        <v>150000</v>
      </c>
      <c r="O38" s="311">
        <v>0</v>
      </c>
      <c r="P38" s="273">
        <f t="shared" si="1"/>
        <v>0</v>
      </c>
      <c r="Q38" s="313">
        <v>0.16</v>
      </c>
      <c r="R38" s="275">
        <f t="shared" si="2"/>
        <v>24000</v>
      </c>
      <c r="S38" s="275">
        <f t="shared" si="3"/>
        <v>174000</v>
      </c>
      <c r="T38" s="275">
        <f>INDEX('Glosario Partidas'!$M$8:$M$10,MATCH(L38,'Glosario Partidas'!$L$8:$L$10,0))</f>
        <v>1</v>
      </c>
      <c r="U38" s="275">
        <f t="shared" si="4"/>
        <v>174000</v>
      </c>
      <c r="V38" s="311" t="s">
        <v>965</v>
      </c>
      <c r="W38" s="311" t="s">
        <v>12</v>
      </c>
      <c r="X38" s="311" t="s">
        <v>493</v>
      </c>
      <c r="Y38" s="311"/>
    </row>
    <row r="39" spans="1:25" ht="15" customHeight="1" x14ac:dyDescent="0.2">
      <c r="A39" s="273"/>
      <c r="B39" s="273" t="s">
        <v>188</v>
      </c>
      <c r="C39" s="273" t="s">
        <v>112</v>
      </c>
      <c r="D39" s="273" t="s">
        <v>112</v>
      </c>
      <c r="E39" s="269" t="s">
        <v>967</v>
      </c>
      <c r="F39" s="311" t="s">
        <v>220</v>
      </c>
      <c r="G39" s="269" t="s">
        <v>221</v>
      </c>
      <c r="H39" s="311" t="s">
        <v>703</v>
      </c>
      <c r="I39" s="302" t="s">
        <v>456</v>
      </c>
      <c r="J39" s="273" t="s">
        <v>410</v>
      </c>
      <c r="K39" s="302">
        <v>1</v>
      </c>
      <c r="L39" s="273" t="s">
        <v>269</v>
      </c>
      <c r="M39" s="274">
        <v>150000</v>
      </c>
      <c r="N39" s="275">
        <f t="shared" si="0"/>
        <v>150000</v>
      </c>
      <c r="O39" s="311">
        <v>0</v>
      </c>
      <c r="P39" s="273">
        <f t="shared" si="1"/>
        <v>0</v>
      </c>
      <c r="Q39" s="313">
        <v>0.16</v>
      </c>
      <c r="R39" s="275">
        <f t="shared" si="2"/>
        <v>24000</v>
      </c>
      <c r="S39" s="275">
        <f t="shared" si="3"/>
        <v>174000</v>
      </c>
      <c r="T39" s="275">
        <f>INDEX('Glosario Partidas'!$M$8:$M$10,MATCH(L39,'Glosario Partidas'!$L$8:$L$10,0))</f>
        <v>1</v>
      </c>
      <c r="U39" s="275">
        <f t="shared" si="4"/>
        <v>174000</v>
      </c>
      <c r="V39" s="311" t="s">
        <v>965</v>
      </c>
      <c r="W39" s="311" t="s">
        <v>12</v>
      </c>
      <c r="X39" s="311" t="s">
        <v>493</v>
      </c>
      <c r="Y39" s="311"/>
    </row>
    <row r="40" spans="1:25" ht="15" customHeight="1" x14ac:dyDescent="0.2">
      <c r="A40" s="273"/>
      <c r="B40" s="273" t="s">
        <v>188</v>
      </c>
      <c r="C40" s="273" t="s">
        <v>112</v>
      </c>
      <c r="D40" s="273" t="s">
        <v>112</v>
      </c>
      <c r="E40" s="269" t="s">
        <v>968</v>
      </c>
      <c r="F40" s="311" t="s">
        <v>220</v>
      </c>
      <c r="G40" s="269" t="s">
        <v>221</v>
      </c>
      <c r="H40" s="311" t="s">
        <v>703</v>
      </c>
      <c r="I40" s="302" t="s">
        <v>456</v>
      </c>
      <c r="J40" s="273" t="s">
        <v>410</v>
      </c>
      <c r="K40" s="302">
        <v>1</v>
      </c>
      <c r="L40" s="273" t="s">
        <v>269</v>
      </c>
      <c r="M40" s="274">
        <v>200000</v>
      </c>
      <c r="N40" s="275">
        <f t="shared" si="0"/>
        <v>200000</v>
      </c>
      <c r="O40" s="311">
        <v>0</v>
      </c>
      <c r="P40" s="273">
        <f t="shared" si="1"/>
        <v>0</v>
      </c>
      <c r="Q40" s="313">
        <v>0.16</v>
      </c>
      <c r="R40" s="275">
        <f t="shared" si="2"/>
        <v>32000</v>
      </c>
      <c r="S40" s="275">
        <f t="shared" si="3"/>
        <v>232000</v>
      </c>
      <c r="T40" s="275">
        <f>INDEX('Glosario Partidas'!$M$8:$M$10,MATCH(L40,'Glosario Partidas'!$L$8:$L$10,0))</f>
        <v>1</v>
      </c>
      <c r="U40" s="275">
        <f t="shared" si="4"/>
        <v>232000</v>
      </c>
      <c r="V40" s="311" t="s">
        <v>965</v>
      </c>
      <c r="W40" s="311" t="s">
        <v>12</v>
      </c>
      <c r="X40" s="311" t="s">
        <v>493</v>
      </c>
      <c r="Y40" s="311"/>
    </row>
    <row r="41" spans="1:25" ht="15" customHeight="1" x14ac:dyDescent="0.2">
      <c r="A41" s="273"/>
      <c r="B41" s="273" t="s">
        <v>188</v>
      </c>
      <c r="C41" s="273" t="s">
        <v>112</v>
      </c>
      <c r="D41" s="273" t="s">
        <v>112</v>
      </c>
      <c r="E41" s="269" t="s">
        <v>969</v>
      </c>
      <c r="F41" s="311" t="s">
        <v>220</v>
      </c>
      <c r="G41" s="269" t="s">
        <v>221</v>
      </c>
      <c r="H41" s="311" t="s">
        <v>703</v>
      </c>
      <c r="I41" s="302" t="s">
        <v>456</v>
      </c>
      <c r="J41" s="273" t="s">
        <v>410</v>
      </c>
      <c r="K41" s="302">
        <v>1</v>
      </c>
      <c r="L41" s="273" t="s">
        <v>269</v>
      </c>
      <c r="M41" s="274">
        <v>200000</v>
      </c>
      <c r="N41" s="275">
        <f t="shared" si="0"/>
        <v>200000</v>
      </c>
      <c r="O41" s="311">
        <v>0</v>
      </c>
      <c r="P41" s="273">
        <f t="shared" si="1"/>
        <v>0</v>
      </c>
      <c r="Q41" s="313">
        <v>0.16</v>
      </c>
      <c r="R41" s="275">
        <f t="shared" si="2"/>
        <v>32000</v>
      </c>
      <c r="S41" s="275">
        <f t="shared" si="3"/>
        <v>232000</v>
      </c>
      <c r="T41" s="275">
        <f>INDEX('Glosario Partidas'!$M$8:$M$10,MATCH(L41,'Glosario Partidas'!$L$8:$L$10,0))</f>
        <v>1</v>
      </c>
      <c r="U41" s="275">
        <f t="shared" si="4"/>
        <v>232000</v>
      </c>
      <c r="V41" s="311" t="s">
        <v>965</v>
      </c>
      <c r="W41" s="311" t="s">
        <v>12</v>
      </c>
      <c r="X41" s="311" t="s">
        <v>493</v>
      </c>
      <c r="Y41" s="311"/>
    </row>
    <row r="42" spans="1:25" ht="15" customHeight="1" x14ac:dyDescent="0.2">
      <c r="A42" s="273"/>
      <c r="B42" s="273" t="s">
        <v>188</v>
      </c>
      <c r="C42" s="273" t="s">
        <v>112</v>
      </c>
      <c r="D42" s="273" t="s">
        <v>970</v>
      </c>
      <c r="E42" s="269" t="s">
        <v>964</v>
      </c>
      <c r="F42" s="311" t="s">
        <v>220</v>
      </c>
      <c r="G42" s="269" t="s">
        <v>221</v>
      </c>
      <c r="H42" s="311" t="s">
        <v>703</v>
      </c>
      <c r="I42" s="302" t="s">
        <v>456</v>
      </c>
      <c r="J42" s="273" t="s">
        <v>410</v>
      </c>
      <c r="K42" s="302">
        <v>1</v>
      </c>
      <c r="L42" s="273" t="s">
        <v>269</v>
      </c>
      <c r="M42" s="274">
        <v>40000</v>
      </c>
      <c r="N42" s="275">
        <f t="shared" si="0"/>
        <v>40000</v>
      </c>
      <c r="O42" s="311">
        <v>0</v>
      </c>
      <c r="P42" s="273">
        <f t="shared" si="1"/>
        <v>0</v>
      </c>
      <c r="Q42" s="313">
        <v>0.16</v>
      </c>
      <c r="R42" s="275">
        <f t="shared" si="2"/>
        <v>6400</v>
      </c>
      <c r="S42" s="275">
        <f t="shared" si="3"/>
        <v>46400</v>
      </c>
      <c r="T42" s="275">
        <f>INDEX('Glosario Partidas'!$M$8:$M$10,MATCH(L42,'Glosario Partidas'!$L$8:$L$10,0))</f>
        <v>1</v>
      </c>
      <c r="U42" s="275">
        <f t="shared" si="4"/>
        <v>46400</v>
      </c>
      <c r="V42" s="311" t="s">
        <v>965</v>
      </c>
      <c r="W42" s="311" t="s">
        <v>12</v>
      </c>
      <c r="X42" s="311" t="s">
        <v>493</v>
      </c>
      <c r="Y42" s="311"/>
    </row>
    <row r="43" spans="1:25" ht="15" customHeight="1" x14ac:dyDescent="0.2">
      <c r="A43" s="273"/>
      <c r="B43" s="273" t="s">
        <v>188</v>
      </c>
      <c r="C43" s="273" t="s">
        <v>112</v>
      </c>
      <c r="D43" s="273" t="s">
        <v>970</v>
      </c>
      <c r="E43" s="269" t="s">
        <v>966</v>
      </c>
      <c r="F43" s="311" t="s">
        <v>220</v>
      </c>
      <c r="G43" s="269" t="s">
        <v>221</v>
      </c>
      <c r="H43" s="311" t="s">
        <v>703</v>
      </c>
      <c r="I43" s="302" t="s">
        <v>456</v>
      </c>
      <c r="J43" s="273" t="s">
        <v>410</v>
      </c>
      <c r="K43" s="302">
        <v>1</v>
      </c>
      <c r="L43" s="273" t="s">
        <v>269</v>
      </c>
      <c r="M43" s="274">
        <v>40000</v>
      </c>
      <c r="N43" s="275">
        <f t="shared" si="0"/>
        <v>40000</v>
      </c>
      <c r="O43" s="311">
        <v>0</v>
      </c>
      <c r="P43" s="273">
        <f t="shared" si="1"/>
        <v>0</v>
      </c>
      <c r="Q43" s="313">
        <v>0.16</v>
      </c>
      <c r="R43" s="275">
        <f t="shared" si="2"/>
        <v>6400</v>
      </c>
      <c r="S43" s="275">
        <f t="shared" si="3"/>
        <v>46400</v>
      </c>
      <c r="T43" s="275">
        <f>INDEX('Glosario Partidas'!$M$8:$M$10,MATCH(L43,'Glosario Partidas'!$L$8:$L$10,0))</f>
        <v>1</v>
      </c>
      <c r="U43" s="275">
        <f t="shared" si="4"/>
        <v>46400</v>
      </c>
      <c r="V43" s="311" t="s">
        <v>965</v>
      </c>
      <c r="W43" s="311" t="s">
        <v>12</v>
      </c>
      <c r="X43" s="311" t="s">
        <v>493</v>
      </c>
      <c r="Y43" s="311"/>
    </row>
    <row r="44" spans="1:25" ht="15" customHeight="1" x14ac:dyDescent="0.2">
      <c r="A44" s="273"/>
      <c r="B44" s="273" t="s">
        <v>188</v>
      </c>
      <c r="C44" s="273" t="s">
        <v>112</v>
      </c>
      <c r="D44" s="273" t="s">
        <v>970</v>
      </c>
      <c r="E44" s="269" t="s">
        <v>967</v>
      </c>
      <c r="F44" s="311" t="s">
        <v>220</v>
      </c>
      <c r="G44" s="269" t="s">
        <v>221</v>
      </c>
      <c r="H44" s="311" t="s">
        <v>703</v>
      </c>
      <c r="I44" s="302" t="s">
        <v>456</v>
      </c>
      <c r="J44" s="273" t="s">
        <v>410</v>
      </c>
      <c r="K44" s="302">
        <v>1</v>
      </c>
      <c r="L44" s="273" t="s">
        <v>269</v>
      </c>
      <c r="M44" s="274">
        <v>40000</v>
      </c>
      <c r="N44" s="275">
        <f t="shared" si="0"/>
        <v>40000</v>
      </c>
      <c r="O44" s="311">
        <v>0</v>
      </c>
      <c r="P44" s="273">
        <f t="shared" si="1"/>
        <v>0</v>
      </c>
      <c r="Q44" s="313">
        <v>0.16</v>
      </c>
      <c r="R44" s="275">
        <f t="shared" si="2"/>
        <v>6400</v>
      </c>
      <c r="S44" s="275">
        <f t="shared" si="3"/>
        <v>46400</v>
      </c>
      <c r="T44" s="275">
        <f>INDEX('Glosario Partidas'!$M$8:$M$10,MATCH(L44,'Glosario Partidas'!$L$8:$L$10,0))</f>
        <v>1</v>
      </c>
      <c r="U44" s="275">
        <f t="shared" si="4"/>
        <v>46400</v>
      </c>
      <c r="V44" s="311" t="s">
        <v>965</v>
      </c>
      <c r="W44" s="311" t="s">
        <v>12</v>
      </c>
      <c r="X44" s="311" t="s">
        <v>493</v>
      </c>
      <c r="Y44" s="311"/>
    </row>
    <row r="45" spans="1:25" ht="15" customHeight="1" x14ac:dyDescent="0.2">
      <c r="A45" s="273"/>
      <c r="B45" s="273" t="s">
        <v>188</v>
      </c>
      <c r="C45" s="273" t="s">
        <v>112</v>
      </c>
      <c r="D45" s="273" t="s">
        <v>970</v>
      </c>
      <c r="E45" s="269" t="s">
        <v>968</v>
      </c>
      <c r="F45" s="311" t="s">
        <v>220</v>
      </c>
      <c r="G45" s="269" t="s">
        <v>221</v>
      </c>
      <c r="H45" s="311" t="s">
        <v>703</v>
      </c>
      <c r="I45" s="302" t="s">
        <v>456</v>
      </c>
      <c r="J45" s="273" t="s">
        <v>410</v>
      </c>
      <c r="K45" s="302">
        <v>1</v>
      </c>
      <c r="L45" s="273" t="s">
        <v>269</v>
      </c>
      <c r="M45" s="274">
        <v>60000</v>
      </c>
      <c r="N45" s="275">
        <f t="shared" si="0"/>
        <v>60000</v>
      </c>
      <c r="O45" s="311">
        <v>0</v>
      </c>
      <c r="P45" s="273">
        <f t="shared" si="1"/>
        <v>0</v>
      </c>
      <c r="Q45" s="313">
        <v>0.16</v>
      </c>
      <c r="R45" s="275">
        <f t="shared" si="2"/>
        <v>9600</v>
      </c>
      <c r="S45" s="275">
        <f t="shared" si="3"/>
        <v>69600</v>
      </c>
      <c r="T45" s="275">
        <f>INDEX('Glosario Partidas'!$M$8:$M$10,MATCH(L45,'Glosario Partidas'!$L$8:$L$10,0))</f>
        <v>1</v>
      </c>
      <c r="U45" s="275">
        <f t="shared" si="4"/>
        <v>69600</v>
      </c>
      <c r="V45" s="311" t="s">
        <v>965</v>
      </c>
      <c r="W45" s="311" t="s">
        <v>12</v>
      </c>
      <c r="X45" s="311" t="s">
        <v>493</v>
      </c>
      <c r="Y45" s="311"/>
    </row>
    <row r="46" spans="1:25" ht="15" customHeight="1" x14ac:dyDescent="0.2">
      <c r="A46" s="273"/>
      <c r="B46" s="273" t="s">
        <v>188</v>
      </c>
      <c r="C46" s="273" t="s">
        <v>112</v>
      </c>
      <c r="D46" s="273" t="s">
        <v>970</v>
      </c>
      <c r="E46" s="269" t="s">
        <v>969</v>
      </c>
      <c r="F46" s="311" t="s">
        <v>220</v>
      </c>
      <c r="G46" s="269" t="s">
        <v>221</v>
      </c>
      <c r="H46" s="311" t="s">
        <v>703</v>
      </c>
      <c r="I46" s="302" t="s">
        <v>456</v>
      </c>
      <c r="J46" s="273" t="s">
        <v>410</v>
      </c>
      <c r="K46" s="302">
        <v>1</v>
      </c>
      <c r="L46" s="273" t="s">
        <v>269</v>
      </c>
      <c r="M46" s="274">
        <v>60000</v>
      </c>
      <c r="N46" s="275">
        <f t="shared" si="0"/>
        <v>60000</v>
      </c>
      <c r="O46" s="311">
        <v>0</v>
      </c>
      <c r="P46" s="273">
        <f t="shared" si="1"/>
        <v>0</v>
      </c>
      <c r="Q46" s="313">
        <v>0.16</v>
      </c>
      <c r="R46" s="275">
        <f t="shared" si="2"/>
        <v>9600</v>
      </c>
      <c r="S46" s="275">
        <f t="shared" si="3"/>
        <v>69600</v>
      </c>
      <c r="T46" s="275">
        <f>INDEX('Glosario Partidas'!$M$8:$M$10,MATCH(L46,'Glosario Partidas'!$L$8:$L$10,0))</f>
        <v>1</v>
      </c>
      <c r="U46" s="275">
        <f t="shared" si="4"/>
        <v>69600</v>
      </c>
      <c r="V46" s="311" t="s">
        <v>965</v>
      </c>
      <c r="W46" s="311" t="s">
        <v>12</v>
      </c>
      <c r="X46" s="311" t="s">
        <v>493</v>
      </c>
      <c r="Y46" s="311"/>
    </row>
    <row r="47" spans="1:25" ht="15" customHeight="1" x14ac:dyDescent="0.2">
      <c r="A47" s="273"/>
      <c r="B47" s="273" t="s">
        <v>188</v>
      </c>
      <c r="C47" s="273" t="s">
        <v>113</v>
      </c>
      <c r="D47" s="273" t="s">
        <v>971</v>
      </c>
      <c r="E47" s="269" t="s">
        <v>972</v>
      </c>
      <c r="F47" s="311" t="s">
        <v>220</v>
      </c>
      <c r="G47" s="269" t="s">
        <v>221</v>
      </c>
      <c r="H47" s="311" t="s">
        <v>703</v>
      </c>
      <c r="I47" s="302" t="s">
        <v>456</v>
      </c>
      <c r="J47" s="273" t="s">
        <v>410</v>
      </c>
      <c r="K47" s="302">
        <v>1</v>
      </c>
      <c r="L47" s="273" t="s">
        <v>269</v>
      </c>
      <c r="M47" s="274">
        <v>195000</v>
      </c>
      <c r="N47" s="275">
        <f t="shared" si="0"/>
        <v>195000</v>
      </c>
      <c r="O47" s="311">
        <v>0</v>
      </c>
      <c r="P47" s="273">
        <f t="shared" si="1"/>
        <v>0</v>
      </c>
      <c r="Q47" s="313">
        <v>0.16</v>
      </c>
      <c r="R47" s="275">
        <f t="shared" si="2"/>
        <v>31200</v>
      </c>
      <c r="S47" s="275">
        <f t="shared" si="3"/>
        <v>226200</v>
      </c>
      <c r="T47" s="275">
        <f>INDEX('Glosario Partidas'!$M$8:$M$10,MATCH(L47,'Glosario Partidas'!$L$8:$L$10,0))</f>
        <v>1</v>
      </c>
      <c r="U47" s="275">
        <f t="shared" si="4"/>
        <v>226200</v>
      </c>
      <c r="V47" s="311" t="s">
        <v>965</v>
      </c>
      <c r="W47" s="311" t="s">
        <v>12</v>
      </c>
      <c r="X47" s="311" t="s">
        <v>493</v>
      </c>
      <c r="Y47" s="311"/>
    </row>
    <row r="48" spans="1:25" ht="15" customHeight="1" x14ac:dyDescent="0.2">
      <c r="A48" s="273"/>
      <c r="B48" s="273" t="s">
        <v>188</v>
      </c>
      <c r="C48" s="273" t="s">
        <v>113</v>
      </c>
      <c r="D48" s="273" t="s">
        <v>973</v>
      </c>
      <c r="E48" s="269" t="s">
        <v>974</v>
      </c>
      <c r="F48" s="311" t="s">
        <v>220</v>
      </c>
      <c r="G48" s="269" t="s">
        <v>221</v>
      </c>
      <c r="H48" s="311" t="s">
        <v>703</v>
      </c>
      <c r="I48" s="302" t="s">
        <v>456</v>
      </c>
      <c r="J48" s="273" t="s">
        <v>410</v>
      </c>
      <c r="K48" s="302">
        <v>1</v>
      </c>
      <c r="L48" s="273" t="s">
        <v>269</v>
      </c>
      <c r="M48" s="274">
        <v>38000</v>
      </c>
      <c r="N48" s="275">
        <f t="shared" si="0"/>
        <v>38000</v>
      </c>
      <c r="O48" s="311">
        <v>0</v>
      </c>
      <c r="P48" s="273">
        <f t="shared" si="1"/>
        <v>0</v>
      </c>
      <c r="Q48" s="313">
        <v>0.16</v>
      </c>
      <c r="R48" s="275">
        <f t="shared" si="2"/>
        <v>6080</v>
      </c>
      <c r="S48" s="275">
        <f t="shared" si="3"/>
        <v>44080</v>
      </c>
      <c r="T48" s="275">
        <f>INDEX('Glosario Partidas'!$M$8:$M$10,MATCH(L48,'Glosario Partidas'!$L$8:$L$10,0))</f>
        <v>1</v>
      </c>
      <c r="U48" s="275">
        <f t="shared" si="4"/>
        <v>44080</v>
      </c>
      <c r="V48" s="311" t="s">
        <v>965</v>
      </c>
      <c r="W48" s="311" t="s">
        <v>12</v>
      </c>
      <c r="X48" s="311" t="s">
        <v>493</v>
      </c>
      <c r="Y48" s="311"/>
    </row>
    <row r="49" spans="1:25" ht="15" customHeight="1" x14ac:dyDescent="0.2">
      <c r="A49" s="273"/>
      <c r="B49" s="273" t="s">
        <v>188</v>
      </c>
      <c r="C49" s="273" t="s">
        <v>113</v>
      </c>
      <c r="D49" s="273" t="s">
        <v>973</v>
      </c>
      <c r="E49" s="269" t="s">
        <v>975</v>
      </c>
      <c r="F49" s="311" t="s">
        <v>220</v>
      </c>
      <c r="G49" s="269" t="s">
        <v>221</v>
      </c>
      <c r="H49" s="311" t="s">
        <v>703</v>
      </c>
      <c r="I49" s="302" t="s">
        <v>456</v>
      </c>
      <c r="J49" s="273" t="s">
        <v>410</v>
      </c>
      <c r="K49" s="302">
        <v>1</v>
      </c>
      <c r="L49" s="273" t="s">
        <v>269</v>
      </c>
      <c r="M49" s="274">
        <v>38000</v>
      </c>
      <c r="N49" s="275">
        <f t="shared" si="0"/>
        <v>38000</v>
      </c>
      <c r="O49" s="311">
        <v>0</v>
      </c>
      <c r="P49" s="273">
        <f t="shared" si="1"/>
        <v>0</v>
      </c>
      <c r="Q49" s="313">
        <v>0.16</v>
      </c>
      <c r="R49" s="275">
        <f t="shared" si="2"/>
        <v>6080</v>
      </c>
      <c r="S49" s="275">
        <f t="shared" si="3"/>
        <v>44080</v>
      </c>
      <c r="T49" s="275">
        <f>INDEX('Glosario Partidas'!$M$8:$M$10,MATCH(L49,'Glosario Partidas'!$L$8:$L$10,0))</f>
        <v>1</v>
      </c>
      <c r="U49" s="275">
        <f t="shared" si="4"/>
        <v>44080</v>
      </c>
      <c r="V49" s="311" t="s">
        <v>965</v>
      </c>
      <c r="W49" s="311" t="s">
        <v>12</v>
      </c>
      <c r="X49" s="311" t="s">
        <v>493</v>
      </c>
      <c r="Y49" s="311"/>
    </row>
    <row r="50" spans="1:25" ht="15" customHeight="1" x14ac:dyDescent="0.2">
      <c r="A50" s="273"/>
      <c r="B50" s="273" t="s">
        <v>188</v>
      </c>
      <c r="C50" s="273" t="s">
        <v>113</v>
      </c>
      <c r="D50" s="273" t="s">
        <v>973</v>
      </c>
      <c r="E50" s="269" t="s">
        <v>976</v>
      </c>
      <c r="F50" s="311" t="s">
        <v>220</v>
      </c>
      <c r="G50" s="269" t="s">
        <v>221</v>
      </c>
      <c r="H50" s="311" t="s">
        <v>703</v>
      </c>
      <c r="I50" s="302" t="s">
        <v>456</v>
      </c>
      <c r="J50" s="273" t="s">
        <v>410</v>
      </c>
      <c r="K50" s="302">
        <v>1</v>
      </c>
      <c r="L50" s="273" t="s">
        <v>269</v>
      </c>
      <c r="M50" s="274">
        <v>38000</v>
      </c>
      <c r="N50" s="275">
        <f t="shared" si="0"/>
        <v>38000</v>
      </c>
      <c r="O50" s="311">
        <v>0</v>
      </c>
      <c r="P50" s="273">
        <f t="shared" si="1"/>
        <v>0</v>
      </c>
      <c r="Q50" s="313">
        <v>0.16</v>
      </c>
      <c r="R50" s="275">
        <f t="shared" si="2"/>
        <v>6080</v>
      </c>
      <c r="S50" s="275">
        <f t="shared" si="3"/>
        <v>44080</v>
      </c>
      <c r="T50" s="275">
        <f>INDEX('Glosario Partidas'!$M$8:$M$10,MATCH(L50,'Glosario Partidas'!$L$8:$L$10,0))</f>
        <v>1</v>
      </c>
      <c r="U50" s="275">
        <f t="shared" si="4"/>
        <v>44080</v>
      </c>
      <c r="V50" s="311" t="s">
        <v>965</v>
      </c>
      <c r="W50" s="311" t="s">
        <v>12</v>
      </c>
      <c r="X50" s="311" t="s">
        <v>493</v>
      </c>
      <c r="Y50" s="311"/>
    </row>
    <row r="51" spans="1:25" ht="15" customHeight="1" x14ac:dyDescent="0.2">
      <c r="A51" s="273"/>
      <c r="B51" s="273" t="s">
        <v>188</v>
      </c>
      <c r="C51" s="273" t="s">
        <v>113</v>
      </c>
      <c r="D51" s="273" t="s">
        <v>977</v>
      </c>
      <c r="E51" s="269" t="s">
        <v>978</v>
      </c>
      <c r="F51" s="311" t="s">
        <v>220</v>
      </c>
      <c r="G51" s="269" t="s">
        <v>221</v>
      </c>
      <c r="H51" s="311" t="s">
        <v>703</v>
      </c>
      <c r="I51" s="302" t="s">
        <v>456</v>
      </c>
      <c r="J51" s="273" t="s">
        <v>410</v>
      </c>
      <c r="K51" s="302">
        <v>1</v>
      </c>
      <c r="L51" s="273" t="s">
        <v>269</v>
      </c>
      <c r="M51" s="274">
        <v>46000</v>
      </c>
      <c r="N51" s="275">
        <f t="shared" si="0"/>
        <v>46000</v>
      </c>
      <c r="O51" s="311">
        <v>0</v>
      </c>
      <c r="P51" s="273">
        <f t="shared" si="1"/>
        <v>0</v>
      </c>
      <c r="Q51" s="313">
        <v>0.16</v>
      </c>
      <c r="R51" s="275">
        <f t="shared" si="2"/>
        <v>7360</v>
      </c>
      <c r="S51" s="275">
        <f t="shared" si="3"/>
        <v>53360</v>
      </c>
      <c r="T51" s="275">
        <f>INDEX('Glosario Partidas'!$M$8:$M$10,MATCH(L51,'Glosario Partidas'!$L$8:$L$10,0))</f>
        <v>1</v>
      </c>
      <c r="U51" s="275">
        <f t="shared" si="4"/>
        <v>53360</v>
      </c>
      <c r="V51" s="311" t="s">
        <v>965</v>
      </c>
      <c r="W51" s="311" t="s">
        <v>12</v>
      </c>
      <c r="X51" s="311" t="s">
        <v>493</v>
      </c>
      <c r="Y51" s="311"/>
    </row>
    <row r="52" spans="1:25" ht="15" customHeight="1" x14ac:dyDescent="0.2">
      <c r="A52" s="273"/>
      <c r="B52" s="273" t="s">
        <v>188</v>
      </c>
      <c r="C52" s="273" t="s">
        <v>113</v>
      </c>
      <c r="D52" s="273" t="s">
        <v>977</v>
      </c>
      <c r="E52" s="269" t="s">
        <v>979</v>
      </c>
      <c r="F52" s="311" t="s">
        <v>220</v>
      </c>
      <c r="G52" s="269" t="s">
        <v>221</v>
      </c>
      <c r="H52" s="311" t="s">
        <v>703</v>
      </c>
      <c r="I52" s="302" t="s">
        <v>456</v>
      </c>
      <c r="J52" s="273" t="s">
        <v>410</v>
      </c>
      <c r="K52" s="302">
        <v>1</v>
      </c>
      <c r="L52" s="273" t="s">
        <v>269</v>
      </c>
      <c r="M52" s="274">
        <v>46000</v>
      </c>
      <c r="N52" s="275">
        <f t="shared" si="0"/>
        <v>46000</v>
      </c>
      <c r="O52" s="311">
        <v>0</v>
      </c>
      <c r="P52" s="273">
        <f t="shared" si="1"/>
        <v>0</v>
      </c>
      <c r="Q52" s="313">
        <v>0.16</v>
      </c>
      <c r="R52" s="275">
        <f t="shared" si="2"/>
        <v>7360</v>
      </c>
      <c r="S52" s="275">
        <f t="shared" si="3"/>
        <v>53360</v>
      </c>
      <c r="T52" s="275">
        <f>INDEX('Glosario Partidas'!$M$8:$M$10,MATCH(L52,'Glosario Partidas'!$L$8:$L$10,0))</f>
        <v>1</v>
      </c>
      <c r="U52" s="275">
        <f t="shared" si="4"/>
        <v>53360</v>
      </c>
      <c r="V52" s="311" t="s">
        <v>965</v>
      </c>
      <c r="W52" s="311" t="s">
        <v>12</v>
      </c>
      <c r="X52" s="311" t="s">
        <v>493</v>
      </c>
      <c r="Y52" s="311"/>
    </row>
    <row r="53" spans="1:25" ht="15" customHeight="1" x14ac:dyDescent="0.2">
      <c r="A53" s="273"/>
      <c r="B53" s="273" t="s">
        <v>188</v>
      </c>
      <c r="C53" s="273" t="s">
        <v>113</v>
      </c>
      <c r="D53" s="273" t="s">
        <v>977</v>
      </c>
      <c r="E53" s="269" t="s">
        <v>980</v>
      </c>
      <c r="F53" s="311" t="s">
        <v>220</v>
      </c>
      <c r="G53" s="269" t="s">
        <v>221</v>
      </c>
      <c r="H53" s="311" t="s">
        <v>703</v>
      </c>
      <c r="I53" s="302" t="s">
        <v>456</v>
      </c>
      <c r="J53" s="273" t="s">
        <v>410</v>
      </c>
      <c r="K53" s="302">
        <v>1</v>
      </c>
      <c r="L53" s="273" t="s">
        <v>269</v>
      </c>
      <c r="M53" s="274">
        <v>46000</v>
      </c>
      <c r="N53" s="275">
        <f t="shared" si="0"/>
        <v>46000</v>
      </c>
      <c r="O53" s="311">
        <v>0</v>
      </c>
      <c r="P53" s="273">
        <f t="shared" si="1"/>
        <v>0</v>
      </c>
      <c r="Q53" s="313">
        <v>0.16</v>
      </c>
      <c r="R53" s="275">
        <f t="shared" si="2"/>
        <v>7360</v>
      </c>
      <c r="S53" s="275">
        <f t="shared" si="3"/>
        <v>53360</v>
      </c>
      <c r="T53" s="275">
        <f>INDEX('Glosario Partidas'!$M$8:$M$10,MATCH(L53,'Glosario Partidas'!$L$8:$L$10,0))</f>
        <v>1</v>
      </c>
      <c r="U53" s="275">
        <f t="shared" si="4"/>
        <v>53360</v>
      </c>
      <c r="V53" s="311" t="s">
        <v>965</v>
      </c>
      <c r="W53" s="311" t="s">
        <v>12</v>
      </c>
      <c r="X53" s="311" t="s">
        <v>493</v>
      </c>
      <c r="Y53" s="311"/>
    </row>
    <row r="54" spans="1:25" ht="15" customHeight="1" x14ac:dyDescent="0.2">
      <c r="A54" s="273"/>
      <c r="B54" s="273" t="s">
        <v>188</v>
      </c>
      <c r="C54" s="273" t="s">
        <v>113</v>
      </c>
      <c r="D54" s="273" t="s">
        <v>977</v>
      </c>
      <c r="E54" s="269" t="s">
        <v>981</v>
      </c>
      <c r="F54" s="311" t="s">
        <v>220</v>
      </c>
      <c r="G54" s="269" t="s">
        <v>221</v>
      </c>
      <c r="H54" s="311" t="s">
        <v>703</v>
      </c>
      <c r="I54" s="302" t="s">
        <v>456</v>
      </c>
      <c r="J54" s="273" t="s">
        <v>410</v>
      </c>
      <c r="K54" s="302">
        <v>1</v>
      </c>
      <c r="L54" s="273" t="s">
        <v>269</v>
      </c>
      <c r="M54" s="274">
        <v>46000</v>
      </c>
      <c r="N54" s="275">
        <f t="shared" si="0"/>
        <v>46000</v>
      </c>
      <c r="O54" s="311">
        <v>0</v>
      </c>
      <c r="P54" s="273">
        <f t="shared" si="1"/>
        <v>0</v>
      </c>
      <c r="Q54" s="313">
        <v>0.16</v>
      </c>
      <c r="R54" s="275">
        <f t="shared" si="2"/>
        <v>7360</v>
      </c>
      <c r="S54" s="275">
        <f t="shared" si="3"/>
        <v>53360</v>
      </c>
      <c r="T54" s="275">
        <f>INDEX('Glosario Partidas'!$M$8:$M$10,MATCH(L54,'Glosario Partidas'!$L$8:$L$10,0))</f>
        <v>1</v>
      </c>
      <c r="U54" s="275">
        <f t="shared" si="4"/>
        <v>53360</v>
      </c>
      <c r="V54" s="311" t="s">
        <v>965</v>
      </c>
      <c r="W54" s="311" t="s">
        <v>12</v>
      </c>
      <c r="X54" s="311" t="s">
        <v>493</v>
      </c>
      <c r="Y54" s="311"/>
    </row>
    <row r="55" spans="1:25" ht="15" customHeight="1" x14ac:dyDescent="0.2">
      <c r="A55" s="273"/>
      <c r="B55" s="273" t="s">
        <v>188</v>
      </c>
      <c r="C55" s="273" t="s">
        <v>113</v>
      </c>
      <c r="D55" s="273" t="s">
        <v>977</v>
      </c>
      <c r="E55" s="269" t="s">
        <v>982</v>
      </c>
      <c r="F55" s="311" t="s">
        <v>220</v>
      </c>
      <c r="G55" s="269" t="s">
        <v>221</v>
      </c>
      <c r="H55" s="311" t="s">
        <v>703</v>
      </c>
      <c r="I55" s="302" t="s">
        <v>456</v>
      </c>
      <c r="J55" s="273" t="s">
        <v>410</v>
      </c>
      <c r="K55" s="302">
        <v>1</v>
      </c>
      <c r="L55" s="273" t="s">
        <v>269</v>
      </c>
      <c r="M55" s="274">
        <v>46000</v>
      </c>
      <c r="N55" s="275">
        <f t="shared" si="0"/>
        <v>46000</v>
      </c>
      <c r="O55" s="311">
        <v>0</v>
      </c>
      <c r="P55" s="273">
        <f t="shared" si="1"/>
        <v>0</v>
      </c>
      <c r="Q55" s="313">
        <v>0.16</v>
      </c>
      <c r="R55" s="275">
        <f t="shared" si="2"/>
        <v>7360</v>
      </c>
      <c r="S55" s="275">
        <f t="shared" si="3"/>
        <v>53360</v>
      </c>
      <c r="T55" s="275">
        <f>INDEX('Glosario Partidas'!$M$8:$M$10,MATCH(L55,'Glosario Partidas'!$L$8:$L$10,0))</f>
        <v>1</v>
      </c>
      <c r="U55" s="275">
        <f t="shared" si="4"/>
        <v>53360</v>
      </c>
      <c r="V55" s="311" t="s">
        <v>965</v>
      </c>
      <c r="W55" s="311" t="s">
        <v>12</v>
      </c>
      <c r="X55" s="311" t="s">
        <v>493</v>
      </c>
      <c r="Y55" s="311"/>
    </row>
    <row r="56" spans="1:25" ht="15" customHeight="1" x14ac:dyDescent="0.2">
      <c r="A56" s="273"/>
      <c r="B56" s="273" t="s">
        <v>188</v>
      </c>
      <c r="C56" s="273" t="s">
        <v>113</v>
      </c>
      <c r="D56" s="273" t="s">
        <v>977</v>
      </c>
      <c r="E56" s="269" t="s">
        <v>983</v>
      </c>
      <c r="F56" s="311" t="s">
        <v>220</v>
      </c>
      <c r="G56" s="269" t="s">
        <v>221</v>
      </c>
      <c r="H56" s="311" t="s">
        <v>703</v>
      </c>
      <c r="I56" s="302" t="s">
        <v>456</v>
      </c>
      <c r="J56" s="273" t="s">
        <v>410</v>
      </c>
      <c r="K56" s="302">
        <v>1</v>
      </c>
      <c r="L56" s="273" t="s">
        <v>269</v>
      </c>
      <c r="M56" s="274">
        <v>46000</v>
      </c>
      <c r="N56" s="275">
        <f t="shared" si="0"/>
        <v>46000</v>
      </c>
      <c r="O56" s="311">
        <v>0</v>
      </c>
      <c r="P56" s="273">
        <f t="shared" si="1"/>
        <v>0</v>
      </c>
      <c r="Q56" s="313">
        <v>0.16</v>
      </c>
      <c r="R56" s="275">
        <f t="shared" si="2"/>
        <v>7360</v>
      </c>
      <c r="S56" s="275">
        <f t="shared" si="3"/>
        <v>53360</v>
      </c>
      <c r="T56" s="275">
        <f>INDEX('Glosario Partidas'!$M$8:$M$10,MATCH(L56,'Glosario Partidas'!$L$8:$L$10,0))</f>
        <v>1</v>
      </c>
      <c r="U56" s="275">
        <f t="shared" si="4"/>
        <v>53360</v>
      </c>
      <c r="V56" s="311" t="s">
        <v>965</v>
      </c>
      <c r="W56" s="311" t="s">
        <v>12</v>
      </c>
      <c r="X56" s="311" t="s">
        <v>493</v>
      </c>
      <c r="Y56" s="311"/>
    </row>
    <row r="57" spans="1:25" ht="15" customHeight="1" x14ac:dyDescent="0.2">
      <c r="A57" s="273"/>
      <c r="B57" s="273" t="s">
        <v>188</v>
      </c>
      <c r="C57" s="273" t="s">
        <v>113</v>
      </c>
      <c r="D57" s="273" t="s">
        <v>984</v>
      </c>
      <c r="E57" s="269" t="s">
        <v>985</v>
      </c>
      <c r="F57" s="311" t="s">
        <v>220</v>
      </c>
      <c r="G57" s="269" t="s">
        <v>221</v>
      </c>
      <c r="H57" s="311" t="s">
        <v>703</v>
      </c>
      <c r="I57" s="302" t="s">
        <v>456</v>
      </c>
      <c r="J57" s="273" t="s">
        <v>410</v>
      </c>
      <c r="K57" s="302">
        <v>1</v>
      </c>
      <c r="L57" s="273" t="s">
        <v>269</v>
      </c>
      <c r="M57" s="274">
        <v>60000</v>
      </c>
      <c r="N57" s="275">
        <f t="shared" si="0"/>
        <v>60000</v>
      </c>
      <c r="O57" s="311">
        <v>0</v>
      </c>
      <c r="P57" s="273">
        <f t="shared" si="1"/>
        <v>0</v>
      </c>
      <c r="Q57" s="313">
        <v>0.16</v>
      </c>
      <c r="R57" s="275">
        <f t="shared" si="2"/>
        <v>9600</v>
      </c>
      <c r="S57" s="275">
        <f t="shared" si="3"/>
        <v>69600</v>
      </c>
      <c r="T57" s="275">
        <f>INDEX('Glosario Partidas'!$M$8:$M$10,MATCH(L57,'Glosario Partidas'!$L$8:$L$10,0))</f>
        <v>1</v>
      </c>
      <c r="U57" s="275">
        <f t="shared" si="4"/>
        <v>69600</v>
      </c>
      <c r="V57" s="311" t="s">
        <v>965</v>
      </c>
      <c r="W57" s="311" t="s">
        <v>12</v>
      </c>
      <c r="X57" s="311" t="s">
        <v>493</v>
      </c>
      <c r="Y57" s="311"/>
    </row>
    <row r="58" spans="1:25" ht="15" customHeight="1" x14ac:dyDescent="0.2">
      <c r="A58" s="273"/>
      <c r="B58" s="273" t="s">
        <v>188</v>
      </c>
      <c r="C58" s="273" t="s">
        <v>113</v>
      </c>
      <c r="D58" s="273" t="s">
        <v>986</v>
      </c>
      <c r="E58" s="269" t="s">
        <v>987</v>
      </c>
      <c r="F58" s="311" t="s">
        <v>220</v>
      </c>
      <c r="G58" s="269" t="s">
        <v>221</v>
      </c>
      <c r="H58" s="311" t="s">
        <v>703</v>
      </c>
      <c r="I58" s="302" t="s">
        <v>456</v>
      </c>
      <c r="J58" s="273" t="s">
        <v>410</v>
      </c>
      <c r="K58" s="302">
        <v>1</v>
      </c>
      <c r="L58" s="273" t="s">
        <v>269</v>
      </c>
      <c r="M58" s="274">
        <v>98000</v>
      </c>
      <c r="N58" s="275">
        <f t="shared" si="0"/>
        <v>98000</v>
      </c>
      <c r="O58" s="311">
        <v>0</v>
      </c>
      <c r="P58" s="273">
        <f t="shared" si="1"/>
        <v>0</v>
      </c>
      <c r="Q58" s="313">
        <v>0.16</v>
      </c>
      <c r="R58" s="275">
        <f t="shared" si="2"/>
        <v>15680</v>
      </c>
      <c r="S58" s="275">
        <f t="shared" si="3"/>
        <v>113680</v>
      </c>
      <c r="T58" s="275">
        <f>INDEX('Glosario Partidas'!$M$8:$M$10,MATCH(L58,'Glosario Partidas'!$L$8:$L$10,0))</f>
        <v>1</v>
      </c>
      <c r="U58" s="275">
        <f t="shared" si="4"/>
        <v>113680</v>
      </c>
      <c r="V58" s="311" t="s">
        <v>965</v>
      </c>
      <c r="W58" s="311" t="s">
        <v>12</v>
      </c>
      <c r="X58" s="311" t="s">
        <v>493</v>
      </c>
      <c r="Y58" s="311"/>
    </row>
    <row r="59" spans="1:25" ht="15" customHeight="1" x14ac:dyDescent="0.2">
      <c r="A59" s="273"/>
      <c r="B59" s="273" t="s">
        <v>188</v>
      </c>
      <c r="C59" s="273" t="s">
        <v>113</v>
      </c>
      <c r="D59" s="273" t="s">
        <v>986</v>
      </c>
      <c r="E59" s="269" t="s">
        <v>988</v>
      </c>
      <c r="F59" s="311" t="s">
        <v>220</v>
      </c>
      <c r="G59" s="269" t="s">
        <v>221</v>
      </c>
      <c r="H59" s="311" t="s">
        <v>703</v>
      </c>
      <c r="I59" s="302" t="s">
        <v>456</v>
      </c>
      <c r="J59" s="273" t="s">
        <v>410</v>
      </c>
      <c r="K59" s="302">
        <v>1</v>
      </c>
      <c r="L59" s="273" t="s">
        <v>269</v>
      </c>
      <c r="M59" s="274">
        <v>98000</v>
      </c>
      <c r="N59" s="275">
        <f t="shared" si="0"/>
        <v>98000</v>
      </c>
      <c r="O59" s="311">
        <v>0</v>
      </c>
      <c r="P59" s="273">
        <f t="shared" si="1"/>
        <v>0</v>
      </c>
      <c r="Q59" s="313">
        <v>0.16</v>
      </c>
      <c r="R59" s="275">
        <f t="shared" si="2"/>
        <v>15680</v>
      </c>
      <c r="S59" s="275">
        <f t="shared" si="3"/>
        <v>113680</v>
      </c>
      <c r="T59" s="275">
        <f>INDEX('Glosario Partidas'!$M$8:$M$10,MATCH(L59,'Glosario Partidas'!$L$8:$L$10,0))</f>
        <v>1</v>
      </c>
      <c r="U59" s="275">
        <f t="shared" si="4"/>
        <v>113680</v>
      </c>
      <c r="V59" s="311" t="s">
        <v>965</v>
      </c>
      <c r="W59" s="311" t="s">
        <v>12</v>
      </c>
      <c r="X59" s="311" t="s">
        <v>493</v>
      </c>
      <c r="Y59" s="311"/>
    </row>
    <row r="60" spans="1:25" ht="15" customHeight="1" x14ac:dyDescent="0.2">
      <c r="A60" s="273"/>
      <c r="B60" s="273" t="s">
        <v>188</v>
      </c>
      <c r="C60" s="273" t="s">
        <v>113</v>
      </c>
      <c r="D60" s="273" t="s">
        <v>984</v>
      </c>
      <c r="E60" s="269" t="s">
        <v>989</v>
      </c>
      <c r="F60" s="311" t="s">
        <v>220</v>
      </c>
      <c r="G60" s="269" t="s">
        <v>221</v>
      </c>
      <c r="H60" s="311" t="s">
        <v>703</v>
      </c>
      <c r="I60" s="302" t="s">
        <v>456</v>
      </c>
      <c r="J60" s="273" t="s">
        <v>410</v>
      </c>
      <c r="K60" s="302">
        <v>1</v>
      </c>
      <c r="L60" s="273" t="s">
        <v>269</v>
      </c>
      <c r="M60" s="274">
        <v>60000</v>
      </c>
      <c r="N60" s="275">
        <f t="shared" si="0"/>
        <v>60000</v>
      </c>
      <c r="O60" s="311">
        <v>0</v>
      </c>
      <c r="P60" s="273">
        <f t="shared" si="1"/>
        <v>0</v>
      </c>
      <c r="Q60" s="313">
        <v>0.16</v>
      </c>
      <c r="R60" s="275">
        <f t="shared" si="2"/>
        <v>9600</v>
      </c>
      <c r="S60" s="275">
        <f t="shared" si="3"/>
        <v>69600</v>
      </c>
      <c r="T60" s="275">
        <f>INDEX('Glosario Partidas'!$M$8:$M$10,MATCH(L60,'Glosario Partidas'!$L$8:$L$10,0))</f>
        <v>1</v>
      </c>
      <c r="U60" s="275">
        <f t="shared" si="4"/>
        <v>69600</v>
      </c>
      <c r="V60" s="311" t="s">
        <v>965</v>
      </c>
      <c r="W60" s="311" t="s">
        <v>12</v>
      </c>
      <c r="X60" s="311" t="s">
        <v>493</v>
      </c>
      <c r="Y60" s="311"/>
    </row>
    <row r="61" spans="1:25" ht="15" customHeight="1" x14ac:dyDescent="0.2">
      <c r="A61" s="273"/>
      <c r="B61" s="273" t="s">
        <v>188</v>
      </c>
      <c r="C61" s="273" t="s">
        <v>113</v>
      </c>
      <c r="D61" s="273" t="s">
        <v>986</v>
      </c>
      <c r="E61" s="269" t="s">
        <v>990</v>
      </c>
      <c r="F61" s="311" t="s">
        <v>220</v>
      </c>
      <c r="G61" s="269" t="s">
        <v>221</v>
      </c>
      <c r="H61" s="311" t="s">
        <v>703</v>
      </c>
      <c r="I61" s="302" t="s">
        <v>456</v>
      </c>
      <c r="J61" s="273" t="s">
        <v>410</v>
      </c>
      <c r="K61" s="302">
        <v>1</v>
      </c>
      <c r="L61" s="273" t="s">
        <v>269</v>
      </c>
      <c r="M61" s="274">
        <v>98000</v>
      </c>
      <c r="N61" s="275">
        <f t="shared" si="0"/>
        <v>98000</v>
      </c>
      <c r="O61" s="311">
        <v>0</v>
      </c>
      <c r="P61" s="273">
        <f t="shared" si="1"/>
        <v>0</v>
      </c>
      <c r="Q61" s="313">
        <v>0.16</v>
      </c>
      <c r="R61" s="275">
        <f t="shared" si="2"/>
        <v>15680</v>
      </c>
      <c r="S61" s="275">
        <f t="shared" si="3"/>
        <v>113680</v>
      </c>
      <c r="T61" s="275">
        <f>INDEX('Glosario Partidas'!$M$8:$M$10,MATCH(L61,'Glosario Partidas'!$L$8:$L$10,0))</f>
        <v>1</v>
      </c>
      <c r="U61" s="275">
        <f t="shared" si="4"/>
        <v>113680</v>
      </c>
      <c r="V61" s="311" t="s">
        <v>965</v>
      </c>
      <c r="W61" s="311" t="s">
        <v>12</v>
      </c>
      <c r="X61" s="311" t="s">
        <v>493</v>
      </c>
      <c r="Y61" s="311"/>
    </row>
    <row r="62" spans="1:25" ht="15" customHeight="1" x14ac:dyDescent="0.2">
      <c r="A62" s="273"/>
      <c r="B62" s="273" t="s">
        <v>188</v>
      </c>
      <c r="C62" s="273" t="s">
        <v>113</v>
      </c>
      <c r="D62" s="273" t="s">
        <v>986</v>
      </c>
      <c r="E62" s="269" t="s">
        <v>991</v>
      </c>
      <c r="F62" s="311" t="s">
        <v>220</v>
      </c>
      <c r="G62" s="269" t="s">
        <v>221</v>
      </c>
      <c r="H62" s="311" t="s">
        <v>703</v>
      </c>
      <c r="I62" s="302" t="s">
        <v>456</v>
      </c>
      <c r="J62" s="273" t="s">
        <v>410</v>
      </c>
      <c r="K62" s="302">
        <v>1</v>
      </c>
      <c r="L62" s="273" t="s">
        <v>269</v>
      </c>
      <c r="M62" s="274">
        <v>98000</v>
      </c>
      <c r="N62" s="275">
        <f t="shared" si="0"/>
        <v>98000</v>
      </c>
      <c r="O62" s="311">
        <v>0</v>
      </c>
      <c r="P62" s="273">
        <f t="shared" si="1"/>
        <v>0</v>
      </c>
      <c r="Q62" s="313">
        <v>0.16</v>
      </c>
      <c r="R62" s="275">
        <f t="shared" si="2"/>
        <v>15680</v>
      </c>
      <c r="S62" s="275">
        <f t="shared" si="3"/>
        <v>113680</v>
      </c>
      <c r="T62" s="275">
        <f>INDEX('Glosario Partidas'!$M$8:$M$10,MATCH(L62,'Glosario Partidas'!$L$8:$L$10,0))</f>
        <v>1</v>
      </c>
      <c r="U62" s="275">
        <f t="shared" si="4"/>
        <v>113680</v>
      </c>
      <c r="V62" s="311" t="s">
        <v>965</v>
      </c>
      <c r="W62" s="311" t="s">
        <v>12</v>
      </c>
      <c r="X62" s="311" t="s">
        <v>493</v>
      </c>
      <c r="Y62" s="311"/>
    </row>
    <row r="63" spans="1:25" ht="15" customHeight="1" x14ac:dyDescent="0.2">
      <c r="A63" s="273"/>
      <c r="B63" s="273" t="s">
        <v>188</v>
      </c>
      <c r="C63" s="273" t="s">
        <v>113</v>
      </c>
      <c r="D63" s="273" t="s">
        <v>992</v>
      </c>
      <c r="E63" s="269" t="s">
        <v>993</v>
      </c>
      <c r="F63" s="311" t="s">
        <v>220</v>
      </c>
      <c r="G63" s="269" t="s">
        <v>221</v>
      </c>
      <c r="H63" s="311" t="s">
        <v>703</v>
      </c>
      <c r="I63" s="302" t="s">
        <v>456</v>
      </c>
      <c r="J63" s="273" t="s">
        <v>410</v>
      </c>
      <c r="K63" s="302">
        <v>16</v>
      </c>
      <c r="L63" s="273" t="s">
        <v>269</v>
      </c>
      <c r="M63" s="274">
        <v>12000</v>
      </c>
      <c r="N63" s="275">
        <f t="shared" si="0"/>
        <v>192000</v>
      </c>
      <c r="O63" s="311">
        <v>0</v>
      </c>
      <c r="P63" s="273">
        <f t="shared" si="1"/>
        <v>0</v>
      </c>
      <c r="Q63" s="313">
        <v>0.16</v>
      </c>
      <c r="R63" s="275">
        <f t="shared" si="2"/>
        <v>30720</v>
      </c>
      <c r="S63" s="275">
        <f t="shared" si="3"/>
        <v>222720</v>
      </c>
      <c r="T63" s="275">
        <f>INDEX('Glosario Partidas'!$M$8:$M$10,MATCH(L63,'Glosario Partidas'!$L$8:$L$10,0))</f>
        <v>1</v>
      </c>
      <c r="U63" s="275">
        <f t="shared" si="4"/>
        <v>222720</v>
      </c>
      <c r="V63" s="311" t="s">
        <v>965</v>
      </c>
      <c r="W63" s="311" t="s">
        <v>12</v>
      </c>
      <c r="X63" s="311" t="s">
        <v>493</v>
      </c>
      <c r="Y63" s="311"/>
    </row>
    <row r="64" spans="1:25" ht="15" customHeight="1" x14ac:dyDescent="0.2">
      <c r="A64" s="273"/>
      <c r="B64" s="273" t="s">
        <v>188</v>
      </c>
      <c r="C64" s="273" t="s">
        <v>114</v>
      </c>
      <c r="D64" s="273" t="s">
        <v>994</v>
      </c>
      <c r="E64" s="269" t="s">
        <v>995</v>
      </c>
      <c r="F64" s="311" t="s">
        <v>220</v>
      </c>
      <c r="G64" s="269" t="s">
        <v>221</v>
      </c>
      <c r="H64" s="311" t="s">
        <v>703</v>
      </c>
      <c r="I64" s="302" t="s">
        <v>456</v>
      </c>
      <c r="J64" s="273" t="s">
        <v>410</v>
      </c>
      <c r="K64" s="302">
        <v>1</v>
      </c>
      <c r="L64" s="273" t="s">
        <v>269</v>
      </c>
      <c r="M64" s="274">
        <v>240000</v>
      </c>
      <c r="N64" s="275">
        <f t="shared" si="0"/>
        <v>240000</v>
      </c>
      <c r="O64" s="311">
        <v>0</v>
      </c>
      <c r="P64" s="273">
        <f t="shared" si="1"/>
        <v>0</v>
      </c>
      <c r="Q64" s="313">
        <v>0.16</v>
      </c>
      <c r="R64" s="275">
        <f t="shared" si="2"/>
        <v>38400</v>
      </c>
      <c r="S64" s="275">
        <f t="shared" si="3"/>
        <v>278400</v>
      </c>
      <c r="T64" s="275">
        <f>INDEX('Glosario Partidas'!$M$8:$M$10,MATCH(L64,'Glosario Partidas'!$L$8:$L$10,0))</f>
        <v>1</v>
      </c>
      <c r="U64" s="275">
        <f t="shared" si="4"/>
        <v>278400</v>
      </c>
      <c r="V64" s="311" t="s">
        <v>965</v>
      </c>
      <c r="W64" s="311" t="s">
        <v>12</v>
      </c>
      <c r="X64" s="311" t="s">
        <v>493</v>
      </c>
      <c r="Y64" s="311"/>
    </row>
    <row r="65" spans="1:25" ht="15" customHeight="1" x14ac:dyDescent="0.2">
      <c r="A65" s="273"/>
      <c r="B65" s="273" t="s">
        <v>188</v>
      </c>
      <c r="C65" s="273" t="s">
        <v>114</v>
      </c>
      <c r="D65" s="273" t="s">
        <v>994</v>
      </c>
      <c r="E65" s="269" t="s">
        <v>996</v>
      </c>
      <c r="F65" s="311" t="s">
        <v>220</v>
      </c>
      <c r="G65" s="269" t="s">
        <v>221</v>
      </c>
      <c r="H65" s="311" t="s">
        <v>703</v>
      </c>
      <c r="I65" s="302" t="s">
        <v>456</v>
      </c>
      <c r="J65" s="273" t="s">
        <v>410</v>
      </c>
      <c r="K65" s="302">
        <v>1</v>
      </c>
      <c r="L65" s="273" t="s">
        <v>269</v>
      </c>
      <c r="M65" s="274">
        <v>240000</v>
      </c>
      <c r="N65" s="275">
        <f t="shared" si="0"/>
        <v>240000</v>
      </c>
      <c r="O65" s="311">
        <v>0</v>
      </c>
      <c r="P65" s="273">
        <f t="shared" si="1"/>
        <v>0</v>
      </c>
      <c r="Q65" s="313">
        <v>0.16</v>
      </c>
      <c r="R65" s="275">
        <f t="shared" si="2"/>
        <v>38400</v>
      </c>
      <c r="S65" s="275">
        <f t="shared" si="3"/>
        <v>278400</v>
      </c>
      <c r="T65" s="275">
        <f>INDEX('Glosario Partidas'!$M$8:$M$10,MATCH(L65,'Glosario Partidas'!$L$8:$L$10,0))</f>
        <v>1</v>
      </c>
      <c r="U65" s="275">
        <f t="shared" si="4"/>
        <v>278400</v>
      </c>
      <c r="V65" s="311" t="s">
        <v>965</v>
      </c>
      <c r="W65" s="311" t="s">
        <v>12</v>
      </c>
      <c r="X65" s="311" t="s">
        <v>493</v>
      </c>
      <c r="Y65" s="311"/>
    </row>
    <row r="66" spans="1:25" ht="15" customHeight="1" x14ac:dyDescent="0.2">
      <c r="A66" s="273"/>
      <c r="B66" s="273" t="s">
        <v>188</v>
      </c>
      <c r="C66" s="273" t="s">
        <v>114</v>
      </c>
      <c r="D66" s="273" t="s">
        <v>997</v>
      </c>
      <c r="E66" s="269" t="s">
        <v>998</v>
      </c>
      <c r="F66" s="311" t="s">
        <v>220</v>
      </c>
      <c r="G66" s="269" t="s">
        <v>221</v>
      </c>
      <c r="H66" s="311" t="s">
        <v>703</v>
      </c>
      <c r="I66" s="302" t="s">
        <v>456</v>
      </c>
      <c r="J66" s="273" t="s">
        <v>410</v>
      </c>
      <c r="K66" s="302">
        <v>1</v>
      </c>
      <c r="L66" s="273" t="s">
        <v>269</v>
      </c>
      <c r="M66" s="274">
        <v>550000</v>
      </c>
      <c r="N66" s="275">
        <f t="shared" ref="N66:N129" si="5">K66*M66</f>
        <v>550000</v>
      </c>
      <c r="O66" s="311">
        <v>0</v>
      </c>
      <c r="P66" s="273">
        <f t="shared" ref="P66:P129" si="6">N66*O66</f>
        <v>0</v>
      </c>
      <c r="Q66" s="313">
        <v>0.16</v>
      </c>
      <c r="R66" s="275">
        <f t="shared" ref="R66:R129" si="7">(N66+P66)*Q66</f>
        <v>88000</v>
      </c>
      <c r="S66" s="275">
        <f t="shared" ref="S66:S129" si="8">N66+P66+R66</f>
        <v>638000</v>
      </c>
      <c r="T66" s="275">
        <f>INDEX('Glosario Partidas'!$M$8:$M$10,MATCH(L66,'Glosario Partidas'!$L$8:$L$10,0))</f>
        <v>1</v>
      </c>
      <c r="U66" s="275">
        <f t="shared" ref="U66:U129" si="9">S66*T66</f>
        <v>638000</v>
      </c>
      <c r="V66" s="311" t="s">
        <v>965</v>
      </c>
      <c r="W66" s="311" t="s">
        <v>12</v>
      </c>
      <c r="X66" s="311" t="s">
        <v>493</v>
      </c>
      <c r="Y66" s="311"/>
    </row>
    <row r="67" spans="1:25" ht="15" customHeight="1" x14ac:dyDescent="0.2">
      <c r="A67" s="273"/>
      <c r="B67" s="273" t="s">
        <v>188</v>
      </c>
      <c r="C67" s="273" t="s">
        <v>114</v>
      </c>
      <c r="D67" s="273" t="s">
        <v>999</v>
      </c>
      <c r="E67" s="269" t="s">
        <v>1000</v>
      </c>
      <c r="F67" s="311" t="s">
        <v>220</v>
      </c>
      <c r="G67" s="269" t="s">
        <v>221</v>
      </c>
      <c r="H67" s="311" t="s">
        <v>703</v>
      </c>
      <c r="I67" s="302" t="s">
        <v>456</v>
      </c>
      <c r="J67" s="273" t="s">
        <v>410</v>
      </c>
      <c r="K67" s="302">
        <v>1</v>
      </c>
      <c r="L67" s="273" t="s">
        <v>269</v>
      </c>
      <c r="M67" s="274">
        <v>360000</v>
      </c>
      <c r="N67" s="275">
        <f t="shared" si="5"/>
        <v>360000</v>
      </c>
      <c r="O67" s="311">
        <v>0</v>
      </c>
      <c r="P67" s="273">
        <f t="shared" si="6"/>
        <v>0</v>
      </c>
      <c r="Q67" s="313">
        <v>0.16</v>
      </c>
      <c r="R67" s="275">
        <f t="shared" si="7"/>
        <v>57600</v>
      </c>
      <c r="S67" s="275">
        <f t="shared" si="8"/>
        <v>417600</v>
      </c>
      <c r="T67" s="275">
        <f>INDEX('Glosario Partidas'!$M$8:$M$10,MATCH(L67,'Glosario Partidas'!$L$8:$L$10,0))</f>
        <v>1</v>
      </c>
      <c r="U67" s="275">
        <f t="shared" si="9"/>
        <v>417600</v>
      </c>
      <c r="V67" s="311" t="s">
        <v>965</v>
      </c>
      <c r="W67" s="311" t="s">
        <v>12</v>
      </c>
      <c r="X67" s="311" t="s">
        <v>493</v>
      </c>
      <c r="Y67" s="311"/>
    </row>
    <row r="68" spans="1:25" ht="15" customHeight="1" x14ac:dyDescent="0.2">
      <c r="A68" s="273"/>
      <c r="B68" s="273" t="s">
        <v>188</v>
      </c>
      <c r="C68" s="273" t="s">
        <v>114</v>
      </c>
      <c r="D68" s="273" t="s">
        <v>1001</v>
      </c>
      <c r="E68" s="269" t="s">
        <v>1002</v>
      </c>
      <c r="F68" s="311" t="s">
        <v>220</v>
      </c>
      <c r="G68" s="269" t="s">
        <v>221</v>
      </c>
      <c r="H68" s="311" t="s">
        <v>703</v>
      </c>
      <c r="I68" s="302" t="s">
        <v>456</v>
      </c>
      <c r="J68" s="273" t="s">
        <v>410</v>
      </c>
      <c r="K68" s="302">
        <v>1</v>
      </c>
      <c r="L68" s="273" t="s">
        <v>269</v>
      </c>
      <c r="M68" s="274">
        <v>240000</v>
      </c>
      <c r="N68" s="275">
        <f t="shared" si="5"/>
        <v>240000</v>
      </c>
      <c r="O68" s="311">
        <v>0</v>
      </c>
      <c r="P68" s="273">
        <f t="shared" si="6"/>
        <v>0</v>
      </c>
      <c r="Q68" s="313">
        <v>0.16</v>
      </c>
      <c r="R68" s="275">
        <f t="shared" si="7"/>
        <v>38400</v>
      </c>
      <c r="S68" s="275">
        <f t="shared" si="8"/>
        <v>278400</v>
      </c>
      <c r="T68" s="275">
        <f>INDEX('Glosario Partidas'!$M$8:$M$10,MATCH(L68,'Glosario Partidas'!$L$8:$L$10,0))</f>
        <v>1</v>
      </c>
      <c r="U68" s="275">
        <f t="shared" si="9"/>
        <v>278400</v>
      </c>
      <c r="V68" s="311" t="s">
        <v>965</v>
      </c>
      <c r="W68" s="311" t="s">
        <v>12</v>
      </c>
      <c r="X68" s="311" t="s">
        <v>493</v>
      </c>
      <c r="Y68" s="311"/>
    </row>
    <row r="69" spans="1:25" ht="15" customHeight="1" x14ac:dyDescent="0.2">
      <c r="A69" s="273"/>
      <c r="B69" s="273" t="s">
        <v>188</v>
      </c>
      <c r="C69" s="273" t="s">
        <v>117</v>
      </c>
      <c r="D69" s="273" t="s">
        <v>117</v>
      </c>
      <c r="E69" s="269" t="s">
        <v>481</v>
      </c>
      <c r="F69" s="311" t="s">
        <v>220</v>
      </c>
      <c r="G69" s="269" t="s">
        <v>221</v>
      </c>
      <c r="H69" s="311" t="s">
        <v>703</v>
      </c>
      <c r="I69" s="315" t="s">
        <v>293</v>
      </c>
      <c r="J69" s="211" t="s">
        <v>410</v>
      </c>
      <c r="K69" s="315">
        <v>2</v>
      </c>
      <c r="L69" s="225" t="s">
        <v>269</v>
      </c>
      <c r="M69" s="316">
        <v>80000</v>
      </c>
      <c r="N69" s="310">
        <f t="shared" si="5"/>
        <v>160000</v>
      </c>
      <c r="O69" s="317">
        <v>0</v>
      </c>
      <c r="P69" s="318">
        <f t="shared" si="6"/>
        <v>0</v>
      </c>
      <c r="Q69" s="317">
        <v>0.16</v>
      </c>
      <c r="R69" s="310">
        <f t="shared" si="7"/>
        <v>25600</v>
      </c>
      <c r="S69" s="310">
        <f t="shared" si="8"/>
        <v>185600</v>
      </c>
      <c r="T69" s="229">
        <f>INDEX('Glosario Partidas'!$M$8:$M$10,MATCH(L69,'Glosario Partidas'!$L$8:$L$10,0))</f>
        <v>1</v>
      </c>
      <c r="U69" s="310">
        <f t="shared" si="9"/>
        <v>185600</v>
      </c>
      <c r="V69" s="307" t="s">
        <v>405</v>
      </c>
      <c r="W69" s="249" t="s">
        <v>13</v>
      </c>
      <c r="X69" s="311" t="s">
        <v>491</v>
      </c>
      <c r="Y69" s="311"/>
    </row>
    <row r="70" spans="1:25" ht="15" customHeight="1" x14ac:dyDescent="0.2">
      <c r="A70" s="273"/>
      <c r="B70" s="273" t="s">
        <v>188</v>
      </c>
      <c r="C70" s="273" t="s">
        <v>115</v>
      </c>
      <c r="D70" s="273" t="s">
        <v>1003</v>
      </c>
      <c r="E70" s="269" t="s">
        <v>1004</v>
      </c>
      <c r="F70" s="311" t="s">
        <v>220</v>
      </c>
      <c r="G70" s="269" t="s">
        <v>221</v>
      </c>
      <c r="H70" s="311" t="s">
        <v>703</v>
      </c>
      <c r="I70" s="302" t="s">
        <v>456</v>
      </c>
      <c r="J70" s="273" t="s">
        <v>410</v>
      </c>
      <c r="K70" s="302">
        <v>1</v>
      </c>
      <c r="L70" s="273" t="s">
        <v>269</v>
      </c>
      <c r="M70" s="274">
        <v>50000</v>
      </c>
      <c r="N70" s="275">
        <f t="shared" si="5"/>
        <v>50000</v>
      </c>
      <c r="O70" s="311">
        <v>0</v>
      </c>
      <c r="P70" s="273">
        <f t="shared" si="6"/>
        <v>0</v>
      </c>
      <c r="Q70" s="313">
        <v>0.16</v>
      </c>
      <c r="R70" s="275">
        <f t="shared" si="7"/>
        <v>8000</v>
      </c>
      <c r="S70" s="275">
        <f t="shared" si="8"/>
        <v>58000</v>
      </c>
      <c r="T70" s="275">
        <f>INDEX('Glosario Partidas'!$M$8:$M$10,MATCH(L70,'Glosario Partidas'!$L$8:$L$10,0))</f>
        <v>1</v>
      </c>
      <c r="U70" s="275">
        <f t="shared" si="9"/>
        <v>58000</v>
      </c>
      <c r="V70" s="311" t="s">
        <v>1005</v>
      </c>
      <c r="W70" s="311" t="s">
        <v>12</v>
      </c>
      <c r="X70" s="311" t="s">
        <v>493</v>
      </c>
      <c r="Y70" s="311"/>
    </row>
    <row r="71" spans="1:25" ht="15" customHeight="1" x14ac:dyDescent="0.2">
      <c r="A71" s="273"/>
      <c r="B71" s="273" t="s">
        <v>188</v>
      </c>
      <c r="C71" s="273" t="s">
        <v>116</v>
      </c>
      <c r="D71" s="273" t="s">
        <v>116</v>
      </c>
      <c r="E71" s="269" t="s">
        <v>1006</v>
      </c>
      <c r="F71" s="311" t="s">
        <v>220</v>
      </c>
      <c r="G71" s="269" t="s">
        <v>221</v>
      </c>
      <c r="H71" s="311" t="s">
        <v>703</v>
      </c>
      <c r="I71" s="302" t="s">
        <v>604</v>
      </c>
      <c r="J71" s="273" t="s">
        <v>207</v>
      </c>
      <c r="K71" s="302">
        <v>1</v>
      </c>
      <c r="L71" s="273" t="s">
        <v>269</v>
      </c>
      <c r="M71" s="274">
        <f>4120597/8</f>
        <v>515074.625</v>
      </c>
      <c r="N71" s="275">
        <f t="shared" si="5"/>
        <v>515074.625</v>
      </c>
      <c r="O71" s="311">
        <v>0</v>
      </c>
      <c r="P71" s="273">
        <f t="shared" si="6"/>
        <v>0</v>
      </c>
      <c r="Q71" s="313">
        <v>0.16</v>
      </c>
      <c r="R71" s="275">
        <f t="shared" si="7"/>
        <v>82411.94</v>
      </c>
      <c r="S71" s="275">
        <f t="shared" si="8"/>
        <v>597486.56499999994</v>
      </c>
      <c r="T71" s="275">
        <f>INDEX('Glosario Partidas'!$M$8:$M$10,MATCH(L71,'Glosario Partidas'!$L$8:$L$10,0))</f>
        <v>1</v>
      </c>
      <c r="U71" s="275">
        <f t="shared" si="9"/>
        <v>597486.56499999994</v>
      </c>
      <c r="V71" s="311" t="s">
        <v>1007</v>
      </c>
      <c r="W71" s="311" t="s">
        <v>12</v>
      </c>
      <c r="X71" s="311" t="s">
        <v>491</v>
      </c>
      <c r="Y71" s="311"/>
    </row>
    <row r="72" spans="1:25" ht="15" customHeight="1" x14ac:dyDescent="0.2">
      <c r="A72" s="273"/>
      <c r="B72" s="273" t="s">
        <v>188</v>
      </c>
      <c r="C72" s="273" t="s">
        <v>112</v>
      </c>
      <c r="D72" s="273" t="s">
        <v>112</v>
      </c>
      <c r="E72" s="269" t="s">
        <v>964</v>
      </c>
      <c r="F72" s="311" t="s">
        <v>220</v>
      </c>
      <c r="G72" s="269" t="s">
        <v>705</v>
      </c>
      <c r="H72" s="311" t="s">
        <v>1008</v>
      </c>
      <c r="I72" s="302" t="s">
        <v>456</v>
      </c>
      <c r="J72" s="273" t="s">
        <v>410</v>
      </c>
      <c r="K72" s="302">
        <v>1</v>
      </c>
      <c r="L72" s="273" t="s">
        <v>269</v>
      </c>
      <c r="M72" s="274">
        <v>150000</v>
      </c>
      <c r="N72" s="275">
        <f t="shared" si="5"/>
        <v>150000</v>
      </c>
      <c r="O72" s="311">
        <v>0</v>
      </c>
      <c r="P72" s="273">
        <f t="shared" si="6"/>
        <v>0</v>
      </c>
      <c r="Q72" s="313">
        <v>0.16</v>
      </c>
      <c r="R72" s="275">
        <f t="shared" si="7"/>
        <v>24000</v>
      </c>
      <c r="S72" s="275">
        <f t="shared" si="8"/>
        <v>174000</v>
      </c>
      <c r="T72" s="275">
        <f>INDEX('Glosario Partidas'!$M$8:$M$10,MATCH(L72,'Glosario Partidas'!$L$8:$L$10,0))</f>
        <v>1</v>
      </c>
      <c r="U72" s="275">
        <f t="shared" si="9"/>
        <v>174000</v>
      </c>
      <c r="V72" s="311" t="s">
        <v>965</v>
      </c>
      <c r="W72" s="311" t="s">
        <v>12</v>
      </c>
      <c r="X72" s="311" t="s">
        <v>493</v>
      </c>
      <c r="Y72" s="311"/>
    </row>
    <row r="73" spans="1:25" ht="15" customHeight="1" x14ac:dyDescent="0.2">
      <c r="A73" s="273"/>
      <c r="B73" s="273" t="s">
        <v>188</v>
      </c>
      <c r="C73" s="273" t="s">
        <v>112</v>
      </c>
      <c r="D73" s="273" t="s">
        <v>112</v>
      </c>
      <c r="E73" s="269" t="s">
        <v>966</v>
      </c>
      <c r="F73" s="311" t="s">
        <v>220</v>
      </c>
      <c r="G73" s="269" t="s">
        <v>705</v>
      </c>
      <c r="H73" s="311" t="s">
        <v>1008</v>
      </c>
      <c r="I73" s="302" t="s">
        <v>456</v>
      </c>
      <c r="J73" s="273" t="s">
        <v>410</v>
      </c>
      <c r="K73" s="302">
        <v>1</v>
      </c>
      <c r="L73" s="273" t="s">
        <v>269</v>
      </c>
      <c r="M73" s="274">
        <v>150000</v>
      </c>
      <c r="N73" s="275">
        <f t="shared" si="5"/>
        <v>150000</v>
      </c>
      <c r="O73" s="311">
        <v>0</v>
      </c>
      <c r="P73" s="273">
        <f t="shared" si="6"/>
        <v>0</v>
      </c>
      <c r="Q73" s="313">
        <v>0.16</v>
      </c>
      <c r="R73" s="275">
        <f t="shared" si="7"/>
        <v>24000</v>
      </c>
      <c r="S73" s="275">
        <f t="shared" si="8"/>
        <v>174000</v>
      </c>
      <c r="T73" s="275">
        <f>INDEX('Glosario Partidas'!$M$8:$M$10,MATCH(L73,'Glosario Partidas'!$L$8:$L$10,0))</f>
        <v>1</v>
      </c>
      <c r="U73" s="275">
        <f t="shared" si="9"/>
        <v>174000</v>
      </c>
      <c r="V73" s="311" t="s">
        <v>965</v>
      </c>
      <c r="W73" s="311" t="s">
        <v>12</v>
      </c>
      <c r="X73" s="311" t="s">
        <v>493</v>
      </c>
      <c r="Y73" s="311"/>
    </row>
    <row r="74" spans="1:25" ht="15" customHeight="1" x14ac:dyDescent="0.2">
      <c r="A74" s="273"/>
      <c r="B74" s="273" t="s">
        <v>188</v>
      </c>
      <c r="C74" s="273" t="s">
        <v>112</v>
      </c>
      <c r="D74" s="273" t="s">
        <v>112</v>
      </c>
      <c r="E74" s="269" t="s">
        <v>967</v>
      </c>
      <c r="F74" s="311" t="s">
        <v>220</v>
      </c>
      <c r="G74" s="269" t="s">
        <v>705</v>
      </c>
      <c r="H74" s="311" t="s">
        <v>1008</v>
      </c>
      <c r="I74" s="302" t="s">
        <v>456</v>
      </c>
      <c r="J74" s="273" t="s">
        <v>410</v>
      </c>
      <c r="K74" s="302">
        <v>1</v>
      </c>
      <c r="L74" s="273" t="s">
        <v>269</v>
      </c>
      <c r="M74" s="274">
        <v>150000</v>
      </c>
      <c r="N74" s="275">
        <f t="shared" si="5"/>
        <v>150000</v>
      </c>
      <c r="O74" s="311">
        <v>0</v>
      </c>
      <c r="P74" s="273">
        <f t="shared" si="6"/>
        <v>0</v>
      </c>
      <c r="Q74" s="313">
        <v>0.16</v>
      </c>
      <c r="R74" s="275">
        <f t="shared" si="7"/>
        <v>24000</v>
      </c>
      <c r="S74" s="275">
        <f t="shared" si="8"/>
        <v>174000</v>
      </c>
      <c r="T74" s="275">
        <f>INDEX('Glosario Partidas'!$M$8:$M$10,MATCH(L74,'Glosario Partidas'!$L$8:$L$10,0))</f>
        <v>1</v>
      </c>
      <c r="U74" s="275">
        <f t="shared" si="9"/>
        <v>174000</v>
      </c>
      <c r="V74" s="311" t="s">
        <v>965</v>
      </c>
      <c r="W74" s="311" t="s">
        <v>12</v>
      </c>
      <c r="X74" s="311" t="s">
        <v>493</v>
      </c>
      <c r="Y74" s="311"/>
    </row>
    <row r="75" spans="1:25" ht="15" customHeight="1" x14ac:dyDescent="0.2">
      <c r="A75" s="273"/>
      <c r="B75" s="273" t="s">
        <v>188</v>
      </c>
      <c r="C75" s="273" t="s">
        <v>112</v>
      </c>
      <c r="D75" s="273" t="s">
        <v>112</v>
      </c>
      <c r="E75" s="269" t="s">
        <v>968</v>
      </c>
      <c r="F75" s="311" t="s">
        <v>220</v>
      </c>
      <c r="G75" s="269" t="s">
        <v>705</v>
      </c>
      <c r="H75" s="311" t="s">
        <v>1008</v>
      </c>
      <c r="I75" s="302" t="s">
        <v>456</v>
      </c>
      <c r="J75" s="273" t="s">
        <v>410</v>
      </c>
      <c r="K75" s="302">
        <v>1</v>
      </c>
      <c r="L75" s="273" t="s">
        <v>269</v>
      </c>
      <c r="M75" s="274">
        <v>200000</v>
      </c>
      <c r="N75" s="275">
        <f t="shared" si="5"/>
        <v>200000</v>
      </c>
      <c r="O75" s="311">
        <v>0</v>
      </c>
      <c r="P75" s="273">
        <f t="shared" si="6"/>
        <v>0</v>
      </c>
      <c r="Q75" s="313">
        <v>0.16</v>
      </c>
      <c r="R75" s="275">
        <f t="shared" si="7"/>
        <v>32000</v>
      </c>
      <c r="S75" s="275">
        <f t="shared" si="8"/>
        <v>232000</v>
      </c>
      <c r="T75" s="275">
        <f>INDEX('Glosario Partidas'!$M$8:$M$10,MATCH(L75,'Glosario Partidas'!$L$8:$L$10,0))</f>
        <v>1</v>
      </c>
      <c r="U75" s="275">
        <f t="shared" si="9"/>
        <v>232000</v>
      </c>
      <c r="V75" s="311" t="s">
        <v>965</v>
      </c>
      <c r="W75" s="311" t="s">
        <v>12</v>
      </c>
      <c r="X75" s="311" t="s">
        <v>493</v>
      </c>
      <c r="Y75" s="311"/>
    </row>
    <row r="76" spans="1:25" ht="15" customHeight="1" x14ac:dyDescent="0.2">
      <c r="A76" s="273"/>
      <c r="B76" s="273" t="s">
        <v>188</v>
      </c>
      <c r="C76" s="273" t="s">
        <v>112</v>
      </c>
      <c r="D76" s="273" t="s">
        <v>112</v>
      </c>
      <c r="E76" s="269" t="s">
        <v>969</v>
      </c>
      <c r="F76" s="311" t="s">
        <v>220</v>
      </c>
      <c r="G76" s="269" t="s">
        <v>705</v>
      </c>
      <c r="H76" s="311" t="s">
        <v>1008</v>
      </c>
      <c r="I76" s="302" t="s">
        <v>456</v>
      </c>
      <c r="J76" s="273" t="s">
        <v>410</v>
      </c>
      <c r="K76" s="302">
        <v>1</v>
      </c>
      <c r="L76" s="273" t="s">
        <v>269</v>
      </c>
      <c r="M76" s="274">
        <v>200000</v>
      </c>
      <c r="N76" s="275">
        <f t="shared" si="5"/>
        <v>200000</v>
      </c>
      <c r="O76" s="311">
        <v>0</v>
      </c>
      <c r="P76" s="273">
        <f t="shared" si="6"/>
        <v>0</v>
      </c>
      <c r="Q76" s="313">
        <v>0.16</v>
      </c>
      <c r="R76" s="275">
        <f t="shared" si="7"/>
        <v>32000</v>
      </c>
      <c r="S76" s="275">
        <f t="shared" si="8"/>
        <v>232000</v>
      </c>
      <c r="T76" s="275">
        <f>INDEX('Glosario Partidas'!$M$8:$M$10,MATCH(L76,'Glosario Partidas'!$L$8:$L$10,0))</f>
        <v>1</v>
      </c>
      <c r="U76" s="275">
        <f t="shared" si="9"/>
        <v>232000</v>
      </c>
      <c r="V76" s="311" t="s">
        <v>965</v>
      </c>
      <c r="W76" s="311" t="s">
        <v>12</v>
      </c>
      <c r="X76" s="311" t="s">
        <v>493</v>
      </c>
      <c r="Y76" s="311"/>
    </row>
    <row r="77" spans="1:25" ht="15" customHeight="1" x14ac:dyDescent="0.2">
      <c r="A77" s="273"/>
      <c r="B77" s="273" t="s">
        <v>188</v>
      </c>
      <c r="C77" s="273" t="s">
        <v>112</v>
      </c>
      <c r="D77" s="273" t="s">
        <v>112</v>
      </c>
      <c r="E77" s="269" t="s">
        <v>1009</v>
      </c>
      <c r="F77" s="311" t="s">
        <v>220</v>
      </c>
      <c r="G77" s="269" t="s">
        <v>705</v>
      </c>
      <c r="H77" s="311" t="s">
        <v>1008</v>
      </c>
      <c r="I77" s="302" t="s">
        <v>456</v>
      </c>
      <c r="J77" s="273" t="s">
        <v>410</v>
      </c>
      <c r="K77" s="302">
        <v>1</v>
      </c>
      <c r="L77" s="273" t="s">
        <v>269</v>
      </c>
      <c r="M77" s="274">
        <v>75000</v>
      </c>
      <c r="N77" s="275">
        <f t="shared" si="5"/>
        <v>75000</v>
      </c>
      <c r="O77" s="311">
        <v>0</v>
      </c>
      <c r="P77" s="273">
        <f t="shared" si="6"/>
        <v>0</v>
      </c>
      <c r="Q77" s="313">
        <v>0.16</v>
      </c>
      <c r="R77" s="275">
        <f t="shared" si="7"/>
        <v>12000</v>
      </c>
      <c r="S77" s="275">
        <f t="shared" si="8"/>
        <v>87000</v>
      </c>
      <c r="T77" s="275">
        <f>INDEX('Glosario Partidas'!$M$8:$M$10,MATCH(L77,'Glosario Partidas'!$L$8:$L$10,0))</f>
        <v>1</v>
      </c>
      <c r="U77" s="275">
        <f t="shared" si="9"/>
        <v>87000</v>
      </c>
      <c r="V77" s="311" t="s">
        <v>965</v>
      </c>
      <c r="W77" s="311" t="s">
        <v>12</v>
      </c>
      <c r="X77" s="311" t="s">
        <v>493</v>
      </c>
      <c r="Y77" s="311"/>
    </row>
    <row r="78" spans="1:25" ht="15" customHeight="1" x14ac:dyDescent="0.2">
      <c r="A78" s="273"/>
      <c r="B78" s="273" t="s">
        <v>188</v>
      </c>
      <c r="C78" s="273" t="s">
        <v>112</v>
      </c>
      <c r="D78" s="273" t="s">
        <v>970</v>
      </c>
      <c r="E78" s="269" t="s">
        <v>964</v>
      </c>
      <c r="F78" s="311" t="s">
        <v>220</v>
      </c>
      <c r="G78" s="269" t="s">
        <v>705</v>
      </c>
      <c r="H78" s="311" t="s">
        <v>1008</v>
      </c>
      <c r="I78" s="302" t="s">
        <v>456</v>
      </c>
      <c r="J78" s="273" t="s">
        <v>410</v>
      </c>
      <c r="K78" s="302">
        <v>1</v>
      </c>
      <c r="L78" s="273" t="s">
        <v>269</v>
      </c>
      <c r="M78" s="274">
        <v>40000</v>
      </c>
      <c r="N78" s="275">
        <f t="shared" si="5"/>
        <v>40000</v>
      </c>
      <c r="O78" s="311">
        <v>0</v>
      </c>
      <c r="P78" s="273">
        <f t="shared" si="6"/>
        <v>0</v>
      </c>
      <c r="Q78" s="313">
        <v>0.16</v>
      </c>
      <c r="R78" s="275">
        <f t="shared" si="7"/>
        <v>6400</v>
      </c>
      <c r="S78" s="275">
        <f t="shared" si="8"/>
        <v>46400</v>
      </c>
      <c r="T78" s="275">
        <f>INDEX('Glosario Partidas'!$M$8:$M$10,MATCH(L78,'Glosario Partidas'!$L$8:$L$10,0))</f>
        <v>1</v>
      </c>
      <c r="U78" s="275">
        <f t="shared" si="9"/>
        <v>46400</v>
      </c>
      <c r="V78" s="311" t="s">
        <v>965</v>
      </c>
      <c r="W78" s="311" t="s">
        <v>12</v>
      </c>
      <c r="X78" s="311" t="s">
        <v>493</v>
      </c>
      <c r="Y78" s="311"/>
    </row>
    <row r="79" spans="1:25" ht="15" customHeight="1" x14ac:dyDescent="0.2">
      <c r="A79" s="273"/>
      <c r="B79" s="273" t="s">
        <v>188</v>
      </c>
      <c r="C79" s="273" t="s">
        <v>112</v>
      </c>
      <c r="D79" s="273" t="s">
        <v>970</v>
      </c>
      <c r="E79" s="269" t="s">
        <v>966</v>
      </c>
      <c r="F79" s="311" t="s">
        <v>220</v>
      </c>
      <c r="G79" s="269" t="s">
        <v>705</v>
      </c>
      <c r="H79" s="311" t="s">
        <v>1008</v>
      </c>
      <c r="I79" s="302" t="s">
        <v>456</v>
      </c>
      <c r="J79" s="273" t="s">
        <v>410</v>
      </c>
      <c r="K79" s="302">
        <v>1</v>
      </c>
      <c r="L79" s="273" t="s">
        <v>269</v>
      </c>
      <c r="M79" s="274">
        <v>40000</v>
      </c>
      <c r="N79" s="275">
        <f t="shared" si="5"/>
        <v>40000</v>
      </c>
      <c r="O79" s="311">
        <v>0</v>
      </c>
      <c r="P79" s="273">
        <f t="shared" si="6"/>
        <v>0</v>
      </c>
      <c r="Q79" s="313">
        <v>0.16</v>
      </c>
      <c r="R79" s="275">
        <f t="shared" si="7"/>
        <v>6400</v>
      </c>
      <c r="S79" s="275">
        <f t="shared" si="8"/>
        <v>46400</v>
      </c>
      <c r="T79" s="275">
        <f>INDEX('Glosario Partidas'!$M$8:$M$10,MATCH(L79,'Glosario Partidas'!$L$8:$L$10,0))</f>
        <v>1</v>
      </c>
      <c r="U79" s="275">
        <f t="shared" si="9"/>
        <v>46400</v>
      </c>
      <c r="V79" s="311" t="s">
        <v>965</v>
      </c>
      <c r="W79" s="311" t="s">
        <v>12</v>
      </c>
      <c r="X79" s="311" t="s">
        <v>493</v>
      </c>
      <c r="Y79" s="311"/>
    </row>
    <row r="80" spans="1:25" ht="15" customHeight="1" x14ac:dyDescent="0.2">
      <c r="A80" s="273"/>
      <c r="B80" s="273" t="s">
        <v>188</v>
      </c>
      <c r="C80" s="273" t="s">
        <v>112</v>
      </c>
      <c r="D80" s="273" t="s">
        <v>970</v>
      </c>
      <c r="E80" s="269" t="s">
        <v>967</v>
      </c>
      <c r="F80" s="311" t="s">
        <v>220</v>
      </c>
      <c r="G80" s="269" t="s">
        <v>705</v>
      </c>
      <c r="H80" s="311" t="s">
        <v>1008</v>
      </c>
      <c r="I80" s="302" t="s">
        <v>456</v>
      </c>
      <c r="J80" s="273" t="s">
        <v>410</v>
      </c>
      <c r="K80" s="302">
        <v>1</v>
      </c>
      <c r="L80" s="273" t="s">
        <v>269</v>
      </c>
      <c r="M80" s="274">
        <v>40000</v>
      </c>
      <c r="N80" s="275">
        <f t="shared" si="5"/>
        <v>40000</v>
      </c>
      <c r="O80" s="311">
        <v>0</v>
      </c>
      <c r="P80" s="273">
        <f t="shared" si="6"/>
        <v>0</v>
      </c>
      <c r="Q80" s="313">
        <v>0.16</v>
      </c>
      <c r="R80" s="275">
        <f t="shared" si="7"/>
        <v>6400</v>
      </c>
      <c r="S80" s="275">
        <f t="shared" si="8"/>
        <v>46400</v>
      </c>
      <c r="T80" s="275">
        <f>INDEX('Glosario Partidas'!$M$8:$M$10,MATCH(L80,'Glosario Partidas'!$L$8:$L$10,0))</f>
        <v>1</v>
      </c>
      <c r="U80" s="275">
        <f t="shared" si="9"/>
        <v>46400</v>
      </c>
      <c r="V80" s="311" t="s">
        <v>965</v>
      </c>
      <c r="W80" s="311" t="s">
        <v>12</v>
      </c>
      <c r="X80" s="311" t="s">
        <v>493</v>
      </c>
      <c r="Y80" s="311"/>
    </row>
    <row r="81" spans="1:25" ht="15" customHeight="1" x14ac:dyDescent="0.2">
      <c r="A81" s="273"/>
      <c r="B81" s="273" t="s">
        <v>188</v>
      </c>
      <c r="C81" s="273" t="s">
        <v>112</v>
      </c>
      <c r="D81" s="273" t="s">
        <v>970</v>
      </c>
      <c r="E81" s="269" t="s">
        <v>968</v>
      </c>
      <c r="F81" s="311" t="s">
        <v>220</v>
      </c>
      <c r="G81" s="269" t="s">
        <v>705</v>
      </c>
      <c r="H81" s="311" t="s">
        <v>1008</v>
      </c>
      <c r="I81" s="302" t="s">
        <v>456</v>
      </c>
      <c r="J81" s="273" t="s">
        <v>410</v>
      </c>
      <c r="K81" s="302">
        <v>1</v>
      </c>
      <c r="L81" s="273" t="s">
        <v>269</v>
      </c>
      <c r="M81" s="274">
        <v>60000</v>
      </c>
      <c r="N81" s="275">
        <f t="shared" si="5"/>
        <v>60000</v>
      </c>
      <c r="O81" s="311">
        <v>0</v>
      </c>
      <c r="P81" s="273">
        <f t="shared" si="6"/>
        <v>0</v>
      </c>
      <c r="Q81" s="313">
        <v>0.16</v>
      </c>
      <c r="R81" s="275">
        <f t="shared" si="7"/>
        <v>9600</v>
      </c>
      <c r="S81" s="275">
        <f t="shared" si="8"/>
        <v>69600</v>
      </c>
      <c r="T81" s="275">
        <f>INDEX('Glosario Partidas'!$M$8:$M$10,MATCH(L81,'Glosario Partidas'!$L$8:$L$10,0))</f>
        <v>1</v>
      </c>
      <c r="U81" s="275">
        <f t="shared" si="9"/>
        <v>69600</v>
      </c>
      <c r="V81" s="311" t="s">
        <v>965</v>
      </c>
      <c r="W81" s="311" t="s">
        <v>12</v>
      </c>
      <c r="X81" s="311" t="s">
        <v>493</v>
      </c>
      <c r="Y81" s="311"/>
    </row>
    <row r="82" spans="1:25" ht="15" customHeight="1" x14ac:dyDescent="0.2">
      <c r="A82" s="273"/>
      <c r="B82" s="273" t="s">
        <v>188</v>
      </c>
      <c r="C82" s="273" t="s">
        <v>112</v>
      </c>
      <c r="D82" s="273" t="s">
        <v>970</v>
      </c>
      <c r="E82" s="269" t="s">
        <v>969</v>
      </c>
      <c r="F82" s="311" t="s">
        <v>220</v>
      </c>
      <c r="G82" s="269" t="s">
        <v>705</v>
      </c>
      <c r="H82" s="311" t="s">
        <v>1008</v>
      </c>
      <c r="I82" s="302" t="s">
        <v>456</v>
      </c>
      <c r="J82" s="273" t="s">
        <v>410</v>
      </c>
      <c r="K82" s="302">
        <v>1</v>
      </c>
      <c r="L82" s="273" t="s">
        <v>269</v>
      </c>
      <c r="M82" s="274">
        <v>60000</v>
      </c>
      <c r="N82" s="275">
        <f t="shared" si="5"/>
        <v>60000</v>
      </c>
      <c r="O82" s="311">
        <v>0</v>
      </c>
      <c r="P82" s="273">
        <f t="shared" si="6"/>
        <v>0</v>
      </c>
      <c r="Q82" s="313">
        <v>0.16</v>
      </c>
      <c r="R82" s="275">
        <f t="shared" si="7"/>
        <v>9600</v>
      </c>
      <c r="S82" s="275">
        <f t="shared" si="8"/>
        <v>69600</v>
      </c>
      <c r="T82" s="275">
        <f>INDEX('Glosario Partidas'!$M$8:$M$10,MATCH(L82,'Glosario Partidas'!$L$8:$L$10,0))</f>
        <v>1</v>
      </c>
      <c r="U82" s="275">
        <f t="shared" si="9"/>
        <v>69600</v>
      </c>
      <c r="V82" s="311" t="s">
        <v>965</v>
      </c>
      <c r="W82" s="311" t="s">
        <v>12</v>
      </c>
      <c r="X82" s="311" t="s">
        <v>493</v>
      </c>
      <c r="Y82" s="311"/>
    </row>
    <row r="83" spans="1:25" ht="15" customHeight="1" x14ac:dyDescent="0.2">
      <c r="A83" s="273"/>
      <c r="B83" s="273" t="s">
        <v>188</v>
      </c>
      <c r="C83" s="273" t="s">
        <v>112</v>
      </c>
      <c r="D83" s="273" t="s">
        <v>970</v>
      </c>
      <c r="E83" s="269" t="s">
        <v>1009</v>
      </c>
      <c r="F83" s="311" t="s">
        <v>220</v>
      </c>
      <c r="G83" s="269" t="s">
        <v>705</v>
      </c>
      <c r="H83" s="311" t="s">
        <v>1008</v>
      </c>
      <c r="I83" s="302" t="s">
        <v>456</v>
      </c>
      <c r="J83" s="273" t="s">
        <v>410</v>
      </c>
      <c r="K83" s="302">
        <v>1</v>
      </c>
      <c r="L83" s="273" t="s">
        <v>269</v>
      </c>
      <c r="M83" s="274">
        <v>25000</v>
      </c>
      <c r="N83" s="275">
        <f t="shared" si="5"/>
        <v>25000</v>
      </c>
      <c r="O83" s="311">
        <v>0</v>
      </c>
      <c r="P83" s="273">
        <f t="shared" si="6"/>
        <v>0</v>
      </c>
      <c r="Q83" s="313">
        <v>0.16</v>
      </c>
      <c r="R83" s="275">
        <f t="shared" si="7"/>
        <v>4000</v>
      </c>
      <c r="S83" s="275">
        <f t="shared" si="8"/>
        <v>29000</v>
      </c>
      <c r="T83" s="275">
        <f>INDEX('Glosario Partidas'!$M$8:$M$10,MATCH(L83,'Glosario Partidas'!$L$8:$L$10,0))</f>
        <v>1</v>
      </c>
      <c r="U83" s="275">
        <f t="shared" si="9"/>
        <v>29000</v>
      </c>
      <c r="V83" s="311" t="s">
        <v>965</v>
      </c>
      <c r="W83" s="311" t="s">
        <v>12</v>
      </c>
      <c r="X83" s="311" t="s">
        <v>493</v>
      </c>
      <c r="Y83" s="311"/>
    </row>
    <row r="84" spans="1:25" ht="15" customHeight="1" x14ac:dyDescent="0.2">
      <c r="A84" s="273"/>
      <c r="B84" s="273" t="s">
        <v>188</v>
      </c>
      <c r="C84" s="273" t="s">
        <v>113</v>
      </c>
      <c r="D84" s="273" t="s">
        <v>971</v>
      </c>
      <c r="E84" s="269" t="s">
        <v>1010</v>
      </c>
      <c r="F84" s="311" t="s">
        <v>220</v>
      </c>
      <c r="G84" s="269" t="s">
        <v>705</v>
      </c>
      <c r="H84" s="311" t="s">
        <v>1008</v>
      </c>
      <c r="I84" s="302" t="s">
        <v>456</v>
      </c>
      <c r="J84" s="273" t="s">
        <v>410</v>
      </c>
      <c r="K84" s="302">
        <v>3</v>
      </c>
      <c r="L84" s="273" t="s">
        <v>269</v>
      </c>
      <c r="M84" s="274">
        <v>195000</v>
      </c>
      <c r="N84" s="275">
        <f t="shared" si="5"/>
        <v>585000</v>
      </c>
      <c r="O84" s="311">
        <v>0</v>
      </c>
      <c r="P84" s="273">
        <f t="shared" si="6"/>
        <v>0</v>
      </c>
      <c r="Q84" s="313">
        <v>0.16</v>
      </c>
      <c r="R84" s="275">
        <f t="shared" si="7"/>
        <v>93600</v>
      </c>
      <c r="S84" s="275">
        <f t="shared" si="8"/>
        <v>678600</v>
      </c>
      <c r="T84" s="275">
        <f>INDEX('Glosario Partidas'!$M$8:$M$10,MATCH(L84,'Glosario Partidas'!$L$8:$L$10,0))</f>
        <v>1</v>
      </c>
      <c r="U84" s="275">
        <f t="shared" si="9"/>
        <v>678600</v>
      </c>
      <c r="V84" s="311" t="s">
        <v>965</v>
      </c>
      <c r="W84" s="311" t="s">
        <v>12</v>
      </c>
      <c r="X84" s="311" t="s">
        <v>493</v>
      </c>
      <c r="Y84" s="311"/>
    </row>
    <row r="85" spans="1:25" ht="15" customHeight="1" x14ac:dyDescent="0.2">
      <c r="A85" s="273"/>
      <c r="B85" s="273" t="s">
        <v>188</v>
      </c>
      <c r="C85" s="273" t="s">
        <v>113</v>
      </c>
      <c r="D85" s="273" t="s">
        <v>973</v>
      </c>
      <c r="E85" s="269" t="s">
        <v>974</v>
      </c>
      <c r="F85" s="311" t="s">
        <v>220</v>
      </c>
      <c r="G85" s="269" t="s">
        <v>705</v>
      </c>
      <c r="H85" s="311" t="s">
        <v>1008</v>
      </c>
      <c r="I85" s="302" t="s">
        <v>456</v>
      </c>
      <c r="J85" s="273" t="s">
        <v>410</v>
      </c>
      <c r="K85" s="302">
        <v>1</v>
      </c>
      <c r="L85" s="273" t="s">
        <v>269</v>
      </c>
      <c r="M85" s="274">
        <v>38000</v>
      </c>
      <c r="N85" s="275">
        <f t="shared" si="5"/>
        <v>38000</v>
      </c>
      <c r="O85" s="311">
        <v>0</v>
      </c>
      <c r="P85" s="273">
        <f t="shared" si="6"/>
        <v>0</v>
      </c>
      <c r="Q85" s="313">
        <v>0.16</v>
      </c>
      <c r="R85" s="275">
        <f t="shared" si="7"/>
        <v>6080</v>
      </c>
      <c r="S85" s="275">
        <f t="shared" si="8"/>
        <v>44080</v>
      </c>
      <c r="T85" s="275">
        <f>INDEX('Glosario Partidas'!$M$8:$M$10,MATCH(L85,'Glosario Partidas'!$L$8:$L$10,0))</f>
        <v>1</v>
      </c>
      <c r="U85" s="275">
        <f t="shared" si="9"/>
        <v>44080</v>
      </c>
      <c r="V85" s="311" t="s">
        <v>965</v>
      </c>
      <c r="W85" s="311" t="s">
        <v>12</v>
      </c>
      <c r="X85" s="311" t="s">
        <v>493</v>
      </c>
      <c r="Y85" s="311"/>
    </row>
    <row r="86" spans="1:25" ht="15" customHeight="1" x14ac:dyDescent="0.2">
      <c r="A86" s="273"/>
      <c r="B86" s="273" t="s">
        <v>188</v>
      </c>
      <c r="C86" s="273" t="s">
        <v>113</v>
      </c>
      <c r="D86" s="273" t="s">
        <v>973</v>
      </c>
      <c r="E86" s="269" t="s">
        <v>975</v>
      </c>
      <c r="F86" s="311" t="s">
        <v>220</v>
      </c>
      <c r="G86" s="269" t="s">
        <v>705</v>
      </c>
      <c r="H86" s="311" t="s">
        <v>1008</v>
      </c>
      <c r="I86" s="302" t="s">
        <v>456</v>
      </c>
      <c r="J86" s="273" t="s">
        <v>410</v>
      </c>
      <c r="K86" s="302">
        <v>1</v>
      </c>
      <c r="L86" s="273" t="s">
        <v>269</v>
      </c>
      <c r="M86" s="274">
        <v>38000</v>
      </c>
      <c r="N86" s="275">
        <f t="shared" si="5"/>
        <v>38000</v>
      </c>
      <c r="O86" s="311">
        <v>0</v>
      </c>
      <c r="P86" s="273">
        <f t="shared" si="6"/>
        <v>0</v>
      </c>
      <c r="Q86" s="313">
        <v>0.16</v>
      </c>
      <c r="R86" s="275">
        <f t="shared" si="7"/>
        <v>6080</v>
      </c>
      <c r="S86" s="275">
        <f t="shared" si="8"/>
        <v>44080</v>
      </c>
      <c r="T86" s="275">
        <f>INDEX('Glosario Partidas'!$M$8:$M$10,MATCH(L86,'Glosario Partidas'!$L$8:$L$10,0))</f>
        <v>1</v>
      </c>
      <c r="U86" s="275">
        <f t="shared" si="9"/>
        <v>44080</v>
      </c>
      <c r="V86" s="311" t="s">
        <v>965</v>
      </c>
      <c r="W86" s="311" t="s">
        <v>12</v>
      </c>
      <c r="X86" s="311" t="s">
        <v>493</v>
      </c>
      <c r="Y86" s="311"/>
    </row>
    <row r="87" spans="1:25" ht="15" customHeight="1" x14ac:dyDescent="0.2">
      <c r="A87" s="273"/>
      <c r="B87" s="273" t="s">
        <v>188</v>
      </c>
      <c r="C87" s="273" t="s">
        <v>113</v>
      </c>
      <c r="D87" s="273" t="s">
        <v>977</v>
      </c>
      <c r="E87" s="269" t="s">
        <v>1011</v>
      </c>
      <c r="F87" s="311" t="s">
        <v>220</v>
      </c>
      <c r="G87" s="269" t="s">
        <v>705</v>
      </c>
      <c r="H87" s="311" t="s">
        <v>1008</v>
      </c>
      <c r="I87" s="302" t="s">
        <v>456</v>
      </c>
      <c r="J87" s="273" t="s">
        <v>410</v>
      </c>
      <c r="K87" s="302">
        <v>1</v>
      </c>
      <c r="L87" s="273" t="s">
        <v>269</v>
      </c>
      <c r="M87" s="274">
        <v>46000</v>
      </c>
      <c r="N87" s="275">
        <f t="shared" si="5"/>
        <v>46000</v>
      </c>
      <c r="O87" s="311">
        <v>0</v>
      </c>
      <c r="P87" s="273">
        <f t="shared" si="6"/>
        <v>0</v>
      </c>
      <c r="Q87" s="313">
        <v>0.16</v>
      </c>
      <c r="R87" s="275">
        <f t="shared" si="7"/>
        <v>7360</v>
      </c>
      <c r="S87" s="275">
        <f t="shared" si="8"/>
        <v>53360</v>
      </c>
      <c r="T87" s="275">
        <f>INDEX('Glosario Partidas'!$M$8:$M$10,MATCH(L87,'Glosario Partidas'!$L$8:$L$10,0))</f>
        <v>1</v>
      </c>
      <c r="U87" s="275">
        <f t="shared" si="9"/>
        <v>53360</v>
      </c>
      <c r="V87" s="311" t="s">
        <v>965</v>
      </c>
      <c r="W87" s="311" t="s">
        <v>12</v>
      </c>
      <c r="X87" s="311" t="s">
        <v>493</v>
      </c>
      <c r="Y87" s="311"/>
    </row>
    <row r="88" spans="1:25" ht="15" customHeight="1" x14ac:dyDescent="0.2">
      <c r="A88" s="273"/>
      <c r="B88" s="273" t="s">
        <v>188</v>
      </c>
      <c r="C88" s="273" t="s">
        <v>113</v>
      </c>
      <c r="D88" s="273" t="s">
        <v>977</v>
      </c>
      <c r="E88" s="269" t="s">
        <v>1012</v>
      </c>
      <c r="F88" s="311" t="s">
        <v>220</v>
      </c>
      <c r="G88" s="269" t="s">
        <v>705</v>
      </c>
      <c r="H88" s="311" t="s">
        <v>1008</v>
      </c>
      <c r="I88" s="302" t="s">
        <v>456</v>
      </c>
      <c r="J88" s="273" t="s">
        <v>410</v>
      </c>
      <c r="K88" s="302">
        <v>1</v>
      </c>
      <c r="L88" s="273" t="s">
        <v>269</v>
      </c>
      <c r="M88" s="274">
        <v>46000</v>
      </c>
      <c r="N88" s="275">
        <f t="shared" si="5"/>
        <v>46000</v>
      </c>
      <c r="O88" s="311">
        <v>0</v>
      </c>
      <c r="P88" s="273">
        <f t="shared" si="6"/>
        <v>0</v>
      </c>
      <c r="Q88" s="313">
        <v>0.16</v>
      </c>
      <c r="R88" s="275">
        <f t="shared" si="7"/>
        <v>7360</v>
      </c>
      <c r="S88" s="275">
        <f t="shared" si="8"/>
        <v>53360</v>
      </c>
      <c r="T88" s="275">
        <f>INDEX('Glosario Partidas'!$M$8:$M$10,MATCH(L88,'Glosario Partidas'!$L$8:$L$10,0))</f>
        <v>1</v>
      </c>
      <c r="U88" s="275">
        <f t="shared" si="9"/>
        <v>53360</v>
      </c>
      <c r="V88" s="311" t="s">
        <v>965</v>
      </c>
      <c r="W88" s="311" t="s">
        <v>12</v>
      </c>
      <c r="X88" s="311" t="s">
        <v>493</v>
      </c>
      <c r="Y88" s="311"/>
    </row>
    <row r="89" spans="1:25" ht="15" customHeight="1" x14ac:dyDescent="0.2">
      <c r="A89" s="273"/>
      <c r="B89" s="273" t="s">
        <v>188</v>
      </c>
      <c r="C89" s="273" t="s">
        <v>113</v>
      </c>
      <c r="D89" s="273" t="s">
        <v>977</v>
      </c>
      <c r="E89" s="269" t="s">
        <v>1013</v>
      </c>
      <c r="F89" s="311" t="s">
        <v>220</v>
      </c>
      <c r="G89" s="269" t="s">
        <v>705</v>
      </c>
      <c r="H89" s="311" t="s">
        <v>1008</v>
      </c>
      <c r="I89" s="302" t="s">
        <v>456</v>
      </c>
      <c r="J89" s="273" t="s">
        <v>410</v>
      </c>
      <c r="K89" s="302">
        <v>1</v>
      </c>
      <c r="L89" s="273" t="s">
        <v>269</v>
      </c>
      <c r="M89" s="274">
        <v>46000</v>
      </c>
      <c r="N89" s="275">
        <f t="shared" si="5"/>
        <v>46000</v>
      </c>
      <c r="O89" s="311">
        <v>0</v>
      </c>
      <c r="P89" s="273">
        <f t="shared" si="6"/>
        <v>0</v>
      </c>
      <c r="Q89" s="313">
        <v>0.16</v>
      </c>
      <c r="R89" s="275">
        <f t="shared" si="7"/>
        <v>7360</v>
      </c>
      <c r="S89" s="275">
        <f t="shared" si="8"/>
        <v>53360</v>
      </c>
      <c r="T89" s="275">
        <f>INDEX('Glosario Partidas'!$M$8:$M$10,MATCH(L89,'Glosario Partidas'!$L$8:$L$10,0))</f>
        <v>1</v>
      </c>
      <c r="U89" s="275">
        <f t="shared" si="9"/>
        <v>53360</v>
      </c>
      <c r="V89" s="311" t="s">
        <v>965</v>
      </c>
      <c r="W89" s="311" t="s">
        <v>12</v>
      </c>
      <c r="X89" s="311" t="s">
        <v>493</v>
      </c>
      <c r="Y89" s="311"/>
    </row>
    <row r="90" spans="1:25" ht="15" customHeight="1" x14ac:dyDescent="0.2">
      <c r="A90" s="273"/>
      <c r="B90" s="273" t="s">
        <v>188</v>
      </c>
      <c r="C90" s="273" t="s">
        <v>113</v>
      </c>
      <c r="D90" s="273" t="s">
        <v>977</v>
      </c>
      <c r="E90" s="269" t="s">
        <v>1014</v>
      </c>
      <c r="F90" s="311" t="s">
        <v>220</v>
      </c>
      <c r="G90" s="269" t="s">
        <v>705</v>
      </c>
      <c r="H90" s="311" t="s">
        <v>1008</v>
      </c>
      <c r="I90" s="302" t="s">
        <v>456</v>
      </c>
      <c r="J90" s="273" t="s">
        <v>410</v>
      </c>
      <c r="K90" s="302">
        <v>1</v>
      </c>
      <c r="L90" s="273" t="s">
        <v>269</v>
      </c>
      <c r="M90" s="274">
        <v>46000</v>
      </c>
      <c r="N90" s="275">
        <f t="shared" si="5"/>
        <v>46000</v>
      </c>
      <c r="O90" s="311">
        <v>0</v>
      </c>
      <c r="P90" s="273">
        <f t="shared" si="6"/>
        <v>0</v>
      </c>
      <c r="Q90" s="313">
        <v>0.16</v>
      </c>
      <c r="R90" s="275">
        <f t="shared" si="7"/>
        <v>7360</v>
      </c>
      <c r="S90" s="275">
        <f t="shared" si="8"/>
        <v>53360</v>
      </c>
      <c r="T90" s="275">
        <f>INDEX('Glosario Partidas'!$M$8:$M$10,MATCH(L90,'Glosario Partidas'!$L$8:$L$10,0))</f>
        <v>1</v>
      </c>
      <c r="U90" s="275">
        <f t="shared" si="9"/>
        <v>53360</v>
      </c>
      <c r="V90" s="311" t="s">
        <v>965</v>
      </c>
      <c r="W90" s="311" t="s">
        <v>12</v>
      </c>
      <c r="X90" s="311" t="s">
        <v>493</v>
      </c>
      <c r="Y90" s="311"/>
    </row>
    <row r="91" spans="1:25" ht="15" customHeight="1" x14ac:dyDescent="0.2">
      <c r="A91" s="273"/>
      <c r="B91" s="273" t="s">
        <v>188</v>
      </c>
      <c r="C91" s="273" t="s">
        <v>113</v>
      </c>
      <c r="D91" s="273" t="s">
        <v>977</v>
      </c>
      <c r="E91" s="269" t="s">
        <v>1015</v>
      </c>
      <c r="F91" s="311" t="s">
        <v>220</v>
      </c>
      <c r="G91" s="269" t="s">
        <v>705</v>
      </c>
      <c r="H91" s="311" t="s">
        <v>1008</v>
      </c>
      <c r="I91" s="302" t="s">
        <v>456</v>
      </c>
      <c r="J91" s="273" t="s">
        <v>410</v>
      </c>
      <c r="K91" s="302">
        <v>1</v>
      </c>
      <c r="L91" s="273" t="s">
        <v>269</v>
      </c>
      <c r="M91" s="274">
        <v>46000</v>
      </c>
      <c r="N91" s="275">
        <f t="shared" si="5"/>
        <v>46000</v>
      </c>
      <c r="O91" s="311">
        <v>0</v>
      </c>
      <c r="P91" s="273">
        <f t="shared" si="6"/>
        <v>0</v>
      </c>
      <c r="Q91" s="313">
        <v>0.16</v>
      </c>
      <c r="R91" s="275">
        <f t="shared" si="7"/>
        <v>7360</v>
      </c>
      <c r="S91" s="275">
        <f t="shared" si="8"/>
        <v>53360</v>
      </c>
      <c r="T91" s="275">
        <f>INDEX('Glosario Partidas'!$M$8:$M$10,MATCH(L91,'Glosario Partidas'!$L$8:$L$10,0))</f>
        <v>1</v>
      </c>
      <c r="U91" s="275">
        <f t="shared" si="9"/>
        <v>53360</v>
      </c>
      <c r="V91" s="311" t="s">
        <v>965</v>
      </c>
      <c r="W91" s="311" t="s">
        <v>12</v>
      </c>
      <c r="X91" s="311" t="s">
        <v>493</v>
      </c>
      <c r="Y91" s="311"/>
    </row>
    <row r="92" spans="1:25" ht="15" customHeight="1" x14ac:dyDescent="0.2">
      <c r="A92" s="273"/>
      <c r="B92" s="273" t="s">
        <v>188</v>
      </c>
      <c r="C92" s="273" t="s">
        <v>113</v>
      </c>
      <c r="D92" s="273" t="s">
        <v>977</v>
      </c>
      <c r="E92" s="269" t="s">
        <v>1016</v>
      </c>
      <c r="F92" s="311" t="s">
        <v>220</v>
      </c>
      <c r="G92" s="269" t="s">
        <v>705</v>
      </c>
      <c r="H92" s="311" t="s">
        <v>1008</v>
      </c>
      <c r="I92" s="302" t="s">
        <v>456</v>
      </c>
      <c r="J92" s="273" t="s">
        <v>410</v>
      </c>
      <c r="K92" s="302">
        <v>1</v>
      </c>
      <c r="L92" s="273" t="s">
        <v>269</v>
      </c>
      <c r="M92" s="274">
        <v>46000</v>
      </c>
      <c r="N92" s="275">
        <f t="shared" si="5"/>
        <v>46000</v>
      </c>
      <c r="O92" s="311">
        <v>0</v>
      </c>
      <c r="P92" s="273">
        <f t="shared" si="6"/>
        <v>0</v>
      </c>
      <c r="Q92" s="313">
        <v>0.16</v>
      </c>
      <c r="R92" s="275">
        <f t="shared" si="7"/>
        <v>7360</v>
      </c>
      <c r="S92" s="275">
        <f t="shared" si="8"/>
        <v>53360</v>
      </c>
      <c r="T92" s="275">
        <f>INDEX('Glosario Partidas'!$M$8:$M$10,MATCH(L92,'Glosario Partidas'!$L$8:$L$10,0))</f>
        <v>1</v>
      </c>
      <c r="U92" s="275">
        <f t="shared" si="9"/>
        <v>53360</v>
      </c>
      <c r="V92" s="311" t="s">
        <v>965</v>
      </c>
      <c r="W92" s="311" t="s">
        <v>12</v>
      </c>
      <c r="X92" s="311" t="s">
        <v>493</v>
      </c>
      <c r="Y92" s="311"/>
    </row>
    <row r="93" spans="1:25" ht="15" customHeight="1" x14ac:dyDescent="0.2">
      <c r="A93" s="273"/>
      <c r="B93" s="273" t="s">
        <v>188</v>
      </c>
      <c r="C93" s="273" t="s">
        <v>113</v>
      </c>
      <c r="D93" s="273" t="s">
        <v>984</v>
      </c>
      <c r="E93" s="269" t="s">
        <v>1017</v>
      </c>
      <c r="F93" s="311" t="s">
        <v>220</v>
      </c>
      <c r="G93" s="269" t="s">
        <v>705</v>
      </c>
      <c r="H93" s="311" t="s">
        <v>1008</v>
      </c>
      <c r="I93" s="302" t="s">
        <v>456</v>
      </c>
      <c r="J93" s="273" t="s">
        <v>410</v>
      </c>
      <c r="K93" s="302">
        <v>1</v>
      </c>
      <c r="L93" s="273" t="s">
        <v>269</v>
      </c>
      <c r="M93" s="274">
        <v>60000</v>
      </c>
      <c r="N93" s="275">
        <f t="shared" si="5"/>
        <v>60000</v>
      </c>
      <c r="O93" s="311">
        <v>0</v>
      </c>
      <c r="P93" s="273">
        <f t="shared" si="6"/>
        <v>0</v>
      </c>
      <c r="Q93" s="313">
        <v>0.16</v>
      </c>
      <c r="R93" s="275">
        <f t="shared" si="7"/>
        <v>9600</v>
      </c>
      <c r="S93" s="275">
        <f t="shared" si="8"/>
        <v>69600</v>
      </c>
      <c r="T93" s="275">
        <f>INDEX('Glosario Partidas'!$M$8:$M$10,MATCH(L93,'Glosario Partidas'!$L$8:$L$10,0))</f>
        <v>1</v>
      </c>
      <c r="U93" s="275">
        <f t="shared" si="9"/>
        <v>69600</v>
      </c>
      <c r="V93" s="311" t="s">
        <v>965</v>
      </c>
      <c r="W93" s="311" t="s">
        <v>12</v>
      </c>
      <c r="X93" s="311" t="s">
        <v>493</v>
      </c>
      <c r="Y93" s="311"/>
    </row>
    <row r="94" spans="1:25" ht="15" customHeight="1" x14ac:dyDescent="0.2">
      <c r="A94" s="273"/>
      <c r="B94" s="273" t="s">
        <v>188</v>
      </c>
      <c r="C94" s="273" t="s">
        <v>113</v>
      </c>
      <c r="D94" s="273" t="s">
        <v>986</v>
      </c>
      <c r="E94" s="269" t="s">
        <v>1018</v>
      </c>
      <c r="F94" s="311" t="s">
        <v>220</v>
      </c>
      <c r="G94" s="269" t="s">
        <v>705</v>
      </c>
      <c r="H94" s="311" t="s">
        <v>1008</v>
      </c>
      <c r="I94" s="302" t="s">
        <v>456</v>
      </c>
      <c r="J94" s="273" t="s">
        <v>410</v>
      </c>
      <c r="K94" s="302">
        <v>1</v>
      </c>
      <c r="L94" s="273" t="s">
        <v>269</v>
      </c>
      <c r="M94" s="274">
        <v>98000</v>
      </c>
      <c r="N94" s="275">
        <f t="shared" si="5"/>
        <v>98000</v>
      </c>
      <c r="O94" s="311">
        <v>0</v>
      </c>
      <c r="P94" s="273">
        <f t="shared" si="6"/>
        <v>0</v>
      </c>
      <c r="Q94" s="313">
        <v>0.16</v>
      </c>
      <c r="R94" s="275">
        <f t="shared" si="7"/>
        <v>15680</v>
      </c>
      <c r="S94" s="275">
        <f t="shared" si="8"/>
        <v>113680</v>
      </c>
      <c r="T94" s="275">
        <f>INDEX('Glosario Partidas'!$M$8:$M$10,MATCH(L94,'Glosario Partidas'!$L$8:$L$10,0))</f>
        <v>1</v>
      </c>
      <c r="U94" s="275">
        <f t="shared" si="9"/>
        <v>113680</v>
      </c>
      <c r="V94" s="311" t="s">
        <v>965</v>
      </c>
      <c r="W94" s="311" t="s">
        <v>12</v>
      </c>
      <c r="X94" s="311" t="s">
        <v>493</v>
      </c>
      <c r="Y94" s="311"/>
    </row>
    <row r="95" spans="1:25" ht="15" customHeight="1" x14ac:dyDescent="0.2">
      <c r="A95" s="273"/>
      <c r="B95" s="273" t="s">
        <v>188</v>
      </c>
      <c r="C95" s="273" t="s">
        <v>113</v>
      </c>
      <c r="D95" s="273" t="s">
        <v>986</v>
      </c>
      <c r="E95" s="269" t="s">
        <v>1019</v>
      </c>
      <c r="F95" s="311" t="s">
        <v>220</v>
      </c>
      <c r="G95" s="269" t="s">
        <v>705</v>
      </c>
      <c r="H95" s="311" t="s">
        <v>1008</v>
      </c>
      <c r="I95" s="302" t="s">
        <v>456</v>
      </c>
      <c r="J95" s="273" t="s">
        <v>410</v>
      </c>
      <c r="K95" s="302">
        <v>1</v>
      </c>
      <c r="L95" s="273" t="s">
        <v>269</v>
      </c>
      <c r="M95" s="274">
        <v>98000</v>
      </c>
      <c r="N95" s="275">
        <f t="shared" si="5"/>
        <v>98000</v>
      </c>
      <c r="O95" s="311">
        <v>0</v>
      </c>
      <c r="P95" s="273">
        <f t="shared" si="6"/>
        <v>0</v>
      </c>
      <c r="Q95" s="313">
        <v>0.16</v>
      </c>
      <c r="R95" s="275">
        <f t="shared" si="7"/>
        <v>15680</v>
      </c>
      <c r="S95" s="275">
        <f t="shared" si="8"/>
        <v>113680</v>
      </c>
      <c r="T95" s="275">
        <f>INDEX('Glosario Partidas'!$M$8:$M$10,MATCH(L95,'Glosario Partidas'!$L$8:$L$10,0))</f>
        <v>1</v>
      </c>
      <c r="U95" s="275">
        <f t="shared" si="9"/>
        <v>113680</v>
      </c>
      <c r="V95" s="311" t="s">
        <v>965</v>
      </c>
      <c r="W95" s="311" t="s">
        <v>12</v>
      </c>
      <c r="X95" s="311" t="s">
        <v>493</v>
      </c>
      <c r="Y95" s="311"/>
    </row>
    <row r="96" spans="1:25" ht="15" customHeight="1" x14ac:dyDescent="0.2">
      <c r="A96" s="273"/>
      <c r="B96" s="273" t="s">
        <v>188</v>
      </c>
      <c r="C96" s="273" t="s">
        <v>113</v>
      </c>
      <c r="D96" s="273" t="s">
        <v>984</v>
      </c>
      <c r="E96" s="269" t="s">
        <v>1020</v>
      </c>
      <c r="F96" s="311" t="s">
        <v>220</v>
      </c>
      <c r="G96" s="269" t="s">
        <v>705</v>
      </c>
      <c r="H96" s="311" t="s">
        <v>1008</v>
      </c>
      <c r="I96" s="302" t="s">
        <v>456</v>
      </c>
      <c r="J96" s="273" t="s">
        <v>410</v>
      </c>
      <c r="K96" s="302">
        <v>1</v>
      </c>
      <c r="L96" s="273" t="s">
        <v>269</v>
      </c>
      <c r="M96" s="274">
        <v>60000</v>
      </c>
      <c r="N96" s="275">
        <f t="shared" si="5"/>
        <v>60000</v>
      </c>
      <c r="O96" s="311">
        <v>0</v>
      </c>
      <c r="P96" s="273">
        <f t="shared" si="6"/>
        <v>0</v>
      </c>
      <c r="Q96" s="313">
        <v>0.16</v>
      </c>
      <c r="R96" s="275">
        <f t="shared" si="7"/>
        <v>9600</v>
      </c>
      <c r="S96" s="275">
        <f t="shared" si="8"/>
        <v>69600</v>
      </c>
      <c r="T96" s="275">
        <f>INDEX('Glosario Partidas'!$M$8:$M$10,MATCH(L96,'Glosario Partidas'!$L$8:$L$10,0))</f>
        <v>1</v>
      </c>
      <c r="U96" s="275">
        <f t="shared" si="9"/>
        <v>69600</v>
      </c>
      <c r="V96" s="311" t="s">
        <v>965</v>
      </c>
      <c r="W96" s="311" t="s">
        <v>12</v>
      </c>
      <c r="X96" s="311" t="s">
        <v>493</v>
      </c>
      <c r="Y96" s="311"/>
    </row>
    <row r="97" spans="1:25" ht="15" customHeight="1" x14ac:dyDescent="0.2">
      <c r="A97" s="273"/>
      <c r="B97" s="273" t="s">
        <v>188</v>
      </c>
      <c r="C97" s="273" t="s">
        <v>113</v>
      </c>
      <c r="D97" s="273" t="s">
        <v>986</v>
      </c>
      <c r="E97" s="269" t="s">
        <v>1021</v>
      </c>
      <c r="F97" s="311" t="s">
        <v>220</v>
      </c>
      <c r="G97" s="269" t="s">
        <v>705</v>
      </c>
      <c r="H97" s="311" t="s">
        <v>1008</v>
      </c>
      <c r="I97" s="302" t="s">
        <v>456</v>
      </c>
      <c r="J97" s="273" t="s">
        <v>410</v>
      </c>
      <c r="K97" s="302">
        <v>1</v>
      </c>
      <c r="L97" s="273" t="s">
        <v>269</v>
      </c>
      <c r="M97" s="274">
        <v>98000</v>
      </c>
      <c r="N97" s="275">
        <f t="shared" si="5"/>
        <v>98000</v>
      </c>
      <c r="O97" s="311">
        <v>0</v>
      </c>
      <c r="P97" s="273">
        <f t="shared" si="6"/>
        <v>0</v>
      </c>
      <c r="Q97" s="313">
        <v>0.16</v>
      </c>
      <c r="R97" s="275">
        <f t="shared" si="7"/>
        <v>15680</v>
      </c>
      <c r="S97" s="275">
        <f t="shared" si="8"/>
        <v>113680</v>
      </c>
      <c r="T97" s="275">
        <f>INDEX('Glosario Partidas'!$M$8:$M$10,MATCH(L97,'Glosario Partidas'!$L$8:$L$10,0))</f>
        <v>1</v>
      </c>
      <c r="U97" s="275">
        <f t="shared" si="9"/>
        <v>113680</v>
      </c>
      <c r="V97" s="311" t="s">
        <v>965</v>
      </c>
      <c r="W97" s="311" t="s">
        <v>12</v>
      </c>
      <c r="X97" s="311" t="s">
        <v>493</v>
      </c>
      <c r="Y97" s="311"/>
    </row>
    <row r="98" spans="1:25" ht="15" customHeight="1" x14ac:dyDescent="0.2">
      <c r="A98" s="273"/>
      <c r="B98" s="273" t="s">
        <v>188</v>
      </c>
      <c r="C98" s="273" t="s">
        <v>113</v>
      </c>
      <c r="D98" s="273" t="s">
        <v>986</v>
      </c>
      <c r="E98" s="269" t="s">
        <v>1022</v>
      </c>
      <c r="F98" s="311" t="s">
        <v>220</v>
      </c>
      <c r="G98" s="269" t="s">
        <v>705</v>
      </c>
      <c r="H98" s="311" t="s">
        <v>1008</v>
      </c>
      <c r="I98" s="302" t="s">
        <v>456</v>
      </c>
      <c r="J98" s="273" t="s">
        <v>410</v>
      </c>
      <c r="K98" s="302">
        <v>1</v>
      </c>
      <c r="L98" s="273" t="s">
        <v>269</v>
      </c>
      <c r="M98" s="274">
        <v>98000</v>
      </c>
      <c r="N98" s="275">
        <f t="shared" si="5"/>
        <v>98000</v>
      </c>
      <c r="O98" s="311">
        <v>0</v>
      </c>
      <c r="P98" s="273">
        <f t="shared" si="6"/>
        <v>0</v>
      </c>
      <c r="Q98" s="313">
        <v>0.16</v>
      </c>
      <c r="R98" s="275">
        <f t="shared" si="7"/>
        <v>15680</v>
      </c>
      <c r="S98" s="275">
        <f t="shared" si="8"/>
        <v>113680</v>
      </c>
      <c r="T98" s="275">
        <f>INDEX('Glosario Partidas'!$M$8:$M$10,MATCH(L98,'Glosario Partidas'!$L$8:$L$10,0))</f>
        <v>1</v>
      </c>
      <c r="U98" s="275">
        <f t="shared" si="9"/>
        <v>113680</v>
      </c>
      <c r="V98" s="311" t="s">
        <v>965</v>
      </c>
      <c r="W98" s="311" t="s">
        <v>12</v>
      </c>
      <c r="X98" s="311" t="s">
        <v>493</v>
      </c>
      <c r="Y98" s="311"/>
    </row>
    <row r="99" spans="1:25" ht="15" customHeight="1" x14ac:dyDescent="0.2">
      <c r="A99" s="273"/>
      <c r="B99" s="273" t="s">
        <v>188</v>
      </c>
      <c r="C99" s="273" t="s">
        <v>113</v>
      </c>
      <c r="D99" s="273" t="s">
        <v>973</v>
      </c>
      <c r="E99" s="269" t="s">
        <v>1023</v>
      </c>
      <c r="F99" s="311" t="s">
        <v>220</v>
      </c>
      <c r="G99" s="269" t="s">
        <v>705</v>
      </c>
      <c r="H99" s="311" t="s">
        <v>1008</v>
      </c>
      <c r="I99" s="302" t="s">
        <v>456</v>
      </c>
      <c r="J99" s="273" t="s">
        <v>410</v>
      </c>
      <c r="K99" s="302">
        <v>1</v>
      </c>
      <c r="L99" s="273" t="s">
        <v>269</v>
      </c>
      <c r="M99" s="274">
        <v>38000</v>
      </c>
      <c r="N99" s="275">
        <f t="shared" si="5"/>
        <v>38000</v>
      </c>
      <c r="O99" s="311">
        <v>0</v>
      </c>
      <c r="P99" s="273">
        <f t="shared" si="6"/>
        <v>0</v>
      </c>
      <c r="Q99" s="313">
        <v>0.16</v>
      </c>
      <c r="R99" s="275">
        <f t="shared" si="7"/>
        <v>6080</v>
      </c>
      <c r="S99" s="275">
        <f t="shared" si="8"/>
        <v>44080</v>
      </c>
      <c r="T99" s="275">
        <f>INDEX('Glosario Partidas'!$M$8:$M$10,MATCH(L99,'Glosario Partidas'!$L$8:$L$10,0))</f>
        <v>1</v>
      </c>
      <c r="U99" s="275">
        <f t="shared" si="9"/>
        <v>44080</v>
      </c>
      <c r="V99" s="311" t="s">
        <v>965</v>
      </c>
      <c r="W99" s="311" t="s">
        <v>12</v>
      </c>
      <c r="X99" s="311" t="s">
        <v>493</v>
      </c>
      <c r="Y99" s="311"/>
    </row>
    <row r="100" spans="1:25" ht="15" customHeight="1" x14ac:dyDescent="0.2">
      <c r="A100" s="273"/>
      <c r="B100" s="273" t="s">
        <v>188</v>
      </c>
      <c r="C100" s="273" t="s">
        <v>113</v>
      </c>
      <c r="D100" s="273" t="s">
        <v>973</v>
      </c>
      <c r="E100" s="269" t="s">
        <v>1024</v>
      </c>
      <c r="F100" s="311" t="s">
        <v>220</v>
      </c>
      <c r="G100" s="269" t="s">
        <v>705</v>
      </c>
      <c r="H100" s="311" t="s">
        <v>1008</v>
      </c>
      <c r="I100" s="302" t="s">
        <v>456</v>
      </c>
      <c r="J100" s="273" t="s">
        <v>410</v>
      </c>
      <c r="K100" s="302">
        <v>1</v>
      </c>
      <c r="L100" s="273" t="s">
        <v>269</v>
      </c>
      <c r="M100" s="274">
        <v>38000</v>
      </c>
      <c r="N100" s="275">
        <f t="shared" si="5"/>
        <v>38000</v>
      </c>
      <c r="O100" s="311">
        <v>0</v>
      </c>
      <c r="P100" s="273">
        <f t="shared" si="6"/>
        <v>0</v>
      </c>
      <c r="Q100" s="313">
        <v>0.16</v>
      </c>
      <c r="R100" s="275">
        <f t="shared" si="7"/>
        <v>6080</v>
      </c>
      <c r="S100" s="275">
        <f t="shared" si="8"/>
        <v>44080</v>
      </c>
      <c r="T100" s="275">
        <f>INDEX('Glosario Partidas'!$M$8:$M$10,MATCH(L100,'Glosario Partidas'!$L$8:$L$10,0))</f>
        <v>1</v>
      </c>
      <c r="U100" s="275">
        <f t="shared" si="9"/>
        <v>44080</v>
      </c>
      <c r="V100" s="311" t="s">
        <v>965</v>
      </c>
      <c r="W100" s="311" t="s">
        <v>12</v>
      </c>
      <c r="X100" s="311" t="s">
        <v>493</v>
      </c>
      <c r="Y100" s="311"/>
    </row>
    <row r="101" spans="1:25" ht="15" customHeight="1" x14ac:dyDescent="0.2">
      <c r="A101" s="273"/>
      <c r="B101" s="273" t="s">
        <v>188</v>
      </c>
      <c r="C101" s="273" t="s">
        <v>113</v>
      </c>
      <c r="D101" s="273" t="s">
        <v>992</v>
      </c>
      <c r="E101" s="269" t="s">
        <v>993</v>
      </c>
      <c r="F101" s="311" t="s">
        <v>220</v>
      </c>
      <c r="G101" s="269" t="s">
        <v>705</v>
      </c>
      <c r="H101" s="311" t="s">
        <v>1008</v>
      </c>
      <c r="I101" s="302" t="s">
        <v>456</v>
      </c>
      <c r="J101" s="273" t="s">
        <v>410</v>
      </c>
      <c r="K101" s="302">
        <v>17</v>
      </c>
      <c r="L101" s="273" t="s">
        <v>269</v>
      </c>
      <c r="M101" s="274">
        <v>12000</v>
      </c>
      <c r="N101" s="275">
        <f t="shared" si="5"/>
        <v>204000</v>
      </c>
      <c r="O101" s="311">
        <v>0</v>
      </c>
      <c r="P101" s="273">
        <f t="shared" si="6"/>
        <v>0</v>
      </c>
      <c r="Q101" s="313">
        <v>0.16</v>
      </c>
      <c r="R101" s="275">
        <f t="shared" si="7"/>
        <v>32640</v>
      </c>
      <c r="S101" s="275">
        <f t="shared" si="8"/>
        <v>236640</v>
      </c>
      <c r="T101" s="275">
        <f>INDEX('Glosario Partidas'!$M$8:$M$10,MATCH(L101,'Glosario Partidas'!$L$8:$L$10,0))</f>
        <v>1</v>
      </c>
      <c r="U101" s="275">
        <f t="shared" si="9"/>
        <v>236640</v>
      </c>
      <c r="V101" s="311" t="s">
        <v>965</v>
      </c>
      <c r="W101" s="311" t="s">
        <v>12</v>
      </c>
      <c r="X101" s="311" t="s">
        <v>493</v>
      </c>
      <c r="Y101" s="311"/>
    </row>
    <row r="102" spans="1:25" ht="15" customHeight="1" x14ac:dyDescent="0.2">
      <c r="A102" s="273"/>
      <c r="B102" s="273" t="s">
        <v>188</v>
      </c>
      <c r="C102" s="273" t="s">
        <v>114</v>
      </c>
      <c r="D102" s="273" t="s">
        <v>994</v>
      </c>
      <c r="E102" s="269" t="s">
        <v>995</v>
      </c>
      <c r="F102" s="311" t="s">
        <v>220</v>
      </c>
      <c r="G102" s="269" t="s">
        <v>705</v>
      </c>
      <c r="H102" s="311" t="s">
        <v>1008</v>
      </c>
      <c r="I102" s="302" t="s">
        <v>456</v>
      </c>
      <c r="J102" s="273" t="s">
        <v>410</v>
      </c>
      <c r="K102" s="302">
        <v>1</v>
      </c>
      <c r="L102" s="273" t="s">
        <v>269</v>
      </c>
      <c r="M102" s="274">
        <v>240000</v>
      </c>
      <c r="N102" s="275">
        <f t="shared" si="5"/>
        <v>240000</v>
      </c>
      <c r="O102" s="311">
        <v>0</v>
      </c>
      <c r="P102" s="273">
        <f t="shared" si="6"/>
        <v>0</v>
      </c>
      <c r="Q102" s="313">
        <v>0.16</v>
      </c>
      <c r="R102" s="275">
        <f t="shared" si="7"/>
        <v>38400</v>
      </c>
      <c r="S102" s="275">
        <f t="shared" si="8"/>
        <v>278400</v>
      </c>
      <c r="T102" s="275">
        <f>INDEX('Glosario Partidas'!$M$8:$M$10,MATCH(L102,'Glosario Partidas'!$L$8:$L$10,0))</f>
        <v>1</v>
      </c>
      <c r="U102" s="275">
        <f t="shared" si="9"/>
        <v>278400</v>
      </c>
      <c r="V102" s="311" t="s">
        <v>965</v>
      </c>
      <c r="W102" s="311" t="s">
        <v>12</v>
      </c>
      <c r="X102" s="311" t="s">
        <v>493</v>
      </c>
      <c r="Y102" s="311"/>
    </row>
    <row r="103" spans="1:25" ht="15" customHeight="1" x14ac:dyDescent="0.2">
      <c r="A103" s="273"/>
      <c r="B103" s="273" t="s">
        <v>188</v>
      </c>
      <c r="C103" s="273" t="s">
        <v>114</v>
      </c>
      <c r="D103" s="273" t="s">
        <v>994</v>
      </c>
      <c r="E103" s="269" t="s">
        <v>996</v>
      </c>
      <c r="F103" s="311" t="s">
        <v>220</v>
      </c>
      <c r="G103" s="269" t="s">
        <v>705</v>
      </c>
      <c r="H103" s="311" t="s">
        <v>1008</v>
      </c>
      <c r="I103" s="302" t="s">
        <v>456</v>
      </c>
      <c r="J103" s="273" t="s">
        <v>410</v>
      </c>
      <c r="K103" s="302">
        <v>1</v>
      </c>
      <c r="L103" s="273" t="s">
        <v>269</v>
      </c>
      <c r="M103" s="274">
        <v>240000</v>
      </c>
      <c r="N103" s="275">
        <f t="shared" si="5"/>
        <v>240000</v>
      </c>
      <c r="O103" s="311">
        <v>0</v>
      </c>
      <c r="P103" s="273">
        <f t="shared" si="6"/>
        <v>0</v>
      </c>
      <c r="Q103" s="313">
        <v>0.16</v>
      </c>
      <c r="R103" s="275">
        <f t="shared" si="7"/>
        <v>38400</v>
      </c>
      <c r="S103" s="275">
        <f t="shared" si="8"/>
        <v>278400</v>
      </c>
      <c r="T103" s="275">
        <f>INDEX('Glosario Partidas'!$M$8:$M$10,MATCH(L103,'Glosario Partidas'!$L$8:$L$10,0))</f>
        <v>1</v>
      </c>
      <c r="U103" s="275">
        <f t="shared" si="9"/>
        <v>278400</v>
      </c>
      <c r="V103" s="311" t="s">
        <v>965</v>
      </c>
      <c r="W103" s="311" t="s">
        <v>12</v>
      </c>
      <c r="X103" s="311" t="s">
        <v>493</v>
      </c>
      <c r="Y103" s="311"/>
    </row>
    <row r="104" spans="1:25" ht="15" customHeight="1" x14ac:dyDescent="0.2">
      <c r="A104" s="273"/>
      <c r="B104" s="273" t="s">
        <v>188</v>
      </c>
      <c r="C104" s="273" t="s">
        <v>114</v>
      </c>
      <c r="D104" s="273" t="s">
        <v>997</v>
      </c>
      <c r="E104" s="269" t="s">
        <v>998</v>
      </c>
      <c r="F104" s="311" t="s">
        <v>220</v>
      </c>
      <c r="G104" s="269" t="s">
        <v>705</v>
      </c>
      <c r="H104" s="311" t="s">
        <v>1008</v>
      </c>
      <c r="I104" s="302" t="s">
        <v>456</v>
      </c>
      <c r="J104" s="273" t="s">
        <v>410</v>
      </c>
      <c r="K104" s="302">
        <v>1</v>
      </c>
      <c r="L104" s="273" t="s">
        <v>269</v>
      </c>
      <c r="M104" s="274">
        <v>550000</v>
      </c>
      <c r="N104" s="275">
        <f t="shared" si="5"/>
        <v>550000</v>
      </c>
      <c r="O104" s="311">
        <v>0</v>
      </c>
      <c r="P104" s="273">
        <f t="shared" si="6"/>
        <v>0</v>
      </c>
      <c r="Q104" s="313">
        <v>0.16</v>
      </c>
      <c r="R104" s="275">
        <f t="shared" si="7"/>
        <v>88000</v>
      </c>
      <c r="S104" s="275">
        <f t="shared" si="8"/>
        <v>638000</v>
      </c>
      <c r="T104" s="275">
        <f>INDEX('Glosario Partidas'!$M$8:$M$10,MATCH(L104,'Glosario Partidas'!$L$8:$L$10,0))</f>
        <v>1</v>
      </c>
      <c r="U104" s="275">
        <f t="shared" si="9"/>
        <v>638000</v>
      </c>
      <c r="V104" s="311" t="s">
        <v>965</v>
      </c>
      <c r="W104" s="311" t="s">
        <v>12</v>
      </c>
      <c r="X104" s="311" t="s">
        <v>493</v>
      </c>
      <c r="Y104" s="311"/>
    </row>
    <row r="105" spans="1:25" ht="15" customHeight="1" x14ac:dyDescent="0.2">
      <c r="A105" s="273"/>
      <c r="B105" s="273" t="s">
        <v>188</v>
      </c>
      <c r="C105" s="273" t="s">
        <v>114</v>
      </c>
      <c r="D105" s="273" t="s">
        <v>999</v>
      </c>
      <c r="E105" s="269" t="s">
        <v>1000</v>
      </c>
      <c r="F105" s="311" t="s">
        <v>220</v>
      </c>
      <c r="G105" s="269" t="s">
        <v>705</v>
      </c>
      <c r="H105" s="311" t="s">
        <v>1008</v>
      </c>
      <c r="I105" s="302" t="s">
        <v>456</v>
      </c>
      <c r="J105" s="273" t="s">
        <v>410</v>
      </c>
      <c r="K105" s="302">
        <v>1</v>
      </c>
      <c r="L105" s="273" t="s">
        <v>269</v>
      </c>
      <c r="M105" s="274">
        <v>360000</v>
      </c>
      <c r="N105" s="275">
        <f t="shared" si="5"/>
        <v>360000</v>
      </c>
      <c r="O105" s="311">
        <v>0</v>
      </c>
      <c r="P105" s="273">
        <f t="shared" si="6"/>
        <v>0</v>
      </c>
      <c r="Q105" s="313">
        <v>0.16</v>
      </c>
      <c r="R105" s="275">
        <f t="shared" si="7"/>
        <v>57600</v>
      </c>
      <c r="S105" s="275">
        <f t="shared" si="8"/>
        <v>417600</v>
      </c>
      <c r="T105" s="275">
        <f>INDEX('Glosario Partidas'!$M$8:$M$10,MATCH(L105,'Glosario Partidas'!$L$8:$L$10,0))</f>
        <v>1</v>
      </c>
      <c r="U105" s="275">
        <f t="shared" si="9"/>
        <v>417600</v>
      </c>
      <c r="V105" s="311" t="s">
        <v>965</v>
      </c>
      <c r="W105" s="311" t="s">
        <v>12</v>
      </c>
      <c r="X105" s="311" t="s">
        <v>493</v>
      </c>
      <c r="Y105" s="311"/>
    </row>
    <row r="106" spans="1:25" ht="15" customHeight="1" x14ac:dyDescent="0.2">
      <c r="A106" s="273"/>
      <c r="B106" s="273" t="s">
        <v>188</v>
      </c>
      <c r="C106" s="273" t="s">
        <v>114</v>
      </c>
      <c r="D106" s="273" t="s">
        <v>1001</v>
      </c>
      <c r="E106" s="269" t="s">
        <v>1002</v>
      </c>
      <c r="F106" s="311" t="s">
        <v>220</v>
      </c>
      <c r="G106" s="269" t="s">
        <v>705</v>
      </c>
      <c r="H106" s="311" t="s">
        <v>1008</v>
      </c>
      <c r="I106" s="302" t="s">
        <v>456</v>
      </c>
      <c r="J106" s="273" t="s">
        <v>410</v>
      </c>
      <c r="K106" s="302">
        <v>1</v>
      </c>
      <c r="L106" s="273" t="s">
        <v>269</v>
      </c>
      <c r="M106" s="274">
        <v>225000</v>
      </c>
      <c r="N106" s="275">
        <f t="shared" si="5"/>
        <v>225000</v>
      </c>
      <c r="O106" s="311">
        <v>0</v>
      </c>
      <c r="P106" s="273">
        <f t="shared" si="6"/>
        <v>0</v>
      </c>
      <c r="Q106" s="313">
        <v>0.16</v>
      </c>
      <c r="R106" s="275">
        <f t="shared" si="7"/>
        <v>36000</v>
      </c>
      <c r="S106" s="275">
        <f t="shared" si="8"/>
        <v>261000</v>
      </c>
      <c r="T106" s="275">
        <f>INDEX('Glosario Partidas'!$M$8:$M$10,MATCH(L106,'Glosario Partidas'!$L$8:$L$10,0))</f>
        <v>1</v>
      </c>
      <c r="U106" s="275">
        <f t="shared" si="9"/>
        <v>261000</v>
      </c>
      <c r="V106" s="311" t="s">
        <v>965</v>
      </c>
      <c r="W106" s="311" t="s">
        <v>12</v>
      </c>
      <c r="X106" s="311" t="s">
        <v>493</v>
      </c>
      <c r="Y106" s="311"/>
    </row>
    <row r="107" spans="1:25" ht="15" customHeight="1" x14ac:dyDescent="0.2">
      <c r="A107" s="273"/>
      <c r="B107" s="273" t="s">
        <v>188</v>
      </c>
      <c r="C107" s="273" t="s">
        <v>115</v>
      </c>
      <c r="D107" s="273" t="s">
        <v>1003</v>
      </c>
      <c r="E107" s="269" t="s">
        <v>1004</v>
      </c>
      <c r="F107" s="311" t="s">
        <v>220</v>
      </c>
      <c r="G107" s="269" t="s">
        <v>705</v>
      </c>
      <c r="H107" s="311" t="s">
        <v>1008</v>
      </c>
      <c r="I107" s="302" t="s">
        <v>456</v>
      </c>
      <c r="J107" s="273" t="s">
        <v>410</v>
      </c>
      <c r="K107" s="302">
        <v>1</v>
      </c>
      <c r="L107" s="273" t="s">
        <v>269</v>
      </c>
      <c r="M107" s="274">
        <v>50000</v>
      </c>
      <c r="N107" s="275">
        <f t="shared" si="5"/>
        <v>50000</v>
      </c>
      <c r="O107" s="311">
        <v>0</v>
      </c>
      <c r="P107" s="273">
        <f t="shared" si="6"/>
        <v>0</v>
      </c>
      <c r="Q107" s="313">
        <v>0.16</v>
      </c>
      <c r="R107" s="275">
        <f t="shared" si="7"/>
        <v>8000</v>
      </c>
      <c r="S107" s="275">
        <f t="shared" si="8"/>
        <v>58000</v>
      </c>
      <c r="T107" s="275">
        <f>INDEX('Glosario Partidas'!$M$8:$M$10,MATCH(L107,'Glosario Partidas'!$L$8:$L$10,0))</f>
        <v>1</v>
      </c>
      <c r="U107" s="275">
        <f t="shared" si="9"/>
        <v>58000</v>
      </c>
      <c r="V107" s="311" t="s">
        <v>1005</v>
      </c>
      <c r="W107" s="311" t="s">
        <v>12</v>
      </c>
      <c r="X107" s="311" t="s">
        <v>493</v>
      </c>
      <c r="Y107" s="311"/>
    </row>
    <row r="108" spans="1:25" ht="15" customHeight="1" x14ac:dyDescent="0.2">
      <c r="A108" s="273"/>
      <c r="B108" s="273" t="s">
        <v>188</v>
      </c>
      <c r="C108" s="273" t="s">
        <v>116</v>
      </c>
      <c r="D108" s="273" t="s">
        <v>116</v>
      </c>
      <c r="E108" s="269" t="s">
        <v>1006</v>
      </c>
      <c r="F108" s="311" t="s">
        <v>220</v>
      </c>
      <c r="G108" s="269" t="s">
        <v>705</v>
      </c>
      <c r="H108" s="311" t="s">
        <v>1008</v>
      </c>
      <c r="I108" s="302" t="s">
        <v>604</v>
      </c>
      <c r="J108" s="273" t="s">
        <v>207</v>
      </c>
      <c r="K108" s="302">
        <v>1</v>
      </c>
      <c r="L108" s="273" t="s">
        <v>269</v>
      </c>
      <c r="M108" s="274">
        <f>4120597/8</f>
        <v>515074.625</v>
      </c>
      <c r="N108" s="275">
        <f t="shared" si="5"/>
        <v>515074.625</v>
      </c>
      <c r="O108" s="311">
        <v>0</v>
      </c>
      <c r="P108" s="273">
        <f t="shared" si="6"/>
        <v>0</v>
      </c>
      <c r="Q108" s="313">
        <v>0.16</v>
      </c>
      <c r="R108" s="275">
        <f t="shared" si="7"/>
        <v>82411.94</v>
      </c>
      <c r="S108" s="275">
        <f t="shared" si="8"/>
        <v>597486.56499999994</v>
      </c>
      <c r="T108" s="275">
        <f>INDEX('Glosario Partidas'!$M$8:$M$10,MATCH(L108,'Glosario Partidas'!$L$8:$L$10,0))</f>
        <v>1</v>
      </c>
      <c r="U108" s="275">
        <f t="shared" si="9"/>
        <v>597486.56499999994</v>
      </c>
      <c r="V108" s="311" t="s">
        <v>1007</v>
      </c>
      <c r="W108" s="311" t="s">
        <v>12</v>
      </c>
      <c r="X108" s="311" t="s">
        <v>491</v>
      </c>
      <c r="Y108" s="311"/>
    </row>
    <row r="109" spans="1:25" ht="15" customHeight="1" x14ac:dyDescent="0.2">
      <c r="A109" s="273"/>
      <c r="B109" s="273" t="s">
        <v>188</v>
      </c>
      <c r="C109" s="273" t="s">
        <v>112</v>
      </c>
      <c r="D109" s="273" t="s">
        <v>112</v>
      </c>
      <c r="E109" s="269" t="s">
        <v>964</v>
      </c>
      <c r="F109" s="311" t="s">
        <v>220</v>
      </c>
      <c r="G109" s="269" t="s">
        <v>705</v>
      </c>
      <c r="H109" s="311" t="s">
        <v>1025</v>
      </c>
      <c r="I109" s="302" t="s">
        <v>456</v>
      </c>
      <c r="J109" s="273" t="s">
        <v>410</v>
      </c>
      <c r="K109" s="302">
        <v>1</v>
      </c>
      <c r="L109" s="273" t="s">
        <v>269</v>
      </c>
      <c r="M109" s="274">
        <v>150000</v>
      </c>
      <c r="N109" s="275">
        <f t="shared" si="5"/>
        <v>150000</v>
      </c>
      <c r="O109" s="311">
        <v>0</v>
      </c>
      <c r="P109" s="273">
        <f t="shared" si="6"/>
        <v>0</v>
      </c>
      <c r="Q109" s="313">
        <v>0.16</v>
      </c>
      <c r="R109" s="275">
        <f t="shared" si="7"/>
        <v>24000</v>
      </c>
      <c r="S109" s="275">
        <f t="shared" si="8"/>
        <v>174000</v>
      </c>
      <c r="T109" s="275">
        <f>INDEX('Glosario Partidas'!$M$8:$M$10,MATCH(L109,'Glosario Partidas'!$L$8:$L$10,0))</f>
        <v>1</v>
      </c>
      <c r="U109" s="275">
        <f t="shared" si="9"/>
        <v>174000</v>
      </c>
      <c r="V109" s="311" t="s">
        <v>965</v>
      </c>
      <c r="W109" s="311" t="s">
        <v>12</v>
      </c>
      <c r="X109" s="311" t="s">
        <v>493</v>
      </c>
      <c r="Y109" s="311"/>
    </row>
    <row r="110" spans="1:25" ht="15" customHeight="1" x14ac:dyDescent="0.2">
      <c r="A110" s="273"/>
      <c r="B110" s="273" t="s">
        <v>188</v>
      </c>
      <c r="C110" s="273" t="s">
        <v>112</v>
      </c>
      <c r="D110" s="273" t="s">
        <v>112</v>
      </c>
      <c r="E110" s="269" t="s">
        <v>966</v>
      </c>
      <c r="F110" s="311" t="s">
        <v>220</v>
      </c>
      <c r="G110" s="269" t="s">
        <v>705</v>
      </c>
      <c r="H110" s="311" t="s">
        <v>1025</v>
      </c>
      <c r="I110" s="302" t="s">
        <v>456</v>
      </c>
      <c r="J110" s="273" t="s">
        <v>410</v>
      </c>
      <c r="K110" s="302">
        <v>1</v>
      </c>
      <c r="L110" s="273" t="s">
        <v>269</v>
      </c>
      <c r="M110" s="274">
        <v>150000</v>
      </c>
      <c r="N110" s="275">
        <f t="shared" si="5"/>
        <v>150000</v>
      </c>
      <c r="O110" s="311">
        <v>0</v>
      </c>
      <c r="P110" s="273">
        <f t="shared" si="6"/>
        <v>0</v>
      </c>
      <c r="Q110" s="313">
        <v>0.16</v>
      </c>
      <c r="R110" s="275">
        <f t="shared" si="7"/>
        <v>24000</v>
      </c>
      <c r="S110" s="275">
        <f t="shared" si="8"/>
        <v>174000</v>
      </c>
      <c r="T110" s="275">
        <f>INDEX('Glosario Partidas'!$M$8:$M$10,MATCH(L110,'Glosario Partidas'!$L$8:$L$10,0))</f>
        <v>1</v>
      </c>
      <c r="U110" s="275">
        <f t="shared" si="9"/>
        <v>174000</v>
      </c>
      <c r="V110" s="311" t="s">
        <v>965</v>
      </c>
      <c r="W110" s="311" t="s">
        <v>12</v>
      </c>
      <c r="X110" s="311" t="s">
        <v>493</v>
      </c>
      <c r="Y110" s="311"/>
    </row>
    <row r="111" spans="1:25" ht="15" customHeight="1" x14ac:dyDescent="0.2">
      <c r="A111" s="273"/>
      <c r="B111" s="273" t="s">
        <v>188</v>
      </c>
      <c r="C111" s="273" t="s">
        <v>112</v>
      </c>
      <c r="D111" s="273" t="s">
        <v>112</v>
      </c>
      <c r="E111" s="269" t="s">
        <v>967</v>
      </c>
      <c r="F111" s="311" t="s">
        <v>220</v>
      </c>
      <c r="G111" s="269" t="s">
        <v>705</v>
      </c>
      <c r="H111" s="311" t="s">
        <v>1025</v>
      </c>
      <c r="I111" s="302" t="s">
        <v>456</v>
      </c>
      <c r="J111" s="273" t="s">
        <v>410</v>
      </c>
      <c r="K111" s="302">
        <v>1</v>
      </c>
      <c r="L111" s="273" t="s">
        <v>269</v>
      </c>
      <c r="M111" s="274">
        <v>150000</v>
      </c>
      <c r="N111" s="275">
        <f t="shared" si="5"/>
        <v>150000</v>
      </c>
      <c r="O111" s="311">
        <v>0</v>
      </c>
      <c r="P111" s="273">
        <f t="shared" si="6"/>
        <v>0</v>
      </c>
      <c r="Q111" s="313">
        <v>0.16</v>
      </c>
      <c r="R111" s="275">
        <f t="shared" si="7"/>
        <v>24000</v>
      </c>
      <c r="S111" s="275">
        <f t="shared" si="8"/>
        <v>174000</v>
      </c>
      <c r="T111" s="275">
        <f>INDEX('Glosario Partidas'!$M$8:$M$10,MATCH(L111,'Glosario Partidas'!$L$8:$L$10,0))</f>
        <v>1</v>
      </c>
      <c r="U111" s="275">
        <f t="shared" si="9"/>
        <v>174000</v>
      </c>
      <c r="V111" s="311" t="s">
        <v>965</v>
      </c>
      <c r="W111" s="311" t="s">
        <v>12</v>
      </c>
      <c r="X111" s="311" t="s">
        <v>493</v>
      </c>
      <c r="Y111" s="311"/>
    </row>
    <row r="112" spans="1:25" ht="15" customHeight="1" x14ac:dyDescent="0.2">
      <c r="A112" s="273"/>
      <c r="B112" s="273" t="s">
        <v>188</v>
      </c>
      <c r="C112" s="273" t="s">
        <v>112</v>
      </c>
      <c r="D112" s="273" t="s">
        <v>112</v>
      </c>
      <c r="E112" s="269" t="s">
        <v>968</v>
      </c>
      <c r="F112" s="311" t="s">
        <v>220</v>
      </c>
      <c r="G112" s="269" t="s">
        <v>705</v>
      </c>
      <c r="H112" s="311" t="s">
        <v>1025</v>
      </c>
      <c r="I112" s="302" t="s">
        <v>456</v>
      </c>
      <c r="J112" s="273" t="s">
        <v>410</v>
      </c>
      <c r="K112" s="302">
        <v>1</v>
      </c>
      <c r="L112" s="273" t="s">
        <v>269</v>
      </c>
      <c r="M112" s="274">
        <v>200000</v>
      </c>
      <c r="N112" s="275">
        <f t="shared" si="5"/>
        <v>200000</v>
      </c>
      <c r="O112" s="311">
        <v>0</v>
      </c>
      <c r="P112" s="273">
        <f t="shared" si="6"/>
        <v>0</v>
      </c>
      <c r="Q112" s="313">
        <v>0.16</v>
      </c>
      <c r="R112" s="275">
        <f t="shared" si="7"/>
        <v>32000</v>
      </c>
      <c r="S112" s="275">
        <f t="shared" si="8"/>
        <v>232000</v>
      </c>
      <c r="T112" s="275">
        <f>INDEX('Glosario Partidas'!$M$8:$M$10,MATCH(L112,'Glosario Partidas'!$L$8:$L$10,0))</f>
        <v>1</v>
      </c>
      <c r="U112" s="275">
        <f t="shared" si="9"/>
        <v>232000</v>
      </c>
      <c r="V112" s="311" t="s">
        <v>965</v>
      </c>
      <c r="W112" s="311" t="s">
        <v>12</v>
      </c>
      <c r="X112" s="311" t="s">
        <v>493</v>
      </c>
      <c r="Y112" s="311"/>
    </row>
    <row r="113" spans="1:25" ht="15" customHeight="1" x14ac:dyDescent="0.2">
      <c r="A113" s="273"/>
      <c r="B113" s="273" t="s">
        <v>188</v>
      </c>
      <c r="C113" s="273" t="s">
        <v>112</v>
      </c>
      <c r="D113" s="273" t="s">
        <v>112</v>
      </c>
      <c r="E113" s="269" t="s">
        <v>969</v>
      </c>
      <c r="F113" s="311" t="s">
        <v>220</v>
      </c>
      <c r="G113" s="269" t="s">
        <v>705</v>
      </c>
      <c r="H113" s="311" t="s">
        <v>1025</v>
      </c>
      <c r="I113" s="302" t="s">
        <v>456</v>
      </c>
      <c r="J113" s="273" t="s">
        <v>410</v>
      </c>
      <c r="K113" s="302">
        <v>1</v>
      </c>
      <c r="L113" s="273" t="s">
        <v>269</v>
      </c>
      <c r="M113" s="274">
        <v>200000</v>
      </c>
      <c r="N113" s="275">
        <f t="shared" si="5"/>
        <v>200000</v>
      </c>
      <c r="O113" s="311">
        <v>0</v>
      </c>
      <c r="P113" s="273">
        <f t="shared" si="6"/>
        <v>0</v>
      </c>
      <c r="Q113" s="313">
        <v>0.16</v>
      </c>
      <c r="R113" s="275">
        <f t="shared" si="7"/>
        <v>32000</v>
      </c>
      <c r="S113" s="275">
        <f t="shared" si="8"/>
        <v>232000</v>
      </c>
      <c r="T113" s="275">
        <f>INDEX('Glosario Partidas'!$M$8:$M$10,MATCH(L113,'Glosario Partidas'!$L$8:$L$10,0))</f>
        <v>1</v>
      </c>
      <c r="U113" s="275">
        <f t="shared" si="9"/>
        <v>232000</v>
      </c>
      <c r="V113" s="311" t="s">
        <v>965</v>
      </c>
      <c r="W113" s="311" t="s">
        <v>12</v>
      </c>
      <c r="X113" s="311" t="s">
        <v>493</v>
      </c>
      <c r="Y113" s="311"/>
    </row>
    <row r="114" spans="1:25" ht="15" customHeight="1" x14ac:dyDescent="0.2">
      <c r="A114" s="273"/>
      <c r="B114" s="273" t="s">
        <v>188</v>
      </c>
      <c r="C114" s="273" t="s">
        <v>112</v>
      </c>
      <c r="D114" s="273" t="s">
        <v>112</v>
      </c>
      <c r="E114" s="269" t="s">
        <v>1009</v>
      </c>
      <c r="F114" s="311" t="s">
        <v>220</v>
      </c>
      <c r="G114" s="269" t="s">
        <v>705</v>
      </c>
      <c r="H114" s="311" t="s">
        <v>1025</v>
      </c>
      <c r="I114" s="302" t="s">
        <v>456</v>
      </c>
      <c r="J114" s="273" t="s">
        <v>410</v>
      </c>
      <c r="K114" s="302">
        <v>1</v>
      </c>
      <c r="L114" s="273" t="s">
        <v>269</v>
      </c>
      <c r="M114" s="274">
        <v>75000</v>
      </c>
      <c r="N114" s="275">
        <f t="shared" si="5"/>
        <v>75000</v>
      </c>
      <c r="O114" s="311">
        <v>0</v>
      </c>
      <c r="P114" s="273">
        <f t="shared" si="6"/>
        <v>0</v>
      </c>
      <c r="Q114" s="313">
        <v>0.16</v>
      </c>
      <c r="R114" s="275">
        <f t="shared" si="7"/>
        <v>12000</v>
      </c>
      <c r="S114" s="275">
        <f t="shared" si="8"/>
        <v>87000</v>
      </c>
      <c r="T114" s="275">
        <f>INDEX('Glosario Partidas'!$M$8:$M$10,MATCH(L114,'Glosario Partidas'!$L$8:$L$10,0))</f>
        <v>1</v>
      </c>
      <c r="U114" s="275">
        <f t="shared" si="9"/>
        <v>87000</v>
      </c>
      <c r="V114" s="311" t="s">
        <v>965</v>
      </c>
      <c r="W114" s="311" t="s">
        <v>12</v>
      </c>
      <c r="X114" s="311" t="s">
        <v>493</v>
      </c>
      <c r="Y114" s="311"/>
    </row>
    <row r="115" spans="1:25" ht="15" customHeight="1" x14ac:dyDescent="0.2">
      <c r="A115" s="273"/>
      <c r="B115" s="273" t="s">
        <v>188</v>
      </c>
      <c r="C115" s="273" t="s">
        <v>112</v>
      </c>
      <c r="D115" s="273" t="s">
        <v>970</v>
      </c>
      <c r="E115" s="269" t="s">
        <v>964</v>
      </c>
      <c r="F115" s="311" t="s">
        <v>220</v>
      </c>
      <c r="G115" s="269" t="s">
        <v>705</v>
      </c>
      <c r="H115" s="311" t="s">
        <v>1025</v>
      </c>
      <c r="I115" s="302" t="s">
        <v>456</v>
      </c>
      <c r="J115" s="273" t="s">
        <v>410</v>
      </c>
      <c r="K115" s="302">
        <v>1</v>
      </c>
      <c r="L115" s="273" t="s">
        <v>269</v>
      </c>
      <c r="M115" s="274">
        <v>40000</v>
      </c>
      <c r="N115" s="275">
        <f t="shared" si="5"/>
        <v>40000</v>
      </c>
      <c r="O115" s="311">
        <v>0</v>
      </c>
      <c r="P115" s="273">
        <f t="shared" si="6"/>
        <v>0</v>
      </c>
      <c r="Q115" s="313">
        <v>0.16</v>
      </c>
      <c r="R115" s="275">
        <f t="shared" si="7"/>
        <v>6400</v>
      </c>
      <c r="S115" s="275">
        <f t="shared" si="8"/>
        <v>46400</v>
      </c>
      <c r="T115" s="275">
        <f>INDEX('Glosario Partidas'!$M$8:$M$10,MATCH(L115,'Glosario Partidas'!$L$8:$L$10,0))</f>
        <v>1</v>
      </c>
      <c r="U115" s="275">
        <f t="shared" si="9"/>
        <v>46400</v>
      </c>
      <c r="V115" s="311" t="s">
        <v>965</v>
      </c>
      <c r="W115" s="311" t="s">
        <v>12</v>
      </c>
      <c r="X115" s="311" t="s">
        <v>493</v>
      </c>
      <c r="Y115" s="311"/>
    </row>
    <row r="116" spans="1:25" ht="15" customHeight="1" x14ac:dyDescent="0.2">
      <c r="A116" s="273"/>
      <c r="B116" s="273" t="s">
        <v>188</v>
      </c>
      <c r="C116" s="273" t="s">
        <v>112</v>
      </c>
      <c r="D116" s="273" t="s">
        <v>970</v>
      </c>
      <c r="E116" s="269" t="s">
        <v>966</v>
      </c>
      <c r="F116" s="311" t="s">
        <v>220</v>
      </c>
      <c r="G116" s="269" t="s">
        <v>705</v>
      </c>
      <c r="H116" s="311" t="s">
        <v>1025</v>
      </c>
      <c r="I116" s="302" t="s">
        <v>456</v>
      </c>
      <c r="J116" s="273" t="s">
        <v>410</v>
      </c>
      <c r="K116" s="302">
        <v>1</v>
      </c>
      <c r="L116" s="273" t="s">
        <v>269</v>
      </c>
      <c r="M116" s="274">
        <v>40000</v>
      </c>
      <c r="N116" s="275">
        <f t="shared" si="5"/>
        <v>40000</v>
      </c>
      <c r="O116" s="311">
        <v>0</v>
      </c>
      <c r="P116" s="273">
        <f t="shared" si="6"/>
        <v>0</v>
      </c>
      <c r="Q116" s="313">
        <v>0.16</v>
      </c>
      <c r="R116" s="275">
        <f t="shared" si="7"/>
        <v>6400</v>
      </c>
      <c r="S116" s="275">
        <f t="shared" si="8"/>
        <v>46400</v>
      </c>
      <c r="T116" s="275">
        <f>INDEX('Glosario Partidas'!$M$8:$M$10,MATCH(L116,'Glosario Partidas'!$L$8:$L$10,0))</f>
        <v>1</v>
      </c>
      <c r="U116" s="275">
        <f t="shared" si="9"/>
        <v>46400</v>
      </c>
      <c r="V116" s="311" t="s">
        <v>965</v>
      </c>
      <c r="W116" s="311" t="s">
        <v>12</v>
      </c>
      <c r="X116" s="311" t="s">
        <v>493</v>
      </c>
      <c r="Y116" s="311"/>
    </row>
    <row r="117" spans="1:25" ht="15" customHeight="1" x14ac:dyDescent="0.2">
      <c r="A117" s="273"/>
      <c r="B117" s="273" t="s">
        <v>188</v>
      </c>
      <c r="C117" s="273" t="s">
        <v>112</v>
      </c>
      <c r="D117" s="273" t="s">
        <v>970</v>
      </c>
      <c r="E117" s="269" t="s">
        <v>967</v>
      </c>
      <c r="F117" s="311" t="s">
        <v>220</v>
      </c>
      <c r="G117" s="269" t="s">
        <v>705</v>
      </c>
      <c r="H117" s="311" t="s">
        <v>1025</v>
      </c>
      <c r="I117" s="302" t="s">
        <v>456</v>
      </c>
      <c r="J117" s="273" t="s">
        <v>410</v>
      </c>
      <c r="K117" s="302">
        <v>1</v>
      </c>
      <c r="L117" s="273" t="s">
        <v>269</v>
      </c>
      <c r="M117" s="274">
        <v>40000</v>
      </c>
      <c r="N117" s="275">
        <f t="shared" si="5"/>
        <v>40000</v>
      </c>
      <c r="O117" s="311">
        <v>0</v>
      </c>
      <c r="P117" s="273">
        <f t="shared" si="6"/>
        <v>0</v>
      </c>
      <c r="Q117" s="313">
        <v>0.16</v>
      </c>
      <c r="R117" s="275">
        <f t="shared" si="7"/>
        <v>6400</v>
      </c>
      <c r="S117" s="275">
        <f t="shared" si="8"/>
        <v>46400</v>
      </c>
      <c r="T117" s="275">
        <f>INDEX('Glosario Partidas'!$M$8:$M$10,MATCH(L117,'Glosario Partidas'!$L$8:$L$10,0))</f>
        <v>1</v>
      </c>
      <c r="U117" s="275">
        <f t="shared" si="9"/>
        <v>46400</v>
      </c>
      <c r="V117" s="311" t="s">
        <v>965</v>
      </c>
      <c r="W117" s="311" t="s">
        <v>12</v>
      </c>
      <c r="X117" s="311" t="s">
        <v>493</v>
      </c>
      <c r="Y117" s="311"/>
    </row>
    <row r="118" spans="1:25" ht="15" customHeight="1" x14ac:dyDescent="0.2">
      <c r="A118" s="273"/>
      <c r="B118" s="273" t="s">
        <v>188</v>
      </c>
      <c r="C118" s="273" t="s">
        <v>112</v>
      </c>
      <c r="D118" s="273" t="s">
        <v>970</v>
      </c>
      <c r="E118" s="269" t="s">
        <v>968</v>
      </c>
      <c r="F118" s="311" t="s">
        <v>220</v>
      </c>
      <c r="G118" s="269" t="s">
        <v>705</v>
      </c>
      <c r="H118" s="311" t="s">
        <v>1025</v>
      </c>
      <c r="I118" s="302" t="s">
        <v>456</v>
      </c>
      <c r="J118" s="273" t="s">
        <v>410</v>
      </c>
      <c r="K118" s="302">
        <v>1</v>
      </c>
      <c r="L118" s="273" t="s">
        <v>269</v>
      </c>
      <c r="M118" s="274">
        <v>60000</v>
      </c>
      <c r="N118" s="275">
        <f t="shared" si="5"/>
        <v>60000</v>
      </c>
      <c r="O118" s="311">
        <v>0</v>
      </c>
      <c r="P118" s="273">
        <f t="shared" si="6"/>
        <v>0</v>
      </c>
      <c r="Q118" s="313">
        <v>0.16</v>
      </c>
      <c r="R118" s="275">
        <f t="shared" si="7"/>
        <v>9600</v>
      </c>
      <c r="S118" s="275">
        <f t="shared" si="8"/>
        <v>69600</v>
      </c>
      <c r="T118" s="275">
        <f>INDEX('Glosario Partidas'!$M$8:$M$10,MATCH(L118,'Glosario Partidas'!$L$8:$L$10,0))</f>
        <v>1</v>
      </c>
      <c r="U118" s="275">
        <f t="shared" si="9"/>
        <v>69600</v>
      </c>
      <c r="V118" s="311" t="s">
        <v>965</v>
      </c>
      <c r="W118" s="311" t="s">
        <v>12</v>
      </c>
      <c r="X118" s="311" t="s">
        <v>493</v>
      </c>
      <c r="Y118" s="311"/>
    </row>
    <row r="119" spans="1:25" ht="15" customHeight="1" x14ac:dyDescent="0.2">
      <c r="A119" s="273"/>
      <c r="B119" s="273" t="s">
        <v>188</v>
      </c>
      <c r="C119" s="273" t="s">
        <v>112</v>
      </c>
      <c r="D119" s="273" t="s">
        <v>970</v>
      </c>
      <c r="E119" s="269" t="s">
        <v>969</v>
      </c>
      <c r="F119" s="311" t="s">
        <v>220</v>
      </c>
      <c r="G119" s="269" t="s">
        <v>705</v>
      </c>
      <c r="H119" s="311" t="s">
        <v>1025</v>
      </c>
      <c r="I119" s="302" t="s">
        <v>456</v>
      </c>
      <c r="J119" s="273" t="s">
        <v>410</v>
      </c>
      <c r="K119" s="302">
        <v>1</v>
      </c>
      <c r="L119" s="273" t="s">
        <v>269</v>
      </c>
      <c r="M119" s="274">
        <v>60000</v>
      </c>
      <c r="N119" s="275">
        <f t="shared" si="5"/>
        <v>60000</v>
      </c>
      <c r="O119" s="311">
        <v>0</v>
      </c>
      <c r="P119" s="273">
        <f t="shared" si="6"/>
        <v>0</v>
      </c>
      <c r="Q119" s="313">
        <v>0.16</v>
      </c>
      <c r="R119" s="275">
        <f t="shared" si="7"/>
        <v>9600</v>
      </c>
      <c r="S119" s="275">
        <f t="shared" si="8"/>
        <v>69600</v>
      </c>
      <c r="T119" s="275">
        <f>INDEX('Glosario Partidas'!$M$8:$M$10,MATCH(L119,'Glosario Partidas'!$L$8:$L$10,0))</f>
        <v>1</v>
      </c>
      <c r="U119" s="275">
        <f t="shared" si="9"/>
        <v>69600</v>
      </c>
      <c r="V119" s="311" t="s">
        <v>965</v>
      </c>
      <c r="W119" s="311" t="s">
        <v>12</v>
      </c>
      <c r="X119" s="311" t="s">
        <v>493</v>
      </c>
      <c r="Y119" s="311"/>
    </row>
    <row r="120" spans="1:25" ht="15" customHeight="1" x14ac:dyDescent="0.2">
      <c r="A120" s="273"/>
      <c r="B120" s="273" t="s">
        <v>188</v>
      </c>
      <c r="C120" s="273" t="s">
        <v>112</v>
      </c>
      <c r="D120" s="273" t="s">
        <v>970</v>
      </c>
      <c r="E120" s="269" t="s">
        <v>1009</v>
      </c>
      <c r="F120" s="311" t="s">
        <v>220</v>
      </c>
      <c r="G120" s="269" t="s">
        <v>705</v>
      </c>
      <c r="H120" s="311" t="s">
        <v>1025</v>
      </c>
      <c r="I120" s="302" t="s">
        <v>456</v>
      </c>
      <c r="J120" s="273" t="s">
        <v>410</v>
      </c>
      <c r="K120" s="302">
        <v>1</v>
      </c>
      <c r="L120" s="273" t="s">
        <v>269</v>
      </c>
      <c r="M120" s="274">
        <v>25000</v>
      </c>
      <c r="N120" s="275">
        <f t="shared" si="5"/>
        <v>25000</v>
      </c>
      <c r="O120" s="311">
        <v>0</v>
      </c>
      <c r="P120" s="273">
        <f t="shared" si="6"/>
        <v>0</v>
      </c>
      <c r="Q120" s="313">
        <v>0.16</v>
      </c>
      <c r="R120" s="275">
        <f t="shared" si="7"/>
        <v>4000</v>
      </c>
      <c r="S120" s="275">
        <f t="shared" si="8"/>
        <v>29000</v>
      </c>
      <c r="T120" s="275">
        <f>INDEX('Glosario Partidas'!$M$8:$M$10,MATCH(L120,'Glosario Partidas'!$L$8:$L$10,0))</f>
        <v>1</v>
      </c>
      <c r="U120" s="275">
        <f t="shared" si="9"/>
        <v>29000</v>
      </c>
      <c r="V120" s="311" t="s">
        <v>965</v>
      </c>
      <c r="W120" s="311" t="s">
        <v>12</v>
      </c>
      <c r="X120" s="311" t="s">
        <v>493</v>
      </c>
      <c r="Y120" s="311"/>
    </row>
    <row r="121" spans="1:25" ht="15" customHeight="1" x14ac:dyDescent="0.2">
      <c r="A121" s="273"/>
      <c r="B121" s="273" t="s">
        <v>188</v>
      </c>
      <c r="C121" s="273" t="s">
        <v>113</v>
      </c>
      <c r="D121" s="273" t="s">
        <v>971</v>
      </c>
      <c r="E121" s="269" t="s">
        <v>1010</v>
      </c>
      <c r="F121" s="311" t="s">
        <v>220</v>
      </c>
      <c r="G121" s="269" t="s">
        <v>705</v>
      </c>
      <c r="H121" s="311" t="s">
        <v>1025</v>
      </c>
      <c r="I121" s="302" t="s">
        <v>456</v>
      </c>
      <c r="J121" s="273" t="s">
        <v>410</v>
      </c>
      <c r="K121" s="302">
        <v>3</v>
      </c>
      <c r="L121" s="273" t="s">
        <v>269</v>
      </c>
      <c r="M121" s="274">
        <v>195000</v>
      </c>
      <c r="N121" s="275">
        <f t="shared" si="5"/>
        <v>585000</v>
      </c>
      <c r="O121" s="311">
        <v>0</v>
      </c>
      <c r="P121" s="273">
        <f t="shared" si="6"/>
        <v>0</v>
      </c>
      <c r="Q121" s="313">
        <v>0.16</v>
      </c>
      <c r="R121" s="275">
        <f t="shared" si="7"/>
        <v>93600</v>
      </c>
      <c r="S121" s="275">
        <f t="shared" si="8"/>
        <v>678600</v>
      </c>
      <c r="T121" s="275">
        <f>INDEX('Glosario Partidas'!$M$8:$M$10,MATCH(L121,'Glosario Partidas'!$L$8:$L$10,0))</f>
        <v>1</v>
      </c>
      <c r="U121" s="275">
        <f t="shared" si="9"/>
        <v>678600</v>
      </c>
      <c r="V121" s="311" t="s">
        <v>965</v>
      </c>
      <c r="W121" s="311" t="s">
        <v>12</v>
      </c>
      <c r="X121" s="311" t="s">
        <v>493</v>
      </c>
      <c r="Y121" s="311"/>
    </row>
    <row r="122" spans="1:25" ht="15" customHeight="1" x14ac:dyDescent="0.2">
      <c r="A122" s="273"/>
      <c r="B122" s="273" t="s">
        <v>188</v>
      </c>
      <c r="C122" s="273" t="s">
        <v>113</v>
      </c>
      <c r="D122" s="273" t="s">
        <v>973</v>
      </c>
      <c r="E122" s="269" t="s">
        <v>974</v>
      </c>
      <c r="F122" s="311" t="s">
        <v>220</v>
      </c>
      <c r="G122" s="269" t="s">
        <v>705</v>
      </c>
      <c r="H122" s="311" t="s">
        <v>1025</v>
      </c>
      <c r="I122" s="302" t="s">
        <v>456</v>
      </c>
      <c r="J122" s="273" t="s">
        <v>410</v>
      </c>
      <c r="K122" s="302">
        <v>1</v>
      </c>
      <c r="L122" s="273" t="s">
        <v>269</v>
      </c>
      <c r="M122" s="274">
        <v>38000</v>
      </c>
      <c r="N122" s="275">
        <f t="shared" si="5"/>
        <v>38000</v>
      </c>
      <c r="O122" s="311">
        <v>0</v>
      </c>
      <c r="P122" s="273">
        <f t="shared" si="6"/>
        <v>0</v>
      </c>
      <c r="Q122" s="313">
        <v>0.16</v>
      </c>
      <c r="R122" s="275">
        <f t="shared" si="7"/>
        <v>6080</v>
      </c>
      <c r="S122" s="275">
        <f t="shared" si="8"/>
        <v>44080</v>
      </c>
      <c r="T122" s="275">
        <f>INDEX('Glosario Partidas'!$M$8:$M$10,MATCH(L122,'Glosario Partidas'!$L$8:$L$10,0))</f>
        <v>1</v>
      </c>
      <c r="U122" s="275">
        <f t="shared" si="9"/>
        <v>44080</v>
      </c>
      <c r="V122" s="311" t="s">
        <v>965</v>
      </c>
      <c r="W122" s="311" t="s">
        <v>12</v>
      </c>
      <c r="X122" s="311" t="s">
        <v>493</v>
      </c>
      <c r="Y122" s="311"/>
    </row>
    <row r="123" spans="1:25" ht="15" customHeight="1" x14ac:dyDescent="0.2">
      <c r="A123" s="273"/>
      <c r="B123" s="273" t="s">
        <v>188</v>
      </c>
      <c r="C123" s="273" t="s">
        <v>113</v>
      </c>
      <c r="D123" s="273" t="s">
        <v>973</v>
      </c>
      <c r="E123" s="269" t="s">
        <v>975</v>
      </c>
      <c r="F123" s="311" t="s">
        <v>220</v>
      </c>
      <c r="G123" s="269" t="s">
        <v>705</v>
      </c>
      <c r="H123" s="311" t="s">
        <v>1025</v>
      </c>
      <c r="I123" s="302" t="s">
        <v>456</v>
      </c>
      <c r="J123" s="273" t="s">
        <v>410</v>
      </c>
      <c r="K123" s="302">
        <v>1</v>
      </c>
      <c r="L123" s="273" t="s">
        <v>269</v>
      </c>
      <c r="M123" s="274">
        <v>38000</v>
      </c>
      <c r="N123" s="275">
        <f t="shared" si="5"/>
        <v>38000</v>
      </c>
      <c r="O123" s="311">
        <v>0</v>
      </c>
      <c r="P123" s="273">
        <f t="shared" si="6"/>
        <v>0</v>
      </c>
      <c r="Q123" s="313">
        <v>0.16</v>
      </c>
      <c r="R123" s="275">
        <f t="shared" si="7"/>
        <v>6080</v>
      </c>
      <c r="S123" s="275">
        <f t="shared" si="8"/>
        <v>44080</v>
      </c>
      <c r="T123" s="275">
        <f>INDEX('Glosario Partidas'!$M$8:$M$10,MATCH(L123,'Glosario Partidas'!$L$8:$L$10,0))</f>
        <v>1</v>
      </c>
      <c r="U123" s="275">
        <f t="shared" si="9"/>
        <v>44080</v>
      </c>
      <c r="V123" s="311" t="s">
        <v>965</v>
      </c>
      <c r="W123" s="311" t="s">
        <v>12</v>
      </c>
      <c r="X123" s="311" t="s">
        <v>493</v>
      </c>
      <c r="Y123" s="311"/>
    </row>
    <row r="124" spans="1:25" ht="15" customHeight="1" x14ac:dyDescent="0.2">
      <c r="A124" s="273"/>
      <c r="B124" s="273" t="s">
        <v>188</v>
      </c>
      <c r="C124" s="273" t="s">
        <v>113</v>
      </c>
      <c r="D124" s="273" t="s">
        <v>977</v>
      </c>
      <c r="E124" s="269" t="s">
        <v>1011</v>
      </c>
      <c r="F124" s="311" t="s">
        <v>220</v>
      </c>
      <c r="G124" s="269" t="s">
        <v>705</v>
      </c>
      <c r="H124" s="311" t="s">
        <v>1025</v>
      </c>
      <c r="I124" s="302" t="s">
        <v>456</v>
      </c>
      <c r="J124" s="273" t="s">
        <v>410</v>
      </c>
      <c r="K124" s="302">
        <v>1</v>
      </c>
      <c r="L124" s="273" t="s">
        <v>269</v>
      </c>
      <c r="M124" s="274">
        <v>46000</v>
      </c>
      <c r="N124" s="275">
        <f t="shared" si="5"/>
        <v>46000</v>
      </c>
      <c r="O124" s="311">
        <v>0</v>
      </c>
      <c r="P124" s="273">
        <f t="shared" si="6"/>
        <v>0</v>
      </c>
      <c r="Q124" s="313">
        <v>0.16</v>
      </c>
      <c r="R124" s="275">
        <f t="shared" si="7"/>
        <v>7360</v>
      </c>
      <c r="S124" s="275">
        <f t="shared" si="8"/>
        <v>53360</v>
      </c>
      <c r="T124" s="275">
        <f>INDEX('Glosario Partidas'!$M$8:$M$10,MATCH(L124,'Glosario Partidas'!$L$8:$L$10,0))</f>
        <v>1</v>
      </c>
      <c r="U124" s="275">
        <f t="shared" si="9"/>
        <v>53360</v>
      </c>
      <c r="V124" s="311" t="s">
        <v>965</v>
      </c>
      <c r="W124" s="311" t="s">
        <v>12</v>
      </c>
      <c r="X124" s="311" t="s">
        <v>493</v>
      </c>
      <c r="Y124" s="311"/>
    </row>
    <row r="125" spans="1:25" ht="15" customHeight="1" x14ac:dyDescent="0.2">
      <c r="A125" s="273"/>
      <c r="B125" s="273" t="s">
        <v>188</v>
      </c>
      <c r="C125" s="273" t="s">
        <v>113</v>
      </c>
      <c r="D125" s="273" t="s">
        <v>977</v>
      </c>
      <c r="E125" s="269" t="s">
        <v>1012</v>
      </c>
      <c r="F125" s="311" t="s">
        <v>220</v>
      </c>
      <c r="G125" s="269" t="s">
        <v>705</v>
      </c>
      <c r="H125" s="311" t="s">
        <v>1025</v>
      </c>
      <c r="I125" s="302" t="s">
        <v>456</v>
      </c>
      <c r="J125" s="273" t="s">
        <v>410</v>
      </c>
      <c r="K125" s="302">
        <v>1</v>
      </c>
      <c r="L125" s="273" t="s">
        <v>269</v>
      </c>
      <c r="M125" s="274">
        <v>46000</v>
      </c>
      <c r="N125" s="275">
        <f t="shared" si="5"/>
        <v>46000</v>
      </c>
      <c r="O125" s="311">
        <v>0</v>
      </c>
      <c r="P125" s="273">
        <f t="shared" si="6"/>
        <v>0</v>
      </c>
      <c r="Q125" s="313">
        <v>0.16</v>
      </c>
      <c r="R125" s="275">
        <f t="shared" si="7"/>
        <v>7360</v>
      </c>
      <c r="S125" s="275">
        <f t="shared" si="8"/>
        <v>53360</v>
      </c>
      <c r="T125" s="275">
        <f>INDEX('Glosario Partidas'!$M$8:$M$10,MATCH(L125,'Glosario Partidas'!$L$8:$L$10,0))</f>
        <v>1</v>
      </c>
      <c r="U125" s="275">
        <f t="shared" si="9"/>
        <v>53360</v>
      </c>
      <c r="V125" s="311" t="s">
        <v>965</v>
      </c>
      <c r="W125" s="311" t="s">
        <v>12</v>
      </c>
      <c r="X125" s="311" t="s">
        <v>493</v>
      </c>
      <c r="Y125" s="311"/>
    </row>
    <row r="126" spans="1:25" ht="15" customHeight="1" x14ac:dyDescent="0.2">
      <c r="A126" s="273"/>
      <c r="B126" s="273" t="s">
        <v>188</v>
      </c>
      <c r="C126" s="273" t="s">
        <v>113</v>
      </c>
      <c r="D126" s="273" t="s">
        <v>977</v>
      </c>
      <c r="E126" s="269" t="s">
        <v>1013</v>
      </c>
      <c r="F126" s="311" t="s">
        <v>220</v>
      </c>
      <c r="G126" s="269" t="s">
        <v>705</v>
      </c>
      <c r="H126" s="311" t="s">
        <v>1025</v>
      </c>
      <c r="I126" s="302" t="s">
        <v>456</v>
      </c>
      <c r="J126" s="273" t="s">
        <v>410</v>
      </c>
      <c r="K126" s="302">
        <v>1</v>
      </c>
      <c r="L126" s="273" t="s">
        <v>269</v>
      </c>
      <c r="M126" s="274">
        <v>46000</v>
      </c>
      <c r="N126" s="275">
        <f t="shared" si="5"/>
        <v>46000</v>
      </c>
      <c r="O126" s="311">
        <v>0</v>
      </c>
      <c r="P126" s="273">
        <f t="shared" si="6"/>
        <v>0</v>
      </c>
      <c r="Q126" s="313">
        <v>0.16</v>
      </c>
      <c r="R126" s="275">
        <f t="shared" si="7"/>
        <v>7360</v>
      </c>
      <c r="S126" s="275">
        <f t="shared" si="8"/>
        <v>53360</v>
      </c>
      <c r="T126" s="275">
        <f>INDEX('Glosario Partidas'!$M$8:$M$10,MATCH(L126,'Glosario Partidas'!$L$8:$L$10,0))</f>
        <v>1</v>
      </c>
      <c r="U126" s="275">
        <f t="shared" si="9"/>
        <v>53360</v>
      </c>
      <c r="V126" s="311" t="s">
        <v>965</v>
      </c>
      <c r="W126" s="311" t="s">
        <v>12</v>
      </c>
      <c r="X126" s="311" t="s">
        <v>493</v>
      </c>
      <c r="Y126" s="311"/>
    </row>
    <row r="127" spans="1:25" ht="15" customHeight="1" x14ac:dyDescent="0.2">
      <c r="A127" s="273"/>
      <c r="B127" s="273" t="s">
        <v>188</v>
      </c>
      <c r="C127" s="273" t="s">
        <v>113</v>
      </c>
      <c r="D127" s="273" t="s">
        <v>977</v>
      </c>
      <c r="E127" s="269" t="s">
        <v>1014</v>
      </c>
      <c r="F127" s="311" t="s">
        <v>220</v>
      </c>
      <c r="G127" s="269" t="s">
        <v>705</v>
      </c>
      <c r="H127" s="311" t="s">
        <v>1025</v>
      </c>
      <c r="I127" s="302" t="s">
        <v>456</v>
      </c>
      <c r="J127" s="273" t="s">
        <v>410</v>
      </c>
      <c r="K127" s="302">
        <v>1</v>
      </c>
      <c r="L127" s="273" t="s">
        <v>269</v>
      </c>
      <c r="M127" s="274">
        <v>46000</v>
      </c>
      <c r="N127" s="275">
        <f t="shared" si="5"/>
        <v>46000</v>
      </c>
      <c r="O127" s="311">
        <v>0</v>
      </c>
      <c r="P127" s="273">
        <f t="shared" si="6"/>
        <v>0</v>
      </c>
      <c r="Q127" s="313">
        <v>0.16</v>
      </c>
      <c r="R127" s="275">
        <f t="shared" si="7"/>
        <v>7360</v>
      </c>
      <c r="S127" s="275">
        <f t="shared" si="8"/>
        <v>53360</v>
      </c>
      <c r="T127" s="275">
        <f>INDEX('Glosario Partidas'!$M$8:$M$10,MATCH(L127,'Glosario Partidas'!$L$8:$L$10,0))</f>
        <v>1</v>
      </c>
      <c r="U127" s="275">
        <f t="shared" si="9"/>
        <v>53360</v>
      </c>
      <c r="V127" s="311" t="s">
        <v>965</v>
      </c>
      <c r="W127" s="311" t="s">
        <v>12</v>
      </c>
      <c r="X127" s="311" t="s">
        <v>493</v>
      </c>
      <c r="Y127" s="311"/>
    </row>
    <row r="128" spans="1:25" ht="15" customHeight="1" x14ac:dyDescent="0.2">
      <c r="A128" s="273"/>
      <c r="B128" s="273" t="s">
        <v>188</v>
      </c>
      <c r="C128" s="273" t="s">
        <v>113</v>
      </c>
      <c r="D128" s="273" t="s">
        <v>977</v>
      </c>
      <c r="E128" s="269" t="s">
        <v>1015</v>
      </c>
      <c r="F128" s="311" t="s">
        <v>220</v>
      </c>
      <c r="G128" s="269" t="s">
        <v>705</v>
      </c>
      <c r="H128" s="311" t="s">
        <v>1025</v>
      </c>
      <c r="I128" s="302" t="s">
        <v>456</v>
      </c>
      <c r="J128" s="273" t="s">
        <v>410</v>
      </c>
      <c r="K128" s="302">
        <v>1</v>
      </c>
      <c r="L128" s="273" t="s">
        <v>269</v>
      </c>
      <c r="M128" s="274">
        <v>46000</v>
      </c>
      <c r="N128" s="275">
        <f t="shared" si="5"/>
        <v>46000</v>
      </c>
      <c r="O128" s="311">
        <v>0</v>
      </c>
      <c r="P128" s="273">
        <f t="shared" si="6"/>
        <v>0</v>
      </c>
      <c r="Q128" s="313">
        <v>0.16</v>
      </c>
      <c r="R128" s="275">
        <f t="shared" si="7"/>
        <v>7360</v>
      </c>
      <c r="S128" s="275">
        <f t="shared" si="8"/>
        <v>53360</v>
      </c>
      <c r="T128" s="275">
        <f>INDEX('Glosario Partidas'!$M$8:$M$10,MATCH(L128,'Glosario Partidas'!$L$8:$L$10,0))</f>
        <v>1</v>
      </c>
      <c r="U128" s="275">
        <f t="shared" si="9"/>
        <v>53360</v>
      </c>
      <c r="V128" s="311" t="s">
        <v>965</v>
      </c>
      <c r="W128" s="311" t="s">
        <v>12</v>
      </c>
      <c r="X128" s="311" t="s">
        <v>493</v>
      </c>
      <c r="Y128" s="311"/>
    </row>
    <row r="129" spans="1:25" ht="15" customHeight="1" x14ac:dyDescent="0.2">
      <c r="A129" s="273"/>
      <c r="B129" s="273" t="s">
        <v>188</v>
      </c>
      <c r="C129" s="273" t="s">
        <v>113</v>
      </c>
      <c r="D129" s="273" t="s">
        <v>977</v>
      </c>
      <c r="E129" s="269" t="s">
        <v>1016</v>
      </c>
      <c r="F129" s="311" t="s">
        <v>220</v>
      </c>
      <c r="G129" s="269" t="s">
        <v>705</v>
      </c>
      <c r="H129" s="311" t="s">
        <v>1025</v>
      </c>
      <c r="I129" s="302" t="s">
        <v>456</v>
      </c>
      <c r="J129" s="273" t="s">
        <v>410</v>
      </c>
      <c r="K129" s="302">
        <v>1</v>
      </c>
      <c r="L129" s="273" t="s">
        <v>269</v>
      </c>
      <c r="M129" s="274">
        <v>46000</v>
      </c>
      <c r="N129" s="275">
        <f t="shared" si="5"/>
        <v>46000</v>
      </c>
      <c r="O129" s="311">
        <v>0</v>
      </c>
      <c r="P129" s="273">
        <f t="shared" si="6"/>
        <v>0</v>
      </c>
      <c r="Q129" s="313">
        <v>0.16</v>
      </c>
      <c r="R129" s="275">
        <f t="shared" si="7"/>
        <v>7360</v>
      </c>
      <c r="S129" s="275">
        <f t="shared" si="8"/>
        <v>53360</v>
      </c>
      <c r="T129" s="275">
        <f>INDEX('Glosario Partidas'!$M$8:$M$10,MATCH(L129,'Glosario Partidas'!$L$8:$L$10,0))</f>
        <v>1</v>
      </c>
      <c r="U129" s="275">
        <f t="shared" si="9"/>
        <v>53360</v>
      </c>
      <c r="V129" s="311" t="s">
        <v>965</v>
      </c>
      <c r="W129" s="311" t="s">
        <v>12</v>
      </c>
      <c r="X129" s="311" t="s">
        <v>493</v>
      </c>
      <c r="Y129" s="311"/>
    </row>
    <row r="130" spans="1:25" ht="15" customHeight="1" x14ac:dyDescent="0.2">
      <c r="A130" s="273"/>
      <c r="B130" s="273" t="s">
        <v>188</v>
      </c>
      <c r="C130" s="273" t="s">
        <v>113</v>
      </c>
      <c r="D130" s="273" t="s">
        <v>984</v>
      </c>
      <c r="E130" s="269" t="s">
        <v>1017</v>
      </c>
      <c r="F130" s="311" t="s">
        <v>220</v>
      </c>
      <c r="G130" s="269" t="s">
        <v>705</v>
      </c>
      <c r="H130" s="311" t="s">
        <v>1025</v>
      </c>
      <c r="I130" s="302" t="s">
        <v>456</v>
      </c>
      <c r="J130" s="273" t="s">
        <v>410</v>
      </c>
      <c r="K130" s="302">
        <v>1</v>
      </c>
      <c r="L130" s="273" t="s">
        <v>269</v>
      </c>
      <c r="M130" s="274">
        <v>60000</v>
      </c>
      <c r="N130" s="275">
        <f t="shared" ref="N130:N193" si="10">K130*M130</f>
        <v>60000</v>
      </c>
      <c r="O130" s="311">
        <v>0</v>
      </c>
      <c r="P130" s="273">
        <f t="shared" ref="P130:P193" si="11">N130*O130</f>
        <v>0</v>
      </c>
      <c r="Q130" s="313">
        <v>0.16</v>
      </c>
      <c r="R130" s="275">
        <f t="shared" ref="R130:R193" si="12">(N130+P130)*Q130</f>
        <v>9600</v>
      </c>
      <c r="S130" s="275">
        <f t="shared" ref="S130:S193" si="13">N130+P130+R130</f>
        <v>69600</v>
      </c>
      <c r="T130" s="275">
        <f>INDEX('Glosario Partidas'!$M$8:$M$10,MATCH(L130,'Glosario Partidas'!$L$8:$L$10,0))</f>
        <v>1</v>
      </c>
      <c r="U130" s="275">
        <f t="shared" ref="U130:U193" si="14">S130*T130</f>
        <v>69600</v>
      </c>
      <c r="V130" s="311" t="s">
        <v>965</v>
      </c>
      <c r="W130" s="311" t="s">
        <v>12</v>
      </c>
      <c r="X130" s="311" t="s">
        <v>493</v>
      </c>
      <c r="Y130" s="311"/>
    </row>
    <row r="131" spans="1:25" ht="15" customHeight="1" x14ac:dyDescent="0.2">
      <c r="A131" s="273"/>
      <c r="B131" s="273" t="s">
        <v>188</v>
      </c>
      <c r="C131" s="273" t="s">
        <v>113</v>
      </c>
      <c r="D131" s="273" t="s">
        <v>986</v>
      </c>
      <c r="E131" s="269" t="s">
        <v>1018</v>
      </c>
      <c r="F131" s="311" t="s">
        <v>220</v>
      </c>
      <c r="G131" s="269" t="s">
        <v>705</v>
      </c>
      <c r="H131" s="311" t="s">
        <v>1025</v>
      </c>
      <c r="I131" s="302" t="s">
        <v>456</v>
      </c>
      <c r="J131" s="273" t="s">
        <v>410</v>
      </c>
      <c r="K131" s="302">
        <v>1</v>
      </c>
      <c r="L131" s="273" t="s">
        <v>269</v>
      </c>
      <c r="M131" s="274">
        <v>98000</v>
      </c>
      <c r="N131" s="275">
        <f t="shared" si="10"/>
        <v>98000</v>
      </c>
      <c r="O131" s="311">
        <v>0</v>
      </c>
      <c r="P131" s="273">
        <f t="shared" si="11"/>
        <v>0</v>
      </c>
      <c r="Q131" s="313">
        <v>0.16</v>
      </c>
      <c r="R131" s="275">
        <f t="shared" si="12"/>
        <v>15680</v>
      </c>
      <c r="S131" s="275">
        <f t="shared" si="13"/>
        <v>113680</v>
      </c>
      <c r="T131" s="275">
        <f>INDEX('Glosario Partidas'!$M$8:$M$10,MATCH(L131,'Glosario Partidas'!$L$8:$L$10,0))</f>
        <v>1</v>
      </c>
      <c r="U131" s="275">
        <f t="shared" si="14"/>
        <v>113680</v>
      </c>
      <c r="V131" s="311" t="s">
        <v>965</v>
      </c>
      <c r="W131" s="311" t="s">
        <v>12</v>
      </c>
      <c r="X131" s="311" t="s">
        <v>493</v>
      </c>
      <c r="Y131" s="311"/>
    </row>
    <row r="132" spans="1:25" ht="15" customHeight="1" x14ac:dyDescent="0.2">
      <c r="A132" s="273"/>
      <c r="B132" s="273" t="s">
        <v>188</v>
      </c>
      <c r="C132" s="273" t="s">
        <v>113</v>
      </c>
      <c r="D132" s="273" t="s">
        <v>986</v>
      </c>
      <c r="E132" s="269" t="s">
        <v>1019</v>
      </c>
      <c r="F132" s="311" t="s">
        <v>220</v>
      </c>
      <c r="G132" s="269" t="s">
        <v>705</v>
      </c>
      <c r="H132" s="311" t="s">
        <v>1025</v>
      </c>
      <c r="I132" s="302" t="s">
        <v>456</v>
      </c>
      <c r="J132" s="273" t="s">
        <v>410</v>
      </c>
      <c r="K132" s="302">
        <v>1</v>
      </c>
      <c r="L132" s="273" t="s">
        <v>269</v>
      </c>
      <c r="M132" s="274">
        <v>98000</v>
      </c>
      <c r="N132" s="275">
        <f t="shared" si="10"/>
        <v>98000</v>
      </c>
      <c r="O132" s="311">
        <v>0</v>
      </c>
      <c r="P132" s="273">
        <f t="shared" si="11"/>
        <v>0</v>
      </c>
      <c r="Q132" s="313">
        <v>0.16</v>
      </c>
      <c r="R132" s="275">
        <f t="shared" si="12"/>
        <v>15680</v>
      </c>
      <c r="S132" s="275">
        <f t="shared" si="13"/>
        <v>113680</v>
      </c>
      <c r="T132" s="275">
        <f>INDEX('Glosario Partidas'!$M$8:$M$10,MATCH(L132,'Glosario Partidas'!$L$8:$L$10,0))</f>
        <v>1</v>
      </c>
      <c r="U132" s="275">
        <f t="shared" si="14"/>
        <v>113680</v>
      </c>
      <c r="V132" s="311" t="s">
        <v>965</v>
      </c>
      <c r="W132" s="311" t="s">
        <v>12</v>
      </c>
      <c r="X132" s="311" t="s">
        <v>493</v>
      </c>
      <c r="Y132" s="311"/>
    </row>
    <row r="133" spans="1:25" ht="15" customHeight="1" x14ac:dyDescent="0.2">
      <c r="A133" s="273"/>
      <c r="B133" s="273" t="s">
        <v>188</v>
      </c>
      <c r="C133" s="273" t="s">
        <v>113</v>
      </c>
      <c r="D133" s="273" t="s">
        <v>984</v>
      </c>
      <c r="E133" s="269" t="s">
        <v>1020</v>
      </c>
      <c r="F133" s="311" t="s">
        <v>220</v>
      </c>
      <c r="G133" s="269" t="s">
        <v>705</v>
      </c>
      <c r="H133" s="311" t="s">
        <v>1025</v>
      </c>
      <c r="I133" s="302" t="s">
        <v>456</v>
      </c>
      <c r="J133" s="273" t="s">
        <v>410</v>
      </c>
      <c r="K133" s="302">
        <v>1</v>
      </c>
      <c r="L133" s="273" t="s">
        <v>269</v>
      </c>
      <c r="M133" s="274">
        <v>60000</v>
      </c>
      <c r="N133" s="275">
        <f t="shared" si="10"/>
        <v>60000</v>
      </c>
      <c r="O133" s="311">
        <v>0</v>
      </c>
      <c r="P133" s="273">
        <f t="shared" si="11"/>
        <v>0</v>
      </c>
      <c r="Q133" s="313">
        <v>0.16</v>
      </c>
      <c r="R133" s="275">
        <f t="shared" si="12"/>
        <v>9600</v>
      </c>
      <c r="S133" s="275">
        <f t="shared" si="13"/>
        <v>69600</v>
      </c>
      <c r="T133" s="275">
        <f>INDEX('Glosario Partidas'!$M$8:$M$10,MATCH(L133,'Glosario Partidas'!$L$8:$L$10,0))</f>
        <v>1</v>
      </c>
      <c r="U133" s="275">
        <f t="shared" si="14"/>
        <v>69600</v>
      </c>
      <c r="V133" s="311" t="s">
        <v>965</v>
      </c>
      <c r="W133" s="311" t="s">
        <v>12</v>
      </c>
      <c r="X133" s="311" t="s">
        <v>493</v>
      </c>
      <c r="Y133" s="311"/>
    </row>
    <row r="134" spans="1:25" ht="15" customHeight="1" x14ac:dyDescent="0.2">
      <c r="A134" s="273"/>
      <c r="B134" s="273" t="s">
        <v>188</v>
      </c>
      <c r="C134" s="273" t="s">
        <v>113</v>
      </c>
      <c r="D134" s="273" t="s">
        <v>986</v>
      </c>
      <c r="E134" s="269" t="s">
        <v>1021</v>
      </c>
      <c r="F134" s="311" t="s">
        <v>220</v>
      </c>
      <c r="G134" s="269" t="s">
        <v>705</v>
      </c>
      <c r="H134" s="311" t="s">
        <v>1025</v>
      </c>
      <c r="I134" s="302" t="s">
        <v>456</v>
      </c>
      <c r="J134" s="273" t="s">
        <v>410</v>
      </c>
      <c r="K134" s="302">
        <v>1</v>
      </c>
      <c r="L134" s="273" t="s">
        <v>269</v>
      </c>
      <c r="M134" s="274">
        <v>98000</v>
      </c>
      <c r="N134" s="275">
        <f t="shared" si="10"/>
        <v>98000</v>
      </c>
      <c r="O134" s="311">
        <v>0</v>
      </c>
      <c r="P134" s="273">
        <f t="shared" si="11"/>
        <v>0</v>
      </c>
      <c r="Q134" s="313">
        <v>0.16</v>
      </c>
      <c r="R134" s="275">
        <f t="shared" si="12"/>
        <v>15680</v>
      </c>
      <c r="S134" s="275">
        <f t="shared" si="13"/>
        <v>113680</v>
      </c>
      <c r="T134" s="275">
        <f>INDEX('Glosario Partidas'!$M$8:$M$10,MATCH(L134,'Glosario Partidas'!$L$8:$L$10,0))</f>
        <v>1</v>
      </c>
      <c r="U134" s="275">
        <f t="shared" si="14"/>
        <v>113680</v>
      </c>
      <c r="V134" s="311" t="s">
        <v>965</v>
      </c>
      <c r="W134" s="311" t="s">
        <v>12</v>
      </c>
      <c r="X134" s="311" t="s">
        <v>493</v>
      </c>
      <c r="Y134" s="311"/>
    </row>
    <row r="135" spans="1:25" ht="15" customHeight="1" x14ac:dyDescent="0.2">
      <c r="A135" s="273"/>
      <c r="B135" s="273" t="s">
        <v>188</v>
      </c>
      <c r="C135" s="273" t="s">
        <v>113</v>
      </c>
      <c r="D135" s="273" t="s">
        <v>986</v>
      </c>
      <c r="E135" s="269" t="s">
        <v>1022</v>
      </c>
      <c r="F135" s="311" t="s">
        <v>220</v>
      </c>
      <c r="G135" s="269" t="s">
        <v>705</v>
      </c>
      <c r="H135" s="311" t="s">
        <v>1025</v>
      </c>
      <c r="I135" s="302" t="s">
        <v>456</v>
      </c>
      <c r="J135" s="273" t="s">
        <v>410</v>
      </c>
      <c r="K135" s="302">
        <v>1</v>
      </c>
      <c r="L135" s="273" t="s">
        <v>269</v>
      </c>
      <c r="M135" s="274">
        <v>98000</v>
      </c>
      <c r="N135" s="275">
        <f t="shared" si="10"/>
        <v>98000</v>
      </c>
      <c r="O135" s="311">
        <v>0</v>
      </c>
      <c r="P135" s="273">
        <f t="shared" si="11"/>
        <v>0</v>
      </c>
      <c r="Q135" s="313">
        <v>0.16</v>
      </c>
      <c r="R135" s="275">
        <f t="shared" si="12"/>
        <v>15680</v>
      </c>
      <c r="S135" s="275">
        <f t="shared" si="13"/>
        <v>113680</v>
      </c>
      <c r="T135" s="275">
        <f>INDEX('Glosario Partidas'!$M$8:$M$10,MATCH(L135,'Glosario Partidas'!$L$8:$L$10,0))</f>
        <v>1</v>
      </c>
      <c r="U135" s="275">
        <f t="shared" si="14"/>
        <v>113680</v>
      </c>
      <c r="V135" s="311" t="s">
        <v>965</v>
      </c>
      <c r="W135" s="311" t="s">
        <v>12</v>
      </c>
      <c r="X135" s="311" t="s">
        <v>493</v>
      </c>
      <c r="Y135" s="311"/>
    </row>
    <row r="136" spans="1:25" ht="15" customHeight="1" x14ac:dyDescent="0.2">
      <c r="A136" s="273"/>
      <c r="B136" s="273" t="s">
        <v>188</v>
      </c>
      <c r="C136" s="273" t="s">
        <v>113</v>
      </c>
      <c r="D136" s="273" t="s">
        <v>973</v>
      </c>
      <c r="E136" s="269" t="s">
        <v>1023</v>
      </c>
      <c r="F136" s="311" t="s">
        <v>220</v>
      </c>
      <c r="G136" s="269" t="s">
        <v>705</v>
      </c>
      <c r="H136" s="311" t="s">
        <v>1025</v>
      </c>
      <c r="I136" s="302" t="s">
        <v>456</v>
      </c>
      <c r="J136" s="273" t="s">
        <v>410</v>
      </c>
      <c r="K136" s="302">
        <v>1</v>
      </c>
      <c r="L136" s="273" t="s">
        <v>269</v>
      </c>
      <c r="M136" s="274">
        <v>38000</v>
      </c>
      <c r="N136" s="275">
        <f t="shared" si="10"/>
        <v>38000</v>
      </c>
      <c r="O136" s="311">
        <v>0</v>
      </c>
      <c r="P136" s="273">
        <f t="shared" si="11"/>
        <v>0</v>
      </c>
      <c r="Q136" s="313">
        <v>0.16</v>
      </c>
      <c r="R136" s="275">
        <f t="shared" si="12"/>
        <v>6080</v>
      </c>
      <c r="S136" s="275">
        <f t="shared" si="13"/>
        <v>44080</v>
      </c>
      <c r="T136" s="275">
        <f>INDEX('Glosario Partidas'!$M$8:$M$10,MATCH(L136,'Glosario Partidas'!$L$8:$L$10,0))</f>
        <v>1</v>
      </c>
      <c r="U136" s="275">
        <f t="shared" si="14"/>
        <v>44080</v>
      </c>
      <c r="V136" s="311" t="s">
        <v>965</v>
      </c>
      <c r="W136" s="311" t="s">
        <v>12</v>
      </c>
      <c r="X136" s="311" t="s">
        <v>493</v>
      </c>
      <c r="Y136" s="311"/>
    </row>
    <row r="137" spans="1:25" ht="15" customHeight="1" x14ac:dyDescent="0.2">
      <c r="A137" s="273"/>
      <c r="B137" s="273" t="s">
        <v>188</v>
      </c>
      <c r="C137" s="273" t="s">
        <v>113</v>
      </c>
      <c r="D137" s="273" t="s">
        <v>973</v>
      </c>
      <c r="E137" s="269" t="s">
        <v>1024</v>
      </c>
      <c r="F137" s="311" t="s">
        <v>220</v>
      </c>
      <c r="G137" s="269" t="s">
        <v>705</v>
      </c>
      <c r="H137" s="311" t="s">
        <v>1025</v>
      </c>
      <c r="I137" s="302" t="s">
        <v>456</v>
      </c>
      <c r="J137" s="273" t="s">
        <v>410</v>
      </c>
      <c r="K137" s="302">
        <v>1</v>
      </c>
      <c r="L137" s="273" t="s">
        <v>269</v>
      </c>
      <c r="M137" s="274">
        <v>38000</v>
      </c>
      <c r="N137" s="275">
        <f t="shared" si="10"/>
        <v>38000</v>
      </c>
      <c r="O137" s="311">
        <v>0</v>
      </c>
      <c r="P137" s="273">
        <f t="shared" si="11"/>
        <v>0</v>
      </c>
      <c r="Q137" s="313">
        <v>0.16</v>
      </c>
      <c r="R137" s="275">
        <f t="shared" si="12"/>
        <v>6080</v>
      </c>
      <c r="S137" s="275">
        <f t="shared" si="13"/>
        <v>44080</v>
      </c>
      <c r="T137" s="275">
        <f>INDEX('Glosario Partidas'!$M$8:$M$10,MATCH(L137,'Glosario Partidas'!$L$8:$L$10,0))</f>
        <v>1</v>
      </c>
      <c r="U137" s="275">
        <f t="shared" si="14"/>
        <v>44080</v>
      </c>
      <c r="V137" s="311" t="s">
        <v>965</v>
      </c>
      <c r="W137" s="311" t="s">
        <v>12</v>
      </c>
      <c r="X137" s="311" t="s">
        <v>493</v>
      </c>
      <c r="Y137" s="311"/>
    </row>
    <row r="138" spans="1:25" ht="15" customHeight="1" x14ac:dyDescent="0.2">
      <c r="A138" s="273"/>
      <c r="B138" s="273" t="s">
        <v>188</v>
      </c>
      <c r="C138" s="273" t="s">
        <v>113</v>
      </c>
      <c r="D138" s="273" t="s">
        <v>992</v>
      </c>
      <c r="E138" s="269" t="s">
        <v>993</v>
      </c>
      <c r="F138" s="311" t="s">
        <v>220</v>
      </c>
      <c r="G138" s="269" t="s">
        <v>705</v>
      </c>
      <c r="H138" s="311" t="s">
        <v>1025</v>
      </c>
      <c r="I138" s="302" t="s">
        <v>456</v>
      </c>
      <c r="J138" s="273" t="s">
        <v>410</v>
      </c>
      <c r="K138" s="302">
        <v>17</v>
      </c>
      <c r="L138" s="273" t="s">
        <v>269</v>
      </c>
      <c r="M138" s="274">
        <v>12000</v>
      </c>
      <c r="N138" s="275">
        <f t="shared" si="10"/>
        <v>204000</v>
      </c>
      <c r="O138" s="311">
        <v>0</v>
      </c>
      <c r="P138" s="273">
        <f t="shared" si="11"/>
        <v>0</v>
      </c>
      <c r="Q138" s="313">
        <v>0.16</v>
      </c>
      <c r="R138" s="275">
        <f t="shared" si="12"/>
        <v>32640</v>
      </c>
      <c r="S138" s="275">
        <f t="shared" si="13"/>
        <v>236640</v>
      </c>
      <c r="T138" s="275">
        <f>INDEX('Glosario Partidas'!$M$8:$M$10,MATCH(L138,'Glosario Partidas'!$L$8:$L$10,0))</f>
        <v>1</v>
      </c>
      <c r="U138" s="275">
        <f t="shared" si="14"/>
        <v>236640</v>
      </c>
      <c r="V138" s="311" t="s">
        <v>965</v>
      </c>
      <c r="W138" s="311" t="s">
        <v>12</v>
      </c>
      <c r="X138" s="311" t="s">
        <v>493</v>
      </c>
      <c r="Y138" s="311"/>
    </row>
    <row r="139" spans="1:25" ht="15" customHeight="1" x14ac:dyDescent="0.2">
      <c r="A139" s="273"/>
      <c r="B139" s="273" t="s">
        <v>188</v>
      </c>
      <c r="C139" s="273" t="s">
        <v>114</v>
      </c>
      <c r="D139" s="273" t="s">
        <v>994</v>
      </c>
      <c r="E139" s="269" t="s">
        <v>995</v>
      </c>
      <c r="F139" s="311" t="s">
        <v>220</v>
      </c>
      <c r="G139" s="269" t="s">
        <v>705</v>
      </c>
      <c r="H139" s="311" t="s">
        <v>1025</v>
      </c>
      <c r="I139" s="302" t="s">
        <v>456</v>
      </c>
      <c r="J139" s="273" t="s">
        <v>410</v>
      </c>
      <c r="K139" s="302">
        <v>1</v>
      </c>
      <c r="L139" s="273" t="s">
        <v>269</v>
      </c>
      <c r="M139" s="274">
        <v>240000</v>
      </c>
      <c r="N139" s="275">
        <f t="shared" si="10"/>
        <v>240000</v>
      </c>
      <c r="O139" s="311">
        <v>0</v>
      </c>
      <c r="P139" s="273">
        <f t="shared" si="11"/>
        <v>0</v>
      </c>
      <c r="Q139" s="313">
        <v>0.16</v>
      </c>
      <c r="R139" s="275">
        <f t="shared" si="12"/>
        <v>38400</v>
      </c>
      <c r="S139" s="275">
        <f t="shared" si="13"/>
        <v>278400</v>
      </c>
      <c r="T139" s="275">
        <f>INDEX('Glosario Partidas'!$M$8:$M$10,MATCH(L139,'Glosario Partidas'!$L$8:$L$10,0))</f>
        <v>1</v>
      </c>
      <c r="U139" s="275">
        <f t="shared" si="14"/>
        <v>278400</v>
      </c>
      <c r="V139" s="311" t="s">
        <v>965</v>
      </c>
      <c r="W139" s="311" t="s">
        <v>12</v>
      </c>
      <c r="X139" s="311" t="s">
        <v>493</v>
      </c>
      <c r="Y139" s="311"/>
    </row>
    <row r="140" spans="1:25" ht="15" customHeight="1" x14ac:dyDescent="0.2">
      <c r="A140" s="273"/>
      <c r="B140" s="273" t="s">
        <v>188</v>
      </c>
      <c r="C140" s="273" t="s">
        <v>114</v>
      </c>
      <c r="D140" s="273" t="s">
        <v>994</v>
      </c>
      <c r="E140" s="269" t="s">
        <v>996</v>
      </c>
      <c r="F140" s="311" t="s">
        <v>220</v>
      </c>
      <c r="G140" s="269" t="s">
        <v>705</v>
      </c>
      <c r="H140" s="311" t="s">
        <v>1025</v>
      </c>
      <c r="I140" s="302" t="s">
        <v>456</v>
      </c>
      <c r="J140" s="273" t="s">
        <v>410</v>
      </c>
      <c r="K140" s="302">
        <v>1</v>
      </c>
      <c r="L140" s="273" t="s">
        <v>269</v>
      </c>
      <c r="M140" s="274">
        <v>240000</v>
      </c>
      <c r="N140" s="275">
        <f t="shared" si="10"/>
        <v>240000</v>
      </c>
      <c r="O140" s="311">
        <v>0</v>
      </c>
      <c r="P140" s="273">
        <f t="shared" si="11"/>
        <v>0</v>
      </c>
      <c r="Q140" s="313">
        <v>0.16</v>
      </c>
      <c r="R140" s="275">
        <f t="shared" si="12"/>
        <v>38400</v>
      </c>
      <c r="S140" s="275">
        <f t="shared" si="13"/>
        <v>278400</v>
      </c>
      <c r="T140" s="275">
        <f>INDEX('Glosario Partidas'!$M$8:$M$10,MATCH(L140,'Glosario Partidas'!$L$8:$L$10,0))</f>
        <v>1</v>
      </c>
      <c r="U140" s="275">
        <f t="shared" si="14"/>
        <v>278400</v>
      </c>
      <c r="V140" s="311" t="s">
        <v>965</v>
      </c>
      <c r="W140" s="311" t="s">
        <v>12</v>
      </c>
      <c r="X140" s="311" t="s">
        <v>493</v>
      </c>
      <c r="Y140" s="311"/>
    </row>
    <row r="141" spans="1:25" ht="15" customHeight="1" x14ac:dyDescent="0.2">
      <c r="A141" s="273"/>
      <c r="B141" s="273" t="s">
        <v>188</v>
      </c>
      <c r="C141" s="273" t="s">
        <v>114</v>
      </c>
      <c r="D141" s="273" t="s">
        <v>997</v>
      </c>
      <c r="E141" s="269" t="s">
        <v>998</v>
      </c>
      <c r="F141" s="311" t="s">
        <v>220</v>
      </c>
      <c r="G141" s="269" t="s">
        <v>705</v>
      </c>
      <c r="H141" s="311" t="s">
        <v>1025</v>
      </c>
      <c r="I141" s="302" t="s">
        <v>456</v>
      </c>
      <c r="J141" s="273" t="s">
        <v>410</v>
      </c>
      <c r="K141" s="302">
        <v>1</v>
      </c>
      <c r="L141" s="273" t="s">
        <v>269</v>
      </c>
      <c r="M141" s="274">
        <v>550000</v>
      </c>
      <c r="N141" s="275">
        <f t="shared" si="10"/>
        <v>550000</v>
      </c>
      <c r="O141" s="311">
        <v>0</v>
      </c>
      <c r="P141" s="273">
        <f t="shared" si="11"/>
        <v>0</v>
      </c>
      <c r="Q141" s="313">
        <v>0.16</v>
      </c>
      <c r="R141" s="275">
        <f t="shared" si="12"/>
        <v>88000</v>
      </c>
      <c r="S141" s="275">
        <f t="shared" si="13"/>
        <v>638000</v>
      </c>
      <c r="T141" s="275">
        <f>INDEX('Glosario Partidas'!$M$8:$M$10,MATCH(L141,'Glosario Partidas'!$L$8:$L$10,0))</f>
        <v>1</v>
      </c>
      <c r="U141" s="275">
        <f t="shared" si="14"/>
        <v>638000</v>
      </c>
      <c r="V141" s="311" t="s">
        <v>965</v>
      </c>
      <c r="W141" s="311" t="s">
        <v>12</v>
      </c>
      <c r="X141" s="311" t="s">
        <v>493</v>
      </c>
      <c r="Y141" s="311"/>
    </row>
    <row r="142" spans="1:25" ht="15" customHeight="1" x14ac:dyDescent="0.2">
      <c r="A142" s="273"/>
      <c r="B142" s="273" t="s">
        <v>188</v>
      </c>
      <c r="C142" s="273" t="s">
        <v>114</v>
      </c>
      <c r="D142" s="273" t="s">
        <v>999</v>
      </c>
      <c r="E142" s="269" t="s">
        <v>1000</v>
      </c>
      <c r="F142" s="311" t="s">
        <v>220</v>
      </c>
      <c r="G142" s="269" t="s">
        <v>705</v>
      </c>
      <c r="H142" s="311" t="s">
        <v>1025</v>
      </c>
      <c r="I142" s="302" t="s">
        <v>456</v>
      </c>
      <c r="J142" s="273" t="s">
        <v>410</v>
      </c>
      <c r="K142" s="302">
        <v>1</v>
      </c>
      <c r="L142" s="273" t="s">
        <v>269</v>
      </c>
      <c r="M142" s="274">
        <v>360000</v>
      </c>
      <c r="N142" s="275">
        <f t="shared" si="10"/>
        <v>360000</v>
      </c>
      <c r="O142" s="311">
        <v>0</v>
      </c>
      <c r="P142" s="273">
        <f t="shared" si="11"/>
        <v>0</v>
      </c>
      <c r="Q142" s="313">
        <v>0.16</v>
      </c>
      <c r="R142" s="275">
        <f t="shared" si="12"/>
        <v>57600</v>
      </c>
      <c r="S142" s="275">
        <f t="shared" si="13"/>
        <v>417600</v>
      </c>
      <c r="T142" s="275">
        <f>INDEX('Glosario Partidas'!$M$8:$M$10,MATCH(L142,'Glosario Partidas'!$L$8:$L$10,0))</f>
        <v>1</v>
      </c>
      <c r="U142" s="275">
        <f t="shared" si="14"/>
        <v>417600</v>
      </c>
      <c r="V142" s="311" t="s">
        <v>965</v>
      </c>
      <c r="W142" s="311" t="s">
        <v>12</v>
      </c>
      <c r="X142" s="311" t="s">
        <v>493</v>
      </c>
      <c r="Y142" s="311"/>
    </row>
    <row r="143" spans="1:25" ht="15" customHeight="1" x14ac:dyDescent="0.2">
      <c r="A143" s="273"/>
      <c r="B143" s="273" t="s">
        <v>188</v>
      </c>
      <c r="C143" s="273" t="s">
        <v>114</v>
      </c>
      <c r="D143" s="273" t="s">
        <v>1001</v>
      </c>
      <c r="E143" s="269" t="s">
        <v>1002</v>
      </c>
      <c r="F143" s="311" t="s">
        <v>220</v>
      </c>
      <c r="G143" s="269" t="s">
        <v>705</v>
      </c>
      <c r="H143" s="311" t="s">
        <v>1025</v>
      </c>
      <c r="I143" s="302" t="s">
        <v>456</v>
      </c>
      <c r="J143" s="273" t="s">
        <v>410</v>
      </c>
      <c r="K143" s="302">
        <v>1</v>
      </c>
      <c r="L143" s="273" t="s">
        <v>269</v>
      </c>
      <c r="M143" s="274">
        <v>225000</v>
      </c>
      <c r="N143" s="275">
        <f t="shared" si="10"/>
        <v>225000</v>
      </c>
      <c r="O143" s="311">
        <v>0</v>
      </c>
      <c r="P143" s="273">
        <f t="shared" si="11"/>
        <v>0</v>
      </c>
      <c r="Q143" s="313">
        <v>0.16</v>
      </c>
      <c r="R143" s="275">
        <f t="shared" si="12"/>
        <v>36000</v>
      </c>
      <c r="S143" s="275">
        <f t="shared" si="13"/>
        <v>261000</v>
      </c>
      <c r="T143" s="275">
        <f>INDEX('Glosario Partidas'!$M$8:$M$10,MATCH(L143,'Glosario Partidas'!$L$8:$L$10,0))</f>
        <v>1</v>
      </c>
      <c r="U143" s="275">
        <f t="shared" si="14"/>
        <v>261000</v>
      </c>
      <c r="V143" s="311" t="s">
        <v>965</v>
      </c>
      <c r="W143" s="311" t="s">
        <v>12</v>
      </c>
      <c r="X143" s="311" t="s">
        <v>493</v>
      </c>
      <c r="Y143" s="311"/>
    </row>
    <row r="144" spans="1:25" ht="15" customHeight="1" x14ac:dyDescent="0.2">
      <c r="A144" s="273"/>
      <c r="B144" s="273" t="s">
        <v>188</v>
      </c>
      <c r="C144" s="273" t="s">
        <v>115</v>
      </c>
      <c r="D144" s="273" t="s">
        <v>1003</v>
      </c>
      <c r="E144" s="269" t="s">
        <v>1004</v>
      </c>
      <c r="F144" s="311" t="s">
        <v>220</v>
      </c>
      <c r="G144" s="269" t="s">
        <v>705</v>
      </c>
      <c r="H144" s="311" t="s">
        <v>1025</v>
      </c>
      <c r="I144" s="302" t="s">
        <v>456</v>
      </c>
      <c r="J144" s="273" t="s">
        <v>410</v>
      </c>
      <c r="K144" s="302">
        <v>1</v>
      </c>
      <c r="L144" s="273" t="s">
        <v>269</v>
      </c>
      <c r="M144" s="274">
        <v>50000</v>
      </c>
      <c r="N144" s="275">
        <f t="shared" si="10"/>
        <v>50000</v>
      </c>
      <c r="O144" s="311">
        <v>0</v>
      </c>
      <c r="P144" s="273">
        <f t="shared" si="11"/>
        <v>0</v>
      </c>
      <c r="Q144" s="313">
        <v>0.16</v>
      </c>
      <c r="R144" s="275">
        <f t="shared" si="12"/>
        <v>8000</v>
      </c>
      <c r="S144" s="275">
        <f t="shared" si="13"/>
        <v>58000</v>
      </c>
      <c r="T144" s="275">
        <f>INDEX('Glosario Partidas'!$M$8:$M$10,MATCH(L144,'Glosario Partidas'!$L$8:$L$10,0))</f>
        <v>1</v>
      </c>
      <c r="U144" s="275">
        <f t="shared" si="14"/>
        <v>58000</v>
      </c>
      <c r="V144" s="311" t="s">
        <v>1005</v>
      </c>
      <c r="W144" s="311" t="s">
        <v>12</v>
      </c>
      <c r="X144" s="311" t="s">
        <v>493</v>
      </c>
      <c r="Y144" s="311"/>
    </row>
    <row r="145" spans="1:25" ht="15" customHeight="1" x14ac:dyDescent="0.2">
      <c r="A145" s="273"/>
      <c r="B145" s="273" t="s">
        <v>188</v>
      </c>
      <c r="C145" s="273" t="s">
        <v>116</v>
      </c>
      <c r="D145" s="273" t="s">
        <v>116</v>
      </c>
      <c r="E145" s="269" t="s">
        <v>1006</v>
      </c>
      <c r="F145" s="311" t="s">
        <v>220</v>
      </c>
      <c r="G145" s="269" t="s">
        <v>705</v>
      </c>
      <c r="H145" s="311" t="s">
        <v>1025</v>
      </c>
      <c r="I145" s="302" t="s">
        <v>604</v>
      </c>
      <c r="J145" s="273" t="s">
        <v>207</v>
      </c>
      <c r="K145" s="302">
        <v>1</v>
      </c>
      <c r="L145" s="273" t="s">
        <v>269</v>
      </c>
      <c r="M145" s="274">
        <f>4120597/8</f>
        <v>515074.625</v>
      </c>
      <c r="N145" s="275">
        <f t="shared" si="10"/>
        <v>515074.625</v>
      </c>
      <c r="O145" s="311">
        <v>0</v>
      </c>
      <c r="P145" s="273">
        <f t="shared" si="11"/>
        <v>0</v>
      </c>
      <c r="Q145" s="313">
        <v>0.16</v>
      </c>
      <c r="R145" s="275">
        <f t="shared" si="12"/>
        <v>82411.94</v>
      </c>
      <c r="S145" s="275">
        <f t="shared" si="13"/>
        <v>597486.56499999994</v>
      </c>
      <c r="T145" s="275">
        <f>INDEX('Glosario Partidas'!$M$8:$M$10,MATCH(L145,'Glosario Partidas'!$L$8:$L$10,0))</f>
        <v>1</v>
      </c>
      <c r="U145" s="275">
        <f t="shared" si="14"/>
        <v>597486.56499999994</v>
      </c>
      <c r="V145" s="311" t="s">
        <v>1007</v>
      </c>
      <c r="W145" s="311" t="s">
        <v>12</v>
      </c>
      <c r="X145" s="311" t="s">
        <v>491</v>
      </c>
      <c r="Y145" s="311"/>
    </row>
    <row r="146" spans="1:25" ht="15" customHeight="1" x14ac:dyDescent="0.2">
      <c r="A146" s="273"/>
      <c r="B146" s="273" t="s">
        <v>188</v>
      </c>
      <c r="C146" s="273" t="s">
        <v>112</v>
      </c>
      <c r="D146" s="273" t="s">
        <v>112</v>
      </c>
      <c r="E146" s="269" t="s">
        <v>964</v>
      </c>
      <c r="F146" s="311" t="s">
        <v>229</v>
      </c>
      <c r="G146" s="269" t="s">
        <v>221</v>
      </c>
      <c r="H146" s="311" t="s">
        <v>708</v>
      </c>
      <c r="I146" s="302" t="s">
        <v>456</v>
      </c>
      <c r="J146" s="273" t="s">
        <v>410</v>
      </c>
      <c r="K146" s="302">
        <v>1</v>
      </c>
      <c r="L146" s="273" t="s">
        <v>269</v>
      </c>
      <c r="M146" s="274">
        <v>150000</v>
      </c>
      <c r="N146" s="275">
        <f t="shared" si="10"/>
        <v>150000</v>
      </c>
      <c r="O146" s="311">
        <v>0</v>
      </c>
      <c r="P146" s="273">
        <f t="shared" si="11"/>
        <v>0</v>
      </c>
      <c r="Q146" s="313">
        <v>0.16</v>
      </c>
      <c r="R146" s="275">
        <f t="shared" si="12"/>
        <v>24000</v>
      </c>
      <c r="S146" s="275">
        <f t="shared" si="13"/>
        <v>174000</v>
      </c>
      <c r="T146" s="275">
        <f>INDEX('Glosario Partidas'!$M$8:$M$10,MATCH(L146,'Glosario Partidas'!$L$8:$L$10,0))</f>
        <v>1</v>
      </c>
      <c r="U146" s="275">
        <f t="shared" si="14"/>
        <v>174000</v>
      </c>
      <c r="V146" s="311" t="s">
        <v>965</v>
      </c>
      <c r="W146" s="311" t="s">
        <v>12</v>
      </c>
      <c r="X146" s="311" t="s">
        <v>493</v>
      </c>
      <c r="Y146" s="311"/>
    </row>
    <row r="147" spans="1:25" ht="15" customHeight="1" x14ac:dyDescent="0.2">
      <c r="A147" s="273"/>
      <c r="B147" s="273" t="s">
        <v>188</v>
      </c>
      <c r="C147" s="273" t="s">
        <v>112</v>
      </c>
      <c r="D147" s="273" t="s">
        <v>112</v>
      </c>
      <c r="E147" s="269" t="s">
        <v>966</v>
      </c>
      <c r="F147" s="311" t="s">
        <v>229</v>
      </c>
      <c r="G147" s="269" t="s">
        <v>221</v>
      </c>
      <c r="H147" s="311" t="s">
        <v>708</v>
      </c>
      <c r="I147" s="302" t="s">
        <v>456</v>
      </c>
      <c r="J147" s="273" t="s">
        <v>410</v>
      </c>
      <c r="K147" s="302">
        <v>1</v>
      </c>
      <c r="L147" s="273" t="s">
        <v>269</v>
      </c>
      <c r="M147" s="274">
        <v>150000</v>
      </c>
      <c r="N147" s="275">
        <f t="shared" si="10"/>
        <v>150000</v>
      </c>
      <c r="O147" s="311">
        <v>0</v>
      </c>
      <c r="P147" s="273">
        <f t="shared" si="11"/>
        <v>0</v>
      </c>
      <c r="Q147" s="313">
        <v>0.16</v>
      </c>
      <c r="R147" s="275">
        <f t="shared" si="12"/>
        <v>24000</v>
      </c>
      <c r="S147" s="275">
        <f t="shared" si="13"/>
        <v>174000</v>
      </c>
      <c r="T147" s="275">
        <f>INDEX('Glosario Partidas'!$M$8:$M$10,MATCH(L147,'Glosario Partidas'!$L$8:$L$10,0))</f>
        <v>1</v>
      </c>
      <c r="U147" s="275">
        <f t="shared" si="14"/>
        <v>174000</v>
      </c>
      <c r="V147" s="311" t="s">
        <v>965</v>
      </c>
      <c r="W147" s="311" t="s">
        <v>12</v>
      </c>
      <c r="X147" s="311" t="s">
        <v>493</v>
      </c>
      <c r="Y147" s="311"/>
    </row>
    <row r="148" spans="1:25" ht="15" customHeight="1" x14ac:dyDescent="0.2">
      <c r="A148" s="273"/>
      <c r="B148" s="273" t="s">
        <v>188</v>
      </c>
      <c r="C148" s="273" t="s">
        <v>112</v>
      </c>
      <c r="D148" s="273" t="s">
        <v>112</v>
      </c>
      <c r="E148" s="269" t="s">
        <v>967</v>
      </c>
      <c r="F148" s="311" t="s">
        <v>229</v>
      </c>
      <c r="G148" s="269" t="s">
        <v>221</v>
      </c>
      <c r="H148" s="311" t="s">
        <v>708</v>
      </c>
      <c r="I148" s="302" t="s">
        <v>456</v>
      </c>
      <c r="J148" s="273" t="s">
        <v>410</v>
      </c>
      <c r="K148" s="302">
        <v>1</v>
      </c>
      <c r="L148" s="273" t="s">
        <v>269</v>
      </c>
      <c r="M148" s="274">
        <v>150000</v>
      </c>
      <c r="N148" s="275">
        <f t="shared" si="10"/>
        <v>150000</v>
      </c>
      <c r="O148" s="311">
        <v>0</v>
      </c>
      <c r="P148" s="273">
        <f t="shared" si="11"/>
        <v>0</v>
      </c>
      <c r="Q148" s="313">
        <v>0.16</v>
      </c>
      <c r="R148" s="275">
        <f t="shared" si="12"/>
        <v>24000</v>
      </c>
      <c r="S148" s="275">
        <f t="shared" si="13"/>
        <v>174000</v>
      </c>
      <c r="T148" s="275">
        <f>INDEX('Glosario Partidas'!$M$8:$M$10,MATCH(L148,'Glosario Partidas'!$L$8:$L$10,0))</f>
        <v>1</v>
      </c>
      <c r="U148" s="275">
        <f t="shared" si="14"/>
        <v>174000</v>
      </c>
      <c r="V148" s="311" t="s">
        <v>965</v>
      </c>
      <c r="W148" s="311" t="s">
        <v>12</v>
      </c>
      <c r="X148" s="311" t="s">
        <v>493</v>
      </c>
      <c r="Y148" s="311"/>
    </row>
    <row r="149" spans="1:25" ht="15" customHeight="1" x14ac:dyDescent="0.2">
      <c r="A149" s="273"/>
      <c r="B149" s="273" t="s">
        <v>188</v>
      </c>
      <c r="C149" s="273" t="s">
        <v>112</v>
      </c>
      <c r="D149" s="273" t="s">
        <v>112</v>
      </c>
      <c r="E149" s="269" t="s">
        <v>968</v>
      </c>
      <c r="F149" s="311" t="s">
        <v>229</v>
      </c>
      <c r="G149" s="269" t="s">
        <v>221</v>
      </c>
      <c r="H149" s="311" t="s">
        <v>708</v>
      </c>
      <c r="I149" s="302" t="s">
        <v>456</v>
      </c>
      <c r="J149" s="273" t="s">
        <v>410</v>
      </c>
      <c r="K149" s="302">
        <v>1</v>
      </c>
      <c r="L149" s="273" t="s">
        <v>269</v>
      </c>
      <c r="M149" s="274">
        <v>200000</v>
      </c>
      <c r="N149" s="275">
        <f t="shared" si="10"/>
        <v>200000</v>
      </c>
      <c r="O149" s="311">
        <v>0</v>
      </c>
      <c r="P149" s="273">
        <f t="shared" si="11"/>
        <v>0</v>
      </c>
      <c r="Q149" s="313">
        <v>0.16</v>
      </c>
      <c r="R149" s="275">
        <f t="shared" si="12"/>
        <v>32000</v>
      </c>
      <c r="S149" s="275">
        <f t="shared" si="13"/>
        <v>232000</v>
      </c>
      <c r="T149" s="275">
        <f>INDEX('Glosario Partidas'!$M$8:$M$10,MATCH(L149,'Glosario Partidas'!$L$8:$L$10,0))</f>
        <v>1</v>
      </c>
      <c r="U149" s="275">
        <f t="shared" si="14"/>
        <v>232000</v>
      </c>
      <c r="V149" s="311" t="s">
        <v>965</v>
      </c>
      <c r="W149" s="311" t="s">
        <v>12</v>
      </c>
      <c r="X149" s="311" t="s">
        <v>493</v>
      </c>
      <c r="Y149" s="311"/>
    </row>
    <row r="150" spans="1:25" ht="15" customHeight="1" x14ac:dyDescent="0.2">
      <c r="A150" s="273"/>
      <c r="B150" s="273" t="s">
        <v>188</v>
      </c>
      <c r="C150" s="273" t="s">
        <v>112</v>
      </c>
      <c r="D150" s="273" t="s">
        <v>112</v>
      </c>
      <c r="E150" s="269" t="s">
        <v>969</v>
      </c>
      <c r="F150" s="311" t="s">
        <v>229</v>
      </c>
      <c r="G150" s="269" t="s">
        <v>221</v>
      </c>
      <c r="H150" s="311" t="s">
        <v>708</v>
      </c>
      <c r="I150" s="302" t="s">
        <v>456</v>
      </c>
      <c r="J150" s="273" t="s">
        <v>410</v>
      </c>
      <c r="K150" s="302">
        <v>1</v>
      </c>
      <c r="L150" s="273" t="s">
        <v>269</v>
      </c>
      <c r="M150" s="274">
        <v>200000</v>
      </c>
      <c r="N150" s="275">
        <f t="shared" si="10"/>
        <v>200000</v>
      </c>
      <c r="O150" s="311">
        <v>0</v>
      </c>
      <c r="P150" s="273">
        <f t="shared" si="11"/>
        <v>0</v>
      </c>
      <c r="Q150" s="313">
        <v>0.16</v>
      </c>
      <c r="R150" s="275">
        <f t="shared" si="12"/>
        <v>32000</v>
      </c>
      <c r="S150" s="275">
        <f t="shared" si="13"/>
        <v>232000</v>
      </c>
      <c r="T150" s="275">
        <f>INDEX('Glosario Partidas'!$M$8:$M$10,MATCH(L150,'Glosario Partidas'!$L$8:$L$10,0))</f>
        <v>1</v>
      </c>
      <c r="U150" s="275">
        <f t="shared" si="14"/>
        <v>232000</v>
      </c>
      <c r="V150" s="311" t="s">
        <v>965</v>
      </c>
      <c r="W150" s="311" t="s">
        <v>12</v>
      </c>
      <c r="X150" s="311" t="s">
        <v>493</v>
      </c>
      <c r="Y150" s="311"/>
    </row>
    <row r="151" spans="1:25" ht="15" customHeight="1" x14ac:dyDescent="0.2">
      <c r="A151" s="273"/>
      <c r="B151" s="273" t="s">
        <v>188</v>
      </c>
      <c r="C151" s="273" t="s">
        <v>112</v>
      </c>
      <c r="D151" s="273" t="s">
        <v>970</v>
      </c>
      <c r="E151" s="269" t="s">
        <v>964</v>
      </c>
      <c r="F151" s="311" t="s">
        <v>229</v>
      </c>
      <c r="G151" s="269" t="s">
        <v>221</v>
      </c>
      <c r="H151" s="311" t="s">
        <v>708</v>
      </c>
      <c r="I151" s="302" t="s">
        <v>456</v>
      </c>
      <c r="J151" s="273" t="s">
        <v>410</v>
      </c>
      <c r="K151" s="302">
        <v>1</v>
      </c>
      <c r="L151" s="273" t="s">
        <v>269</v>
      </c>
      <c r="M151" s="274">
        <v>40000</v>
      </c>
      <c r="N151" s="275">
        <f t="shared" si="10"/>
        <v>40000</v>
      </c>
      <c r="O151" s="311">
        <v>0</v>
      </c>
      <c r="P151" s="273">
        <f t="shared" si="11"/>
        <v>0</v>
      </c>
      <c r="Q151" s="313">
        <v>0.16</v>
      </c>
      <c r="R151" s="275">
        <f t="shared" si="12"/>
        <v>6400</v>
      </c>
      <c r="S151" s="275">
        <f t="shared" si="13"/>
        <v>46400</v>
      </c>
      <c r="T151" s="275">
        <f>INDEX('Glosario Partidas'!$M$8:$M$10,MATCH(L151,'Glosario Partidas'!$L$8:$L$10,0))</f>
        <v>1</v>
      </c>
      <c r="U151" s="275">
        <f t="shared" si="14"/>
        <v>46400</v>
      </c>
      <c r="V151" s="311" t="s">
        <v>965</v>
      </c>
      <c r="W151" s="311" t="s">
        <v>12</v>
      </c>
      <c r="X151" s="311" t="s">
        <v>493</v>
      </c>
      <c r="Y151" s="311"/>
    </row>
    <row r="152" spans="1:25" ht="15" customHeight="1" x14ac:dyDescent="0.2">
      <c r="A152" s="273"/>
      <c r="B152" s="273" t="s">
        <v>188</v>
      </c>
      <c r="C152" s="273" t="s">
        <v>112</v>
      </c>
      <c r="D152" s="273" t="s">
        <v>970</v>
      </c>
      <c r="E152" s="269" t="s">
        <v>966</v>
      </c>
      <c r="F152" s="311" t="s">
        <v>229</v>
      </c>
      <c r="G152" s="269" t="s">
        <v>221</v>
      </c>
      <c r="H152" s="311" t="s">
        <v>708</v>
      </c>
      <c r="I152" s="302" t="s">
        <v>456</v>
      </c>
      <c r="J152" s="273" t="s">
        <v>410</v>
      </c>
      <c r="K152" s="302">
        <v>1</v>
      </c>
      <c r="L152" s="273" t="s">
        <v>269</v>
      </c>
      <c r="M152" s="274">
        <v>40000</v>
      </c>
      <c r="N152" s="275">
        <f t="shared" si="10"/>
        <v>40000</v>
      </c>
      <c r="O152" s="311">
        <v>0</v>
      </c>
      <c r="P152" s="273">
        <f t="shared" si="11"/>
        <v>0</v>
      </c>
      <c r="Q152" s="313">
        <v>0.16</v>
      </c>
      <c r="R152" s="275">
        <f t="shared" si="12"/>
        <v>6400</v>
      </c>
      <c r="S152" s="275">
        <f t="shared" si="13"/>
        <v>46400</v>
      </c>
      <c r="T152" s="275">
        <f>INDEX('Glosario Partidas'!$M$8:$M$10,MATCH(L152,'Glosario Partidas'!$L$8:$L$10,0))</f>
        <v>1</v>
      </c>
      <c r="U152" s="275">
        <f t="shared" si="14"/>
        <v>46400</v>
      </c>
      <c r="V152" s="311" t="s">
        <v>965</v>
      </c>
      <c r="W152" s="311" t="s">
        <v>12</v>
      </c>
      <c r="X152" s="311" t="s">
        <v>493</v>
      </c>
      <c r="Y152" s="311"/>
    </row>
    <row r="153" spans="1:25" ht="15" customHeight="1" x14ac:dyDescent="0.2">
      <c r="A153" s="273"/>
      <c r="B153" s="273" t="s">
        <v>188</v>
      </c>
      <c r="C153" s="273" t="s">
        <v>112</v>
      </c>
      <c r="D153" s="273" t="s">
        <v>970</v>
      </c>
      <c r="E153" s="269" t="s">
        <v>967</v>
      </c>
      <c r="F153" s="311" t="s">
        <v>229</v>
      </c>
      <c r="G153" s="269" t="s">
        <v>221</v>
      </c>
      <c r="H153" s="311" t="s">
        <v>708</v>
      </c>
      <c r="I153" s="302" t="s">
        <v>456</v>
      </c>
      <c r="J153" s="273" t="s">
        <v>410</v>
      </c>
      <c r="K153" s="302">
        <v>1</v>
      </c>
      <c r="L153" s="273" t="s">
        <v>269</v>
      </c>
      <c r="M153" s="274">
        <v>40000</v>
      </c>
      <c r="N153" s="275">
        <f t="shared" si="10"/>
        <v>40000</v>
      </c>
      <c r="O153" s="311">
        <v>0</v>
      </c>
      <c r="P153" s="273">
        <f t="shared" si="11"/>
        <v>0</v>
      </c>
      <c r="Q153" s="313">
        <v>0.16</v>
      </c>
      <c r="R153" s="275">
        <f t="shared" si="12"/>
        <v>6400</v>
      </c>
      <c r="S153" s="275">
        <f t="shared" si="13"/>
        <v>46400</v>
      </c>
      <c r="T153" s="275">
        <f>INDEX('Glosario Partidas'!$M$8:$M$10,MATCH(L153,'Glosario Partidas'!$L$8:$L$10,0))</f>
        <v>1</v>
      </c>
      <c r="U153" s="275">
        <f t="shared" si="14"/>
        <v>46400</v>
      </c>
      <c r="V153" s="311" t="s">
        <v>965</v>
      </c>
      <c r="W153" s="311" t="s">
        <v>12</v>
      </c>
      <c r="X153" s="311" t="s">
        <v>493</v>
      </c>
      <c r="Y153" s="311"/>
    </row>
    <row r="154" spans="1:25" ht="15" customHeight="1" x14ac:dyDescent="0.2">
      <c r="A154" s="273"/>
      <c r="B154" s="273" t="s">
        <v>188</v>
      </c>
      <c r="C154" s="273" t="s">
        <v>112</v>
      </c>
      <c r="D154" s="273" t="s">
        <v>970</v>
      </c>
      <c r="E154" s="269" t="s">
        <v>968</v>
      </c>
      <c r="F154" s="311" t="s">
        <v>229</v>
      </c>
      <c r="G154" s="269" t="s">
        <v>221</v>
      </c>
      <c r="H154" s="311" t="s">
        <v>708</v>
      </c>
      <c r="I154" s="302" t="s">
        <v>456</v>
      </c>
      <c r="J154" s="273" t="s">
        <v>410</v>
      </c>
      <c r="K154" s="302">
        <v>1</v>
      </c>
      <c r="L154" s="273" t="s">
        <v>269</v>
      </c>
      <c r="M154" s="274">
        <v>60000</v>
      </c>
      <c r="N154" s="275">
        <f t="shared" si="10"/>
        <v>60000</v>
      </c>
      <c r="O154" s="311">
        <v>0</v>
      </c>
      <c r="P154" s="273">
        <f t="shared" si="11"/>
        <v>0</v>
      </c>
      <c r="Q154" s="313">
        <v>0.16</v>
      </c>
      <c r="R154" s="275">
        <f t="shared" si="12"/>
        <v>9600</v>
      </c>
      <c r="S154" s="275">
        <f t="shared" si="13"/>
        <v>69600</v>
      </c>
      <c r="T154" s="275">
        <f>INDEX('Glosario Partidas'!$M$8:$M$10,MATCH(L154,'Glosario Partidas'!$L$8:$L$10,0))</f>
        <v>1</v>
      </c>
      <c r="U154" s="275">
        <f t="shared" si="14"/>
        <v>69600</v>
      </c>
      <c r="V154" s="311" t="s">
        <v>965</v>
      </c>
      <c r="W154" s="311" t="s">
        <v>12</v>
      </c>
      <c r="X154" s="311" t="s">
        <v>493</v>
      </c>
      <c r="Y154" s="311"/>
    </row>
    <row r="155" spans="1:25" ht="15" customHeight="1" x14ac:dyDescent="0.2">
      <c r="A155" s="273"/>
      <c r="B155" s="273" t="s">
        <v>188</v>
      </c>
      <c r="C155" s="273" t="s">
        <v>112</v>
      </c>
      <c r="D155" s="273" t="s">
        <v>970</v>
      </c>
      <c r="E155" s="269" t="s">
        <v>969</v>
      </c>
      <c r="F155" s="311" t="s">
        <v>229</v>
      </c>
      <c r="G155" s="269" t="s">
        <v>221</v>
      </c>
      <c r="H155" s="311" t="s">
        <v>708</v>
      </c>
      <c r="I155" s="302" t="s">
        <v>456</v>
      </c>
      <c r="J155" s="273" t="s">
        <v>410</v>
      </c>
      <c r="K155" s="302">
        <v>1</v>
      </c>
      <c r="L155" s="273" t="s">
        <v>269</v>
      </c>
      <c r="M155" s="274">
        <v>60000</v>
      </c>
      <c r="N155" s="275">
        <f t="shared" si="10"/>
        <v>60000</v>
      </c>
      <c r="O155" s="311">
        <v>0</v>
      </c>
      <c r="P155" s="273">
        <f t="shared" si="11"/>
        <v>0</v>
      </c>
      <c r="Q155" s="313">
        <v>0.16</v>
      </c>
      <c r="R155" s="275">
        <f t="shared" si="12"/>
        <v>9600</v>
      </c>
      <c r="S155" s="275">
        <f t="shared" si="13"/>
        <v>69600</v>
      </c>
      <c r="T155" s="275">
        <f>INDEX('Glosario Partidas'!$M$8:$M$10,MATCH(L155,'Glosario Partidas'!$L$8:$L$10,0))</f>
        <v>1</v>
      </c>
      <c r="U155" s="275">
        <f t="shared" si="14"/>
        <v>69600</v>
      </c>
      <c r="V155" s="311" t="s">
        <v>965</v>
      </c>
      <c r="W155" s="311" t="s">
        <v>12</v>
      </c>
      <c r="X155" s="311" t="s">
        <v>493</v>
      </c>
      <c r="Y155" s="311"/>
    </row>
    <row r="156" spans="1:25" ht="15" customHeight="1" x14ac:dyDescent="0.2">
      <c r="A156" s="273"/>
      <c r="B156" s="273" t="s">
        <v>188</v>
      </c>
      <c r="C156" s="273" t="s">
        <v>113</v>
      </c>
      <c r="D156" s="273" t="s">
        <v>971</v>
      </c>
      <c r="E156" s="269" t="s">
        <v>972</v>
      </c>
      <c r="F156" s="311" t="s">
        <v>229</v>
      </c>
      <c r="G156" s="269" t="s">
        <v>221</v>
      </c>
      <c r="H156" s="311" t="s">
        <v>708</v>
      </c>
      <c r="I156" s="302" t="s">
        <v>456</v>
      </c>
      <c r="J156" s="273" t="s">
        <v>410</v>
      </c>
      <c r="K156" s="302">
        <v>1</v>
      </c>
      <c r="L156" s="273" t="s">
        <v>269</v>
      </c>
      <c r="M156" s="274">
        <v>195000</v>
      </c>
      <c r="N156" s="275">
        <f t="shared" si="10"/>
        <v>195000</v>
      </c>
      <c r="O156" s="311">
        <v>0</v>
      </c>
      <c r="P156" s="273">
        <f t="shared" si="11"/>
        <v>0</v>
      </c>
      <c r="Q156" s="313">
        <v>0.16</v>
      </c>
      <c r="R156" s="275">
        <f t="shared" si="12"/>
        <v>31200</v>
      </c>
      <c r="S156" s="275">
        <f t="shared" si="13"/>
        <v>226200</v>
      </c>
      <c r="T156" s="275">
        <f>INDEX('Glosario Partidas'!$M$8:$M$10,MATCH(L156,'Glosario Partidas'!$L$8:$L$10,0))</f>
        <v>1</v>
      </c>
      <c r="U156" s="275">
        <f t="shared" si="14"/>
        <v>226200</v>
      </c>
      <c r="V156" s="311" t="s">
        <v>965</v>
      </c>
      <c r="W156" s="311" t="s">
        <v>12</v>
      </c>
      <c r="X156" s="311" t="s">
        <v>493</v>
      </c>
      <c r="Y156" s="311"/>
    </row>
    <row r="157" spans="1:25" ht="15" customHeight="1" x14ac:dyDescent="0.2">
      <c r="A157" s="273"/>
      <c r="B157" s="273" t="s">
        <v>188</v>
      </c>
      <c r="C157" s="273" t="s">
        <v>113</v>
      </c>
      <c r="D157" s="273" t="s">
        <v>973</v>
      </c>
      <c r="E157" s="269" t="s">
        <v>974</v>
      </c>
      <c r="F157" s="311" t="s">
        <v>229</v>
      </c>
      <c r="G157" s="269" t="s">
        <v>221</v>
      </c>
      <c r="H157" s="311" t="s">
        <v>708</v>
      </c>
      <c r="I157" s="302" t="s">
        <v>456</v>
      </c>
      <c r="J157" s="273" t="s">
        <v>410</v>
      </c>
      <c r="K157" s="302">
        <v>1</v>
      </c>
      <c r="L157" s="273" t="s">
        <v>269</v>
      </c>
      <c r="M157" s="274">
        <v>38000</v>
      </c>
      <c r="N157" s="275">
        <f t="shared" si="10"/>
        <v>38000</v>
      </c>
      <c r="O157" s="311">
        <v>0</v>
      </c>
      <c r="P157" s="273">
        <f t="shared" si="11"/>
        <v>0</v>
      </c>
      <c r="Q157" s="313">
        <v>0.16</v>
      </c>
      <c r="R157" s="275">
        <f t="shared" si="12"/>
        <v>6080</v>
      </c>
      <c r="S157" s="275">
        <f t="shared" si="13"/>
        <v>44080</v>
      </c>
      <c r="T157" s="275">
        <f>INDEX('Glosario Partidas'!$M$8:$M$10,MATCH(L157,'Glosario Partidas'!$L$8:$L$10,0))</f>
        <v>1</v>
      </c>
      <c r="U157" s="275">
        <f t="shared" si="14"/>
        <v>44080</v>
      </c>
      <c r="V157" s="311" t="s">
        <v>965</v>
      </c>
      <c r="W157" s="311" t="s">
        <v>12</v>
      </c>
      <c r="X157" s="311" t="s">
        <v>493</v>
      </c>
      <c r="Y157" s="311"/>
    </row>
    <row r="158" spans="1:25" ht="15" customHeight="1" x14ac:dyDescent="0.2">
      <c r="A158" s="273"/>
      <c r="B158" s="273" t="s">
        <v>188</v>
      </c>
      <c r="C158" s="273" t="s">
        <v>113</v>
      </c>
      <c r="D158" s="273" t="s">
        <v>973</v>
      </c>
      <c r="E158" s="269" t="s">
        <v>975</v>
      </c>
      <c r="F158" s="311" t="s">
        <v>229</v>
      </c>
      <c r="G158" s="269" t="s">
        <v>221</v>
      </c>
      <c r="H158" s="311" t="s">
        <v>708</v>
      </c>
      <c r="I158" s="302" t="s">
        <v>456</v>
      </c>
      <c r="J158" s="273" t="s">
        <v>410</v>
      </c>
      <c r="K158" s="302">
        <v>1</v>
      </c>
      <c r="L158" s="273" t="s">
        <v>269</v>
      </c>
      <c r="M158" s="274">
        <v>38000</v>
      </c>
      <c r="N158" s="275">
        <f t="shared" si="10"/>
        <v>38000</v>
      </c>
      <c r="O158" s="311">
        <v>0</v>
      </c>
      <c r="P158" s="273">
        <f t="shared" si="11"/>
        <v>0</v>
      </c>
      <c r="Q158" s="313">
        <v>0.16</v>
      </c>
      <c r="R158" s="275">
        <f t="shared" si="12"/>
        <v>6080</v>
      </c>
      <c r="S158" s="275">
        <f t="shared" si="13"/>
        <v>44080</v>
      </c>
      <c r="T158" s="275">
        <f>INDEX('Glosario Partidas'!$M$8:$M$10,MATCH(L158,'Glosario Partidas'!$L$8:$L$10,0))</f>
        <v>1</v>
      </c>
      <c r="U158" s="275">
        <f t="shared" si="14"/>
        <v>44080</v>
      </c>
      <c r="V158" s="311" t="s">
        <v>965</v>
      </c>
      <c r="W158" s="311" t="s">
        <v>12</v>
      </c>
      <c r="X158" s="311" t="s">
        <v>493</v>
      </c>
      <c r="Y158" s="311"/>
    </row>
    <row r="159" spans="1:25" ht="15" customHeight="1" x14ac:dyDescent="0.2">
      <c r="A159" s="273"/>
      <c r="B159" s="273" t="s">
        <v>188</v>
      </c>
      <c r="C159" s="273" t="s">
        <v>113</v>
      </c>
      <c r="D159" s="273" t="s">
        <v>973</v>
      </c>
      <c r="E159" s="269" t="s">
        <v>976</v>
      </c>
      <c r="F159" s="311" t="s">
        <v>229</v>
      </c>
      <c r="G159" s="269" t="s">
        <v>221</v>
      </c>
      <c r="H159" s="311" t="s">
        <v>708</v>
      </c>
      <c r="I159" s="302" t="s">
        <v>456</v>
      </c>
      <c r="J159" s="273" t="s">
        <v>410</v>
      </c>
      <c r="K159" s="302">
        <v>1</v>
      </c>
      <c r="L159" s="273" t="s">
        <v>269</v>
      </c>
      <c r="M159" s="274">
        <v>38000</v>
      </c>
      <c r="N159" s="275">
        <f t="shared" si="10"/>
        <v>38000</v>
      </c>
      <c r="O159" s="311">
        <v>0</v>
      </c>
      <c r="P159" s="273">
        <f t="shared" si="11"/>
        <v>0</v>
      </c>
      <c r="Q159" s="313">
        <v>0.16</v>
      </c>
      <c r="R159" s="275">
        <f t="shared" si="12"/>
        <v>6080</v>
      </c>
      <c r="S159" s="275">
        <f t="shared" si="13"/>
        <v>44080</v>
      </c>
      <c r="T159" s="275">
        <f>INDEX('Glosario Partidas'!$M$8:$M$10,MATCH(L159,'Glosario Partidas'!$L$8:$L$10,0))</f>
        <v>1</v>
      </c>
      <c r="U159" s="275">
        <f t="shared" si="14"/>
        <v>44080</v>
      </c>
      <c r="V159" s="311" t="s">
        <v>965</v>
      </c>
      <c r="W159" s="311" t="s">
        <v>12</v>
      </c>
      <c r="X159" s="311" t="s">
        <v>493</v>
      </c>
      <c r="Y159" s="311"/>
    </row>
    <row r="160" spans="1:25" ht="15" customHeight="1" x14ac:dyDescent="0.2">
      <c r="A160" s="273"/>
      <c r="B160" s="273" t="s">
        <v>188</v>
      </c>
      <c r="C160" s="273" t="s">
        <v>113</v>
      </c>
      <c r="D160" s="273" t="s">
        <v>977</v>
      </c>
      <c r="E160" s="269" t="s">
        <v>978</v>
      </c>
      <c r="F160" s="311" t="s">
        <v>229</v>
      </c>
      <c r="G160" s="269" t="s">
        <v>221</v>
      </c>
      <c r="H160" s="311" t="s">
        <v>708</v>
      </c>
      <c r="I160" s="302" t="s">
        <v>456</v>
      </c>
      <c r="J160" s="273" t="s">
        <v>410</v>
      </c>
      <c r="K160" s="302">
        <v>1</v>
      </c>
      <c r="L160" s="273" t="s">
        <v>269</v>
      </c>
      <c r="M160" s="274">
        <v>46000</v>
      </c>
      <c r="N160" s="275">
        <f t="shared" si="10"/>
        <v>46000</v>
      </c>
      <c r="O160" s="311">
        <v>0</v>
      </c>
      <c r="P160" s="273">
        <f t="shared" si="11"/>
        <v>0</v>
      </c>
      <c r="Q160" s="313">
        <v>0.16</v>
      </c>
      <c r="R160" s="275">
        <f t="shared" si="12"/>
        <v>7360</v>
      </c>
      <c r="S160" s="275">
        <f t="shared" si="13"/>
        <v>53360</v>
      </c>
      <c r="T160" s="275">
        <f>INDEX('Glosario Partidas'!$M$8:$M$10,MATCH(L160,'Glosario Partidas'!$L$8:$L$10,0))</f>
        <v>1</v>
      </c>
      <c r="U160" s="275">
        <f t="shared" si="14"/>
        <v>53360</v>
      </c>
      <c r="V160" s="311" t="s">
        <v>965</v>
      </c>
      <c r="W160" s="311" t="s">
        <v>12</v>
      </c>
      <c r="X160" s="311" t="s">
        <v>493</v>
      </c>
      <c r="Y160" s="311"/>
    </row>
    <row r="161" spans="1:25" ht="15" customHeight="1" x14ac:dyDescent="0.2">
      <c r="A161" s="273"/>
      <c r="B161" s="273" t="s">
        <v>188</v>
      </c>
      <c r="C161" s="273" t="s">
        <v>113</v>
      </c>
      <c r="D161" s="273" t="s">
        <v>977</v>
      </c>
      <c r="E161" s="269" t="s">
        <v>979</v>
      </c>
      <c r="F161" s="311" t="s">
        <v>229</v>
      </c>
      <c r="G161" s="269" t="s">
        <v>221</v>
      </c>
      <c r="H161" s="311" t="s">
        <v>708</v>
      </c>
      <c r="I161" s="302" t="s">
        <v>456</v>
      </c>
      <c r="J161" s="273" t="s">
        <v>410</v>
      </c>
      <c r="K161" s="302">
        <v>1</v>
      </c>
      <c r="L161" s="273" t="s">
        <v>269</v>
      </c>
      <c r="M161" s="274">
        <v>46000</v>
      </c>
      <c r="N161" s="275">
        <f t="shared" si="10"/>
        <v>46000</v>
      </c>
      <c r="O161" s="311">
        <v>0</v>
      </c>
      <c r="P161" s="273">
        <f t="shared" si="11"/>
        <v>0</v>
      </c>
      <c r="Q161" s="313">
        <v>0.16</v>
      </c>
      <c r="R161" s="275">
        <f t="shared" si="12"/>
        <v>7360</v>
      </c>
      <c r="S161" s="275">
        <f t="shared" si="13"/>
        <v>53360</v>
      </c>
      <c r="T161" s="275">
        <f>INDEX('Glosario Partidas'!$M$8:$M$10,MATCH(L161,'Glosario Partidas'!$L$8:$L$10,0))</f>
        <v>1</v>
      </c>
      <c r="U161" s="275">
        <f t="shared" si="14"/>
        <v>53360</v>
      </c>
      <c r="V161" s="311" t="s">
        <v>965</v>
      </c>
      <c r="W161" s="311" t="s">
        <v>12</v>
      </c>
      <c r="X161" s="311" t="s">
        <v>493</v>
      </c>
      <c r="Y161" s="311"/>
    </row>
    <row r="162" spans="1:25" ht="15" customHeight="1" x14ac:dyDescent="0.2">
      <c r="A162" s="273"/>
      <c r="B162" s="273" t="s">
        <v>188</v>
      </c>
      <c r="C162" s="273" t="s">
        <v>113</v>
      </c>
      <c r="D162" s="273" t="s">
        <v>977</v>
      </c>
      <c r="E162" s="269" t="s">
        <v>980</v>
      </c>
      <c r="F162" s="311" t="s">
        <v>229</v>
      </c>
      <c r="G162" s="269" t="s">
        <v>221</v>
      </c>
      <c r="H162" s="311" t="s">
        <v>708</v>
      </c>
      <c r="I162" s="302" t="s">
        <v>456</v>
      </c>
      <c r="J162" s="273" t="s">
        <v>410</v>
      </c>
      <c r="K162" s="302">
        <v>1</v>
      </c>
      <c r="L162" s="273" t="s">
        <v>269</v>
      </c>
      <c r="M162" s="274">
        <v>46000</v>
      </c>
      <c r="N162" s="275">
        <f t="shared" si="10"/>
        <v>46000</v>
      </c>
      <c r="O162" s="311">
        <v>0</v>
      </c>
      <c r="P162" s="273">
        <f t="shared" si="11"/>
        <v>0</v>
      </c>
      <c r="Q162" s="313">
        <v>0.16</v>
      </c>
      <c r="R162" s="275">
        <f t="shared" si="12"/>
        <v>7360</v>
      </c>
      <c r="S162" s="275">
        <f t="shared" si="13"/>
        <v>53360</v>
      </c>
      <c r="T162" s="275">
        <f>INDEX('Glosario Partidas'!$M$8:$M$10,MATCH(L162,'Glosario Partidas'!$L$8:$L$10,0))</f>
        <v>1</v>
      </c>
      <c r="U162" s="275">
        <f t="shared" si="14"/>
        <v>53360</v>
      </c>
      <c r="V162" s="311" t="s">
        <v>965</v>
      </c>
      <c r="W162" s="311" t="s">
        <v>12</v>
      </c>
      <c r="X162" s="311" t="s">
        <v>493</v>
      </c>
      <c r="Y162" s="311"/>
    </row>
    <row r="163" spans="1:25" ht="15" customHeight="1" x14ac:dyDescent="0.2">
      <c r="A163" s="273"/>
      <c r="B163" s="273" t="s">
        <v>188</v>
      </c>
      <c r="C163" s="273" t="s">
        <v>113</v>
      </c>
      <c r="D163" s="273" t="s">
        <v>977</v>
      </c>
      <c r="E163" s="269" t="s">
        <v>981</v>
      </c>
      <c r="F163" s="311" t="s">
        <v>229</v>
      </c>
      <c r="G163" s="269" t="s">
        <v>221</v>
      </c>
      <c r="H163" s="311" t="s">
        <v>708</v>
      </c>
      <c r="I163" s="302" t="s">
        <v>456</v>
      </c>
      <c r="J163" s="273" t="s">
        <v>410</v>
      </c>
      <c r="K163" s="302">
        <v>1</v>
      </c>
      <c r="L163" s="273" t="s">
        <v>269</v>
      </c>
      <c r="M163" s="274">
        <v>46000</v>
      </c>
      <c r="N163" s="275">
        <f t="shared" si="10"/>
        <v>46000</v>
      </c>
      <c r="O163" s="311">
        <v>0</v>
      </c>
      <c r="P163" s="273">
        <f t="shared" si="11"/>
        <v>0</v>
      </c>
      <c r="Q163" s="313">
        <v>0.16</v>
      </c>
      <c r="R163" s="275">
        <f t="shared" si="12"/>
        <v>7360</v>
      </c>
      <c r="S163" s="275">
        <f t="shared" si="13"/>
        <v>53360</v>
      </c>
      <c r="T163" s="275">
        <f>INDEX('Glosario Partidas'!$M$8:$M$10,MATCH(L163,'Glosario Partidas'!$L$8:$L$10,0))</f>
        <v>1</v>
      </c>
      <c r="U163" s="275">
        <f t="shared" si="14"/>
        <v>53360</v>
      </c>
      <c r="V163" s="311" t="s">
        <v>965</v>
      </c>
      <c r="W163" s="311" t="s">
        <v>12</v>
      </c>
      <c r="X163" s="311" t="s">
        <v>493</v>
      </c>
      <c r="Y163" s="311"/>
    </row>
    <row r="164" spans="1:25" ht="15" customHeight="1" x14ac:dyDescent="0.2">
      <c r="A164" s="273"/>
      <c r="B164" s="273" t="s">
        <v>188</v>
      </c>
      <c r="C164" s="273" t="s">
        <v>113</v>
      </c>
      <c r="D164" s="273" t="s">
        <v>977</v>
      </c>
      <c r="E164" s="269" t="s">
        <v>982</v>
      </c>
      <c r="F164" s="311" t="s">
        <v>229</v>
      </c>
      <c r="G164" s="269" t="s">
        <v>221</v>
      </c>
      <c r="H164" s="311" t="s">
        <v>708</v>
      </c>
      <c r="I164" s="302" t="s">
        <v>456</v>
      </c>
      <c r="J164" s="273" t="s">
        <v>410</v>
      </c>
      <c r="K164" s="302">
        <v>1</v>
      </c>
      <c r="L164" s="273" t="s">
        <v>269</v>
      </c>
      <c r="M164" s="274">
        <v>46000</v>
      </c>
      <c r="N164" s="275">
        <f t="shared" si="10"/>
        <v>46000</v>
      </c>
      <c r="O164" s="311">
        <v>0</v>
      </c>
      <c r="P164" s="273">
        <f t="shared" si="11"/>
        <v>0</v>
      </c>
      <c r="Q164" s="313">
        <v>0.16</v>
      </c>
      <c r="R164" s="275">
        <f t="shared" si="12"/>
        <v>7360</v>
      </c>
      <c r="S164" s="275">
        <f t="shared" si="13"/>
        <v>53360</v>
      </c>
      <c r="T164" s="275">
        <f>INDEX('Glosario Partidas'!$M$8:$M$10,MATCH(L164,'Glosario Partidas'!$L$8:$L$10,0))</f>
        <v>1</v>
      </c>
      <c r="U164" s="275">
        <f t="shared" si="14"/>
        <v>53360</v>
      </c>
      <c r="V164" s="311" t="s">
        <v>965</v>
      </c>
      <c r="W164" s="311" t="s">
        <v>12</v>
      </c>
      <c r="X164" s="311" t="s">
        <v>493</v>
      </c>
      <c r="Y164" s="311"/>
    </row>
    <row r="165" spans="1:25" ht="15" customHeight="1" x14ac:dyDescent="0.2">
      <c r="A165" s="273"/>
      <c r="B165" s="273" t="s">
        <v>188</v>
      </c>
      <c r="C165" s="273" t="s">
        <v>113</v>
      </c>
      <c r="D165" s="273" t="s">
        <v>977</v>
      </c>
      <c r="E165" s="269" t="s">
        <v>983</v>
      </c>
      <c r="F165" s="311" t="s">
        <v>229</v>
      </c>
      <c r="G165" s="269" t="s">
        <v>221</v>
      </c>
      <c r="H165" s="311" t="s">
        <v>708</v>
      </c>
      <c r="I165" s="302" t="s">
        <v>456</v>
      </c>
      <c r="J165" s="273" t="s">
        <v>410</v>
      </c>
      <c r="K165" s="302">
        <v>1</v>
      </c>
      <c r="L165" s="273" t="s">
        <v>269</v>
      </c>
      <c r="M165" s="274">
        <v>46000</v>
      </c>
      <c r="N165" s="275">
        <f t="shared" si="10"/>
        <v>46000</v>
      </c>
      <c r="O165" s="311">
        <v>0</v>
      </c>
      <c r="P165" s="273">
        <f t="shared" si="11"/>
        <v>0</v>
      </c>
      <c r="Q165" s="313">
        <v>0.16</v>
      </c>
      <c r="R165" s="275">
        <f t="shared" si="12"/>
        <v>7360</v>
      </c>
      <c r="S165" s="275">
        <f t="shared" si="13"/>
        <v>53360</v>
      </c>
      <c r="T165" s="275">
        <f>INDEX('Glosario Partidas'!$M$8:$M$10,MATCH(L165,'Glosario Partidas'!$L$8:$L$10,0))</f>
        <v>1</v>
      </c>
      <c r="U165" s="275">
        <f t="shared" si="14"/>
        <v>53360</v>
      </c>
      <c r="V165" s="311" t="s">
        <v>965</v>
      </c>
      <c r="W165" s="311" t="s">
        <v>12</v>
      </c>
      <c r="X165" s="311" t="s">
        <v>493</v>
      </c>
      <c r="Y165" s="311"/>
    </row>
    <row r="166" spans="1:25" ht="15" customHeight="1" x14ac:dyDescent="0.2">
      <c r="A166" s="273"/>
      <c r="B166" s="273" t="s">
        <v>188</v>
      </c>
      <c r="C166" s="273" t="s">
        <v>113</v>
      </c>
      <c r="D166" s="273" t="s">
        <v>984</v>
      </c>
      <c r="E166" s="269" t="s">
        <v>985</v>
      </c>
      <c r="F166" s="311" t="s">
        <v>229</v>
      </c>
      <c r="G166" s="269" t="s">
        <v>221</v>
      </c>
      <c r="H166" s="311" t="s">
        <v>708</v>
      </c>
      <c r="I166" s="302" t="s">
        <v>456</v>
      </c>
      <c r="J166" s="273" t="s">
        <v>410</v>
      </c>
      <c r="K166" s="302">
        <v>1</v>
      </c>
      <c r="L166" s="273" t="s">
        <v>269</v>
      </c>
      <c r="M166" s="274">
        <v>60000</v>
      </c>
      <c r="N166" s="275">
        <f t="shared" si="10"/>
        <v>60000</v>
      </c>
      <c r="O166" s="311">
        <v>0</v>
      </c>
      <c r="P166" s="273">
        <f t="shared" si="11"/>
        <v>0</v>
      </c>
      <c r="Q166" s="313">
        <v>0.16</v>
      </c>
      <c r="R166" s="275">
        <f t="shared" si="12"/>
        <v>9600</v>
      </c>
      <c r="S166" s="275">
        <f t="shared" si="13"/>
        <v>69600</v>
      </c>
      <c r="T166" s="275">
        <f>INDEX('Glosario Partidas'!$M$8:$M$10,MATCH(L166,'Glosario Partidas'!$L$8:$L$10,0))</f>
        <v>1</v>
      </c>
      <c r="U166" s="275">
        <f t="shared" si="14"/>
        <v>69600</v>
      </c>
      <c r="V166" s="311" t="s">
        <v>965</v>
      </c>
      <c r="W166" s="311" t="s">
        <v>12</v>
      </c>
      <c r="X166" s="311" t="s">
        <v>493</v>
      </c>
      <c r="Y166" s="311"/>
    </row>
    <row r="167" spans="1:25" ht="15" customHeight="1" x14ac:dyDescent="0.2">
      <c r="A167" s="273"/>
      <c r="B167" s="273" t="s">
        <v>188</v>
      </c>
      <c r="C167" s="273" t="s">
        <v>113</v>
      </c>
      <c r="D167" s="273" t="s">
        <v>986</v>
      </c>
      <c r="E167" s="269" t="s">
        <v>987</v>
      </c>
      <c r="F167" s="311" t="s">
        <v>229</v>
      </c>
      <c r="G167" s="269" t="s">
        <v>221</v>
      </c>
      <c r="H167" s="311" t="s">
        <v>708</v>
      </c>
      <c r="I167" s="302" t="s">
        <v>456</v>
      </c>
      <c r="J167" s="273" t="s">
        <v>410</v>
      </c>
      <c r="K167" s="302">
        <v>1</v>
      </c>
      <c r="L167" s="273" t="s">
        <v>269</v>
      </c>
      <c r="M167" s="274">
        <v>98000</v>
      </c>
      <c r="N167" s="275">
        <f t="shared" si="10"/>
        <v>98000</v>
      </c>
      <c r="O167" s="311">
        <v>0</v>
      </c>
      <c r="P167" s="273">
        <f t="shared" si="11"/>
        <v>0</v>
      </c>
      <c r="Q167" s="313">
        <v>0.16</v>
      </c>
      <c r="R167" s="275">
        <f t="shared" si="12"/>
        <v>15680</v>
      </c>
      <c r="S167" s="275">
        <f t="shared" si="13"/>
        <v>113680</v>
      </c>
      <c r="T167" s="275">
        <f>INDEX('Glosario Partidas'!$M$8:$M$10,MATCH(L167,'Glosario Partidas'!$L$8:$L$10,0))</f>
        <v>1</v>
      </c>
      <c r="U167" s="275">
        <f t="shared" si="14"/>
        <v>113680</v>
      </c>
      <c r="V167" s="311" t="s">
        <v>965</v>
      </c>
      <c r="W167" s="311" t="s">
        <v>12</v>
      </c>
      <c r="X167" s="311" t="s">
        <v>493</v>
      </c>
      <c r="Y167" s="311"/>
    </row>
    <row r="168" spans="1:25" ht="15" customHeight="1" x14ac:dyDescent="0.2">
      <c r="A168" s="273"/>
      <c r="B168" s="273" t="s">
        <v>188</v>
      </c>
      <c r="C168" s="273" t="s">
        <v>113</v>
      </c>
      <c r="D168" s="273" t="s">
        <v>986</v>
      </c>
      <c r="E168" s="269" t="s">
        <v>988</v>
      </c>
      <c r="F168" s="311" t="s">
        <v>229</v>
      </c>
      <c r="G168" s="269" t="s">
        <v>221</v>
      </c>
      <c r="H168" s="311" t="s">
        <v>708</v>
      </c>
      <c r="I168" s="302" t="s">
        <v>456</v>
      </c>
      <c r="J168" s="273" t="s">
        <v>410</v>
      </c>
      <c r="K168" s="302">
        <v>1</v>
      </c>
      <c r="L168" s="273" t="s">
        <v>269</v>
      </c>
      <c r="M168" s="274">
        <v>98000</v>
      </c>
      <c r="N168" s="275">
        <f t="shared" si="10"/>
        <v>98000</v>
      </c>
      <c r="O168" s="311">
        <v>0</v>
      </c>
      <c r="P168" s="273">
        <f t="shared" si="11"/>
        <v>0</v>
      </c>
      <c r="Q168" s="313">
        <v>0.16</v>
      </c>
      <c r="R168" s="275">
        <f t="shared" si="12"/>
        <v>15680</v>
      </c>
      <c r="S168" s="275">
        <f t="shared" si="13"/>
        <v>113680</v>
      </c>
      <c r="T168" s="275">
        <f>INDEX('Glosario Partidas'!$M$8:$M$10,MATCH(L168,'Glosario Partidas'!$L$8:$L$10,0))</f>
        <v>1</v>
      </c>
      <c r="U168" s="275">
        <f t="shared" si="14"/>
        <v>113680</v>
      </c>
      <c r="V168" s="311" t="s">
        <v>965</v>
      </c>
      <c r="W168" s="311" t="s">
        <v>12</v>
      </c>
      <c r="X168" s="311" t="s">
        <v>493</v>
      </c>
      <c r="Y168" s="311"/>
    </row>
    <row r="169" spans="1:25" ht="15" customHeight="1" x14ac:dyDescent="0.2">
      <c r="A169" s="273"/>
      <c r="B169" s="273" t="s">
        <v>188</v>
      </c>
      <c r="C169" s="273" t="s">
        <v>113</v>
      </c>
      <c r="D169" s="273" t="s">
        <v>984</v>
      </c>
      <c r="E169" s="269" t="s">
        <v>989</v>
      </c>
      <c r="F169" s="311" t="s">
        <v>229</v>
      </c>
      <c r="G169" s="269" t="s">
        <v>221</v>
      </c>
      <c r="H169" s="311" t="s">
        <v>708</v>
      </c>
      <c r="I169" s="302" t="s">
        <v>456</v>
      </c>
      <c r="J169" s="273" t="s">
        <v>410</v>
      </c>
      <c r="K169" s="302">
        <v>1</v>
      </c>
      <c r="L169" s="273" t="s">
        <v>269</v>
      </c>
      <c r="M169" s="274">
        <v>60000</v>
      </c>
      <c r="N169" s="275">
        <f t="shared" si="10"/>
        <v>60000</v>
      </c>
      <c r="O169" s="311">
        <v>0</v>
      </c>
      <c r="P169" s="273">
        <f t="shared" si="11"/>
        <v>0</v>
      </c>
      <c r="Q169" s="313">
        <v>0.16</v>
      </c>
      <c r="R169" s="275">
        <f t="shared" si="12"/>
        <v>9600</v>
      </c>
      <c r="S169" s="275">
        <f t="shared" si="13"/>
        <v>69600</v>
      </c>
      <c r="T169" s="275">
        <f>INDEX('Glosario Partidas'!$M$8:$M$10,MATCH(L169,'Glosario Partidas'!$L$8:$L$10,0))</f>
        <v>1</v>
      </c>
      <c r="U169" s="275">
        <f t="shared" si="14"/>
        <v>69600</v>
      </c>
      <c r="V169" s="311" t="s">
        <v>965</v>
      </c>
      <c r="W169" s="311" t="s">
        <v>12</v>
      </c>
      <c r="X169" s="311" t="s">
        <v>493</v>
      </c>
      <c r="Y169" s="311"/>
    </row>
    <row r="170" spans="1:25" ht="15" customHeight="1" x14ac:dyDescent="0.2">
      <c r="A170" s="273"/>
      <c r="B170" s="273" t="s">
        <v>188</v>
      </c>
      <c r="C170" s="273" t="s">
        <v>113</v>
      </c>
      <c r="D170" s="273" t="s">
        <v>986</v>
      </c>
      <c r="E170" s="269" t="s">
        <v>990</v>
      </c>
      <c r="F170" s="311" t="s">
        <v>229</v>
      </c>
      <c r="G170" s="269" t="s">
        <v>221</v>
      </c>
      <c r="H170" s="311" t="s">
        <v>708</v>
      </c>
      <c r="I170" s="302" t="s">
        <v>456</v>
      </c>
      <c r="J170" s="273" t="s">
        <v>410</v>
      </c>
      <c r="K170" s="302">
        <v>1</v>
      </c>
      <c r="L170" s="273" t="s">
        <v>269</v>
      </c>
      <c r="M170" s="274">
        <v>98000</v>
      </c>
      <c r="N170" s="275">
        <f t="shared" si="10"/>
        <v>98000</v>
      </c>
      <c r="O170" s="311">
        <v>0</v>
      </c>
      <c r="P170" s="273">
        <f t="shared" si="11"/>
        <v>0</v>
      </c>
      <c r="Q170" s="313">
        <v>0.16</v>
      </c>
      <c r="R170" s="275">
        <f t="shared" si="12"/>
        <v>15680</v>
      </c>
      <c r="S170" s="275">
        <f t="shared" si="13"/>
        <v>113680</v>
      </c>
      <c r="T170" s="275">
        <f>INDEX('Glosario Partidas'!$M$8:$M$10,MATCH(L170,'Glosario Partidas'!$L$8:$L$10,0))</f>
        <v>1</v>
      </c>
      <c r="U170" s="275">
        <f t="shared" si="14"/>
        <v>113680</v>
      </c>
      <c r="V170" s="311" t="s">
        <v>965</v>
      </c>
      <c r="W170" s="311" t="s">
        <v>12</v>
      </c>
      <c r="X170" s="311" t="s">
        <v>493</v>
      </c>
      <c r="Y170" s="311"/>
    </row>
    <row r="171" spans="1:25" ht="15" customHeight="1" x14ac:dyDescent="0.2">
      <c r="A171" s="273"/>
      <c r="B171" s="273" t="s">
        <v>188</v>
      </c>
      <c r="C171" s="273" t="s">
        <v>113</v>
      </c>
      <c r="D171" s="273" t="s">
        <v>986</v>
      </c>
      <c r="E171" s="269" t="s">
        <v>991</v>
      </c>
      <c r="F171" s="311" t="s">
        <v>229</v>
      </c>
      <c r="G171" s="269" t="s">
        <v>221</v>
      </c>
      <c r="H171" s="311" t="s">
        <v>708</v>
      </c>
      <c r="I171" s="302" t="s">
        <v>456</v>
      </c>
      <c r="J171" s="273" t="s">
        <v>410</v>
      </c>
      <c r="K171" s="302">
        <v>1</v>
      </c>
      <c r="L171" s="273" t="s">
        <v>269</v>
      </c>
      <c r="M171" s="274">
        <v>98000</v>
      </c>
      <c r="N171" s="275">
        <f t="shared" si="10"/>
        <v>98000</v>
      </c>
      <c r="O171" s="311">
        <v>0</v>
      </c>
      <c r="P171" s="273">
        <f t="shared" si="11"/>
        <v>0</v>
      </c>
      <c r="Q171" s="313">
        <v>0.16</v>
      </c>
      <c r="R171" s="275">
        <f t="shared" si="12"/>
        <v>15680</v>
      </c>
      <c r="S171" s="275">
        <f t="shared" si="13"/>
        <v>113680</v>
      </c>
      <c r="T171" s="275">
        <f>INDEX('Glosario Partidas'!$M$8:$M$10,MATCH(L171,'Glosario Partidas'!$L$8:$L$10,0))</f>
        <v>1</v>
      </c>
      <c r="U171" s="275">
        <f t="shared" si="14"/>
        <v>113680</v>
      </c>
      <c r="V171" s="311" t="s">
        <v>965</v>
      </c>
      <c r="W171" s="311" t="s">
        <v>12</v>
      </c>
      <c r="X171" s="311" t="s">
        <v>493</v>
      </c>
      <c r="Y171" s="311"/>
    </row>
    <row r="172" spans="1:25" ht="15" customHeight="1" x14ac:dyDescent="0.2">
      <c r="A172" s="273"/>
      <c r="B172" s="273" t="s">
        <v>188</v>
      </c>
      <c r="C172" s="273" t="s">
        <v>113</v>
      </c>
      <c r="D172" s="273" t="s">
        <v>992</v>
      </c>
      <c r="E172" s="269" t="s">
        <v>993</v>
      </c>
      <c r="F172" s="311" t="s">
        <v>229</v>
      </c>
      <c r="G172" s="269" t="s">
        <v>221</v>
      </c>
      <c r="H172" s="311" t="s">
        <v>708</v>
      </c>
      <c r="I172" s="302" t="s">
        <v>456</v>
      </c>
      <c r="J172" s="273" t="s">
        <v>410</v>
      </c>
      <c r="K172" s="302">
        <v>16</v>
      </c>
      <c r="L172" s="273" t="s">
        <v>269</v>
      </c>
      <c r="M172" s="274">
        <v>12000</v>
      </c>
      <c r="N172" s="275">
        <f t="shared" si="10"/>
        <v>192000</v>
      </c>
      <c r="O172" s="311">
        <v>0</v>
      </c>
      <c r="P172" s="273">
        <f t="shared" si="11"/>
        <v>0</v>
      </c>
      <c r="Q172" s="313">
        <v>0.16</v>
      </c>
      <c r="R172" s="275">
        <f t="shared" si="12"/>
        <v>30720</v>
      </c>
      <c r="S172" s="275">
        <f t="shared" si="13"/>
        <v>222720</v>
      </c>
      <c r="T172" s="275">
        <f>INDEX('Glosario Partidas'!$M$8:$M$10,MATCH(L172,'Glosario Partidas'!$L$8:$L$10,0))</f>
        <v>1</v>
      </c>
      <c r="U172" s="275">
        <f t="shared" si="14"/>
        <v>222720</v>
      </c>
      <c r="V172" s="311" t="s">
        <v>965</v>
      </c>
      <c r="W172" s="311" t="s">
        <v>12</v>
      </c>
      <c r="X172" s="311" t="s">
        <v>493</v>
      </c>
      <c r="Y172" s="311"/>
    </row>
    <row r="173" spans="1:25" ht="15" customHeight="1" x14ac:dyDescent="0.2">
      <c r="A173" s="273"/>
      <c r="B173" s="273" t="s">
        <v>188</v>
      </c>
      <c r="C173" s="273" t="s">
        <v>114</v>
      </c>
      <c r="D173" s="273" t="s">
        <v>994</v>
      </c>
      <c r="E173" s="269" t="s">
        <v>995</v>
      </c>
      <c r="F173" s="311" t="s">
        <v>229</v>
      </c>
      <c r="G173" s="269" t="s">
        <v>221</v>
      </c>
      <c r="H173" s="311" t="s">
        <v>708</v>
      </c>
      <c r="I173" s="302" t="s">
        <v>456</v>
      </c>
      <c r="J173" s="273" t="s">
        <v>410</v>
      </c>
      <c r="K173" s="302">
        <v>1</v>
      </c>
      <c r="L173" s="273" t="s">
        <v>269</v>
      </c>
      <c r="M173" s="274">
        <v>240000</v>
      </c>
      <c r="N173" s="275">
        <f t="shared" si="10"/>
        <v>240000</v>
      </c>
      <c r="O173" s="311">
        <v>0</v>
      </c>
      <c r="P173" s="273">
        <f t="shared" si="11"/>
        <v>0</v>
      </c>
      <c r="Q173" s="313">
        <v>0.16</v>
      </c>
      <c r="R173" s="275">
        <f t="shared" si="12"/>
        <v>38400</v>
      </c>
      <c r="S173" s="275">
        <f t="shared" si="13"/>
        <v>278400</v>
      </c>
      <c r="T173" s="275">
        <f>INDEX('Glosario Partidas'!$M$8:$M$10,MATCH(L173,'Glosario Partidas'!$L$8:$L$10,0))</f>
        <v>1</v>
      </c>
      <c r="U173" s="275">
        <f t="shared" si="14"/>
        <v>278400</v>
      </c>
      <c r="V173" s="311" t="s">
        <v>965</v>
      </c>
      <c r="W173" s="311" t="s">
        <v>12</v>
      </c>
      <c r="X173" s="311" t="s">
        <v>493</v>
      </c>
      <c r="Y173" s="311"/>
    </row>
    <row r="174" spans="1:25" ht="15" customHeight="1" x14ac:dyDescent="0.2">
      <c r="A174" s="273"/>
      <c r="B174" s="273" t="s">
        <v>188</v>
      </c>
      <c r="C174" s="273" t="s">
        <v>114</v>
      </c>
      <c r="D174" s="273" t="s">
        <v>994</v>
      </c>
      <c r="E174" s="269" t="s">
        <v>996</v>
      </c>
      <c r="F174" s="311" t="s">
        <v>229</v>
      </c>
      <c r="G174" s="269" t="s">
        <v>221</v>
      </c>
      <c r="H174" s="311" t="s">
        <v>708</v>
      </c>
      <c r="I174" s="302" t="s">
        <v>456</v>
      </c>
      <c r="J174" s="273" t="s">
        <v>410</v>
      </c>
      <c r="K174" s="302">
        <v>1</v>
      </c>
      <c r="L174" s="273" t="s">
        <v>269</v>
      </c>
      <c r="M174" s="274">
        <v>240000</v>
      </c>
      <c r="N174" s="275">
        <f t="shared" si="10"/>
        <v>240000</v>
      </c>
      <c r="O174" s="311">
        <v>0</v>
      </c>
      <c r="P174" s="273">
        <f t="shared" si="11"/>
        <v>0</v>
      </c>
      <c r="Q174" s="313">
        <v>0.16</v>
      </c>
      <c r="R174" s="275">
        <f t="shared" si="12"/>
        <v>38400</v>
      </c>
      <c r="S174" s="275">
        <f t="shared" si="13"/>
        <v>278400</v>
      </c>
      <c r="T174" s="275">
        <f>INDEX('Glosario Partidas'!$M$8:$M$10,MATCH(L174,'Glosario Partidas'!$L$8:$L$10,0))</f>
        <v>1</v>
      </c>
      <c r="U174" s="275">
        <f t="shared" si="14"/>
        <v>278400</v>
      </c>
      <c r="V174" s="311" t="s">
        <v>965</v>
      </c>
      <c r="W174" s="311" t="s">
        <v>12</v>
      </c>
      <c r="X174" s="311" t="s">
        <v>493</v>
      </c>
      <c r="Y174" s="311"/>
    </row>
    <row r="175" spans="1:25" ht="15" customHeight="1" x14ac:dyDescent="0.2">
      <c r="A175" s="273"/>
      <c r="B175" s="273" t="s">
        <v>188</v>
      </c>
      <c r="C175" s="273" t="s">
        <v>114</v>
      </c>
      <c r="D175" s="273" t="s">
        <v>997</v>
      </c>
      <c r="E175" s="269" t="s">
        <v>998</v>
      </c>
      <c r="F175" s="311" t="s">
        <v>229</v>
      </c>
      <c r="G175" s="269" t="s">
        <v>221</v>
      </c>
      <c r="H175" s="311" t="s">
        <v>708</v>
      </c>
      <c r="I175" s="302" t="s">
        <v>456</v>
      </c>
      <c r="J175" s="273" t="s">
        <v>410</v>
      </c>
      <c r="K175" s="302">
        <v>1</v>
      </c>
      <c r="L175" s="273" t="s">
        <v>269</v>
      </c>
      <c r="M175" s="274">
        <v>550000</v>
      </c>
      <c r="N175" s="275">
        <f t="shared" si="10"/>
        <v>550000</v>
      </c>
      <c r="O175" s="311">
        <v>0</v>
      </c>
      <c r="P175" s="273">
        <f t="shared" si="11"/>
        <v>0</v>
      </c>
      <c r="Q175" s="313">
        <v>0.16</v>
      </c>
      <c r="R175" s="275">
        <f t="shared" si="12"/>
        <v>88000</v>
      </c>
      <c r="S175" s="275">
        <f t="shared" si="13"/>
        <v>638000</v>
      </c>
      <c r="T175" s="275">
        <f>INDEX('Glosario Partidas'!$M$8:$M$10,MATCH(L175,'Glosario Partidas'!$L$8:$L$10,0))</f>
        <v>1</v>
      </c>
      <c r="U175" s="275">
        <f t="shared" si="14"/>
        <v>638000</v>
      </c>
      <c r="V175" s="311" t="s">
        <v>965</v>
      </c>
      <c r="W175" s="311" t="s">
        <v>12</v>
      </c>
      <c r="X175" s="311" t="s">
        <v>493</v>
      </c>
      <c r="Y175" s="311"/>
    </row>
    <row r="176" spans="1:25" ht="15" customHeight="1" x14ac:dyDescent="0.2">
      <c r="A176" s="273"/>
      <c r="B176" s="273" t="s">
        <v>188</v>
      </c>
      <c r="C176" s="273" t="s">
        <v>114</v>
      </c>
      <c r="D176" s="273" t="s">
        <v>999</v>
      </c>
      <c r="E176" s="269" t="s">
        <v>1000</v>
      </c>
      <c r="F176" s="311" t="s">
        <v>229</v>
      </c>
      <c r="G176" s="269" t="s">
        <v>221</v>
      </c>
      <c r="H176" s="311" t="s">
        <v>708</v>
      </c>
      <c r="I176" s="302" t="s">
        <v>456</v>
      </c>
      <c r="J176" s="273" t="s">
        <v>410</v>
      </c>
      <c r="K176" s="302">
        <v>1</v>
      </c>
      <c r="L176" s="273" t="s">
        <v>269</v>
      </c>
      <c r="M176" s="274">
        <v>360000</v>
      </c>
      <c r="N176" s="275">
        <f t="shared" si="10"/>
        <v>360000</v>
      </c>
      <c r="O176" s="311">
        <v>0</v>
      </c>
      <c r="P176" s="273">
        <f t="shared" si="11"/>
        <v>0</v>
      </c>
      <c r="Q176" s="313">
        <v>0.16</v>
      </c>
      <c r="R176" s="275">
        <f t="shared" si="12"/>
        <v>57600</v>
      </c>
      <c r="S176" s="275">
        <f t="shared" si="13"/>
        <v>417600</v>
      </c>
      <c r="T176" s="275">
        <f>INDEX('Glosario Partidas'!$M$8:$M$10,MATCH(L176,'Glosario Partidas'!$L$8:$L$10,0))</f>
        <v>1</v>
      </c>
      <c r="U176" s="275">
        <f t="shared" si="14"/>
        <v>417600</v>
      </c>
      <c r="V176" s="311" t="s">
        <v>965</v>
      </c>
      <c r="W176" s="311" t="s">
        <v>12</v>
      </c>
      <c r="X176" s="311" t="s">
        <v>493</v>
      </c>
      <c r="Y176" s="311"/>
    </row>
    <row r="177" spans="1:25" ht="15" customHeight="1" x14ac:dyDescent="0.2">
      <c r="A177" s="273"/>
      <c r="B177" s="273" t="s">
        <v>188</v>
      </c>
      <c r="C177" s="273" t="s">
        <v>114</v>
      </c>
      <c r="D177" s="273" t="s">
        <v>1001</v>
      </c>
      <c r="E177" s="269" t="s">
        <v>1002</v>
      </c>
      <c r="F177" s="311" t="s">
        <v>229</v>
      </c>
      <c r="G177" s="269" t="s">
        <v>221</v>
      </c>
      <c r="H177" s="311" t="s">
        <v>708</v>
      </c>
      <c r="I177" s="302" t="s">
        <v>456</v>
      </c>
      <c r="J177" s="273" t="s">
        <v>410</v>
      </c>
      <c r="K177" s="302">
        <v>1</v>
      </c>
      <c r="L177" s="273" t="s">
        <v>269</v>
      </c>
      <c r="M177" s="274">
        <v>240000</v>
      </c>
      <c r="N177" s="275">
        <f t="shared" si="10"/>
        <v>240000</v>
      </c>
      <c r="O177" s="311">
        <v>0</v>
      </c>
      <c r="P177" s="273">
        <f t="shared" si="11"/>
        <v>0</v>
      </c>
      <c r="Q177" s="313">
        <v>0.16</v>
      </c>
      <c r="R177" s="275">
        <f t="shared" si="12"/>
        <v>38400</v>
      </c>
      <c r="S177" s="275">
        <f t="shared" si="13"/>
        <v>278400</v>
      </c>
      <c r="T177" s="275">
        <f>INDEX('Glosario Partidas'!$M$8:$M$10,MATCH(L177,'Glosario Partidas'!$L$8:$L$10,0))</f>
        <v>1</v>
      </c>
      <c r="U177" s="275">
        <f t="shared" si="14"/>
        <v>278400</v>
      </c>
      <c r="V177" s="311" t="s">
        <v>965</v>
      </c>
      <c r="W177" s="311" t="s">
        <v>12</v>
      </c>
      <c r="X177" s="311" t="s">
        <v>493</v>
      </c>
      <c r="Y177" s="311"/>
    </row>
    <row r="178" spans="1:25" ht="15" customHeight="1" x14ac:dyDescent="0.2">
      <c r="A178" s="273"/>
      <c r="B178" s="273" t="s">
        <v>188</v>
      </c>
      <c r="C178" s="273" t="s">
        <v>117</v>
      </c>
      <c r="D178" s="273" t="s">
        <v>117</v>
      </c>
      <c r="E178" s="269" t="s">
        <v>481</v>
      </c>
      <c r="F178" s="311" t="s">
        <v>229</v>
      </c>
      <c r="G178" s="269" t="s">
        <v>221</v>
      </c>
      <c r="H178" s="311" t="s">
        <v>708</v>
      </c>
      <c r="I178" s="315" t="s">
        <v>293</v>
      </c>
      <c r="J178" s="211" t="s">
        <v>410</v>
      </c>
      <c r="K178" s="315">
        <v>2</v>
      </c>
      <c r="L178" s="225" t="s">
        <v>269</v>
      </c>
      <c r="M178" s="316">
        <v>80000</v>
      </c>
      <c r="N178" s="310">
        <f t="shared" si="10"/>
        <v>160000</v>
      </c>
      <c r="O178" s="317">
        <v>0</v>
      </c>
      <c r="P178" s="318">
        <f t="shared" si="11"/>
        <v>0</v>
      </c>
      <c r="Q178" s="317">
        <v>0.16</v>
      </c>
      <c r="R178" s="310">
        <f t="shared" si="12"/>
        <v>25600</v>
      </c>
      <c r="S178" s="310">
        <f t="shared" si="13"/>
        <v>185600</v>
      </c>
      <c r="T178" s="229">
        <f>INDEX('Glosario Partidas'!$M$8:$M$10,MATCH(L178,'Glosario Partidas'!$L$8:$L$10,0))</f>
        <v>1</v>
      </c>
      <c r="U178" s="310">
        <f t="shared" si="14"/>
        <v>185600</v>
      </c>
      <c r="V178" s="307" t="s">
        <v>405</v>
      </c>
      <c r="W178" s="249" t="s">
        <v>13</v>
      </c>
      <c r="X178" s="311" t="s">
        <v>491</v>
      </c>
      <c r="Y178" s="311"/>
    </row>
    <row r="179" spans="1:25" ht="15" customHeight="1" x14ac:dyDescent="0.2">
      <c r="A179" s="273"/>
      <c r="B179" s="273" t="s">
        <v>188</v>
      </c>
      <c r="C179" s="273" t="s">
        <v>115</v>
      </c>
      <c r="D179" s="273" t="s">
        <v>1003</v>
      </c>
      <c r="E179" s="269" t="s">
        <v>1004</v>
      </c>
      <c r="F179" s="311" t="s">
        <v>229</v>
      </c>
      <c r="G179" s="269" t="s">
        <v>221</v>
      </c>
      <c r="H179" s="311" t="s">
        <v>708</v>
      </c>
      <c r="I179" s="302" t="s">
        <v>456</v>
      </c>
      <c r="J179" s="273" t="s">
        <v>410</v>
      </c>
      <c r="K179" s="302">
        <v>1</v>
      </c>
      <c r="L179" s="273" t="s">
        <v>269</v>
      </c>
      <c r="M179" s="274">
        <v>50000</v>
      </c>
      <c r="N179" s="275">
        <f t="shared" si="10"/>
        <v>50000</v>
      </c>
      <c r="O179" s="311">
        <v>0</v>
      </c>
      <c r="P179" s="273">
        <f t="shared" si="11"/>
        <v>0</v>
      </c>
      <c r="Q179" s="313">
        <v>0.16</v>
      </c>
      <c r="R179" s="275">
        <f t="shared" si="12"/>
        <v>8000</v>
      </c>
      <c r="S179" s="275">
        <f t="shared" si="13"/>
        <v>58000</v>
      </c>
      <c r="T179" s="275">
        <f>INDEX('Glosario Partidas'!$M$8:$M$10,MATCH(L179,'Glosario Partidas'!$L$8:$L$10,0))</f>
        <v>1</v>
      </c>
      <c r="U179" s="275">
        <f t="shared" si="14"/>
        <v>58000</v>
      </c>
      <c r="V179" s="311" t="s">
        <v>1005</v>
      </c>
      <c r="W179" s="311" t="s">
        <v>12</v>
      </c>
      <c r="X179" s="311" t="s">
        <v>493</v>
      </c>
      <c r="Y179" s="311"/>
    </row>
    <row r="180" spans="1:25" ht="15" customHeight="1" x14ac:dyDescent="0.2">
      <c r="A180" s="273"/>
      <c r="B180" s="273" t="s">
        <v>188</v>
      </c>
      <c r="C180" s="273" t="s">
        <v>116</v>
      </c>
      <c r="D180" s="273" t="s">
        <v>116</v>
      </c>
      <c r="E180" s="269" t="s">
        <v>1006</v>
      </c>
      <c r="F180" s="311" t="s">
        <v>229</v>
      </c>
      <c r="G180" s="269" t="s">
        <v>221</v>
      </c>
      <c r="H180" s="311" t="s">
        <v>708</v>
      </c>
      <c r="I180" s="302" t="s">
        <v>604</v>
      </c>
      <c r="J180" s="273" t="s">
        <v>207</v>
      </c>
      <c r="K180" s="302">
        <v>1</v>
      </c>
      <c r="L180" s="273" t="s">
        <v>269</v>
      </c>
      <c r="M180" s="274">
        <f>4120597/4</f>
        <v>1030149.25</v>
      </c>
      <c r="N180" s="275">
        <f t="shared" si="10"/>
        <v>1030149.25</v>
      </c>
      <c r="O180" s="311">
        <v>0</v>
      </c>
      <c r="P180" s="273">
        <f t="shared" si="11"/>
        <v>0</v>
      </c>
      <c r="Q180" s="313">
        <v>0.16</v>
      </c>
      <c r="R180" s="275">
        <f t="shared" si="12"/>
        <v>164823.88</v>
      </c>
      <c r="S180" s="275">
        <f t="shared" si="13"/>
        <v>1194973.1299999999</v>
      </c>
      <c r="T180" s="275">
        <f>INDEX('Glosario Partidas'!$M$8:$M$10,MATCH(L180,'Glosario Partidas'!$L$8:$L$10,0))</f>
        <v>1</v>
      </c>
      <c r="U180" s="275">
        <f t="shared" si="14"/>
        <v>1194973.1299999999</v>
      </c>
      <c r="V180" s="311" t="s">
        <v>1007</v>
      </c>
      <c r="W180" s="311" t="s">
        <v>12</v>
      </c>
      <c r="X180" s="311" t="s">
        <v>491</v>
      </c>
      <c r="Y180" s="311"/>
    </row>
    <row r="181" spans="1:25" ht="15" customHeight="1" x14ac:dyDescent="0.2">
      <c r="A181" s="273"/>
      <c r="B181" s="273" t="s">
        <v>188</v>
      </c>
      <c r="C181" s="273" t="s">
        <v>112</v>
      </c>
      <c r="D181" s="273" t="s">
        <v>112</v>
      </c>
      <c r="E181" s="269" t="s">
        <v>964</v>
      </c>
      <c r="F181" s="311" t="s">
        <v>229</v>
      </c>
      <c r="G181" s="269" t="s">
        <v>221</v>
      </c>
      <c r="H181" s="311" t="s">
        <v>710</v>
      </c>
      <c r="I181" s="302" t="s">
        <v>456</v>
      </c>
      <c r="J181" s="273" t="s">
        <v>410</v>
      </c>
      <c r="K181" s="302">
        <v>1</v>
      </c>
      <c r="L181" s="273" t="s">
        <v>269</v>
      </c>
      <c r="M181" s="274">
        <v>150000</v>
      </c>
      <c r="N181" s="275">
        <f t="shared" si="10"/>
        <v>150000</v>
      </c>
      <c r="O181" s="311">
        <v>0</v>
      </c>
      <c r="P181" s="273">
        <f t="shared" si="11"/>
        <v>0</v>
      </c>
      <c r="Q181" s="313">
        <v>0.16</v>
      </c>
      <c r="R181" s="275">
        <f t="shared" si="12"/>
        <v>24000</v>
      </c>
      <c r="S181" s="275">
        <f t="shared" si="13"/>
        <v>174000</v>
      </c>
      <c r="T181" s="275">
        <f>INDEX('Glosario Partidas'!$M$8:$M$10,MATCH(L181,'Glosario Partidas'!$L$8:$L$10,0))</f>
        <v>1</v>
      </c>
      <c r="U181" s="275">
        <f t="shared" si="14"/>
        <v>174000</v>
      </c>
      <c r="V181" s="311" t="s">
        <v>965</v>
      </c>
      <c r="W181" s="311" t="s">
        <v>12</v>
      </c>
      <c r="X181" s="311" t="s">
        <v>493</v>
      </c>
      <c r="Y181" s="311"/>
    </row>
    <row r="182" spans="1:25" ht="15" customHeight="1" x14ac:dyDescent="0.2">
      <c r="A182" s="273"/>
      <c r="B182" s="273" t="s">
        <v>188</v>
      </c>
      <c r="C182" s="273" t="s">
        <v>112</v>
      </c>
      <c r="D182" s="273" t="s">
        <v>112</v>
      </c>
      <c r="E182" s="269" t="s">
        <v>966</v>
      </c>
      <c r="F182" s="311" t="s">
        <v>229</v>
      </c>
      <c r="G182" s="269" t="s">
        <v>221</v>
      </c>
      <c r="H182" s="311" t="s">
        <v>710</v>
      </c>
      <c r="I182" s="302" t="s">
        <v>456</v>
      </c>
      <c r="J182" s="273" t="s">
        <v>410</v>
      </c>
      <c r="K182" s="302">
        <v>1</v>
      </c>
      <c r="L182" s="273" t="s">
        <v>269</v>
      </c>
      <c r="M182" s="274">
        <v>150000</v>
      </c>
      <c r="N182" s="275">
        <f t="shared" si="10"/>
        <v>150000</v>
      </c>
      <c r="O182" s="311">
        <v>0</v>
      </c>
      <c r="P182" s="273">
        <f t="shared" si="11"/>
        <v>0</v>
      </c>
      <c r="Q182" s="313">
        <v>0.16</v>
      </c>
      <c r="R182" s="275">
        <f t="shared" si="12"/>
        <v>24000</v>
      </c>
      <c r="S182" s="275">
        <f t="shared" si="13"/>
        <v>174000</v>
      </c>
      <c r="T182" s="275">
        <f>INDEX('Glosario Partidas'!$M$8:$M$10,MATCH(L182,'Glosario Partidas'!$L$8:$L$10,0))</f>
        <v>1</v>
      </c>
      <c r="U182" s="275">
        <f t="shared" si="14"/>
        <v>174000</v>
      </c>
      <c r="V182" s="311" t="s">
        <v>965</v>
      </c>
      <c r="W182" s="311" t="s">
        <v>12</v>
      </c>
      <c r="X182" s="311" t="s">
        <v>493</v>
      </c>
      <c r="Y182" s="311"/>
    </row>
    <row r="183" spans="1:25" ht="15" customHeight="1" x14ac:dyDescent="0.2">
      <c r="A183" s="273"/>
      <c r="B183" s="273" t="s">
        <v>188</v>
      </c>
      <c r="C183" s="273" t="s">
        <v>112</v>
      </c>
      <c r="D183" s="273" t="s">
        <v>112</v>
      </c>
      <c r="E183" s="269" t="s">
        <v>967</v>
      </c>
      <c r="F183" s="311" t="s">
        <v>229</v>
      </c>
      <c r="G183" s="269" t="s">
        <v>221</v>
      </c>
      <c r="H183" s="311" t="s">
        <v>710</v>
      </c>
      <c r="I183" s="302" t="s">
        <v>456</v>
      </c>
      <c r="J183" s="273" t="s">
        <v>410</v>
      </c>
      <c r="K183" s="302">
        <v>1</v>
      </c>
      <c r="L183" s="273" t="s">
        <v>269</v>
      </c>
      <c r="M183" s="274">
        <v>150000</v>
      </c>
      <c r="N183" s="275">
        <f t="shared" si="10"/>
        <v>150000</v>
      </c>
      <c r="O183" s="311">
        <v>0</v>
      </c>
      <c r="P183" s="273">
        <f t="shared" si="11"/>
        <v>0</v>
      </c>
      <c r="Q183" s="313">
        <v>0.16</v>
      </c>
      <c r="R183" s="275">
        <f t="shared" si="12"/>
        <v>24000</v>
      </c>
      <c r="S183" s="275">
        <f t="shared" si="13"/>
        <v>174000</v>
      </c>
      <c r="T183" s="275">
        <f>INDEX('Glosario Partidas'!$M$8:$M$10,MATCH(L183,'Glosario Partidas'!$L$8:$L$10,0))</f>
        <v>1</v>
      </c>
      <c r="U183" s="275">
        <f t="shared" si="14"/>
        <v>174000</v>
      </c>
      <c r="V183" s="311" t="s">
        <v>965</v>
      </c>
      <c r="W183" s="311" t="s">
        <v>12</v>
      </c>
      <c r="X183" s="311" t="s">
        <v>493</v>
      </c>
      <c r="Y183" s="311"/>
    </row>
    <row r="184" spans="1:25" ht="15" customHeight="1" x14ac:dyDescent="0.2">
      <c r="A184" s="273"/>
      <c r="B184" s="273" t="s">
        <v>188</v>
      </c>
      <c r="C184" s="273" t="s">
        <v>112</v>
      </c>
      <c r="D184" s="273" t="s">
        <v>112</v>
      </c>
      <c r="E184" s="269" t="s">
        <v>968</v>
      </c>
      <c r="F184" s="311" t="s">
        <v>229</v>
      </c>
      <c r="G184" s="269" t="s">
        <v>221</v>
      </c>
      <c r="H184" s="311" t="s">
        <v>710</v>
      </c>
      <c r="I184" s="302" t="s">
        <v>456</v>
      </c>
      <c r="J184" s="273" t="s">
        <v>410</v>
      </c>
      <c r="K184" s="302">
        <v>1</v>
      </c>
      <c r="L184" s="273" t="s">
        <v>269</v>
      </c>
      <c r="M184" s="274">
        <v>200000</v>
      </c>
      <c r="N184" s="275">
        <f t="shared" si="10"/>
        <v>200000</v>
      </c>
      <c r="O184" s="311">
        <v>0</v>
      </c>
      <c r="P184" s="273">
        <f t="shared" si="11"/>
        <v>0</v>
      </c>
      <c r="Q184" s="313">
        <v>0.16</v>
      </c>
      <c r="R184" s="275">
        <f t="shared" si="12"/>
        <v>32000</v>
      </c>
      <c r="S184" s="275">
        <f t="shared" si="13"/>
        <v>232000</v>
      </c>
      <c r="T184" s="275">
        <f>INDEX('Glosario Partidas'!$M$8:$M$10,MATCH(L184,'Glosario Partidas'!$L$8:$L$10,0))</f>
        <v>1</v>
      </c>
      <c r="U184" s="275">
        <f t="shared" si="14"/>
        <v>232000</v>
      </c>
      <c r="V184" s="311" t="s">
        <v>965</v>
      </c>
      <c r="W184" s="311" t="s">
        <v>12</v>
      </c>
      <c r="X184" s="311" t="s">
        <v>493</v>
      </c>
      <c r="Y184" s="311"/>
    </row>
    <row r="185" spans="1:25" ht="15" customHeight="1" x14ac:dyDescent="0.2">
      <c r="A185" s="273"/>
      <c r="B185" s="273" t="s">
        <v>188</v>
      </c>
      <c r="C185" s="273" t="s">
        <v>112</v>
      </c>
      <c r="D185" s="273" t="s">
        <v>112</v>
      </c>
      <c r="E185" s="269" t="s">
        <v>969</v>
      </c>
      <c r="F185" s="311" t="s">
        <v>229</v>
      </c>
      <c r="G185" s="269" t="s">
        <v>221</v>
      </c>
      <c r="H185" s="311" t="s">
        <v>710</v>
      </c>
      <c r="I185" s="302" t="s">
        <v>456</v>
      </c>
      <c r="J185" s="273" t="s">
        <v>410</v>
      </c>
      <c r="K185" s="302">
        <v>1</v>
      </c>
      <c r="L185" s="273" t="s">
        <v>269</v>
      </c>
      <c r="M185" s="274">
        <v>200000</v>
      </c>
      <c r="N185" s="275">
        <f t="shared" si="10"/>
        <v>200000</v>
      </c>
      <c r="O185" s="311">
        <v>0</v>
      </c>
      <c r="P185" s="273">
        <f t="shared" si="11"/>
        <v>0</v>
      </c>
      <c r="Q185" s="313">
        <v>0.16</v>
      </c>
      <c r="R185" s="275">
        <f t="shared" si="12"/>
        <v>32000</v>
      </c>
      <c r="S185" s="275">
        <f t="shared" si="13"/>
        <v>232000</v>
      </c>
      <c r="T185" s="275">
        <f>INDEX('Glosario Partidas'!$M$8:$M$10,MATCH(L185,'Glosario Partidas'!$L$8:$L$10,0))</f>
        <v>1</v>
      </c>
      <c r="U185" s="275">
        <f t="shared" si="14"/>
        <v>232000</v>
      </c>
      <c r="V185" s="311" t="s">
        <v>965</v>
      </c>
      <c r="W185" s="311" t="s">
        <v>12</v>
      </c>
      <c r="X185" s="311" t="s">
        <v>493</v>
      </c>
      <c r="Y185" s="311"/>
    </row>
    <row r="186" spans="1:25" ht="15" customHeight="1" x14ac:dyDescent="0.2">
      <c r="A186" s="273"/>
      <c r="B186" s="273" t="s">
        <v>188</v>
      </c>
      <c r="C186" s="273" t="s">
        <v>112</v>
      </c>
      <c r="D186" s="273" t="s">
        <v>970</v>
      </c>
      <c r="E186" s="269" t="s">
        <v>964</v>
      </c>
      <c r="F186" s="311" t="s">
        <v>229</v>
      </c>
      <c r="G186" s="269" t="s">
        <v>221</v>
      </c>
      <c r="H186" s="311" t="s">
        <v>710</v>
      </c>
      <c r="I186" s="302" t="s">
        <v>456</v>
      </c>
      <c r="J186" s="273" t="s">
        <v>410</v>
      </c>
      <c r="K186" s="302">
        <v>1</v>
      </c>
      <c r="L186" s="273" t="s">
        <v>269</v>
      </c>
      <c r="M186" s="274">
        <v>40000</v>
      </c>
      <c r="N186" s="275">
        <f t="shared" si="10"/>
        <v>40000</v>
      </c>
      <c r="O186" s="311">
        <v>0</v>
      </c>
      <c r="P186" s="273">
        <f t="shared" si="11"/>
        <v>0</v>
      </c>
      <c r="Q186" s="313">
        <v>0.16</v>
      </c>
      <c r="R186" s="275">
        <f t="shared" si="12"/>
        <v>6400</v>
      </c>
      <c r="S186" s="275">
        <f t="shared" si="13"/>
        <v>46400</v>
      </c>
      <c r="T186" s="275">
        <f>INDEX('Glosario Partidas'!$M$8:$M$10,MATCH(L186,'Glosario Partidas'!$L$8:$L$10,0))</f>
        <v>1</v>
      </c>
      <c r="U186" s="275">
        <f t="shared" si="14"/>
        <v>46400</v>
      </c>
      <c r="V186" s="311" t="s">
        <v>965</v>
      </c>
      <c r="W186" s="311" t="s">
        <v>12</v>
      </c>
      <c r="X186" s="311" t="s">
        <v>493</v>
      </c>
      <c r="Y186" s="311"/>
    </row>
    <row r="187" spans="1:25" ht="15" customHeight="1" x14ac:dyDescent="0.2">
      <c r="A187" s="273"/>
      <c r="B187" s="273" t="s">
        <v>188</v>
      </c>
      <c r="C187" s="273" t="s">
        <v>112</v>
      </c>
      <c r="D187" s="273" t="s">
        <v>970</v>
      </c>
      <c r="E187" s="269" t="s">
        <v>966</v>
      </c>
      <c r="F187" s="311" t="s">
        <v>229</v>
      </c>
      <c r="G187" s="269" t="s">
        <v>221</v>
      </c>
      <c r="H187" s="311" t="s">
        <v>710</v>
      </c>
      <c r="I187" s="302" t="s">
        <v>456</v>
      </c>
      <c r="J187" s="273" t="s">
        <v>410</v>
      </c>
      <c r="K187" s="302">
        <v>1</v>
      </c>
      <c r="L187" s="273" t="s">
        <v>269</v>
      </c>
      <c r="M187" s="274">
        <v>40000</v>
      </c>
      <c r="N187" s="275">
        <f t="shared" si="10"/>
        <v>40000</v>
      </c>
      <c r="O187" s="311">
        <v>0</v>
      </c>
      <c r="P187" s="273">
        <f t="shared" si="11"/>
        <v>0</v>
      </c>
      <c r="Q187" s="313">
        <v>0.16</v>
      </c>
      <c r="R187" s="275">
        <f t="shared" si="12"/>
        <v>6400</v>
      </c>
      <c r="S187" s="275">
        <f t="shared" si="13"/>
        <v>46400</v>
      </c>
      <c r="T187" s="275">
        <f>INDEX('Glosario Partidas'!$M$8:$M$10,MATCH(L187,'Glosario Partidas'!$L$8:$L$10,0))</f>
        <v>1</v>
      </c>
      <c r="U187" s="275">
        <f t="shared" si="14"/>
        <v>46400</v>
      </c>
      <c r="V187" s="311" t="s">
        <v>965</v>
      </c>
      <c r="W187" s="311" t="s">
        <v>12</v>
      </c>
      <c r="X187" s="311" t="s">
        <v>493</v>
      </c>
      <c r="Y187" s="311"/>
    </row>
    <row r="188" spans="1:25" ht="15" customHeight="1" x14ac:dyDescent="0.2">
      <c r="A188" s="273"/>
      <c r="B188" s="273" t="s">
        <v>188</v>
      </c>
      <c r="C188" s="273" t="s">
        <v>112</v>
      </c>
      <c r="D188" s="273" t="s">
        <v>970</v>
      </c>
      <c r="E188" s="269" t="s">
        <v>967</v>
      </c>
      <c r="F188" s="311" t="s">
        <v>229</v>
      </c>
      <c r="G188" s="269" t="s">
        <v>221</v>
      </c>
      <c r="H188" s="311" t="s">
        <v>710</v>
      </c>
      <c r="I188" s="302" t="s">
        <v>456</v>
      </c>
      <c r="J188" s="273" t="s">
        <v>410</v>
      </c>
      <c r="K188" s="302">
        <v>1</v>
      </c>
      <c r="L188" s="273" t="s">
        <v>269</v>
      </c>
      <c r="M188" s="274">
        <v>40000</v>
      </c>
      <c r="N188" s="275">
        <f t="shared" si="10"/>
        <v>40000</v>
      </c>
      <c r="O188" s="311">
        <v>0</v>
      </c>
      <c r="P188" s="273">
        <f t="shared" si="11"/>
        <v>0</v>
      </c>
      <c r="Q188" s="313">
        <v>0.16</v>
      </c>
      <c r="R188" s="275">
        <f t="shared" si="12"/>
        <v>6400</v>
      </c>
      <c r="S188" s="275">
        <f t="shared" si="13"/>
        <v>46400</v>
      </c>
      <c r="T188" s="275">
        <f>INDEX('Glosario Partidas'!$M$8:$M$10,MATCH(L188,'Glosario Partidas'!$L$8:$L$10,0))</f>
        <v>1</v>
      </c>
      <c r="U188" s="275">
        <f t="shared" si="14"/>
        <v>46400</v>
      </c>
      <c r="V188" s="311" t="s">
        <v>965</v>
      </c>
      <c r="W188" s="311" t="s">
        <v>12</v>
      </c>
      <c r="X188" s="311" t="s">
        <v>493</v>
      </c>
      <c r="Y188" s="311"/>
    </row>
    <row r="189" spans="1:25" ht="15" customHeight="1" x14ac:dyDescent="0.2">
      <c r="A189" s="273"/>
      <c r="B189" s="273" t="s">
        <v>188</v>
      </c>
      <c r="C189" s="273" t="s">
        <v>112</v>
      </c>
      <c r="D189" s="273" t="s">
        <v>970</v>
      </c>
      <c r="E189" s="269" t="s">
        <v>968</v>
      </c>
      <c r="F189" s="311" t="s">
        <v>229</v>
      </c>
      <c r="G189" s="269" t="s">
        <v>221</v>
      </c>
      <c r="H189" s="311" t="s">
        <v>710</v>
      </c>
      <c r="I189" s="302" t="s">
        <v>456</v>
      </c>
      <c r="J189" s="273" t="s">
        <v>410</v>
      </c>
      <c r="K189" s="302">
        <v>1</v>
      </c>
      <c r="L189" s="273" t="s">
        <v>269</v>
      </c>
      <c r="M189" s="274">
        <v>60000</v>
      </c>
      <c r="N189" s="275">
        <f t="shared" si="10"/>
        <v>60000</v>
      </c>
      <c r="O189" s="311">
        <v>0</v>
      </c>
      <c r="P189" s="273">
        <f t="shared" si="11"/>
        <v>0</v>
      </c>
      <c r="Q189" s="313">
        <v>0.16</v>
      </c>
      <c r="R189" s="275">
        <f t="shared" si="12"/>
        <v>9600</v>
      </c>
      <c r="S189" s="275">
        <f t="shared" si="13"/>
        <v>69600</v>
      </c>
      <c r="T189" s="275">
        <f>INDEX('Glosario Partidas'!$M$8:$M$10,MATCH(L189,'Glosario Partidas'!$L$8:$L$10,0))</f>
        <v>1</v>
      </c>
      <c r="U189" s="275">
        <f t="shared" si="14"/>
        <v>69600</v>
      </c>
      <c r="V189" s="311" t="s">
        <v>965</v>
      </c>
      <c r="W189" s="311" t="s">
        <v>12</v>
      </c>
      <c r="X189" s="311" t="s">
        <v>493</v>
      </c>
      <c r="Y189" s="311"/>
    </row>
    <row r="190" spans="1:25" ht="15" customHeight="1" x14ac:dyDescent="0.2">
      <c r="A190" s="273"/>
      <c r="B190" s="273" t="s">
        <v>188</v>
      </c>
      <c r="C190" s="273" t="s">
        <v>112</v>
      </c>
      <c r="D190" s="273" t="s">
        <v>970</v>
      </c>
      <c r="E190" s="269" t="s">
        <v>969</v>
      </c>
      <c r="F190" s="311" t="s">
        <v>229</v>
      </c>
      <c r="G190" s="269" t="s">
        <v>221</v>
      </c>
      <c r="H190" s="311" t="s">
        <v>710</v>
      </c>
      <c r="I190" s="302" t="s">
        <v>456</v>
      </c>
      <c r="J190" s="273" t="s">
        <v>410</v>
      </c>
      <c r="K190" s="302">
        <v>1</v>
      </c>
      <c r="L190" s="273" t="s">
        <v>269</v>
      </c>
      <c r="M190" s="274">
        <v>60000</v>
      </c>
      <c r="N190" s="275">
        <f t="shared" si="10"/>
        <v>60000</v>
      </c>
      <c r="O190" s="311">
        <v>0</v>
      </c>
      <c r="P190" s="273">
        <f t="shared" si="11"/>
        <v>0</v>
      </c>
      <c r="Q190" s="313">
        <v>0.16</v>
      </c>
      <c r="R190" s="275">
        <f t="shared" si="12"/>
        <v>9600</v>
      </c>
      <c r="S190" s="275">
        <f t="shared" si="13"/>
        <v>69600</v>
      </c>
      <c r="T190" s="275">
        <f>INDEX('Glosario Partidas'!$M$8:$M$10,MATCH(L190,'Glosario Partidas'!$L$8:$L$10,0))</f>
        <v>1</v>
      </c>
      <c r="U190" s="275">
        <f t="shared" si="14"/>
        <v>69600</v>
      </c>
      <c r="V190" s="311" t="s">
        <v>965</v>
      </c>
      <c r="W190" s="311" t="s">
        <v>12</v>
      </c>
      <c r="X190" s="311" t="s">
        <v>493</v>
      </c>
      <c r="Y190" s="311"/>
    </row>
    <row r="191" spans="1:25" ht="15" customHeight="1" x14ac:dyDescent="0.2">
      <c r="A191" s="273"/>
      <c r="B191" s="273" t="s">
        <v>188</v>
      </c>
      <c r="C191" s="273" t="s">
        <v>113</v>
      </c>
      <c r="D191" s="273" t="s">
        <v>971</v>
      </c>
      <c r="E191" s="269" t="s">
        <v>972</v>
      </c>
      <c r="F191" s="311" t="s">
        <v>229</v>
      </c>
      <c r="G191" s="269" t="s">
        <v>221</v>
      </c>
      <c r="H191" s="311" t="s">
        <v>710</v>
      </c>
      <c r="I191" s="302" t="s">
        <v>456</v>
      </c>
      <c r="J191" s="273" t="s">
        <v>410</v>
      </c>
      <c r="K191" s="302">
        <v>1</v>
      </c>
      <c r="L191" s="273" t="s">
        <v>269</v>
      </c>
      <c r="M191" s="274">
        <v>195000</v>
      </c>
      <c r="N191" s="275">
        <f t="shared" si="10"/>
        <v>195000</v>
      </c>
      <c r="O191" s="311">
        <v>0</v>
      </c>
      <c r="P191" s="273">
        <f t="shared" si="11"/>
        <v>0</v>
      </c>
      <c r="Q191" s="313">
        <v>0.16</v>
      </c>
      <c r="R191" s="275">
        <f t="shared" si="12"/>
        <v>31200</v>
      </c>
      <c r="S191" s="275">
        <f t="shared" si="13"/>
        <v>226200</v>
      </c>
      <c r="T191" s="275">
        <f>INDEX('Glosario Partidas'!$M$8:$M$10,MATCH(L191,'Glosario Partidas'!$L$8:$L$10,0))</f>
        <v>1</v>
      </c>
      <c r="U191" s="275">
        <f t="shared" si="14"/>
        <v>226200</v>
      </c>
      <c r="V191" s="311" t="s">
        <v>965</v>
      </c>
      <c r="W191" s="311" t="s">
        <v>12</v>
      </c>
      <c r="X191" s="311" t="s">
        <v>493</v>
      </c>
      <c r="Y191" s="311"/>
    </row>
    <row r="192" spans="1:25" ht="15" customHeight="1" x14ac:dyDescent="0.2">
      <c r="A192" s="273"/>
      <c r="B192" s="273" t="s">
        <v>188</v>
      </c>
      <c r="C192" s="273" t="s">
        <v>113</v>
      </c>
      <c r="D192" s="273" t="s">
        <v>973</v>
      </c>
      <c r="E192" s="269" t="s">
        <v>974</v>
      </c>
      <c r="F192" s="311" t="s">
        <v>229</v>
      </c>
      <c r="G192" s="269" t="s">
        <v>221</v>
      </c>
      <c r="H192" s="311" t="s">
        <v>710</v>
      </c>
      <c r="I192" s="302" t="s">
        <v>456</v>
      </c>
      <c r="J192" s="273" t="s">
        <v>410</v>
      </c>
      <c r="K192" s="302">
        <v>1</v>
      </c>
      <c r="L192" s="273" t="s">
        <v>269</v>
      </c>
      <c r="M192" s="274">
        <v>38000</v>
      </c>
      <c r="N192" s="275">
        <f t="shared" si="10"/>
        <v>38000</v>
      </c>
      <c r="O192" s="311">
        <v>0</v>
      </c>
      <c r="P192" s="273">
        <f t="shared" si="11"/>
        <v>0</v>
      </c>
      <c r="Q192" s="313">
        <v>0.16</v>
      </c>
      <c r="R192" s="275">
        <f t="shared" si="12"/>
        <v>6080</v>
      </c>
      <c r="S192" s="275">
        <f t="shared" si="13"/>
        <v>44080</v>
      </c>
      <c r="T192" s="275">
        <f>INDEX('Glosario Partidas'!$M$8:$M$10,MATCH(L192,'Glosario Partidas'!$L$8:$L$10,0))</f>
        <v>1</v>
      </c>
      <c r="U192" s="275">
        <f t="shared" si="14"/>
        <v>44080</v>
      </c>
      <c r="V192" s="311" t="s">
        <v>965</v>
      </c>
      <c r="W192" s="311" t="s">
        <v>12</v>
      </c>
      <c r="X192" s="311" t="s">
        <v>493</v>
      </c>
      <c r="Y192" s="311"/>
    </row>
    <row r="193" spans="1:25" ht="15" customHeight="1" x14ac:dyDescent="0.2">
      <c r="A193" s="273"/>
      <c r="B193" s="273" t="s">
        <v>188</v>
      </c>
      <c r="C193" s="273" t="s">
        <v>113</v>
      </c>
      <c r="D193" s="273" t="s">
        <v>973</v>
      </c>
      <c r="E193" s="269" t="s">
        <v>975</v>
      </c>
      <c r="F193" s="311" t="s">
        <v>229</v>
      </c>
      <c r="G193" s="269" t="s">
        <v>221</v>
      </c>
      <c r="H193" s="311" t="s">
        <v>710</v>
      </c>
      <c r="I193" s="302" t="s">
        <v>456</v>
      </c>
      <c r="J193" s="273" t="s">
        <v>410</v>
      </c>
      <c r="K193" s="302">
        <v>1</v>
      </c>
      <c r="L193" s="273" t="s">
        <v>269</v>
      </c>
      <c r="M193" s="274">
        <v>38000</v>
      </c>
      <c r="N193" s="275">
        <f t="shared" si="10"/>
        <v>38000</v>
      </c>
      <c r="O193" s="311">
        <v>0</v>
      </c>
      <c r="P193" s="273">
        <f t="shared" si="11"/>
        <v>0</v>
      </c>
      <c r="Q193" s="313">
        <v>0.16</v>
      </c>
      <c r="R193" s="275">
        <f t="shared" si="12"/>
        <v>6080</v>
      </c>
      <c r="S193" s="275">
        <f t="shared" si="13"/>
        <v>44080</v>
      </c>
      <c r="T193" s="275">
        <f>INDEX('Glosario Partidas'!$M$8:$M$10,MATCH(L193,'Glosario Partidas'!$L$8:$L$10,0))</f>
        <v>1</v>
      </c>
      <c r="U193" s="275">
        <f t="shared" si="14"/>
        <v>44080</v>
      </c>
      <c r="V193" s="311" t="s">
        <v>965</v>
      </c>
      <c r="W193" s="311" t="s">
        <v>12</v>
      </c>
      <c r="X193" s="311" t="s">
        <v>493</v>
      </c>
      <c r="Y193" s="311"/>
    </row>
    <row r="194" spans="1:25" ht="15" customHeight="1" x14ac:dyDescent="0.2">
      <c r="A194" s="273"/>
      <c r="B194" s="273" t="s">
        <v>188</v>
      </c>
      <c r="C194" s="273" t="s">
        <v>113</v>
      </c>
      <c r="D194" s="273" t="s">
        <v>973</v>
      </c>
      <c r="E194" s="269" t="s">
        <v>976</v>
      </c>
      <c r="F194" s="311" t="s">
        <v>229</v>
      </c>
      <c r="G194" s="269" t="s">
        <v>221</v>
      </c>
      <c r="H194" s="311" t="s">
        <v>710</v>
      </c>
      <c r="I194" s="302" t="s">
        <v>456</v>
      </c>
      <c r="J194" s="273" t="s">
        <v>410</v>
      </c>
      <c r="K194" s="302">
        <v>1</v>
      </c>
      <c r="L194" s="273" t="s">
        <v>269</v>
      </c>
      <c r="M194" s="274">
        <v>38000</v>
      </c>
      <c r="N194" s="275">
        <f t="shared" ref="N194:N257" si="15">K194*M194</f>
        <v>38000</v>
      </c>
      <c r="O194" s="311">
        <v>0</v>
      </c>
      <c r="P194" s="273">
        <f t="shared" ref="P194:P257" si="16">N194*O194</f>
        <v>0</v>
      </c>
      <c r="Q194" s="313">
        <v>0.16</v>
      </c>
      <c r="R194" s="275">
        <f t="shared" ref="R194:R257" si="17">(N194+P194)*Q194</f>
        <v>6080</v>
      </c>
      <c r="S194" s="275">
        <f t="shared" ref="S194:S257" si="18">N194+P194+R194</f>
        <v>44080</v>
      </c>
      <c r="T194" s="275">
        <f>INDEX('Glosario Partidas'!$M$8:$M$10,MATCH(L194,'Glosario Partidas'!$L$8:$L$10,0))</f>
        <v>1</v>
      </c>
      <c r="U194" s="275">
        <f t="shared" ref="U194:U257" si="19">S194*T194</f>
        <v>44080</v>
      </c>
      <c r="V194" s="311" t="s">
        <v>965</v>
      </c>
      <c r="W194" s="311" t="s">
        <v>12</v>
      </c>
      <c r="X194" s="311" t="s">
        <v>493</v>
      </c>
      <c r="Y194" s="311"/>
    </row>
    <row r="195" spans="1:25" ht="15" customHeight="1" x14ac:dyDescent="0.2">
      <c r="A195" s="273"/>
      <c r="B195" s="273" t="s">
        <v>188</v>
      </c>
      <c r="C195" s="273" t="s">
        <v>113</v>
      </c>
      <c r="D195" s="273" t="s">
        <v>977</v>
      </c>
      <c r="E195" s="269" t="s">
        <v>978</v>
      </c>
      <c r="F195" s="311" t="s">
        <v>229</v>
      </c>
      <c r="G195" s="269" t="s">
        <v>221</v>
      </c>
      <c r="H195" s="311" t="s">
        <v>710</v>
      </c>
      <c r="I195" s="302" t="s">
        <v>456</v>
      </c>
      <c r="J195" s="273" t="s">
        <v>410</v>
      </c>
      <c r="K195" s="302">
        <v>1</v>
      </c>
      <c r="L195" s="273" t="s">
        <v>269</v>
      </c>
      <c r="M195" s="274">
        <v>46000</v>
      </c>
      <c r="N195" s="275">
        <f t="shared" si="15"/>
        <v>46000</v>
      </c>
      <c r="O195" s="311">
        <v>0</v>
      </c>
      <c r="P195" s="273">
        <f t="shared" si="16"/>
        <v>0</v>
      </c>
      <c r="Q195" s="313">
        <v>0.16</v>
      </c>
      <c r="R195" s="275">
        <f t="shared" si="17"/>
        <v>7360</v>
      </c>
      <c r="S195" s="275">
        <f t="shared" si="18"/>
        <v>53360</v>
      </c>
      <c r="T195" s="275">
        <f>INDEX('Glosario Partidas'!$M$8:$M$10,MATCH(L195,'Glosario Partidas'!$L$8:$L$10,0))</f>
        <v>1</v>
      </c>
      <c r="U195" s="275">
        <f t="shared" si="19"/>
        <v>53360</v>
      </c>
      <c r="V195" s="311" t="s">
        <v>965</v>
      </c>
      <c r="W195" s="311" t="s">
        <v>12</v>
      </c>
      <c r="X195" s="311" t="s">
        <v>493</v>
      </c>
      <c r="Y195" s="311"/>
    </row>
    <row r="196" spans="1:25" ht="15" customHeight="1" x14ac:dyDescent="0.2">
      <c r="A196" s="273"/>
      <c r="B196" s="273" t="s">
        <v>188</v>
      </c>
      <c r="C196" s="273" t="s">
        <v>113</v>
      </c>
      <c r="D196" s="273" t="s">
        <v>977</v>
      </c>
      <c r="E196" s="269" t="s">
        <v>979</v>
      </c>
      <c r="F196" s="311" t="s">
        <v>229</v>
      </c>
      <c r="G196" s="269" t="s">
        <v>221</v>
      </c>
      <c r="H196" s="311" t="s">
        <v>710</v>
      </c>
      <c r="I196" s="302" t="s">
        <v>456</v>
      </c>
      <c r="J196" s="273" t="s">
        <v>410</v>
      </c>
      <c r="K196" s="302">
        <v>1</v>
      </c>
      <c r="L196" s="273" t="s">
        <v>269</v>
      </c>
      <c r="M196" s="274">
        <v>46000</v>
      </c>
      <c r="N196" s="275">
        <f t="shared" si="15"/>
        <v>46000</v>
      </c>
      <c r="O196" s="311">
        <v>0</v>
      </c>
      <c r="P196" s="273">
        <f t="shared" si="16"/>
        <v>0</v>
      </c>
      <c r="Q196" s="313">
        <v>0.16</v>
      </c>
      <c r="R196" s="275">
        <f t="shared" si="17"/>
        <v>7360</v>
      </c>
      <c r="S196" s="275">
        <f t="shared" si="18"/>
        <v>53360</v>
      </c>
      <c r="T196" s="275">
        <f>INDEX('Glosario Partidas'!$M$8:$M$10,MATCH(L196,'Glosario Partidas'!$L$8:$L$10,0))</f>
        <v>1</v>
      </c>
      <c r="U196" s="275">
        <f t="shared" si="19"/>
        <v>53360</v>
      </c>
      <c r="V196" s="311" t="s">
        <v>965</v>
      </c>
      <c r="W196" s="311" t="s">
        <v>12</v>
      </c>
      <c r="X196" s="311" t="s">
        <v>493</v>
      </c>
      <c r="Y196" s="311"/>
    </row>
    <row r="197" spans="1:25" ht="15" customHeight="1" x14ac:dyDescent="0.2">
      <c r="A197" s="273"/>
      <c r="B197" s="273" t="s">
        <v>188</v>
      </c>
      <c r="C197" s="273" t="s">
        <v>113</v>
      </c>
      <c r="D197" s="273" t="s">
        <v>977</v>
      </c>
      <c r="E197" s="269" t="s">
        <v>980</v>
      </c>
      <c r="F197" s="311" t="s">
        <v>229</v>
      </c>
      <c r="G197" s="269" t="s">
        <v>221</v>
      </c>
      <c r="H197" s="311" t="s">
        <v>710</v>
      </c>
      <c r="I197" s="302" t="s">
        <v>456</v>
      </c>
      <c r="J197" s="273" t="s">
        <v>410</v>
      </c>
      <c r="K197" s="302">
        <v>1</v>
      </c>
      <c r="L197" s="273" t="s">
        <v>269</v>
      </c>
      <c r="M197" s="274">
        <v>46000</v>
      </c>
      <c r="N197" s="275">
        <f t="shared" si="15"/>
        <v>46000</v>
      </c>
      <c r="O197" s="311">
        <v>0</v>
      </c>
      <c r="P197" s="273">
        <f t="shared" si="16"/>
        <v>0</v>
      </c>
      <c r="Q197" s="313">
        <v>0.16</v>
      </c>
      <c r="R197" s="275">
        <f t="shared" si="17"/>
        <v>7360</v>
      </c>
      <c r="S197" s="275">
        <f t="shared" si="18"/>
        <v>53360</v>
      </c>
      <c r="T197" s="275">
        <f>INDEX('Glosario Partidas'!$M$8:$M$10,MATCH(L197,'Glosario Partidas'!$L$8:$L$10,0))</f>
        <v>1</v>
      </c>
      <c r="U197" s="275">
        <f t="shared" si="19"/>
        <v>53360</v>
      </c>
      <c r="V197" s="311" t="s">
        <v>965</v>
      </c>
      <c r="W197" s="311" t="s">
        <v>12</v>
      </c>
      <c r="X197" s="311" t="s">
        <v>493</v>
      </c>
      <c r="Y197" s="311"/>
    </row>
    <row r="198" spans="1:25" ht="15" customHeight="1" x14ac:dyDescent="0.2">
      <c r="A198" s="273"/>
      <c r="B198" s="273" t="s">
        <v>188</v>
      </c>
      <c r="C198" s="273" t="s">
        <v>113</v>
      </c>
      <c r="D198" s="273" t="s">
        <v>977</v>
      </c>
      <c r="E198" s="269" t="s">
        <v>981</v>
      </c>
      <c r="F198" s="311" t="s">
        <v>229</v>
      </c>
      <c r="G198" s="269" t="s">
        <v>221</v>
      </c>
      <c r="H198" s="311" t="s">
        <v>710</v>
      </c>
      <c r="I198" s="302" t="s">
        <v>456</v>
      </c>
      <c r="J198" s="273" t="s">
        <v>410</v>
      </c>
      <c r="K198" s="302">
        <v>1</v>
      </c>
      <c r="L198" s="273" t="s">
        <v>269</v>
      </c>
      <c r="M198" s="274">
        <v>46000</v>
      </c>
      <c r="N198" s="275">
        <f t="shared" si="15"/>
        <v>46000</v>
      </c>
      <c r="O198" s="311">
        <v>0</v>
      </c>
      <c r="P198" s="273">
        <f t="shared" si="16"/>
        <v>0</v>
      </c>
      <c r="Q198" s="313">
        <v>0.16</v>
      </c>
      <c r="R198" s="275">
        <f t="shared" si="17"/>
        <v>7360</v>
      </c>
      <c r="S198" s="275">
        <f t="shared" si="18"/>
        <v>53360</v>
      </c>
      <c r="T198" s="275">
        <f>INDEX('Glosario Partidas'!$M$8:$M$10,MATCH(L198,'Glosario Partidas'!$L$8:$L$10,0))</f>
        <v>1</v>
      </c>
      <c r="U198" s="275">
        <f t="shared" si="19"/>
        <v>53360</v>
      </c>
      <c r="V198" s="311" t="s">
        <v>965</v>
      </c>
      <c r="W198" s="311" t="s">
        <v>12</v>
      </c>
      <c r="X198" s="311" t="s">
        <v>493</v>
      </c>
      <c r="Y198" s="311"/>
    </row>
    <row r="199" spans="1:25" ht="15" customHeight="1" x14ac:dyDescent="0.2">
      <c r="A199" s="273"/>
      <c r="B199" s="273" t="s">
        <v>188</v>
      </c>
      <c r="C199" s="273" t="s">
        <v>113</v>
      </c>
      <c r="D199" s="273" t="s">
        <v>977</v>
      </c>
      <c r="E199" s="269" t="s">
        <v>982</v>
      </c>
      <c r="F199" s="311" t="s">
        <v>229</v>
      </c>
      <c r="G199" s="269" t="s">
        <v>221</v>
      </c>
      <c r="H199" s="311" t="s">
        <v>710</v>
      </c>
      <c r="I199" s="302" t="s">
        <v>456</v>
      </c>
      <c r="J199" s="273" t="s">
        <v>410</v>
      </c>
      <c r="K199" s="302">
        <v>1</v>
      </c>
      <c r="L199" s="273" t="s">
        <v>269</v>
      </c>
      <c r="M199" s="274">
        <v>46000</v>
      </c>
      <c r="N199" s="275">
        <f t="shared" si="15"/>
        <v>46000</v>
      </c>
      <c r="O199" s="311">
        <v>0</v>
      </c>
      <c r="P199" s="273">
        <f t="shared" si="16"/>
        <v>0</v>
      </c>
      <c r="Q199" s="313">
        <v>0.16</v>
      </c>
      <c r="R199" s="275">
        <f t="shared" si="17"/>
        <v>7360</v>
      </c>
      <c r="S199" s="275">
        <f t="shared" si="18"/>
        <v>53360</v>
      </c>
      <c r="T199" s="275">
        <f>INDEX('Glosario Partidas'!$M$8:$M$10,MATCH(L199,'Glosario Partidas'!$L$8:$L$10,0))</f>
        <v>1</v>
      </c>
      <c r="U199" s="275">
        <f t="shared" si="19"/>
        <v>53360</v>
      </c>
      <c r="V199" s="311" t="s">
        <v>965</v>
      </c>
      <c r="W199" s="311" t="s">
        <v>12</v>
      </c>
      <c r="X199" s="311" t="s">
        <v>493</v>
      </c>
      <c r="Y199" s="311"/>
    </row>
    <row r="200" spans="1:25" ht="15" customHeight="1" x14ac:dyDescent="0.2">
      <c r="A200" s="273"/>
      <c r="B200" s="273" t="s">
        <v>188</v>
      </c>
      <c r="C200" s="273" t="s">
        <v>113</v>
      </c>
      <c r="D200" s="273" t="s">
        <v>977</v>
      </c>
      <c r="E200" s="269" t="s">
        <v>983</v>
      </c>
      <c r="F200" s="311" t="s">
        <v>229</v>
      </c>
      <c r="G200" s="269" t="s">
        <v>221</v>
      </c>
      <c r="H200" s="311" t="s">
        <v>710</v>
      </c>
      <c r="I200" s="302" t="s">
        <v>456</v>
      </c>
      <c r="J200" s="273" t="s">
        <v>410</v>
      </c>
      <c r="K200" s="302">
        <v>1</v>
      </c>
      <c r="L200" s="273" t="s">
        <v>269</v>
      </c>
      <c r="M200" s="274">
        <v>46000</v>
      </c>
      <c r="N200" s="275">
        <f t="shared" si="15"/>
        <v>46000</v>
      </c>
      <c r="O200" s="311">
        <v>0</v>
      </c>
      <c r="P200" s="273">
        <f t="shared" si="16"/>
        <v>0</v>
      </c>
      <c r="Q200" s="313">
        <v>0.16</v>
      </c>
      <c r="R200" s="275">
        <f t="shared" si="17"/>
        <v>7360</v>
      </c>
      <c r="S200" s="275">
        <f t="shared" si="18"/>
        <v>53360</v>
      </c>
      <c r="T200" s="275">
        <f>INDEX('Glosario Partidas'!$M$8:$M$10,MATCH(L200,'Glosario Partidas'!$L$8:$L$10,0))</f>
        <v>1</v>
      </c>
      <c r="U200" s="275">
        <f t="shared" si="19"/>
        <v>53360</v>
      </c>
      <c r="V200" s="311" t="s">
        <v>965</v>
      </c>
      <c r="W200" s="311" t="s">
        <v>12</v>
      </c>
      <c r="X200" s="311" t="s">
        <v>493</v>
      </c>
      <c r="Y200" s="311"/>
    </row>
    <row r="201" spans="1:25" ht="15" customHeight="1" x14ac:dyDescent="0.2">
      <c r="A201" s="273"/>
      <c r="B201" s="273" t="s">
        <v>188</v>
      </c>
      <c r="C201" s="273" t="s">
        <v>113</v>
      </c>
      <c r="D201" s="273" t="s">
        <v>984</v>
      </c>
      <c r="E201" s="269" t="s">
        <v>985</v>
      </c>
      <c r="F201" s="311" t="s">
        <v>229</v>
      </c>
      <c r="G201" s="269" t="s">
        <v>221</v>
      </c>
      <c r="H201" s="311" t="s">
        <v>710</v>
      </c>
      <c r="I201" s="302" t="s">
        <v>456</v>
      </c>
      <c r="J201" s="273" t="s">
        <v>410</v>
      </c>
      <c r="K201" s="302">
        <v>1</v>
      </c>
      <c r="L201" s="273" t="s">
        <v>269</v>
      </c>
      <c r="M201" s="274">
        <v>60000</v>
      </c>
      <c r="N201" s="275">
        <f t="shared" si="15"/>
        <v>60000</v>
      </c>
      <c r="O201" s="311">
        <v>0</v>
      </c>
      <c r="P201" s="273">
        <f t="shared" si="16"/>
        <v>0</v>
      </c>
      <c r="Q201" s="313">
        <v>0.16</v>
      </c>
      <c r="R201" s="275">
        <f t="shared" si="17"/>
        <v>9600</v>
      </c>
      <c r="S201" s="275">
        <f t="shared" si="18"/>
        <v>69600</v>
      </c>
      <c r="T201" s="275">
        <f>INDEX('Glosario Partidas'!$M$8:$M$10,MATCH(L201,'Glosario Partidas'!$L$8:$L$10,0))</f>
        <v>1</v>
      </c>
      <c r="U201" s="275">
        <f t="shared" si="19"/>
        <v>69600</v>
      </c>
      <c r="V201" s="311" t="s">
        <v>965</v>
      </c>
      <c r="W201" s="311" t="s">
        <v>12</v>
      </c>
      <c r="X201" s="311" t="s">
        <v>493</v>
      </c>
      <c r="Y201" s="311"/>
    </row>
    <row r="202" spans="1:25" ht="15" customHeight="1" x14ac:dyDescent="0.2">
      <c r="A202" s="273"/>
      <c r="B202" s="273" t="s">
        <v>188</v>
      </c>
      <c r="C202" s="273" t="s">
        <v>113</v>
      </c>
      <c r="D202" s="273" t="s">
        <v>986</v>
      </c>
      <c r="E202" s="269" t="s">
        <v>987</v>
      </c>
      <c r="F202" s="311" t="s">
        <v>229</v>
      </c>
      <c r="G202" s="269" t="s">
        <v>221</v>
      </c>
      <c r="H202" s="311" t="s">
        <v>710</v>
      </c>
      <c r="I202" s="302" t="s">
        <v>456</v>
      </c>
      <c r="J202" s="273" t="s">
        <v>410</v>
      </c>
      <c r="K202" s="302">
        <v>1</v>
      </c>
      <c r="L202" s="273" t="s">
        <v>269</v>
      </c>
      <c r="M202" s="274">
        <v>98000</v>
      </c>
      <c r="N202" s="275">
        <f t="shared" si="15"/>
        <v>98000</v>
      </c>
      <c r="O202" s="311">
        <v>0</v>
      </c>
      <c r="P202" s="273">
        <f t="shared" si="16"/>
        <v>0</v>
      </c>
      <c r="Q202" s="313">
        <v>0.16</v>
      </c>
      <c r="R202" s="275">
        <f t="shared" si="17"/>
        <v>15680</v>
      </c>
      <c r="S202" s="275">
        <f t="shared" si="18"/>
        <v>113680</v>
      </c>
      <c r="T202" s="275">
        <f>INDEX('Glosario Partidas'!$M$8:$M$10,MATCH(L202,'Glosario Partidas'!$L$8:$L$10,0))</f>
        <v>1</v>
      </c>
      <c r="U202" s="275">
        <f t="shared" si="19"/>
        <v>113680</v>
      </c>
      <c r="V202" s="311" t="s">
        <v>965</v>
      </c>
      <c r="W202" s="311" t="s">
        <v>12</v>
      </c>
      <c r="X202" s="311" t="s">
        <v>493</v>
      </c>
      <c r="Y202" s="311"/>
    </row>
    <row r="203" spans="1:25" ht="15" customHeight="1" x14ac:dyDescent="0.2">
      <c r="A203" s="273"/>
      <c r="B203" s="273" t="s">
        <v>188</v>
      </c>
      <c r="C203" s="273" t="s">
        <v>113</v>
      </c>
      <c r="D203" s="273" t="s">
        <v>986</v>
      </c>
      <c r="E203" s="269" t="s">
        <v>988</v>
      </c>
      <c r="F203" s="311" t="s">
        <v>229</v>
      </c>
      <c r="G203" s="269" t="s">
        <v>221</v>
      </c>
      <c r="H203" s="311" t="s">
        <v>710</v>
      </c>
      <c r="I203" s="302" t="s">
        <v>456</v>
      </c>
      <c r="J203" s="273" t="s">
        <v>410</v>
      </c>
      <c r="K203" s="302">
        <v>1</v>
      </c>
      <c r="L203" s="273" t="s">
        <v>269</v>
      </c>
      <c r="M203" s="274">
        <v>98000</v>
      </c>
      <c r="N203" s="275">
        <f t="shared" si="15"/>
        <v>98000</v>
      </c>
      <c r="O203" s="311">
        <v>0</v>
      </c>
      <c r="P203" s="273">
        <f t="shared" si="16"/>
        <v>0</v>
      </c>
      <c r="Q203" s="313">
        <v>0.16</v>
      </c>
      <c r="R203" s="275">
        <f t="shared" si="17"/>
        <v>15680</v>
      </c>
      <c r="S203" s="275">
        <f t="shared" si="18"/>
        <v>113680</v>
      </c>
      <c r="T203" s="275">
        <f>INDEX('Glosario Partidas'!$M$8:$M$10,MATCH(L203,'Glosario Partidas'!$L$8:$L$10,0))</f>
        <v>1</v>
      </c>
      <c r="U203" s="275">
        <f t="shared" si="19"/>
        <v>113680</v>
      </c>
      <c r="V203" s="311" t="s">
        <v>965</v>
      </c>
      <c r="W203" s="311" t="s">
        <v>12</v>
      </c>
      <c r="X203" s="311" t="s">
        <v>493</v>
      </c>
      <c r="Y203" s="311"/>
    </row>
    <row r="204" spans="1:25" ht="15" customHeight="1" x14ac:dyDescent="0.2">
      <c r="A204" s="273"/>
      <c r="B204" s="273" t="s">
        <v>188</v>
      </c>
      <c r="C204" s="273" t="s">
        <v>113</v>
      </c>
      <c r="D204" s="273" t="s">
        <v>984</v>
      </c>
      <c r="E204" s="269" t="s">
        <v>989</v>
      </c>
      <c r="F204" s="311" t="s">
        <v>229</v>
      </c>
      <c r="G204" s="269" t="s">
        <v>221</v>
      </c>
      <c r="H204" s="311" t="s">
        <v>710</v>
      </c>
      <c r="I204" s="302" t="s">
        <v>456</v>
      </c>
      <c r="J204" s="273" t="s">
        <v>410</v>
      </c>
      <c r="K204" s="302">
        <v>1</v>
      </c>
      <c r="L204" s="273" t="s">
        <v>269</v>
      </c>
      <c r="M204" s="274">
        <v>60000</v>
      </c>
      <c r="N204" s="275">
        <f t="shared" si="15"/>
        <v>60000</v>
      </c>
      <c r="O204" s="311">
        <v>0</v>
      </c>
      <c r="P204" s="273">
        <f t="shared" si="16"/>
        <v>0</v>
      </c>
      <c r="Q204" s="313">
        <v>0.16</v>
      </c>
      <c r="R204" s="275">
        <f t="shared" si="17"/>
        <v>9600</v>
      </c>
      <c r="S204" s="275">
        <f t="shared" si="18"/>
        <v>69600</v>
      </c>
      <c r="T204" s="275">
        <f>INDEX('Glosario Partidas'!$M$8:$M$10,MATCH(L204,'Glosario Partidas'!$L$8:$L$10,0))</f>
        <v>1</v>
      </c>
      <c r="U204" s="275">
        <f t="shared" si="19"/>
        <v>69600</v>
      </c>
      <c r="V204" s="311" t="s">
        <v>965</v>
      </c>
      <c r="W204" s="311" t="s">
        <v>12</v>
      </c>
      <c r="X204" s="311" t="s">
        <v>493</v>
      </c>
      <c r="Y204" s="311"/>
    </row>
    <row r="205" spans="1:25" ht="15" customHeight="1" x14ac:dyDescent="0.2">
      <c r="A205" s="273"/>
      <c r="B205" s="273" t="s">
        <v>188</v>
      </c>
      <c r="C205" s="273" t="s">
        <v>113</v>
      </c>
      <c r="D205" s="273" t="s">
        <v>986</v>
      </c>
      <c r="E205" s="269" t="s">
        <v>990</v>
      </c>
      <c r="F205" s="311" t="s">
        <v>229</v>
      </c>
      <c r="G205" s="269" t="s">
        <v>221</v>
      </c>
      <c r="H205" s="311" t="s">
        <v>710</v>
      </c>
      <c r="I205" s="302" t="s">
        <v>456</v>
      </c>
      <c r="J205" s="273" t="s">
        <v>410</v>
      </c>
      <c r="K205" s="302">
        <v>1</v>
      </c>
      <c r="L205" s="273" t="s">
        <v>269</v>
      </c>
      <c r="M205" s="274">
        <v>98000</v>
      </c>
      <c r="N205" s="275">
        <f t="shared" si="15"/>
        <v>98000</v>
      </c>
      <c r="O205" s="311">
        <v>0</v>
      </c>
      <c r="P205" s="273">
        <f t="shared" si="16"/>
        <v>0</v>
      </c>
      <c r="Q205" s="313">
        <v>0.16</v>
      </c>
      <c r="R205" s="275">
        <f t="shared" si="17"/>
        <v>15680</v>
      </c>
      <c r="S205" s="275">
        <f t="shared" si="18"/>
        <v>113680</v>
      </c>
      <c r="T205" s="275">
        <f>INDEX('Glosario Partidas'!$M$8:$M$10,MATCH(L205,'Glosario Partidas'!$L$8:$L$10,0))</f>
        <v>1</v>
      </c>
      <c r="U205" s="275">
        <f t="shared" si="19"/>
        <v>113680</v>
      </c>
      <c r="V205" s="311" t="s">
        <v>965</v>
      </c>
      <c r="W205" s="311" t="s">
        <v>12</v>
      </c>
      <c r="X205" s="311" t="s">
        <v>493</v>
      </c>
      <c r="Y205" s="311"/>
    </row>
    <row r="206" spans="1:25" ht="15" customHeight="1" x14ac:dyDescent="0.2">
      <c r="A206" s="273"/>
      <c r="B206" s="273" t="s">
        <v>188</v>
      </c>
      <c r="C206" s="273" t="s">
        <v>113</v>
      </c>
      <c r="D206" s="273" t="s">
        <v>986</v>
      </c>
      <c r="E206" s="269" t="s">
        <v>991</v>
      </c>
      <c r="F206" s="311" t="s">
        <v>229</v>
      </c>
      <c r="G206" s="269" t="s">
        <v>221</v>
      </c>
      <c r="H206" s="311" t="s">
        <v>710</v>
      </c>
      <c r="I206" s="302" t="s">
        <v>456</v>
      </c>
      <c r="J206" s="273" t="s">
        <v>410</v>
      </c>
      <c r="K206" s="302">
        <v>1</v>
      </c>
      <c r="L206" s="273" t="s">
        <v>269</v>
      </c>
      <c r="M206" s="274">
        <v>98000</v>
      </c>
      <c r="N206" s="275">
        <f t="shared" si="15"/>
        <v>98000</v>
      </c>
      <c r="O206" s="311">
        <v>0</v>
      </c>
      <c r="P206" s="273">
        <f t="shared" si="16"/>
        <v>0</v>
      </c>
      <c r="Q206" s="313">
        <v>0.16</v>
      </c>
      <c r="R206" s="275">
        <f t="shared" si="17"/>
        <v>15680</v>
      </c>
      <c r="S206" s="275">
        <f t="shared" si="18"/>
        <v>113680</v>
      </c>
      <c r="T206" s="275">
        <f>INDEX('Glosario Partidas'!$M$8:$M$10,MATCH(L206,'Glosario Partidas'!$L$8:$L$10,0))</f>
        <v>1</v>
      </c>
      <c r="U206" s="275">
        <f t="shared" si="19"/>
        <v>113680</v>
      </c>
      <c r="V206" s="311" t="s">
        <v>965</v>
      </c>
      <c r="W206" s="311" t="s">
        <v>12</v>
      </c>
      <c r="X206" s="311" t="s">
        <v>493</v>
      </c>
      <c r="Y206" s="311"/>
    </row>
    <row r="207" spans="1:25" ht="15" customHeight="1" x14ac:dyDescent="0.2">
      <c r="A207" s="273"/>
      <c r="B207" s="273" t="s">
        <v>188</v>
      </c>
      <c r="C207" s="273" t="s">
        <v>113</v>
      </c>
      <c r="D207" s="273" t="s">
        <v>992</v>
      </c>
      <c r="E207" s="269" t="s">
        <v>993</v>
      </c>
      <c r="F207" s="311" t="s">
        <v>229</v>
      </c>
      <c r="G207" s="269" t="s">
        <v>221</v>
      </c>
      <c r="H207" s="311" t="s">
        <v>710</v>
      </c>
      <c r="I207" s="302" t="s">
        <v>456</v>
      </c>
      <c r="J207" s="273" t="s">
        <v>410</v>
      </c>
      <c r="K207" s="302">
        <v>16</v>
      </c>
      <c r="L207" s="273" t="s">
        <v>269</v>
      </c>
      <c r="M207" s="274">
        <v>12000</v>
      </c>
      <c r="N207" s="275">
        <f t="shared" si="15"/>
        <v>192000</v>
      </c>
      <c r="O207" s="311">
        <v>0</v>
      </c>
      <c r="P207" s="273">
        <f t="shared" si="16"/>
        <v>0</v>
      </c>
      <c r="Q207" s="313">
        <v>0.16</v>
      </c>
      <c r="R207" s="275">
        <f t="shared" si="17"/>
        <v>30720</v>
      </c>
      <c r="S207" s="275">
        <f t="shared" si="18"/>
        <v>222720</v>
      </c>
      <c r="T207" s="275">
        <f>INDEX('Glosario Partidas'!$M$8:$M$10,MATCH(L207,'Glosario Partidas'!$L$8:$L$10,0))</f>
        <v>1</v>
      </c>
      <c r="U207" s="275">
        <f t="shared" si="19"/>
        <v>222720</v>
      </c>
      <c r="V207" s="311" t="s">
        <v>965</v>
      </c>
      <c r="W207" s="311" t="s">
        <v>12</v>
      </c>
      <c r="X207" s="311" t="s">
        <v>493</v>
      </c>
      <c r="Y207" s="311"/>
    </row>
    <row r="208" spans="1:25" ht="15" customHeight="1" x14ac:dyDescent="0.2">
      <c r="A208" s="273"/>
      <c r="B208" s="273" t="s">
        <v>188</v>
      </c>
      <c r="C208" s="273" t="s">
        <v>114</v>
      </c>
      <c r="D208" s="273" t="s">
        <v>994</v>
      </c>
      <c r="E208" s="269" t="s">
        <v>995</v>
      </c>
      <c r="F208" s="311" t="s">
        <v>229</v>
      </c>
      <c r="G208" s="269" t="s">
        <v>221</v>
      </c>
      <c r="H208" s="311" t="s">
        <v>710</v>
      </c>
      <c r="I208" s="302" t="s">
        <v>456</v>
      </c>
      <c r="J208" s="273" t="s">
        <v>410</v>
      </c>
      <c r="K208" s="302">
        <v>1</v>
      </c>
      <c r="L208" s="273" t="s">
        <v>269</v>
      </c>
      <c r="M208" s="274">
        <v>240000</v>
      </c>
      <c r="N208" s="275">
        <f t="shared" si="15"/>
        <v>240000</v>
      </c>
      <c r="O208" s="311">
        <v>0</v>
      </c>
      <c r="P208" s="273">
        <f t="shared" si="16"/>
        <v>0</v>
      </c>
      <c r="Q208" s="313">
        <v>0.16</v>
      </c>
      <c r="R208" s="275">
        <f t="shared" si="17"/>
        <v>38400</v>
      </c>
      <c r="S208" s="275">
        <f t="shared" si="18"/>
        <v>278400</v>
      </c>
      <c r="T208" s="275">
        <f>INDEX('Glosario Partidas'!$M$8:$M$10,MATCH(L208,'Glosario Partidas'!$L$8:$L$10,0))</f>
        <v>1</v>
      </c>
      <c r="U208" s="275">
        <f t="shared" si="19"/>
        <v>278400</v>
      </c>
      <c r="V208" s="311" t="s">
        <v>965</v>
      </c>
      <c r="W208" s="311" t="s">
        <v>12</v>
      </c>
      <c r="X208" s="311" t="s">
        <v>493</v>
      </c>
      <c r="Y208" s="311"/>
    </row>
    <row r="209" spans="1:25" ht="15" customHeight="1" x14ac:dyDescent="0.2">
      <c r="A209" s="273"/>
      <c r="B209" s="273" t="s">
        <v>188</v>
      </c>
      <c r="C209" s="273" t="s">
        <v>114</v>
      </c>
      <c r="D209" s="273" t="s">
        <v>994</v>
      </c>
      <c r="E209" s="269" t="s">
        <v>996</v>
      </c>
      <c r="F209" s="311" t="s">
        <v>229</v>
      </c>
      <c r="G209" s="269" t="s">
        <v>221</v>
      </c>
      <c r="H209" s="311" t="s">
        <v>710</v>
      </c>
      <c r="I209" s="302" t="s">
        <v>456</v>
      </c>
      <c r="J209" s="273" t="s">
        <v>410</v>
      </c>
      <c r="K209" s="302">
        <v>1</v>
      </c>
      <c r="L209" s="273" t="s">
        <v>269</v>
      </c>
      <c r="M209" s="274">
        <v>240000</v>
      </c>
      <c r="N209" s="275">
        <f t="shared" si="15"/>
        <v>240000</v>
      </c>
      <c r="O209" s="311">
        <v>0</v>
      </c>
      <c r="P209" s="273">
        <f t="shared" si="16"/>
        <v>0</v>
      </c>
      <c r="Q209" s="313">
        <v>0.16</v>
      </c>
      <c r="R209" s="275">
        <f t="shared" si="17"/>
        <v>38400</v>
      </c>
      <c r="S209" s="275">
        <f t="shared" si="18"/>
        <v>278400</v>
      </c>
      <c r="T209" s="275">
        <f>INDEX('Glosario Partidas'!$M$8:$M$10,MATCH(L209,'Glosario Partidas'!$L$8:$L$10,0))</f>
        <v>1</v>
      </c>
      <c r="U209" s="275">
        <f t="shared" si="19"/>
        <v>278400</v>
      </c>
      <c r="V209" s="311" t="s">
        <v>965</v>
      </c>
      <c r="W209" s="311" t="s">
        <v>12</v>
      </c>
      <c r="X209" s="311" t="s">
        <v>493</v>
      </c>
      <c r="Y209" s="311"/>
    </row>
    <row r="210" spans="1:25" ht="15" customHeight="1" x14ac:dyDescent="0.2">
      <c r="A210" s="273"/>
      <c r="B210" s="273" t="s">
        <v>188</v>
      </c>
      <c r="C210" s="273" t="s">
        <v>114</v>
      </c>
      <c r="D210" s="273" t="s">
        <v>997</v>
      </c>
      <c r="E210" s="269" t="s">
        <v>998</v>
      </c>
      <c r="F210" s="311" t="s">
        <v>229</v>
      </c>
      <c r="G210" s="269" t="s">
        <v>221</v>
      </c>
      <c r="H210" s="311" t="s">
        <v>710</v>
      </c>
      <c r="I210" s="302" t="s">
        <v>456</v>
      </c>
      <c r="J210" s="273" t="s">
        <v>410</v>
      </c>
      <c r="K210" s="302">
        <v>1</v>
      </c>
      <c r="L210" s="273" t="s">
        <v>269</v>
      </c>
      <c r="M210" s="274">
        <v>550000</v>
      </c>
      <c r="N210" s="275">
        <f t="shared" si="15"/>
        <v>550000</v>
      </c>
      <c r="O210" s="311">
        <v>0</v>
      </c>
      <c r="P210" s="273">
        <f t="shared" si="16"/>
        <v>0</v>
      </c>
      <c r="Q210" s="313">
        <v>0.16</v>
      </c>
      <c r="R210" s="275">
        <f t="shared" si="17"/>
        <v>88000</v>
      </c>
      <c r="S210" s="275">
        <f t="shared" si="18"/>
        <v>638000</v>
      </c>
      <c r="T210" s="275">
        <f>INDEX('Glosario Partidas'!$M$8:$M$10,MATCH(L210,'Glosario Partidas'!$L$8:$L$10,0))</f>
        <v>1</v>
      </c>
      <c r="U210" s="275">
        <f t="shared" si="19"/>
        <v>638000</v>
      </c>
      <c r="V210" s="311" t="s">
        <v>965</v>
      </c>
      <c r="W210" s="311" t="s">
        <v>12</v>
      </c>
      <c r="X210" s="311" t="s">
        <v>493</v>
      </c>
      <c r="Y210" s="311"/>
    </row>
    <row r="211" spans="1:25" ht="15" customHeight="1" x14ac:dyDescent="0.2">
      <c r="A211" s="273"/>
      <c r="B211" s="273" t="s">
        <v>188</v>
      </c>
      <c r="C211" s="273" t="s">
        <v>114</v>
      </c>
      <c r="D211" s="273" t="s">
        <v>999</v>
      </c>
      <c r="E211" s="269" t="s">
        <v>1000</v>
      </c>
      <c r="F211" s="311" t="s">
        <v>229</v>
      </c>
      <c r="G211" s="269" t="s">
        <v>221</v>
      </c>
      <c r="H211" s="311" t="s">
        <v>710</v>
      </c>
      <c r="I211" s="302" t="s">
        <v>456</v>
      </c>
      <c r="J211" s="273" t="s">
        <v>410</v>
      </c>
      <c r="K211" s="302">
        <v>1</v>
      </c>
      <c r="L211" s="273" t="s">
        <v>269</v>
      </c>
      <c r="M211" s="274">
        <v>360000</v>
      </c>
      <c r="N211" s="275">
        <f t="shared" si="15"/>
        <v>360000</v>
      </c>
      <c r="O211" s="311">
        <v>0</v>
      </c>
      <c r="P211" s="273">
        <f t="shared" si="16"/>
        <v>0</v>
      </c>
      <c r="Q211" s="313">
        <v>0.16</v>
      </c>
      <c r="R211" s="275">
        <f t="shared" si="17"/>
        <v>57600</v>
      </c>
      <c r="S211" s="275">
        <f t="shared" si="18"/>
        <v>417600</v>
      </c>
      <c r="T211" s="275">
        <f>INDEX('Glosario Partidas'!$M$8:$M$10,MATCH(L211,'Glosario Partidas'!$L$8:$L$10,0))</f>
        <v>1</v>
      </c>
      <c r="U211" s="275">
        <f t="shared" si="19"/>
        <v>417600</v>
      </c>
      <c r="V211" s="311" t="s">
        <v>965</v>
      </c>
      <c r="W211" s="311" t="s">
        <v>12</v>
      </c>
      <c r="X211" s="311" t="s">
        <v>493</v>
      </c>
      <c r="Y211" s="311"/>
    </row>
    <row r="212" spans="1:25" ht="15" customHeight="1" x14ac:dyDescent="0.2">
      <c r="A212" s="273"/>
      <c r="B212" s="273" t="s">
        <v>188</v>
      </c>
      <c r="C212" s="273" t="s">
        <v>114</v>
      </c>
      <c r="D212" s="273" t="s">
        <v>1001</v>
      </c>
      <c r="E212" s="269" t="s">
        <v>1002</v>
      </c>
      <c r="F212" s="311" t="s">
        <v>229</v>
      </c>
      <c r="G212" s="269" t="s">
        <v>221</v>
      </c>
      <c r="H212" s="311" t="s">
        <v>710</v>
      </c>
      <c r="I212" s="302" t="s">
        <v>456</v>
      </c>
      <c r="J212" s="273" t="s">
        <v>410</v>
      </c>
      <c r="K212" s="302">
        <v>1</v>
      </c>
      <c r="L212" s="273" t="s">
        <v>269</v>
      </c>
      <c r="M212" s="274">
        <v>240000</v>
      </c>
      <c r="N212" s="275">
        <f t="shared" si="15"/>
        <v>240000</v>
      </c>
      <c r="O212" s="311">
        <v>0</v>
      </c>
      <c r="P212" s="273">
        <f t="shared" si="16"/>
        <v>0</v>
      </c>
      <c r="Q212" s="313">
        <v>0.16</v>
      </c>
      <c r="R212" s="275">
        <f t="shared" si="17"/>
        <v>38400</v>
      </c>
      <c r="S212" s="275">
        <f t="shared" si="18"/>
        <v>278400</v>
      </c>
      <c r="T212" s="275">
        <f>INDEX('Glosario Partidas'!$M$8:$M$10,MATCH(L212,'Glosario Partidas'!$L$8:$L$10,0))</f>
        <v>1</v>
      </c>
      <c r="U212" s="275">
        <f t="shared" si="19"/>
        <v>278400</v>
      </c>
      <c r="V212" s="311" t="s">
        <v>965</v>
      </c>
      <c r="W212" s="311" t="s">
        <v>12</v>
      </c>
      <c r="X212" s="311" t="s">
        <v>493</v>
      </c>
      <c r="Y212" s="311"/>
    </row>
    <row r="213" spans="1:25" ht="15" customHeight="1" x14ac:dyDescent="0.2">
      <c r="A213" s="273"/>
      <c r="B213" s="273" t="s">
        <v>188</v>
      </c>
      <c r="C213" s="273" t="s">
        <v>117</v>
      </c>
      <c r="D213" s="273" t="s">
        <v>117</v>
      </c>
      <c r="E213" s="269" t="s">
        <v>481</v>
      </c>
      <c r="F213" s="311" t="s">
        <v>229</v>
      </c>
      <c r="G213" s="269" t="s">
        <v>221</v>
      </c>
      <c r="H213" s="311" t="s">
        <v>710</v>
      </c>
      <c r="I213" s="315" t="s">
        <v>293</v>
      </c>
      <c r="J213" s="211" t="s">
        <v>410</v>
      </c>
      <c r="K213" s="315">
        <v>2</v>
      </c>
      <c r="L213" s="225" t="s">
        <v>269</v>
      </c>
      <c r="M213" s="316">
        <v>80000</v>
      </c>
      <c r="N213" s="310">
        <f t="shared" si="15"/>
        <v>160000</v>
      </c>
      <c r="O213" s="317">
        <v>0</v>
      </c>
      <c r="P213" s="318">
        <f t="shared" si="16"/>
        <v>0</v>
      </c>
      <c r="Q213" s="317">
        <v>0.16</v>
      </c>
      <c r="R213" s="310">
        <f t="shared" si="17"/>
        <v>25600</v>
      </c>
      <c r="S213" s="310">
        <f t="shared" si="18"/>
        <v>185600</v>
      </c>
      <c r="T213" s="229">
        <f>INDEX('Glosario Partidas'!$M$8:$M$10,MATCH(L213,'Glosario Partidas'!$L$8:$L$10,0))</f>
        <v>1</v>
      </c>
      <c r="U213" s="310">
        <f t="shared" si="19"/>
        <v>185600</v>
      </c>
      <c r="V213" s="307" t="s">
        <v>405</v>
      </c>
      <c r="W213" s="249" t="s">
        <v>13</v>
      </c>
      <c r="X213" s="311" t="s">
        <v>491</v>
      </c>
      <c r="Y213" s="311"/>
    </row>
    <row r="214" spans="1:25" ht="15" customHeight="1" x14ac:dyDescent="0.2">
      <c r="A214" s="273"/>
      <c r="B214" s="273" t="s">
        <v>188</v>
      </c>
      <c r="C214" s="273" t="s">
        <v>115</v>
      </c>
      <c r="D214" s="273" t="s">
        <v>1003</v>
      </c>
      <c r="E214" s="269" t="s">
        <v>1004</v>
      </c>
      <c r="F214" s="311" t="s">
        <v>229</v>
      </c>
      <c r="G214" s="269" t="s">
        <v>221</v>
      </c>
      <c r="H214" s="311" t="s">
        <v>710</v>
      </c>
      <c r="I214" s="302" t="s">
        <v>456</v>
      </c>
      <c r="J214" s="273" t="s">
        <v>410</v>
      </c>
      <c r="K214" s="302">
        <v>1</v>
      </c>
      <c r="L214" s="273" t="s">
        <v>269</v>
      </c>
      <c r="M214" s="274">
        <v>50000</v>
      </c>
      <c r="N214" s="275">
        <f t="shared" si="15"/>
        <v>50000</v>
      </c>
      <c r="O214" s="311">
        <v>0</v>
      </c>
      <c r="P214" s="273">
        <f t="shared" si="16"/>
        <v>0</v>
      </c>
      <c r="Q214" s="313">
        <v>0.16</v>
      </c>
      <c r="R214" s="275">
        <f t="shared" si="17"/>
        <v>8000</v>
      </c>
      <c r="S214" s="275">
        <f t="shared" si="18"/>
        <v>58000</v>
      </c>
      <c r="T214" s="275">
        <f>INDEX('Glosario Partidas'!$M$8:$M$10,MATCH(L214,'Glosario Partidas'!$L$8:$L$10,0))</f>
        <v>1</v>
      </c>
      <c r="U214" s="275">
        <f t="shared" si="19"/>
        <v>58000</v>
      </c>
      <c r="V214" s="311" t="s">
        <v>1005</v>
      </c>
      <c r="W214" s="311" t="s">
        <v>12</v>
      </c>
      <c r="X214" s="311" t="s">
        <v>493</v>
      </c>
      <c r="Y214" s="311"/>
    </row>
    <row r="215" spans="1:25" ht="15" customHeight="1" x14ac:dyDescent="0.2">
      <c r="A215" s="273"/>
      <c r="B215" s="273" t="s">
        <v>188</v>
      </c>
      <c r="C215" s="273" t="s">
        <v>116</v>
      </c>
      <c r="D215" s="273" t="s">
        <v>116</v>
      </c>
      <c r="E215" s="269" t="s">
        <v>1006</v>
      </c>
      <c r="F215" s="311" t="s">
        <v>229</v>
      </c>
      <c r="G215" s="269" t="s">
        <v>221</v>
      </c>
      <c r="H215" s="311" t="s">
        <v>710</v>
      </c>
      <c r="I215" s="302" t="s">
        <v>604</v>
      </c>
      <c r="J215" s="273" t="s">
        <v>207</v>
      </c>
      <c r="K215" s="302">
        <v>1</v>
      </c>
      <c r="L215" s="273" t="s">
        <v>269</v>
      </c>
      <c r="M215" s="274">
        <f>4120597/8</f>
        <v>515074.625</v>
      </c>
      <c r="N215" s="275">
        <f t="shared" si="15"/>
        <v>515074.625</v>
      </c>
      <c r="O215" s="311">
        <v>0</v>
      </c>
      <c r="P215" s="273">
        <f t="shared" si="16"/>
        <v>0</v>
      </c>
      <c r="Q215" s="313">
        <v>0.16</v>
      </c>
      <c r="R215" s="275">
        <f t="shared" si="17"/>
        <v>82411.94</v>
      </c>
      <c r="S215" s="275">
        <f t="shared" si="18"/>
        <v>597486.56499999994</v>
      </c>
      <c r="T215" s="275">
        <f>INDEX('Glosario Partidas'!$M$8:$M$10,MATCH(L215,'Glosario Partidas'!$L$8:$L$10,0))</f>
        <v>1</v>
      </c>
      <c r="U215" s="275">
        <f t="shared" si="19"/>
        <v>597486.56499999994</v>
      </c>
      <c r="V215" s="311" t="s">
        <v>1007</v>
      </c>
      <c r="W215" s="311" t="s">
        <v>12</v>
      </c>
      <c r="X215" s="311" t="s">
        <v>491</v>
      </c>
      <c r="Y215" s="311"/>
    </row>
    <row r="216" spans="1:25" ht="15" customHeight="1" x14ac:dyDescent="0.2">
      <c r="A216" s="273">
        <v>5</v>
      </c>
      <c r="B216" s="273" t="s">
        <v>188</v>
      </c>
      <c r="C216" s="273" t="s">
        <v>112</v>
      </c>
      <c r="D216" s="273" t="s">
        <v>112</v>
      </c>
      <c r="E216" s="269" t="s">
        <v>1026</v>
      </c>
      <c r="F216" s="311" t="s">
        <v>229</v>
      </c>
      <c r="G216" s="269" t="s">
        <v>221</v>
      </c>
      <c r="H216" s="311" t="s">
        <v>710</v>
      </c>
      <c r="I216" s="302" t="s">
        <v>456</v>
      </c>
      <c r="J216" s="273" t="s">
        <v>410</v>
      </c>
      <c r="K216" s="302">
        <v>0</v>
      </c>
      <c r="L216" s="273" t="s">
        <v>269</v>
      </c>
      <c r="M216" s="274">
        <v>150000</v>
      </c>
      <c r="N216" s="275">
        <f t="shared" si="15"/>
        <v>0</v>
      </c>
      <c r="O216" s="311">
        <v>0</v>
      </c>
      <c r="P216" s="273">
        <f t="shared" si="16"/>
        <v>0</v>
      </c>
      <c r="Q216" s="313">
        <v>0.16</v>
      </c>
      <c r="R216" s="275">
        <f t="shared" si="17"/>
        <v>0</v>
      </c>
      <c r="S216" s="275">
        <f t="shared" si="18"/>
        <v>0</v>
      </c>
      <c r="T216" s="275">
        <f>INDEX('Glosario Partidas'!$M$8:$M$10,MATCH(L216,'Glosario Partidas'!$L$8:$L$10,0))</f>
        <v>1</v>
      </c>
      <c r="U216" s="275">
        <f t="shared" si="19"/>
        <v>0</v>
      </c>
      <c r="V216" s="311"/>
      <c r="W216" s="311" t="s">
        <v>12</v>
      </c>
      <c r="X216" s="311" t="s">
        <v>493</v>
      </c>
      <c r="Y216" s="311"/>
    </row>
    <row r="217" spans="1:25" ht="15" customHeight="1" x14ac:dyDescent="0.2">
      <c r="A217" s="273">
        <v>5</v>
      </c>
      <c r="B217" s="273" t="s">
        <v>188</v>
      </c>
      <c r="C217" s="273" t="s">
        <v>112</v>
      </c>
      <c r="D217" s="273" t="s">
        <v>970</v>
      </c>
      <c r="E217" s="269" t="s">
        <v>1026</v>
      </c>
      <c r="F217" s="311" t="s">
        <v>229</v>
      </c>
      <c r="G217" s="269" t="s">
        <v>221</v>
      </c>
      <c r="H217" s="311" t="s">
        <v>710</v>
      </c>
      <c r="I217" s="302" t="s">
        <v>456</v>
      </c>
      <c r="J217" s="273" t="s">
        <v>410</v>
      </c>
      <c r="K217" s="302">
        <v>0</v>
      </c>
      <c r="L217" s="273" t="s">
        <v>269</v>
      </c>
      <c r="M217" s="274">
        <v>40000</v>
      </c>
      <c r="N217" s="275">
        <f t="shared" si="15"/>
        <v>0</v>
      </c>
      <c r="O217" s="311">
        <v>0</v>
      </c>
      <c r="P217" s="273">
        <f t="shared" si="16"/>
        <v>0</v>
      </c>
      <c r="Q217" s="313">
        <v>0.16</v>
      </c>
      <c r="R217" s="275">
        <f t="shared" si="17"/>
        <v>0</v>
      </c>
      <c r="S217" s="275">
        <f t="shared" si="18"/>
        <v>0</v>
      </c>
      <c r="T217" s="275">
        <f>INDEX('Glosario Partidas'!$M$8:$M$10,MATCH(L217,'Glosario Partidas'!$L$8:$L$10,0))</f>
        <v>1</v>
      </c>
      <c r="U217" s="275">
        <f t="shared" si="19"/>
        <v>0</v>
      </c>
      <c r="V217" s="311"/>
      <c r="W217" s="311" t="s">
        <v>12</v>
      </c>
      <c r="X217" s="311" t="s">
        <v>493</v>
      </c>
      <c r="Y217" s="311"/>
    </row>
    <row r="218" spans="1:25" ht="15" customHeight="1" x14ac:dyDescent="0.2">
      <c r="A218" s="273">
        <v>5</v>
      </c>
      <c r="B218" s="273" t="s">
        <v>188</v>
      </c>
      <c r="C218" s="273" t="s">
        <v>113</v>
      </c>
      <c r="D218" s="273" t="s">
        <v>459</v>
      </c>
      <c r="E218" s="269" t="s">
        <v>1027</v>
      </c>
      <c r="F218" s="311" t="s">
        <v>229</v>
      </c>
      <c r="G218" s="269" t="s">
        <v>221</v>
      </c>
      <c r="H218" s="311" t="s">
        <v>710</v>
      </c>
      <c r="I218" s="302" t="s">
        <v>456</v>
      </c>
      <c r="J218" s="273" t="s">
        <v>410</v>
      </c>
      <c r="K218" s="302">
        <v>0</v>
      </c>
      <c r="L218" s="273" t="s">
        <v>269</v>
      </c>
      <c r="M218" s="274">
        <v>46000</v>
      </c>
      <c r="N218" s="275">
        <f t="shared" si="15"/>
        <v>0</v>
      </c>
      <c r="O218" s="311">
        <v>0</v>
      </c>
      <c r="P218" s="273">
        <f t="shared" si="16"/>
        <v>0</v>
      </c>
      <c r="Q218" s="313">
        <v>0.16</v>
      </c>
      <c r="R218" s="275">
        <f t="shared" si="17"/>
        <v>0</v>
      </c>
      <c r="S218" s="275">
        <f t="shared" si="18"/>
        <v>0</v>
      </c>
      <c r="T218" s="275">
        <f>INDEX('Glosario Partidas'!$M$8:$M$10,MATCH(L218,'Glosario Partidas'!$L$8:$L$10,0))</f>
        <v>1</v>
      </c>
      <c r="U218" s="275">
        <f t="shared" si="19"/>
        <v>0</v>
      </c>
      <c r="V218" s="311"/>
      <c r="W218" s="311" t="s">
        <v>12</v>
      </c>
      <c r="X218" s="311" t="s">
        <v>493</v>
      </c>
      <c r="Y218" s="311"/>
    </row>
    <row r="219" spans="1:25" ht="15" customHeight="1" x14ac:dyDescent="0.2">
      <c r="A219" s="273">
        <v>5</v>
      </c>
      <c r="B219" s="273" t="s">
        <v>188</v>
      </c>
      <c r="C219" s="273" t="s">
        <v>113</v>
      </c>
      <c r="D219" s="273" t="s">
        <v>459</v>
      </c>
      <c r="E219" s="269" t="s">
        <v>1026</v>
      </c>
      <c r="F219" s="311" t="s">
        <v>229</v>
      </c>
      <c r="G219" s="269" t="s">
        <v>221</v>
      </c>
      <c r="H219" s="311" t="s">
        <v>710</v>
      </c>
      <c r="I219" s="302" t="s">
        <v>456</v>
      </c>
      <c r="J219" s="273" t="s">
        <v>410</v>
      </c>
      <c r="K219" s="302">
        <v>0</v>
      </c>
      <c r="L219" s="273" t="s">
        <v>269</v>
      </c>
      <c r="M219" s="274">
        <v>46000</v>
      </c>
      <c r="N219" s="275">
        <f t="shared" si="15"/>
        <v>0</v>
      </c>
      <c r="O219" s="311">
        <v>0</v>
      </c>
      <c r="P219" s="273">
        <f t="shared" si="16"/>
        <v>0</v>
      </c>
      <c r="Q219" s="313">
        <v>0.16</v>
      </c>
      <c r="R219" s="275">
        <f t="shared" si="17"/>
        <v>0</v>
      </c>
      <c r="S219" s="275">
        <f t="shared" si="18"/>
        <v>0</v>
      </c>
      <c r="T219" s="275">
        <f>INDEX('Glosario Partidas'!$M$8:$M$10,MATCH(L219,'Glosario Partidas'!$L$8:$L$10,0))</f>
        <v>1</v>
      </c>
      <c r="U219" s="275">
        <f t="shared" si="19"/>
        <v>0</v>
      </c>
      <c r="V219" s="311"/>
      <c r="W219" s="311" t="s">
        <v>12</v>
      </c>
      <c r="X219" s="311" t="s">
        <v>493</v>
      </c>
      <c r="Y219" s="311"/>
    </row>
    <row r="220" spans="1:25" ht="15" customHeight="1" x14ac:dyDescent="0.2">
      <c r="A220" s="273">
        <v>5</v>
      </c>
      <c r="B220" s="273" t="s">
        <v>188</v>
      </c>
      <c r="C220" s="273" t="s">
        <v>114</v>
      </c>
      <c r="D220" s="273" t="s">
        <v>114</v>
      </c>
      <c r="E220" s="269" t="s">
        <v>1027</v>
      </c>
      <c r="F220" s="311" t="s">
        <v>229</v>
      </c>
      <c r="G220" s="269" t="s">
        <v>221</v>
      </c>
      <c r="H220" s="311" t="s">
        <v>710</v>
      </c>
      <c r="I220" s="302" t="s">
        <v>456</v>
      </c>
      <c r="J220" s="273" t="s">
        <v>410</v>
      </c>
      <c r="K220" s="302">
        <v>0</v>
      </c>
      <c r="L220" s="273" t="s">
        <v>269</v>
      </c>
      <c r="M220" s="274">
        <v>280000</v>
      </c>
      <c r="N220" s="275">
        <f t="shared" si="15"/>
        <v>0</v>
      </c>
      <c r="O220" s="311">
        <v>0</v>
      </c>
      <c r="P220" s="273">
        <f t="shared" si="16"/>
        <v>0</v>
      </c>
      <c r="Q220" s="313">
        <v>0.16</v>
      </c>
      <c r="R220" s="275">
        <f t="shared" si="17"/>
        <v>0</v>
      </c>
      <c r="S220" s="275">
        <f t="shared" si="18"/>
        <v>0</v>
      </c>
      <c r="T220" s="275">
        <f>INDEX('Glosario Partidas'!$M$8:$M$10,MATCH(L220,'Glosario Partidas'!$L$8:$L$10,0))</f>
        <v>1</v>
      </c>
      <c r="U220" s="275">
        <f t="shared" si="19"/>
        <v>0</v>
      </c>
      <c r="V220" s="311"/>
      <c r="W220" s="311" t="s">
        <v>12</v>
      </c>
      <c r="X220" s="311" t="s">
        <v>493</v>
      </c>
      <c r="Y220" s="311"/>
    </row>
    <row r="221" spans="1:25" ht="15" customHeight="1" x14ac:dyDescent="0.2">
      <c r="A221" s="273"/>
      <c r="B221" s="273" t="s">
        <v>188</v>
      </c>
      <c r="C221" s="273" t="s">
        <v>112</v>
      </c>
      <c r="D221" s="273" t="s">
        <v>112</v>
      </c>
      <c r="E221" s="269" t="s">
        <v>964</v>
      </c>
      <c r="F221" s="311" t="s">
        <v>229</v>
      </c>
      <c r="G221" s="269" t="s">
        <v>705</v>
      </c>
      <c r="H221" s="311" t="s">
        <v>1028</v>
      </c>
      <c r="I221" s="302" t="s">
        <v>456</v>
      </c>
      <c r="J221" s="273" t="s">
        <v>410</v>
      </c>
      <c r="K221" s="302">
        <v>1</v>
      </c>
      <c r="L221" s="273" t="s">
        <v>269</v>
      </c>
      <c r="M221" s="274">
        <v>150000</v>
      </c>
      <c r="N221" s="275">
        <f t="shared" si="15"/>
        <v>150000</v>
      </c>
      <c r="O221" s="311">
        <v>0</v>
      </c>
      <c r="P221" s="273">
        <f t="shared" si="16"/>
        <v>0</v>
      </c>
      <c r="Q221" s="313">
        <v>0.16</v>
      </c>
      <c r="R221" s="275">
        <f t="shared" si="17"/>
        <v>24000</v>
      </c>
      <c r="S221" s="275">
        <f t="shared" si="18"/>
        <v>174000</v>
      </c>
      <c r="T221" s="275">
        <f>INDEX('Glosario Partidas'!$M$8:$M$10,MATCH(L221,'Glosario Partidas'!$L$8:$L$10,0))</f>
        <v>1</v>
      </c>
      <c r="U221" s="275">
        <f t="shared" si="19"/>
        <v>174000</v>
      </c>
      <c r="V221" s="311" t="s">
        <v>965</v>
      </c>
      <c r="W221" s="311" t="s">
        <v>12</v>
      </c>
      <c r="X221" s="311" t="s">
        <v>493</v>
      </c>
      <c r="Y221" s="311"/>
    </row>
    <row r="222" spans="1:25" ht="15" customHeight="1" x14ac:dyDescent="0.2">
      <c r="A222" s="273"/>
      <c r="B222" s="273" t="s">
        <v>188</v>
      </c>
      <c r="C222" s="273" t="s">
        <v>112</v>
      </c>
      <c r="D222" s="273" t="s">
        <v>112</v>
      </c>
      <c r="E222" s="269" t="s">
        <v>966</v>
      </c>
      <c r="F222" s="311" t="s">
        <v>229</v>
      </c>
      <c r="G222" s="269" t="s">
        <v>705</v>
      </c>
      <c r="H222" s="311" t="s">
        <v>1028</v>
      </c>
      <c r="I222" s="302" t="s">
        <v>456</v>
      </c>
      <c r="J222" s="273" t="s">
        <v>410</v>
      </c>
      <c r="K222" s="302">
        <v>1</v>
      </c>
      <c r="L222" s="273" t="s">
        <v>269</v>
      </c>
      <c r="M222" s="274">
        <v>150000</v>
      </c>
      <c r="N222" s="275">
        <f t="shared" si="15"/>
        <v>150000</v>
      </c>
      <c r="O222" s="311">
        <v>0</v>
      </c>
      <c r="P222" s="273">
        <f t="shared" si="16"/>
        <v>0</v>
      </c>
      <c r="Q222" s="313">
        <v>0.16</v>
      </c>
      <c r="R222" s="275">
        <f t="shared" si="17"/>
        <v>24000</v>
      </c>
      <c r="S222" s="275">
        <f t="shared" si="18"/>
        <v>174000</v>
      </c>
      <c r="T222" s="275">
        <f>INDEX('Glosario Partidas'!$M$8:$M$10,MATCH(L222,'Glosario Partidas'!$L$8:$L$10,0))</f>
        <v>1</v>
      </c>
      <c r="U222" s="275">
        <f t="shared" si="19"/>
        <v>174000</v>
      </c>
      <c r="V222" s="311" t="s">
        <v>965</v>
      </c>
      <c r="W222" s="311" t="s">
        <v>12</v>
      </c>
      <c r="X222" s="311" t="s">
        <v>493</v>
      </c>
      <c r="Y222" s="311"/>
    </row>
    <row r="223" spans="1:25" ht="15" customHeight="1" x14ac:dyDescent="0.2">
      <c r="A223" s="273"/>
      <c r="B223" s="273" t="s">
        <v>188</v>
      </c>
      <c r="C223" s="273" t="s">
        <v>112</v>
      </c>
      <c r="D223" s="273" t="s">
        <v>112</v>
      </c>
      <c r="E223" s="269" t="s">
        <v>967</v>
      </c>
      <c r="F223" s="311" t="s">
        <v>229</v>
      </c>
      <c r="G223" s="269" t="s">
        <v>705</v>
      </c>
      <c r="H223" s="311" t="s">
        <v>1028</v>
      </c>
      <c r="I223" s="302" t="s">
        <v>456</v>
      </c>
      <c r="J223" s="273" t="s">
        <v>410</v>
      </c>
      <c r="K223" s="302">
        <v>1</v>
      </c>
      <c r="L223" s="273" t="s">
        <v>269</v>
      </c>
      <c r="M223" s="274">
        <v>150000</v>
      </c>
      <c r="N223" s="275">
        <f t="shared" si="15"/>
        <v>150000</v>
      </c>
      <c r="O223" s="311">
        <v>0</v>
      </c>
      <c r="P223" s="273">
        <f t="shared" si="16"/>
        <v>0</v>
      </c>
      <c r="Q223" s="313">
        <v>0.16</v>
      </c>
      <c r="R223" s="275">
        <f t="shared" si="17"/>
        <v>24000</v>
      </c>
      <c r="S223" s="275">
        <f t="shared" si="18"/>
        <v>174000</v>
      </c>
      <c r="T223" s="275">
        <f>INDEX('Glosario Partidas'!$M$8:$M$10,MATCH(L223,'Glosario Partidas'!$L$8:$L$10,0))</f>
        <v>1</v>
      </c>
      <c r="U223" s="275">
        <f t="shared" si="19"/>
        <v>174000</v>
      </c>
      <c r="V223" s="311" t="s">
        <v>965</v>
      </c>
      <c r="W223" s="311" t="s">
        <v>12</v>
      </c>
      <c r="X223" s="311" t="s">
        <v>493</v>
      </c>
      <c r="Y223" s="311"/>
    </row>
    <row r="224" spans="1:25" ht="15" customHeight="1" x14ac:dyDescent="0.2">
      <c r="A224" s="273"/>
      <c r="B224" s="273" t="s">
        <v>188</v>
      </c>
      <c r="C224" s="273" t="s">
        <v>112</v>
      </c>
      <c r="D224" s="273" t="s">
        <v>112</v>
      </c>
      <c r="E224" s="269" t="s">
        <v>968</v>
      </c>
      <c r="F224" s="311" t="s">
        <v>229</v>
      </c>
      <c r="G224" s="269" t="s">
        <v>705</v>
      </c>
      <c r="H224" s="311" t="s">
        <v>1028</v>
      </c>
      <c r="I224" s="302" t="s">
        <v>456</v>
      </c>
      <c r="J224" s="273" t="s">
        <v>410</v>
      </c>
      <c r="K224" s="302">
        <v>1</v>
      </c>
      <c r="L224" s="273" t="s">
        <v>269</v>
      </c>
      <c r="M224" s="274">
        <v>200000</v>
      </c>
      <c r="N224" s="275">
        <f t="shared" si="15"/>
        <v>200000</v>
      </c>
      <c r="O224" s="311">
        <v>0</v>
      </c>
      <c r="P224" s="273">
        <f t="shared" si="16"/>
        <v>0</v>
      </c>
      <c r="Q224" s="313">
        <v>0.16</v>
      </c>
      <c r="R224" s="275">
        <f t="shared" si="17"/>
        <v>32000</v>
      </c>
      <c r="S224" s="275">
        <f t="shared" si="18"/>
        <v>232000</v>
      </c>
      <c r="T224" s="275">
        <f>INDEX('Glosario Partidas'!$M$8:$M$10,MATCH(L224,'Glosario Partidas'!$L$8:$L$10,0))</f>
        <v>1</v>
      </c>
      <c r="U224" s="275">
        <f t="shared" si="19"/>
        <v>232000</v>
      </c>
      <c r="V224" s="311" t="s">
        <v>965</v>
      </c>
      <c r="W224" s="311" t="s">
        <v>12</v>
      </c>
      <c r="X224" s="311" t="s">
        <v>493</v>
      </c>
      <c r="Y224" s="311"/>
    </row>
    <row r="225" spans="1:25" ht="15" customHeight="1" x14ac:dyDescent="0.2">
      <c r="A225" s="273"/>
      <c r="B225" s="273" t="s">
        <v>188</v>
      </c>
      <c r="C225" s="273" t="s">
        <v>112</v>
      </c>
      <c r="D225" s="273" t="s">
        <v>112</v>
      </c>
      <c r="E225" s="269" t="s">
        <v>969</v>
      </c>
      <c r="F225" s="311" t="s">
        <v>229</v>
      </c>
      <c r="G225" s="269" t="s">
        <v>705</v>
      </c>
      <c r="H225" s="311" t="s">
        <v>1028</v>
      </c>
      <c r="I225" s="302" t="s">
        <v>456</v>
      </c>
      <c r="J225" s="273" t="s">
        <v>410</v>
      </c>
      <c r="K225" s="302">
        <v>1</v>
      </c>
      <c r="L225" s="273" t="s">
        <v>269</v>
      </c>
      <c r="M225" s="274">
        <v>200000</v>
      </c>
      <c r="N225" s="275">
        <f t="shared" si="15"/>
        <v>200000</v>
      </c>
      <c r="O225" s="311">
        <v>0</v>
      </c>
      <c r="P225" s="273">
        <f t="shared" si="16"/>
        <v>0</v>
      </c>
      <c r="Q225" s="313">
        <v>0.16</v>
      </c>
      <c r="R225" s="275">
        <f t="shared" si="17"/>
        <v>32000</v>
      </c>
      <c r="S225" s="275">
        <f t="shared" si="18"/>
        <v>232000</v>
      </c>
      <c r="T225" s="275">
        <f>INDEX('Glosario Partidas'!$M$8:$M$10,MATCH(L225,'Glosario Partidas'!$L$8:$L$10,0))</f>
        <v>1</v>
      </c>
      <c r="U225" s="275">
        <f t="shared" si="19"/>
        <v>232000</v>
      </c>
      <c r="V225" s="311" t="s">
        <v>965</v>
      </c>
      <c r="W225" s="311" t="s">
        <v>12</v>
      </c>
      <c r="X225" s="311" t="s">
        <v>493</v>
      </c>
      <c r="Y225" s="311"/>
    </row>
    <row r="226" spans="1:25" ht="15" customHeight="1" x14ac:dyDescent="0.2">
      <c r="A226" s="273"/>
      <c r="B226" s="273" t="s">
        <v>188</v>
      </c>
      <c r="C226" s="273" t="s">
        <v>112</v>
      </c>
      <c r="D226" s="273" t="s">
        <v>112</v>
      </c>
      <c r="E226" s="269" t="s">
        <v>1009</v>
      </c>
      <c r="F226" s="311" t="s">
        <v>229</v>
      </c>
      <c r="G226" s="269" t="s">
        <v>705</v>
      </c>
      <c r="H226" s="311" t="s">
        <v>1028</v>
      </c>
      <c r="I226" s="302" t="s">
        <v>456</v>
      </c>
      <c r="J226" s="273" t="s">
        <v>410</v>
      </c>
      <c r="K226" s="302">
        <v>1</v>
      </c>
      <c r="L226" s="273" t="s">
        <v>269</v>
      </c>
      <c r="M226" s="274">
        <v>75000</v>
      </c>
      <c r="N226" s="275">
        <f t="shared" si="15"/>
        <v>75000</v>
      </c>
      <c r="O226" s="311">
        <v>0</v>
      </c>
      <c r="P226" s="273">
        <f t="shared" si="16"/>
        <v>0</v>
      </c>
      <c r="Q226" s="313">
        <v>0.16</v>
      </c>
      <c r="R226" s="275">
        <f t="shared" si="17"/>
        <v>12000</v>
      </c>
      <c r="S226" s="275">
        <f t="shared" si="18"/>
        <v>87000</v>
      </c>
      <c r="T226" s="275">
        <f>INDEX('Glosario Partidas'!$M$8:$M$10,MATCH(L226,'Glosario Partidas'!$L$8:$L$10,0))</f>
        <v>1</v>
      </c>
      <c r="U226" s="275">
        <f t="shared" si="19"/>
        <v>87000</v>
      </c>
      <c r="V226" s="311" t="s">
        <v>965</v>
      </c>
      <c r="W226" s="311" t="s">
        <v>12</v>
      </c>
      <c r="X226" s="311" t="s">
        <v>493</v>
      </c>
      <c r="Y226" s="311"/>
    </row>
    <row r="227" spans="1:25" ht="15" customHeight="1" x14ac:dyDescent="0.2">
      <c r="A227" s="273"/>
      <c r="B227" s="273" t="s">
        <v>188</v>
      </c>
      <c r="C227" s="273" t="s">
        <v>112</v>
      </c>
      <c r="D227" s="273" t="s">
        <v>970</v>
      </c>
      <c r="E227" s="269" t="s">
        <v>964</v>
      </c>
      <c r="F227" s="311" t="s">
        <v>229</v>
      </c>
      <c r="G227" s="269" t="s">
        <v>705</v>
      </c>
      <c r="H227" s="311" t="s">
        <v>1028</v>
      </c>
      <c r="I227" s="302" t="s">
        <v>456</v>
      </c>
      <c r="J227" s="273" t="s">
        <v>410</v>
      </c>
      <c r="K227" s="302">
        <v>1</v>
      </c>
      <c r="L227" s="273" t="s">
        <v>269</v>
      </c>
      <c r="M227" s="274">
        <v>40000</v>
      </c>
      <c r="N227" s="275">
        <f t="shared" si="15"/>
        <v>40000</v>
      </c>
      <c r="O227" s="311">
        <v>0</v>
      </c>
      <c r="P227" s="273">
        <f t="shared" si="16"/>
        <v>0</v>
      </c>
      <c r="Q227" s="313">
        <v>0.16</v>
      </c>
      <c r="R227" s="275">
        <f t="shared" si="17"/>
        <v>6400</v>
      </c>
      <c r="S227" s="275">
        <f t="shared" si="18"/>
        <v>46400</v>
      </c>
      <c r="T227" s="275">
        <f>INDEX('Glosario Partidas'!$M$8:$M$10,MATCH(L227,'Glosario Partidas'!$L$8:$L$10,0))</f>
        <v>1</v>
      </c>
      <c r="U227" s="275">
        <f t="shared" si="19"/>
        <v>46400</v>
      </c>
      <c r="V227" s="311" t="s">
        <v>965</v>
      </c>
      <c r="W227" s="311" t="s">
        <v>12</v>
      </c>
      <c r="X227" s="311" t="s">
        <v>493</v>
      </c>
      <c r="Y227" s="311"/>
    </row>
    <row r="228" spans="1:25" ht="15" customHeight="1" x14ac:dyDescent="0.2">
      <c r="A228" s="273"/>
      <c r="B228" s="273" t="s">
        <v>188</v>
      </c>
      <c r="C228" s="273" t="s">
        <v>112</v>
      </c>
      <c r="D228" s="273" t="s">
        <v>970</v>
      </c>
      <c r="E228" s="269" t="s">
        <v>966</v>
      </c>
      <c r="F228" s="311" t="s">
        <v>229</v>
      </c>
      <c r="G228" s="269" t="s">
        <v>705</v>
      </c>
      <c r="H228" s="311" t="s">
        <v>1028</v>
      </c>
      <c r="I228" s="302" t="s">
        <v>456</v>
      </c>
      <c r="J228" s="273" t="s">
        <v>410</v>
      </c>
      <c r="K228" s="302">
        <v>1</v>
      </c>
      <c r="L228" s="273" t="s">
        <v>269</v>
      </c>
      <c r="M228" s="274">
        <v>40000</v>
      </c>
      <c r="N228" s="275">
        <f t="shared" si="15"/>
        <v>40000</v>
      </c>
      <c r="O228" s="311">
        <v>0</v>
      </c>
      <c r="P228" s="273">
        <f t="shared" si="16"/>
        <v>0</v>
      </c>
      <c r="Q228" s="313">
        <v>0.16</v>
      </c>
      <c r="R228" s="275">
        <f t="shared" si="17"/>
        <v>6400</v>
      </c>
      <c r="S228" s="275">
        <f t="shared" si="18"/>
        <v>46400</v>
      </c>
      <c r="T228" s="275">
        <f>INDEX('Glosario Partidas'!$M$8:$M$10,MATCH(L228,'Glosario Partidas'!$L$8:$L$10,0))</f>
        <v>1</v>
      </c>
      <c r="U228" s="275">
        <f t="shared" si="19"/>
        <v>46400</v>
      </c>
      <c r="V228" s="311" t="s">
        <v>965</v>
      </c>
      <c r="W228" s="311" t="s">
        <v>12</v>
      </c>
      <c r="X228" s="311" t="s">
        <v>493</v>
      </c>
      <c r="Y228" s="311"/>
    </row>
    <row r="229" spans="1:25" ht="15" customHeight="1" x14ac:dyDescent="0.2">
      <c r="A229" s="273"/>
      <c r="B229" s="273" t="s">
        <v>188</v>
      </c>
      <c r="C229" s="273" t="s">
        <v>112</v>
      </c>
      <c r="D229" s="273" t="s">
        <v>970</v>
      </c>
      <c r="E229" s="269" t="s">
        <v>967</v>
      </c>
      <c r="F229" s="311" t="s">
        <v>229</v>
      </c>
      <c r="G229" s="269" t="s">
        <v>705</v>
      </c>
      <c r="H229" s="311" t="s">
        <v>1028</v>
      </c>
      <c r="I229" s="302" t="s">
        <v>456</v>
      </c>
      <c r="J229" s="273" t="s">
        <v>410</v>
      </c>
      <c r="K229" s="302">
        <v>1</v>
      </c>
      <c r="L229" s="273" t="s">
        <v>269</v>
      </c>
      <c r="M229" s="274">
        <v>40000</v>
      </c>
      <c r="N229" s="275">
        <f t="shared" si="15"/>
        <v>40000</v>
      </c>
      <c r="O229" s="311">
        <v>0</v>
      </c>
      <c r="P229" s="273">
        <f t="shared" si="16"/>
        <v>0</v>
      </c>
      <c r="Q229" s="313">
        <v>0.16</v>
      </c>
      <c r="R229" s="275">
        <f t="shared" si="17"/>
        <v>6400</v>
      </c>
      <c r="S229" s="275">
        <f t="shared" si="18"/>
        <v>46400</v>
      </c>
      <c r="T229" s="275">
        <f>INDEX('Glosario Partidas'!$M$8:$M$10,MATCH(L229,'Glosario Partidas'!$L$8:$L$10,0))</f>
        <v>1</v>
      </c>
      <c r="U229" s="275">
        <f t="shared" si="19"/>
        <v>46400</v>
      </c>
      <c r="V229" s="311" t="s">
        <v>965</v>
      </c>
      <c r="W229" s="311" t="s">
        <v>12</v>
      </c>
      <c r="X229" s="311" t="s">
        <v>493</v>
      </c>
      <c r="Y229" s="311"/>
    </row>
    <row r="230" spans="1:25" ht="15" customHeight="1" x14ac:dyDescent="0.2">
      <c r="A230" s="273"/>
      <c r="B230" s="273" t="s">
        <v>188</v>
      </c>
      <c r="C230" s="273" t="s">
        <v>112</v>
      </c>
      <c r="D230" s="273" t="s">
        <v>970</v>
      </c>
      <c r="E230" s="269" t="s">
        <v>968</v>
      </c>
      <c r="F230" s="311" t="s">
        <v>229</v>
      </c>
      <c r="G230" s="269" t="s">
        <v>705</v>
      </c>
      <c r="H230" s="311" t="s">
        <v>1028</v>
      </c>
      <c r="I230" s="302" t="s">
        <v>456</v>
      </c>
      <c r="J230" s="273" t="s">
        <v>410</v>
      </c>
      <c r="K230" s="302">
        <v>1</v>
      </c>
      <c r="L230" s="273" t="s">
        <v>269</v>
      </c>
      <c r="M230" s="274">
        <v>60000</v>
      </c>
      <c r="N230" s="275">
        <f t="shared" si="15"/>
        <v>60000</v>
      </c>
      <c r="O230" s="311">
        <v>0</v>
      </c>
      <c r="P230" s="273">
        <f t="shared" si="16"/>
        <v>0</v>
      </c>
      <c r="Q230" s="313">
        <v>0.16</v>
      </c>
      <c r="R230" s="275">
        <f t="shared" si="17"/>
        <v>9600</v>
      </c>
      <c r="S230" s="275">
        <f t="shared" si="18"/>
        <v>69600</v>
      </c>
      <c r="T230" s="275">
        <f>INDEX('Glosario Partidas'!$M$8:$M$10,MATCH(L230,'Glosario Partidas'!$L$8:$L$10,0))</f>
        <v>1</v>
      </c>
      <c r="U230" s="275">
        <f t="shared" si="19"/>
        <v>69600</v>
      </c>
      <c r="V230" s="311" t="s">
        <v>965</v>
      </c>
      <c r="W230" s="311" t="s">
        <v>12</v>
      </c>
      <c r="X230" s="311" t="s">
        <v>493</v>
      </c>
      <c r="Y230" s="311"/>
    </row>
    <row r="231" spans="1:25" ht="15" customHeight="1" x14ac:dyDescent="0.2">
      <c r="A231" s="273"/>
      <c r="B231" s="273" t="s">
        <v>188</v>
      </c>
      <c r="C231" s="273" t="s">
        <v>112</v>
      </c>
      <c r="D231" s="273" t="s">
        <v>970</v>
      </c>
      <c r="E231" s="269" t="s">
        <v>969</v>
      </c>
      <c r="F231" s="311" t="s">
        <v>229</v>
      </c>
      <c r="G231" s="269" t="s">
        <v>705</v>
      </c>
      <c r="H231" s="311" t="s">
        <v>1028</v>
      </c>
      <c r="I231" s="302" t="s">
        <v>456</v>
      </c>
      <c r="J231" s="273" t="s">
        <v>410</v>
      </c>
      <c r="K231" s="302">
        <v>1</v>
      </c>
      <c r="L231" s="273" t="s">
        <v>269</v>
      </c>
      <c r="M231" s="274">
        <v>60000</v>
      </c>
      <c r="N231" s="275">
        <f t="shared" si="15"/>
        <v>60000</v>
      </c>
      <c r="O231" s="311">
        <v>0</v>
      </c>
      <c r="P231" s="273">
        <f t="shared" si="16"/>
        <v>0</v>
      </c>
      <c r="Q231" s="313">
        <v>0.16</v>
      </c>
      <c r="R231" s="275">
        <f t="shared" si="17"/>
        <v>9600</v>
      </c>
      <c r="S231" s="275">
        <f t="shared" si="18"/>
        <v>69600</v>
      </c>
      <c r="T231" s="275">
        <f>INDEX('Glosario Partidas'!$M$8:$M$10,MATCH(L231,'Glosario Partidas'!$L$8:$L$10,0))</f>
        <v>1</v>
      </c>
      <c r="U231" s="275">
        <f t="shared" si="19"/>
        <v>69600</v>
      </c>
      <c r="V231" s="311" t="s">
        <v>965</v>
      </c>
      <c r="W231" s="311" t="s">
        <v>12</v>
      </c>
      <c r="X231" s="311" t="s">
        <v>493</v>
      </c>
      <c r="Y231" s="311"/>
    </row>
    <row r="232" spans="1:25" ht="15" customHeight="1" x14ac:dyDescent="0.2">
      <c r="A232" s="273"/>
      <c r="B232" s="273" t="s">
        <v>188</v>
      </c>
      <c r="C232" s="273" t="s">
        <v>112</v>
      </c>
      <c r="D232" s="273" t="s">
        <v>970</v>
      </c>
      <c r="E232" s="269" t="s">
        <v>1009</v>
      </c>
      <c r="F232" s="311" t="s">
        <v>229</v>
      </c>
      <c r="G232" s="269" t="s">
        <v>705</v>
      </c>
      <c r="H232" s="311" t="s">
        <v>1028</v>
      </c>
      <c r="I232" s="302" t="s">
        <v>456</v>
      </c>
      <c r="J232" s="273" t="s">
        <v>410</v>
      </c>
      <c r="K232" s="302">
        <v>1</v>
      </c>
      <c r="L232" s="273" t="s">
        <v>269</v>
      </c>
      <c r="M232" s="274">
        <v>25000</v>
      </c>
      <c r="N232" s="275">
        <f t="shared" si="15"/>
        <v>25000</v>
      </c>
      <c r="O232" s="311">
        <v>0</v>
      </c>
      <c r="P232" s="273">
        <f t="shared" si="16"/>
        <v>0</v>
      </c>
      <c r="Q232" s="313">
        <v>0.16</v>
      </c>
      <c r="R232" s="275">
        <f t="shared" si="17"/>
        <v>4000</v>
      </c>
      <c r="S232" s="275">
        <f t="shared" si="18"/>
        <v>29000</v>
      </c>
      <c r="T232" s="275">
        <f>INDEX('Glosario Partidas'!$M$8:$M$10,MATCH(L232,'Glosario Partidas'!$L$8:$L$10,0))</f>
        <v>1</v>
      </c>
      <c r="U232" s="275">
        <f t="shared" si="19"/>
        <v>29000</v>
      </c>
      <c r="V232" s="311" t="s">
        <v>965</v>
      </c>
      <c r="W232" s="311" t="s">
        <v>12</v>
      </c>
      <c r="X232" s="311" t="s">
        <v>493</v>
      </c>
      <c r="Y232" s="311"/>
    </row>
    <row r="233" spans="1:25" ht="15" customHeight="1" x14ac:dyDescent="0.2">
      <c r="A233" s="273"/>
      <c r="B233" s="273" t="s">
        <v>188</v>
      </c>
      <c r="C233" s="273" t="s">
        <v>113</v>
      </c>
      <c r="D233" s="273" t="s">
        <v>971</v>
      </c>
      <c r="E233" s="269" t="s">
        <v>1010</v>
      </c>
      <c r="F233" s="311" t="s">
        <v>229</v>
      </c>
      <c r="G233" s="269" t="s">
        <v>705</v>
      </c>
      <c r="H233" s="311" t="s">
        <v>1028</v>
      </c>
      <c r="I233" s="302" t="s">
        <v>456</v>
      </c>
      <c r="J233" s="273" t="s">
        <v>410</v>
      </c>
      <c r="K233" s="302">
        <v>3</v>
      </c>
      <c r="L233" s="273" t="s">
        <v>269</v>
      </c>
      <c r="M233" s="274">
        <v>195000</v>
      </c>
      <c r="N233" s="275">
        <f t="shared" si="15"/>
        <v>585000</v>
      </c>
      <c r="O233" s="311">
        <v>0</v>
      </c>
      <c r="P233" s="273">
        <f t="shared" si="16"/>
        <v>0</v>
      </c>
      <c r="Q233" s="313">
        <v>0.16</v>
      </c>
      <c r="R233" s="275">
        <f t="shared" si="17"/>
        <v>93600</v>
      </c>
      <c r="S233" s="275">
        <f t="shared" si="18"/>
        <v>678600</v>
      </c>
      <c r="T233" s="275">
        <f>INDEX('Glosario Partidas'!$M$8:$M$10,MATCH(L233,'Glosario Partidas'!$L$8:$L$10,0))</f>
        <v>1</v>
      </c>
      <c r="U233" s="275">
        <f t="shared" si="19"/>
        <v>678600</v>
      </c>
      <c r="V233" s="311" t="s">
        <v>965</v>
      </c>
      <c r="W233" s="311" t="s">
        <v>12</v>
      </c>
      <c r="X233" s="311" t="s">
        <v>493</v>
      </c>
      <c r="Y233" s="311"/>
    </row>
    <row r="234" spans="1:25" ht="15" customHeight="1" x14ac:dyDescent="0.2">
      <c r="A234" s="273"/>
      <c r="B234" s="273" t="s">
        <v>188</v>
      </c>
      <c r="C234" s="273" t="s">
        <v>113</v>
      </c>
      <c r="D234" s="273" t="s">
        <v>973</v>
      </c>
      <c r="E234" s="269" t="s">
        <v>974</v>
      </c>
      <c r="F234" s="311" t="s">
        <v>229</v>
      </c>
      <c r="G234" s="269" t="s">
        <v>705</v>
      </c>
      <c r="H234" s="311" t="s">
        <v>1028</v>
      </c>
      <c r="I234" s="302" t="s">
        <v>456</v>
      </c>
      <c r="J234" s="273" t="s">
        <v>410</v>
      </c>
      <c r="K234" s="302">
        <v>1</v>
      </c>
      <c r="L234" s="273" t="s">
        <v>269</v>
      </c>
      <c r="M234" s="274">
        <v>38000</v>
      </c>
      <c r="N234" s="275">
        <f t="shared" si="15"/>
        <v>38000</v>
      </c>
      <c r="O234" s="311">
        <v>0</v>
      </c>
      <c r="P234" s="273">
        <f t="shared" si="16"/>
        <v>0</v>
      </c>
      <c r="Q234" s="313">
        <v>0.16</v>
      </c>
      <c r="R234" s="275">
        <f t="shared" si="17"/>
        <v>6080</v>
      </c>
      <c r="S234" s="275">
        <f t="shared" si="18"/>
        <v>44080</v>
      </c>
      <c r="T234" s="275">
        <f>INDEX('Glosario Partidas'!$M$8:$M$10,MATCH(L234,'Glosario Partidas'!$L$8:$L$10,0))</f>
        <v>1</v>
      </c>
      <c r="U234" s="275">
        <f t="shared" si="19"/>
        <v>44080</v>
      </c>
      <c r="V234" s="311" t="s">
        <v>965</v>
      </c>
      <c r="W234" s="311" t="s">
        <v>12</v>
      </c>
      <c r="X234" s="311" t="s">
        <v>493</v>
      </c>
      <c r="Y234" s="311"/>
    </row>
    <row r="235" spans="1:25" ht="15" customHeight="1" x14ac:dyDescent="0.2">
      <c r="A235" s="273"/>
      <c r="B235" s="273" t="s">
        <v>188</v>
      </c>
      <c r="C235" s="273" t="s">
        <v>113</v>
      </c>
      <c r="D235" s="273" t="s">
        <v>973</v>
      </c>
      <c r="E235" s="269" t="s">
        <v>975</v>
      </c>
      <c r="F235" s="311" t="s">
        <v>229</v>
      </c>
      <c r="G235" s="269" t="s">
        <v>705</v>
      </c>
      <c r="H235" s="311" t="s">
        <v>1028</v>
      </c>
      <c r="I235" s="302" t="s">
        <v>456</v>
      </c>
      <c r="J235" s="273" t="s">
        <v>410</v>
      </c>
      <c r="K235" s="302">
        <v>1</v>
      </c>
      <c r="L235" s="273" t="s">
        <v>269</v>
      </c>
      <c r="M235" s="274">
        <v>38000</v>
      </c>
      <c r="N235" s="275">
        <f t="shared" si="15"/>
        <v>38000</v>
      </c>
      <c r="O235" s="311">
        <v>0</v>
      </c>
      <c r="P235" s="273">
        <f t="shared" si="16"/>
        <v>0</v>
      </c>
      <c r="Q235" s="313">
        <v>0.16</v>
      </c>
      <c r="R235" s="275">
        <f t="shared" si="17"/>
        <v>6080</v>
      </c>
      <c r="S235" s="275">
        <f t="shared" si="18"/>
        <v>44080</v>
      </c>
      <c r="T235" s="275">
        <f>INDEX('Glosario Partidas'!$M$8:$M$10,MATCH(L235,'Glosario Partidas'!$L$8:$L$10,0))</f>
        <v>1</v>
      </c>
      <c r="U235" s="275">
        <f t="shared" si="19"/>
        <v>44080</v>
      </c>
      <c r="V235" s="311" t="s">
        <v>965</v>
      </c>
      <c r="W235" s="311" t="s">
        <v>12</v>
      </c>
      <c r="X235" s="311" t="s">
        <v>493</v>
      </c>
      <c r="Y235" s="311"/>
    </row>
    <row r="236" spans="1:25" ht="15" customHeight="1" x14ac:dyDescent="0.2">
      <c r="A236" s="273"/>
      <c r="B236" s="273" t="s">
        <v>188</v>
      </c>
      <c r="C236" s="273" t="s">
        <v>113</v>
      </c>
      <c r="D236" s="273" t="s">
        <v>977</v>
      </c>
      <c r="E236" s="269" t="s">
        <v>1011</v>
      </c>
      <c r="F236" s="311" t="s">
        <v>229</v>
      </c>
      <c r="G236" s="269" t="s">
        <v>705</v>
      </c>
      <c r="H236" s="311" t="s">
        <v>1028</v>
      </c>
      <c r="I236" s="302" t="s">
        <v>456</v>
      </c>
      <c r="J236" s="273" t="s">
        <v>410</v>
      </c>
      <c r="K236" s="302">
        <v>1</v>
      </c>
      <c r="L236" s="273" t="s">
        <v>269</v>
      </c>
      <c r="M236" s="274">
        <v>46000</v>
      </c>
      <c r="N236" s="275">
        <f t="shared" si="15"/>
        <v>46000</v>
      </c>
      <c r="O236" s="311">
        <v>0</v>
      </c>
      <c r="P236" s="273">
        <f t="shared" si="16"/>
        <v>0</v>
      </c>
      <c r="Q236" s="313">
        <v>0.16</v>
      </c>
      <c r="R236" s="275">
        <f t="shared" si="17"/>
        <v>7360</v>
      </c>
      <c r="S236" s="275">
        <f t="shared" si="18"/>
        <v>53360</v>
      </c>
      <c r="T236" s="275">
        <f>INDEX('Glosario Partidas'!$M$8:$M$10,MATCH(L236,'Glosario Partidas'!$L$8:$L$10,0))</f>
        <v>1</v>
      </c>
      <c r="U236" s="275">
        <f t="shared" si="19"/>
        <v>53360</v>
      </c>
      <c r="V236" s="311" t="s">
        <v>965</v>
      </c>
      <c r="W236" s="311" t="s">
        <v>12</v>
      </c>
      <c r="X236" s="311" t="s">
        <v>493</v>
      </c>
      <c r="Y236" s="311"/>
    </row>
    <row r="237" spans="1:25" ht="15" customHeight="1" x14ac:dyDescent="0.2">
      <c r="A237" s="273"/>
      <c r="B237" s="273" t="s">
        <v>188</v>
      </c>
      <c r="C237" s="273" t="s">
        <v>113</v>
      </c>
      <c r="D237" s="273" t="s">
        <v>977</v>
      </c>
      <c r="E237" s="269" t="s">
        <v>1012</v>
      </c>
      <c r="F237" s="311" t="s">
        <v>229</v>
      </c>
      <c r="G237" s="269" t="s">
        <v>705</v>
      </c>
      <c r="H237" s="311" t="s">
        <v>1028</v>
      </c>
      <c r="I237" s="302" t="s">
        <v>456</v>
      </c>
      <c r="J237" s="273" t="s">
        <v>410</v>
      </c>
      <c r="K237" s="302">
        <v>1</v>
      </c>
      <c r="L237" s="273" t="s">
        <v>269</v>
      </c>
      <c r="M237" s="274">
        <v>46000</v>
      </c>
      <c r="N237" s="275">
        <f t="shared" si="15"/>
        <v>46000</v>
      </c>
      <c r="O237" s="311">
        <v>0</v>
      </c>
      <c r="P237" s="273">
        <f t="shared" si="16"/>
        <v>0</v>
      </c>
      <c r="Q237" s="313">
        <v>0.16</v>
      </c>
      <c r="R237" s="275">
        <f t="shared" si="17"/>
        <v>7360</v>
      </c>
      <c r="S237" s="275">
        <f t="shared" si="18"/>
        <v>53360</v>
      </c>
      <c r="T237" s="275">
        <f>INDEX('Glosario Partidas'!$M$8:$M$10,MATCH(L237,'Glosario Partidas'!$L$8:$L$10,0))</f>
        <v>1</v>
      </c>
      <c r="U237" s="275">
        <f t="shared" si="19"/>
        <v>53360</v>
      </c>
      <c r="V237" s="311" t="s">
        <v>965</v>
      </c>
      <c r="W237" s="311" t="s">
        <v>12</v>
      </c>
      <c r="X237" s="311" t="s">
        <v>493</v>
      </c>
      <c r="Y237" s="311"/>
    </row>
    <row r="238" spans="1:25" ht="15" customHeight="1" x14ac:dyDescent="0.2">
      <c r="A238" s="273"/>
      <c r="B238" s="273" t="s">
        <v>188</v>
      </c>
      <c r="C238" s="273" t="s">
        <v>113</v>
      </c>
      <c r="D238" s="273" t="s">
        <v>977</v>
      </c>
      <c r="E238" s="269" t="s">
        <v>1013</v>
      </c>
      <c r="F238" s="311" t="s">
        <v>229</v>
      </c>
      <c r="G238" s="269" t="s">
        <v>705</v>
      </c>
      <c r="H238" s="311" t="s">
        <v>1028</v>
      </c>
      <c r="I238" s="302" t="s">
        <v>456</v>
      </c>
      <c r="J238" s="273" t="s">
        <v>410</v>
      </c>
      <c r="K238" s="302">
        <v>1</v>
      </c>
      <c r="L238" s="273" t="s">
        <v>269</v>
      </c>
      <c r="M238" s="274">
        <v>46000</v>
      </c>
      <c r="N238" s="275">
        <f t="shared" si="15"/>
        <v>46000</v>
      </c>
      <c r="O238" s="311">
        <v>0</v>
      </c>
      <c r="P238" s="273">
        <f t="shared" si="16"/>
        <v>0</v>
      </c>
      <c r="Q238" s="313">
        <v>0.16</v>
      </c>
      <c r="R238" s="275">
        <f t="shared" si="17"/>
        <v>7360</v>
      </c>
      <c r="S238" s="275">
        <f t="shared" si="18"/>
        <v>53360</v>
      </c>
      <c r="T238" s="275">
        <f>INDEX('Glosario Partidas'!$M$8:$M$10,MATCH(L238,'Glosario Partidas'!$L$8:$L$10,0))</f>
        <v>1</v>
      </c>
      <c r="U238" s="275">
        <f t="shared" si="19"/>
        <v>53360</v>
      </c>
      <c r="V238" s="311" t="s">
        <v>965</v>
      </c>
      <c r="W238" s="311" t="s">
        <v>12</v>
      </c>
      <c r="X238" s="311" t="s">
        <v>493</v>
      </c>
      <c r="Y238" s="311"/>
    </row>
    <row r="239" spans="1:25" ht="15" customHeight="1" x14ac:dyDescent="0.2">
      <c r="A239" s="273"/>
      <c r="B239" s="273" t="s">
        <v>188</v>
      </c>
      <c r="C239" s="273" t="s">
        <v>113</v>
      </c>
      <c r="D239" s="273" t="s">
        <v>977</v>
      </c>
      <c r="E239" s="269" t="s">
        <v>1014</v>
      </c>
      <c r="F239" s="311" t="s">
        <v>229</v>
      </c>
      <c r="G239" s="269" t="s">
        <v>705</v>
      </c>
      <c r="H239" s="311" t="s">
        <v>1028</v>
      </c>
      <c r="I239" s="302" t="s">
        <v>456</v>
      </c>
      <c r="J239" s="273" t="s">
        <v>410</v>
      </c>
      <c r="K239" s="302">
        <v>1</v>
      </c>
      <c r="L239" s="273" t="s">
        <v>269</v>
      </c>
      <c r="M239" s="274">
        <v>46000</v>
      </c>
      <c r="N239" s="275">
        <f t="shared" si="15"/>
        <v>46000</v>
      </c>
      <c r="O239" s="311">
        <v>0</v>
      </c>
      <c r="P239" s="273">
        <f t="shared" si="16"/>
        <v>0</v>
      </c>
      <c r="Q239" s="313">
        <v>0.16</v>
      </c>
      <c r="R239" s="275">
        <f t="shared" si="17"/>
        <v>7360</v>
      </c>
      <c r="S239" s="275">
        <f t="shared" si="18"/>
        <v>53360</v>
      </c>
      <c r="T239" s="275">
        <f>INDEX('Glosario Partidas'!$M$8:$M$10,MATCH(L239,'Glosario Partidas'!$L$8:$L$10,0))</f>
        <v>1</v>
      </c>
      <c r="U239" s="275">
        <f t="shared" si="19"/>
        <v>53360</v>
      </c>
      <c r="V239" s="311" t="s">
        <v>965</v>
      </c>
      <c r="W239" s="311" t="s">
        <v>12</v>
      </c>
      <c r="X239" s="311" t="s">
        <v>493</v>
      </c>
      <c r="Y239" s="311"/>
    </row>
    <row r="240" spans="1:25" ht="15" customHeight="1" x14ac:dyDescent="0.2">
      <c r="A240" s="273"/>
      <c r="B240" s="273" t="s">
        <v>188</v>
      </c>
      <c r="C240" s="273" t="s">
        <v>113</v>
      </c>
      <c r="D240" s="273" t="s">
        <v>977</v>
      </c>
      <c r="E240" s="269" t="s">
        <v>1015</v>
      </c>
      <c r="F240" s="311" t="s">
        <v>229</v>
      </c>
      <c r="G240" s="269" t="s">
        <v>705</v>
      </c>
      <c r="H240" s="311" t="s">
        <v>1028</v>
      </c>
      <c r="I240" s="302" t="s">
        <v>456</v>
      </c>
      <c r="J240" s="273" t="s">
        <v>410</v>
      </c>
      <c r="K240" s="302">
        <v>1</v>
      </c>
      <c r="L240" s="273" t="s">
        <v>269</v>
      </c>
      <c r="M240" s="274">
        <v>46000</v>
      </c>
      <c r="N240" s="275">
        <f t="shared" si="15"/>
        <v>46000</v>
      </c>
      <c r="O240" s="311">
        <v>0</v>
      </c>
      <c r="P240" s="273">
        <f t="shared" si="16"/>
        <v>0</v>
      </c>
      <c r="Q240" s="313">
        <v>0.16</v>
      </c>
      <c r="R240" s="275">
        <f t="shared" si="17"/>
        <v>7360</v>
      </c>
      <c r="S240" s="275">
        <f t="shared" si="18"/>
        <v>53360</v>
      </c>
      <c r="T240" s="275">
        <f>INDEX('Glosario Partidas'!$M$8:$M$10,MATCH(L240,'Glosario Partidas'!$L$8:$L$10,0))</f>
        <v>1</v>
      </c>
      <c r="U240" s="275">
        <f t="shared" si="19"/>
        <v>53360</v>
      </c>
      <c r="V240" s="311" t="s">
        <v>965</v>
      </c>
      <c r="W240" s="311" t="s">
        <v>12</v>
      </c>
      <c r="X240" s="311" t="s">
        <v>493</v>
      </c>
      <c r="Y240" s="311"/>
    </row>
    <row r="241" spans="1:25" ht="15" customHeight="1" x14ac:dyDescent="0.2">
      <c r="A241" s="273"/>
      <c r="B241" s="273" t="s">
        <v>188</v>
      </c>
      <c r="C241" s="273" t="s">
        <v>113</v>
      </c>
      <c r="D241" s="273" t="s">
        <v>977</v>
      </c>
      <c r="E241" s="269" t="s">
        <v>1016</v>
      </c>
      <c r="F241" s="311" t="s">
        <v>229</v>
      </c>
      <c r="G241" s="269" t="s">
        <v>705</v>
      </c>
      <c r="H241" s="311" t="s">
        <v>1028</v>
      </c>
      <c r="I241" s="302" t="s">
        <v>456</v>
      </c>
      <c r="J241" s="273" t="s">
        <v>410</v>
      </c>
      <c r="K241" s="302">
        <v>1</v>
      </c>
      <c r="L241" s="273" t="s">
        <v>269</v>
      </c>
      <c r="M241" s="274">
        <v>46000</v>
      </c>
      <c r="N241" s="275">
        <f t="shared" si="15"/>
        <v>46000</v>
      </c>
      <c r="O241" s="311">
        <v>0</v>
      </c>
      <c r="P241" s="273">
        <f t="shared" si="16"/>
        <v>0</v>
      </c>
      <c r="Q241" s="313">
        <v>0.16</v>
      </c>
      <c r="R241" s="275">
        <f t="shared" si="17"/>
        <v>7360</v>
      </c>
      <c r="S241" s="275">
        <f t="shared" si="18"/>
        <v>53360</v>
      </c>
      <c r="T241" s="275">
        <f>INDEX('Glosario Partidas'!$M$8:$M$10,MATCH(L241,'Glosario Partidas'!$L$8:$L$10,0))</f>
        <v>1</v>
      </c>
      <c r="U241" s="275">
        <f t="shared" si="19"/>
        <v>53360</v>
      </c>
      <c r="V241" s="311" t="s">
        <v>965</v>
      </c>
      <c r="W241" s="311" t="s">
        <v>12</v>
      </c>
      <c r="X241" s="311" t="s">
        <v>493</v>
      </c>
      <c r="Y241" s="311"/>
    </row>
    <row r="242" spans="1:25" ht="15" customHeight="1" x14ac:dyDescent="0.2">
      <c r="A242" s="273"/>
      <c r="B242" s="273" t="s">
        <v>188</v>
      </c>
      <c r="C242" s="273" t="s">
        <v>113</v>
      </c>
      <c r="D242" s="273" t="s">
        <v>984</v>
      </c>
      <c r="E242" s="269" t="s">
        <v>1017</v>
      </c>
      <c r="F242" s="311" t="s">
        <v>229</v>
      </c>
      <c r="G242" s="269" t="s">
        <v>705</v>
      </c>
      <c r="H242" s="311" t="s">
        <v>1028</v>
      </c>
      <c r="I242" s="302" t="s">
        <v>456</v>
      </c>
      <c r="J242" s="273" t="s">
        <v>410</v>
      </c>
      <c r="K242" s="302">
        <v>1</v>
      </c>
      <c r="L242" s="273" t="s">
        <v>269</v>
      </c>
      <c r="M242" s="274">
        <v>60000</v>
      </c>
      <c r="N242" s="275">
        <f t="shared" si="15"/>
        <v>60000</v>
      </c>
      <c r="O242" s="311">
        <v>0</v>
      </c>
      <c r="P242" s="273">
        <f t="shared" si="16"/>
        <v>0</v>
      </c>
      <c r="Q242" s="313">
        <v>0.16</v>
      </c>
      <c r="R242" s="275">
        <f t="shared" si="17"/>
        <v>9600</v>
      </c>
      <c r="S242" s="275">
        <f t="shared" si="18"/>
        <v>69600</v>
      </c>
      <c r="T242" s="275">
        <f>INDEX('Glosario Partidas'!$M$8:$M$10,MATCH(L242,'Glosario Partidas'!$L$8:$L$10,0))</f>
        <v>1</v>
      </c>
      <c r="U242" s="275">
        <f t="shared" si="19"/>
        <v>69600</v>
      </c>
      <c r="V242" s="311" t="s">
        <v>965</v>
      </c>
      <c r="W242" s="311" t="s">
        <v>12</v>
      </c>
      <c r="X242" s="311" t="s">
        <v>493</v>
      </c>
      <c r="Y242" s="311"/>
    </row>
    <row r="243" spans="1:25" ht="15" customHeight="1" x14ac:dyDescent="0.2">
      <c r="A243" s="273"/>
      <c r="B243" s="273" t="s">
        <v>188</v>
      </c>
      <c r="C243" s="273" t="s">
        <v>113</v>
      </c>
      <c r="D243" s="273" t="s">
        <v>986</v>
      </c>
      <c r="E243" s="269" t="s">
        <v>1018</v>
      </c>
      <c r="F243" s="311" t="s">
        <v>229</v>
      </c>
      <c r="G243" s="269" t="s">
        <v>705</v>
      </c>
      <c r="H243" s="311" t="s">
        <v>1028</v>
      </c>
      <c r="I243" s="302" t="s">
        <v>456</v>
      </c>
      <c r="J243" s="273" t="s">
        <v>410</v>
      </c>
      <c r="K243" s="302">
        <v>1</v>
      </c>
      <c r="L243" s="273" t="s">
        <v>269</v>
      </c>
      <c r="M243" s="274">
        <v>98000</v>
      </c>
      <c r="N243" s="275">
        <f t="shared" si="15"/>
        <v>98000</v>
      </c>
      <c r="O243" s="311">
        <v>0</v>
      </c>
      <c r="P243" s="273">
        <f t="shared" si="16"/>
        <v>0</v>
      </c>
      <c r="Q243" s="313">
        <v>0.16</v>
      </c>
      <c r="R243" s="275">
        <f t="shared" si="17"/>
        <v>15680</v>
      </c>
      <c r="S243" s="275">
        <f t="shared" si="18"/>
        <v>113680</v>
      </c>
      <c r="T243" s="275">
        <f>INDEX('Glosario Partidas'!$M$8:$M$10,MATCH(L243,'Glosario Partidas'!$L$8:$L$10,0))</f>
        <v>1</v>
      </c>
      <c r="U243" s="275">
        <f t="shared" si="19"/>
        <v>113680</v>
      </c>
      <c r="V243" s="311" t="s">
        <v>965</v>
      </c>
      <c r="W243" s="311" t="s">
        <v>12</v>
      </c>
      <c r="X243" s="311" t="s">
        <v>493</v>
      </c>
      <c r="Y243" s="311"/>
    </row>
    <row r="244" spans="1:25" ht="15" customHeight="1" x14ac:dyDescent="0.2">
      <c r="A244" s="273"/>
      <c r="B244" s="273" t="s">
        <v>188</v>
      </c>
      <c r="C244" s="273" t="s">
        <v>113</v>
      </c>
      <c r="D244" s="273" t="s">
        <v>986</v>
      </c>
      <c r="E244" s="269" t="s">
        <v>1019</v>
      </c>
      <c r="F244" s="311" t="s">
        <v>229</v>
      </c>
      <c r="G244" s="269" t="s">
        <v>705</v>
      </c>
      <c r="H244" s="311" t="s">
        <v>1028</v>
      </c>
      <c r="I244" s="302" t="s">
        <v>456</v>
      </c>
      <c r="J244" s="273" t="s">
        <v>410</v>
      </c>
      <c r="K244" s="302">
        <v>1</v>
      </c>
      <c r="L244" s="273" t="s">
        <v>269</v>
      </c>
      <c r="M244" s="274">
        <v>98000</v>
      </c>
      <c r="N244" s="275">
        <f t="shared" si="15"/>
        <v>98000</v>
      </c>
      <c r="O244" s="311">
        <v>0</v>
      </c>
      <c r="P244" s="273">
        <f t="shared" si="16"/>
        <v>0</v>
      </c>
      <c r="Q244" s="313">
        <v>0.16</v>
      </c>
      <c r="R244" s="275">
        <f t="shared" si="17"/>
        <v>15680</v>
      </c>
      <c r="S244" s="275">
        <f t="shared" si="18"/>
        <v>113680</v>
      </c>
      <c r="T244" s="275">
        <f>INDEX('Glosario Partidas'!$M$8:$M$10,MATCH(L244,'Glosario Partidas'!$L$8:$L$10,0))</f>
        <v>1</v>
      </c>
      <c r="U244" s="275">
        <f t="shared" si="19"/>
        <v>113680</v>
      </c>
      <c r="V244" s="311" t="s">
        <v>965</v>
      </c>
      <c r="W244" s="311" t="s">
        <v>12</v>
      </c>
      <c r="X244" s="311" t="s">
        <v>493</v>
      </c>
      <c r="Y244" s="311"/>
    </row>
    <row r="245" spans="1:25" ht="15" customHeight="1" x14ac:dyDescent="0.2">
      <c r="A245" s="273"/>
      <c r="B245" s="273" t="s">
        <v>188</v>
      </c>
      <c r="C245" s="273" t="s">
        <v>113</v>
      </c>
      <c r="D245" s="273" t="s">
        <v>984</v>
      </c>
      <c r="E245" s="269" t="s">
        <v>1020</v>
      </c>
      <c r="F245" s="311" t="s">
        <v>229</v>
      </c>
      <c r="G245" s="269" t="s">
        <v>705</v>
      </c>
      <c r="H245" s="311" t="s">
        <v>1028</v>
      </c>
      <c r="I245" s="302" t="s">
        <v>456</v>
      </c>
      <c r="J245" s="273" t="s">
        <v>410</v>
      </c>
      <c r="K245" s="302">
        <v>1</v>
      </c>
      <c r="L245" s="273" t="s">
        <v>269</v>
      </c>
      <c r="M245" s="274">
        <v>60000</v>
      </c>
      <c r="N245" s="275">
        <f t="shared" si="15"/>
        <v>60000</v>
      </c>
      <c r="O245" s="311">
        <v>0</v>
      </c>
      <c r="P245" s="273">
        <f t="shared" si="16"/>
        <v>0</v>
      </c>
      <c r="Q245" s="313">
        <v>0.16</v>
      </c>
      <c r="R245" s="275">
        <f t="shared" si="17"/>
        <v>9600</v>
      </c>
      <c r="S245" s="275">
        <f t="shared" si="18"/>
        <v>69600</v>
      </c>
      <c r="T245" s="275">
        <f>INDEX('Glosario Partidas'!$M$8:$M$10,MATCH(L245,'Glosario Partidas'!$L$8:$L$10,0))</f>
        <v>1</v>
      </c>
      <c r="U245" s="275">
        <f t="shared" si="19"/>
        <v>69600</v>
      </c>
      <c r="V245" s="311" t="s">
        <v>965</v>
      </c>
      <c r="W245" s="311" t="s">
        <v>12</v>
      </c>
      <c r="X245" s="311" t="s">
        <v>493</v>
      </c>
      <c r="Y245" s="311"/>
    </row>
    <row r="246" spans="1:25" ht="15" customHeight="1" x14ac:dyDescent="0.2">
      <c r="A246" s="273"/>
      <c r="B246" s="273" t="s">
        <v>188</v>
      </c>
      <c r="C246" s="273" t="s">
        <v>113</v>
      </c>
      <c r="D246" s="273" t="s">
        <v>986</v>
      </c>
      <c r="E246" s="269" t="s">
        <v>1021</v>
      </c>
      <c r="F246" s="311" t="s">
        <v>229</v>
      </c>
      <c r="G246" s="269" t="s">
        <v>705</v>
      </c>
      <c r="H246" s="311" t="s">
        <v>1028</v>
      </c>
      <c r="I246" s="302" t="s">
        <v>456</v>
      </c>
      <c r="J246" s="273" t="s">
        <v>410</v>
      </c>
      <c r="K246" s="302">
        <v>1</v>
      </c>
      <c r="L246" s="273" t="s">
        <v>269</v>
      </c>
      <c r="M246" s="274">
        <v>98000</v>
      </c>
      <c r="N246" s="275">
        <f t="shared" si="15"/>
        <v>98000</v>
      </c>
      <c r="O246" s="311">
        <v>0</v>
      </c>
      <c r="P246" s="273">
        <f t="shared" si="16"/>
        <v>0</v>
      </c>
      <c r="Q246" s="313">
        <v>0.16</v>
      </c>
      <c r="R246" s="275">
        <f t="shared" si="17"/>
        <v>15680</v>
      </c>
      <c r="S246" s="275">
        <f t="shared" si="18"/>
        <v>113680</v>
      </c>
      <c r="T246" s="275">
        <f>INDEX('Glosario Partidas'!$M$8:$M$10,MATCH(L246,'Glosario Partidas'!$L$8:$L$10,0))</f>
        <v>1</v>
      </c>
      <c r="U246" s="275">
        <f t="shared" si="19"/>
        <v>113680</v>
      </c>
      <c r="V246" s="311" t="s">
        <v>965</v>
      </c>
      <c r="W246" s="311" t="s">
        <v>12</v>
      </c>
      <c r="X246" s="311" t="s">
        <v>493</v>
      </c>
      <c r="Y246" s="311"/>
    </row>
    <row r="247" spans="1:25" ht="15" customHeight="1" x14ac:dyDescent="0.2">
      <c r="A247" s="273"/>
      <c r="B247" s="273" t="s">
        <v>188</v>
      </c>
      <c r="C247" s="273" t="s">
        <v>113</v>
      </c>
      <c r="D247" s="273" t="s">
        <v>986</v>
      </c>
      <c r="E247" s="269" t="s">
        <v>1022</v>
      </c>
      <c r="F247" s="311" t="s">
        <v>229</v>
      </c>
      <c r="G247" s="269" t="s">
        <v>705</v>
      </c>
      <c r="H247" s="311" t="s">
        <v>1028</v>
      </c>
      <c r="I247" s="302" t="s">
        <v>456</v>
      </c>
      <c r="J247" s="273" t="s">
        <v>410</v>
      </c>
      <c r="K247" s="302">
        <v>1</v>
      </c>
      <c r="L247" s="273" t="s">
        <v>269</v>
      </c>
      <c r="M247" s="274">
        <v>98000</v>
      </c>
      <c r="N247" s="275">
        <f t="shared" si="15"/>
        <v>98000</v>
      </c>
      <c r="O247" s="311">
        <v>0</v>
      </c>
      <c r="P247" s="273">
        <f t="shared" si="16"/>
        <v>0</v>
      </c>
      <c r="Q247" s="313">
        <v>0.16</v>
      </c>
      <c r="R247" s="275">
        <f t="shared" si="17"/>
        <v>15680</v>
      </c>
      <c r="S247" s="275">
        <f t="shared" si="18"/>
        <v>113680</v>
      </c>
      <c r="T247" s="275">
        <f>INDEX('Glosario Partidas'!$M$8:$M$10,MATCH(L247,'Glosario Partidas'!$L$8:$L$10,0))</f>
        <v>1</v>
      </c>
      <c r="U247" s="275">
        <f t="shared" si="19"/>
        <v>113680</v>
      </c>
      <c r="V247" s="311" t="s">
        <v>965</v>
      </c>
      <c r="W247" s="311" t="s">
        <v>12</v>
      </c>
      <c r="X247" s="311" t="s">
        <v>493</v>
      </c>
      <c r="Y247" s="311"/>
    </row>
    <row r="248" spans="1:25" ht="15" customHeight="1" x14ac:dyDescent="0.2">
      <c r="A248" s="273"/>
      <c r="B248" s="273" t="s">
        <v>188</v>
      </c>
      <c r="C248" s="273" t="s">
        <v>113</v>
      </c>
      <c r="D248" s="273" t="s">
        <v>973</v>
      </c>
      <c r="E248" s="269" t="s">
        <v>1023</v>
      </c>
      <c r="F248" s="311" t="s">
        <v>229</v>
      </c>
      <c r="G248" s="269" t="s">
        <v>705</v>
      </c>
      <c r="H248" s="311" t="s">
        <v>1028</v>
      </c>
      <c r="I248" s="302" t="s">
        <v>456</v>
      </c>
      <c r="J248" s="273" t="s">
        <v>410</v>
      </c>
      <c r="K248" s="302">
        <v>1</v>
      </c>
      <c r="L248" s="273" t="s">
        <v>269</v>
      </c>
      <c r="M248" s="274">
        <v>38000</v>
      </c>
      <c r="N248" s="275">
        <f t="shared" si="15"/>
        <v>38000</v>
      </c>
      <c r="O248" s="311">
        <v>0</v>
      </c>
      <c r="P248" s="273">
        <f t="shared" si="16"/>
        <v>0</v>
      </c>
      <c r="Q248" s="313">
        <v>0.16</v>
      </c>
      <c r="R248" s="275">
        <f t="shared" si="17"/>
        <v>6080</v>
      </c>
      <c r="S248" s="275">
        <f t="shared" si="18"/>
        <v>44080</v>
      </c>
      <c r="T248" s="275">
        <f>INDEX('Glosario Partidas'!$M$8:$M$10,MATCH(L248,'Glosario Partidas'!$L$8:$L$10,0))</f>
        <v>1</v>
      </c>
      <c r="U248" s="275">
        <f t="shared" si="19"/>
        <v>44080</v>
      </c>
      <c r="V248" s="311" t="s">
        <v>965</v>
      </c>
      <c r="W248" s="311" t="s">
        <v>12</v>
      </c>
      <c r="X248" s="311" t="s">
        <v>493</v>
      </c>
      <c r="Y248" s="311"/>
    </row>
    <row r="249" spans="1:25" ht="15" customHeight="1" x14ac:dyDescent="0.2">
      <c r="A249" s="273"/>
      <c r="B249" s="273" t="s">
        <v>188</v>
      </c>
      <c r="C249" s="273" t="s">
        <v>113</v>
      </c>
      <c r="D249" s="273" t="s">
        <v>973</v>
      </c>
      <c r="E249" s="269" t="s">
        <v>1024</v>
      </c>
      <c r="F249" s="311" t="s">
        <v>229</v>
      </c>
      <c r="G249" s="269" t="s">
        <v>705</v>
      </c>
      <c r="H249" s="311" t="s">
        <v>1028</v>
      </c>
      <c r="I249" s="302" t="s">
        <v>456</v>
      </c>
      <c r="J249" s="273" t="s">
        <v>410</v>
      </c>
      <c r="K249" s="302">
        <v>1</v>
      </c>
      <c r="L249" s="273" t="s">
        <v>269</v>
      </c>
      <c r="M249" s="274">
        <v>38000</v>
      </c>
      <c r="N249" s="275">
        <f t="shared" si="15"/>
        <v>38000</v>
      </c>
      <c r="O249" s="311">
        <v>0</v>
      </c>
      <c r="P249" s="273">
        <f t="shared" si="16"/>
        <v>0</v>
      </c>
      <c r="Q249" s="313">
        <v>0.16</v>
      </c>
      <c r="R249" s="275">
        <f t="shared" si="17"/>
        <v>6080</v>
      </c>
      <c r="S249" s="275">
        <f t="shared" si="18"/>
        <v>44080</v>
      </c>
      <c r="T249" s="275">
        <f>INDEX('Glosario Partidas'!$M$8:$M$10,MATCH(L249,'Glosario Partidas'!$L$8:$L$10,0))</f>
        <v>1</v>
      </c>
      <c r="U249" s="275">
        <f t="shared" si="19"/>
        <v>44080</v>
      </c>
      <c r="V249" s="311" t="s">
        <v>965</v>
      </c>
      <c r="W249" s="311" t="s">
        <v>12</v>
      </c>
      <c r="X249" s="311" t="s">
        <v>493</v>
      </c>
      <c r="Y249" s="311"/>
    </row>
    <row r="250" spans="1:25" ht="15" customHeight="1" x14ac:dyDescent="0.2">
      <c r="A250" s="273"/>
      <c r="B250" s="273" t="s">
        <v>188</v>
      </c>
      <c r="C250" s="273" t="s">
        <v>113</v>
      </c>
      <c r="D250" s="273" t="s">
        <v>992</v>
      </c>
      <c r="E250" s="269" t="s">
        <v>993</v>
      </c>
      <c r="F250" s="311" t="s">
        <v>229</v>
      </c>
      <c r="G250" s="269" t="s">
        <v>705</v>
      </c>
      <c r="H250" s="311" t="s">
        <v>1028</v>
      </c>
      <c r="I250" s="302" t="s">
        <v>456</v>
      </c>
      <c r="J250" s="273" t="s">
        <v>410</v>
      </c>
      <c r="K250" s="302">
        <v>17</v>
      </c>
      <c r="L250" s="273" t="s">
        <v>269</v>
      </c>
      <c r="M250" s="274">
        <v>12000</v>
      </c>
      <c r="N250" s="275">
        <f t="shared" si="15"/>
        <v>204000</v>
      </c>
      <c r="O250" s="311">
        <v>0</v>
      </c>
      <c r="P250" s="273">
        <f t="shared" si="16"/>
        <v>0</v>
      </c>
      <c r="Q250" s="313">
        <v>0.16</v>
      </c>
      <c r="R250" s="275">
        <f t="shared" si="17"/>
        <v>32640</v>
      </c>
      <c r="S250" s="275">
        <f t="shared" si="18"/>
        <v>236640</v>
      </c>
      <c r="T250" s="275">
        <f>INDEX('Glosario Partidas'!$M$8:$M$10,MATCH(L250,'Glosario Partidas'!$L$8:$L$10,0))</f>
        <v>1</v>
      </c>
      <c r="U250" s="275">
        <f t="shared" si="19"/>
        <v>236640</v>
      </c>
      <c r="V250" s="311" t="s">
        <v>965</v>
      </c>
      <c r="W250" s="311" t="s">
        <v>12</v>
      </c>
      <c r="X250" s="311" t="s">
        <v>493</v>
      </c>
      <c r="Y250" s="311"/>
    </row>
    <row r="251" spans="1:25" ht="15" customHeight="1" x14ac:dyDescent="0.2">
      <c r="A251" s="273"/>
      <c r="B251" s="273" t="s">
        <v>188</v>
      </c>
      <c r="C251" s="273" t="s">
        <v>114</v>
      </c>
      <c r="D251" s="273" t="s">
        <v>994</v>
      </c>
      <c r="E251" s="269" t="s">
        <v>995</v>
      </c>
      <c r="F251" s="311" t="s">
        <v>229</v>
      </c>
      <c r="G251" s="269" t="s">
        <v>705</v>
      </c>
      <c r="H251" s="311" t="s">
        <v>1028</v>
      </c>
      <c r="I251" s="302" t="s">
        <v>456</v>
      </c>
      <c r="J251" s="273" t="s">
        <v>410</v>
      </c>
      <c r="K251" s="302">
        <v>1</v>
      </c>
      <c r="L251" s="273" t="s">
        <v>269</v>
      </c>
      <c r="M251" s="274">
        <v>240000</v>
      </c>
      <c r="N251" s="275">
        <f t="shared" si="15"/>
        <v>240000</v>
      </c>
      <c r="O251" s="311">
        <v>0</v>
      </c>
      <c r="P251" s="273">
        <f t="shared" si="16"/>
        <v>0</v>
      </c>
      <c r="Q251" s="313">
        <v>0.16</v>
      </c>
      <c r="R251" s="275">
        <f t="shared" si="17"/>
        <v>38400</v>
      </c>
      <c r="S251" s="275">
        <f t="shared" si="18"/>
        <v>278400</v>
      </c>
      <c r="T251" s="275">
        <f>INDEX('Glosario Partidas'!$M$8:$M$10,MATCH(L251,'Glosario Partidas'!$L$8:$L$10,0))</f>
        <v>1</v>
      </c>
      <c r="U251" s="275">
        <f t="shared" si="19"/>
        <v>278400</v>
      </c>
      <c r="V251" s="311" t="s">
        <v>965</v>
      </c>
      <c r="W251" s="311" t="s">
        <v>12</v>
      </c>
      <c r="X251" s="311" t="s">
        <v>493</v>
      </c>
      <c r="Y251" s="311"/>
    </row>
    <row r="252" spans="1:25" ht="15" customHeight="1" x14ac:dyDescent="0.2">
      <c r="A252" s="273"/>
      <c r="B252" s="273" t="s">
        <v>188</v>
      </c>
      <c r="C252" s="273" t="s">
        <v>114</v>
      </c>
      <c r="D252" s="273" t="s">
        <v>994</v>
      </c>
      <c r="E252" s="269" t="s">
        <v>996</v>
      </c>
      <c r="F252" s="311" t="s">
        <v>229</v>
      </c>
      <c r="G252" s="269" t="s">
        <v>705</v>
      </c>
      <c r="H252" s="311" t="s">
        <v>1028</v>
      </c>
      <c r="I252" s="302" t="s">
        <v>456</v>
      </c>
      <c r="J252" s="273" t="s">
        <v>410</v>
      </c>
      <c r="K252" s="302">
        <v>1</v>
      </c>
      <c r="L252" s="273" t="s">
        <v>269</v>
      </c>
      <c r="M252" s="274">
        <v>240000</v>
      </c>
      <c r="N252" s="275">
        <f t="shared" si="15"/>
        <v>240000</v>
      </c>
      <c r="O252" s="311">
        <v>0</v>
      </c>
      <c r="P252" s="273">
        <f t="shared" si="16"/>
        <v>0</v>
      </c>
      <c r="Q252" s="313">
        <v>0.16</v>
      </c>
      <c r="R252" s="275">
        <f t="shared" si="17"/>
        <v>38400</v>
      </c>
      <c r="S252" s="275">
        <f t="shared" si="18"/>
        <v>278400</v>
      </c>
      <c r="T252" s="275">
        <f>INDEX('Glosario Partidas'!$M$8:$M$10,MATCH(L252,'Glosario Partidas'!$L$8:$L$10,0))</f>
        <v>1</v>
      </c>
      <c r="U252" s="275">
        <f t="shared" si="19"/>
        <v>278400</v>
      </c>
      <c r="V252" s="311" t="s">
        <v>965</v>
      </c>
      <c r="W252" s="311" t="s">
        <v>12</v>
      </c>
      <c r="X252" s="311" t="s">
        <v>493</v>
      </c>
      <c r="Y252" s="311"/>
    </row>
    <row r="253" spans="1:25" ht="15" customHeight="1" x14ac:dyDescent="0.2">
      <c r="A253" s="273"/>
      <c r="B253" s="273" t="s">
        <v>188</v>
      </c>
      <c r="C253" s="273" t="s">
        <v>114</v>
      </c>
      <c r="D253" s="273" t="s">
        <v>997</v>
      </c>
      <c r="E253" s="269" t="s">
        <v>998</v>
      </c>
      <c r="F253" s="311" t="s">
        <v>229</v>
      </c>
      <c r="G253" s="269" t="s">
        <v>705</v>
      </c>
      <c r="H253" s="311" t="s">
        <v>1028</v>
      </c>
      <c r="I253" s="302" t="s">
        <v>456</v>
      </c>
      <c r="J253" s="273" t="s">
        <v>410</v>
      </c>
      <c r="K253" s="302">
        <v>1</v>
      </c>
      <c r="L253" s="273" t="s">
        <v>269</v>
      </c>
      <c r="M253" s="274">
        <v>550000</v>
      </c>
      <c r="N253" s="275">
        <f t="shared" si="15"/>
        <v>550000</v>
      </c>
      <c r="O253" s="311">
        <v>0</v>
      </c>
      <c r="P253" s="273">
        <f t="shared" si="16"/>
        <v>0</v>
      </c>
      <c r="Q253" s="313">
        <v>0.16</v>
      </c>
      <c r="R253" s="275">
        <f t="shared" si="17"/>
        <v>88000</v>
      </c>
      <c r="S253" s="275">
        <f t="shared" si="18"/>
        <v>638000</v>
      </c>
      <c r="T253" s="275">
        <f>INDEX('Glosario Partidas'!$M$8:$M$10,MATCH(L253,'Glosario Partidas'!$L$8:$L$10,0))</f>
        <v>1</v>
      </c>
      <c r="U253" s="275">
        <f t="shared" si="19"/>
        <v>638000</v>
      </c>
      <c r="V253" s="311" t="s">
        <v>965</v>
      </c>
      <c r="W253" s="311" t="s">
        <v>12</v>
      </c>
      <c r="X253" s="311" t="s">
        <v>493</v>
      </c>
      <c r="Y253" s="311"/>
    </row>
    <row r="254" spans="1:25" ht="15" customHeight="1" x14ac:dyDescent="0.2">
      <c r="A254" s="273"/>
      <c r="B254" s="273" t="s">
        <v>188</v>
      </c>
      <c r="C254" s="273" t="s">
        <v>114</v>
      </c>
      <c r="D254" s="273" t="s">
        <v>999</v>
      </c>
      <c r="E254" s="269" t="s">
        <v>1000</v>
      </c>
      <c r="F254" s="311" t="s">
        <v>229</v>
      </c>
      <c r="G254" s="269" t="s">
        <v>705</v>
      </c>
      <c r="H254" s="311" t="s">
        <v>1028</v>
      </c>
      <c r="I254" s="302" t="s">
        <v>456</v>
      </c>
      <c r="J254" s="273" t="s">
        <v>410</v>
      </c>
      <c r="K254" s="302">
        <v>1</v>
      </c>
      <c r="L254" s="273" t="s">
        <v>269</v>
      </c>
      <c r="M254" s="274">
        <v>360000</v>
      </c>
      <c r="N254" s="275">
        <f t="shared" si="15"/>
        <v>360000</v>
      </c>
      <c r="O254" s="311">
        <v>0</v>
      </c>
      <c r="P254" s="273">
        <f t="shared" si="16"/>
        <v>0</v>
      </c>
      <c r="Q254" s="313">
        <v>0.16</v>
      </c>
      <c r="R254" s="275">
        <f t="shared" si="17"/>
        <v>57600</v>
      </c>
      <c r="S254" s="275">
        <f t="shared" si="18"/>
        <v>417600</v>
      </c>
      <c r="T254" s="275">
        <f>INDEX('Glosario Partidas'!$M$8:$M$10,MATCH(L254,'Glosario Partidas'!$L$8:$L$10,0))</f>
        <v>1</v>
      </c>
      <c r="U254" s="275">
        <f t="shared" si="19"/>
        <v>417600</v>
      </c>
      <c r="V254" s="311" t="s">
        <v>965</v>
      </c>
      <c r="W254" s="311" t="s">
        <v>12</v>
      </c>
      <c r="X254" s="311" t="s">
        <v>493</v>
      </c>
      <c r="Y254" s="311"/>
    </row>
    <row r="255" spans="1:25" ht="15" customHeight="1" x14ac:dyDescent="0.2">
      <c r="A255" s="273"/>
      <c r="B255" s="273" t="s">
        <v>188</v>
      </c>
      <c r="C255" s="273" t="s">
        <v>114</v>
      </c>
      <c r="D255" s="273" t="s">
        <v>1001</v>
      </c>
      <c r="E255" s="269" t="s">
        <v>1002</v>
      </c>
      <c r="F255" s="311" t="s">
        <v>229</v>
      </c>
      <c r="G255" s="269" t="s">
        <v>705</v>
      </c>
      <c r="H255" s="311" t="s">
        <v>1028</v>
      </c>
      <c r="I255" s="302" t="s">
        <v>456</v>
      </c>
      <c r="J255" s="273" t="s">
        <v>410</v>
      </c>
      <c r="K255" s="302">
        <v>1</v>
      </c>
      <c r="L255" s="273" t="s">
        <v>269</v>
      </c>
      <c r="M255" s="274">
        <v>225000</v>
      </c>
      <c r="N255" s="275">
        <f t="shared" si="15"/>
        <v>225000</v>
      </c>
      <c r="O255" s="311">
        <v>0</v>
      </c>
      <c r="P255" s="273">
        <f t="shared" si="16"/>
        <v>0</v>
      </c>
      <c r="Q255" s="313">
        <v>0.16</v>
      </c>
      <c r="R255" s="275">
        <f t="shared" si="17"/>
        <v>36000</v>
      </c>
      <c r="S255" s="275">
        <f t="shared" si="18"/>
        <v>261000</v>
      </c>
      <c r="T255" s="275">
        <f>INDEX('Glosario Partidas'!$M$8:$M$10,MATCH(L255,'Glosario Partidas'!$L$8:$L$10,0))</f>
        <v>1</v>
      </c>
      <c r="U255" s="275">
        <f t="shared" si="19"/>
        <v>261000</v>
      </c>
      <c r="V255" s="311" t="s">
        <v>965</v>
      </c>
      <c r="W255" s="311" t="s">
        <v>12</v>
      </c>
      <c r="X255" s="311" t="s">
        <v>493</v>
      </c>
      <c r="Y255" s="311"/>
    </row>
    <row r="256" spans="1:25" ht="15" customHeight="1" x14ac:dyDescent="0.2">
      <c r="A256" s="273"/>
      <c r="B256" s="273" t="s">
        <v>188</v>
      </c>
      <c r="C256" s="273" t="s">
        <v>115</v>
      </c>
      <c r="D256" s="273" t="s">
        <v>1003</v>
      </c>
      <c r="E256" s="269" t="s">
        <v>1004</v>
      </c>
      <c r="F256" s="311" t="s">
        <v>229</v>
      </c>
      <c r="G256" s="269" t="s">
        <v>705</v>
      </c>
      <c r="H256" s="311" t="s">
        <v>1028</v>
      </c>
      <c r="I256" s="302" t="s">
        <v>456</v>
      </c>
      <c r="J256" s="273" t="s">
        <v>410</v>
      </c>
      <c r="K256" s="302">
        <v>1</v>
      </c>
      <c r="L256" s="273" t="s">
        <v>269</v>
      </c>
      <c r="M256" s="274">
        <v>50000</v>
      </c>
      <c r="N256" s="275">
        <f t="shared" si="15"/>
        <v>50000</v>
      </c>
      <c r="O256" s="311">
        <v>0</v>
      </c>
      <c r="P256" s="273">
        <f t="shared" si="16"/>
        <v>0</v>
      </c>
      <c r="Q256" s="313">
        <v>0.16</v>
      </c>
      <c r="R256" s="275">
        <f t="shared" si="17"/>
        <v>8000</v>
      </c>
      <c r="S256" s="275">
        <f t="shared" si="18"/>
        <v>58000</v>
      </c>
      <c r="T256" s="275">
        <f>INDEX('Glosario Partidas'!$M$8:$M$10,MATCH(L256,'Glosario Partidas'!$L$8:$L$10,0))</f>
        <v>1</v>
      </c>
      <c r="U256" s="275">
        <f t="shared" si="19"/>
        <v>58000</v>
      </c>
      <c r="V256" s="311" t="s">
        <v>1005</v>
      </c>
      <c r="W256" s="311" t="s">
        <v>12</v>
      </c>
      <c r="X256" s="311" t="s">
        <v>493</v>
      </c>
      <c r="Y256" s="311"/>
    </row>
    <row r="257" spans="1:25" ht="15" customHeight="1" x14ac:dyDescent="0.2">
      <c r="A257" s="273"/>
      <c r="B257" s="273" t="s">
        <v>188</v>
      </c>
      <c r="C257" s="273" t="s">
        <v>116</v>
      </c>
      <c r="D257" s="273" t="s">
        <v>116</v>
      </c>
      <c r="E257" s="269" t="s">
        <v>1006</v>
      </c>
      <c r="F257" s="311" t="s">
        <v>229</v>
      </c>
      <c r="G257" s="269" t="s">
        <v>705</v>
      </c>
      <c r="H257" s="311" t="s">
        <v>1028</v>
      </c>
      <c r="I257" s="302" t="s">
        <v>604</v>
      </c>
      <c r="J257" s="273" t="s">
        <v>207</v>
      </c>
      <c r="K257" s="302">
        <v>1</v>
      </c>
      <c r="L257" s="273" t="s">
        <v>269</v>
      </c>
      <c r="M257" s="274">
        <f>4120597/8</f>
        <v>515074.625</v>
      </c>
      <c r="N257" s="275">
        <f t="shared" si="15"/>
        <v>515074.625</v>
      </c>
      <c r="O257" s="311">
        <v>0</v>
      </c>
      <c r="P257" s="273">
        <f t="shared" si="16"/>
        <v>0</v>
      </c>
      <c r="Q257" s="313">
        <v>0.16</v>
      </c>
      <c r="R257" s="275">
        <f t="shared" si="17"/>
        <v>82411.94</v>
      </c>
      <c r="S257" s="275">
        <f t="shared" si="18"/>
        <v>597486.56499999994</v>
      </c>
      <c r="T257" s="275">
        <f>INDEX('Glosario Partidas'!$M$8:$M$10,MATCH(L257,'Glosario Partidas'!$L$8:$L$10,0))</f>
        <v>1</v>
      </c>
      <c r="U257" s="275">
        <f t="shared" si="19"/>
        <v>597486.56499999994</v>
      </c>
      <c r="V257" s="311" t="s">
        <v>1007</v>
      </c>
      <c r="W257" s="311" t="s">
        <v>12</v>
      </c>
      <c r="X257" s="311" t="s">
        <v>491</v>
      </c>
      <c r="Y257" s="311"/>
    </row>
    <row r="258" spans="1:25" ht="15" customHeight="1" x14ac:dyDescent="0.2">
      <c r="A258" s="273"/>
      <c r="B258" s="273" t="s">
        <v>188</v>
      </c>
      <c r="C258" s="273" t="s">
        <v>112</v>
      </c>
      <c r="D258" s="273" t="s">
        <v>112</v>
      </c>
      <c r="E258" s="269" t="s">
        <v>964</v>
      </c>
      <c r="F258" s="311" t="s">
        <v>229</v>
      </c>
      <c r="G258" s="269" t="s">
        <v>705</v>
      </c>
      <c r="H258" s="311" t="s">
        <v>1029</v>
      </c>
      <c r="I258" s="302" t="s">
        <v>456</v>
      </c>
      <c r="J258" s="273" t="s">
        <v>410</v>
      </c>
      <c r="K258" s="302">
        <v>1</v>
      </c>
      <c r="L258" s="273" t="s">
        <v>269</v>
      </c>
      <c r="M258" s="274">
        <v>150000</v>
      </c>
      <c r="N258" s="275">
        <f t="shared" ref="N258:N299" si="20">K258*M258</f>
        <v>150000</v>
      </c>
      <c r="O258" s="311">
        <v>0</v>
      </c>
      <c r="P258" s="273">
        <f t="shared" ref="P258:P299" si="21">N258*O258</f>
        <v>0</v>
      </c>
      <c r="Q258" s="313">
        <v>0.16</v>
      </c>
      <c r="R258" s="275">
        <f t="shared" ref="R258:R299" si="22">(N258+P258)*Q258</f>
        <v>24000</v>
      </c>
      <c r="S258" s="275">
        <f t="shared" ref="S258:S299" si="23">N258+P258+R258</f>
        <v>174000</v>
      </c>
      <c r="T258" s="275">
        <f>INDEX('Glosario Partidas'!$M$8:$M$10,MATCH(L258,'Glosario Partidas'!$L$8:$L$10,0))</f>
        <v>1</v>
      </c>
      <c r="U258" s="275">
        <f t="shared" ref="U258:U299" si="24">S258*T258</f>
        <v>174000</v>
      </c>
      <c r="V258" s="311" t="s">
        <v>965</v>
      </c>
      <c r="W258" s="311" t="s">
        <v>12</v>
      </c>
      <c r="X258" s="311" t="s">
        <v>493</v>
      </c>
      <c r="Y258" s="311"/>
    </row>
    <row r="259" spans="1:25" ht="15" customHeight="1" x14ac:dyDescent="0.2">
      <c r="A259" s="273"/>
      <c r="B259" s="273" t="s">
        <v>188</v>
      </c>
      <c r="C259" s="273" t="s">
        <v>112</v>
      </c>
      <c r="D259" s="273" t="s">
        <v>112</v>
      </c>
      <c r="E259" s="269" t="s">
        <v>966</v>
      </c>
      <c r="F259" s="311" t="s">
        <v>229</v>
      </c>
      <c r="G259" s="269" t="s">
        <v>705</v>
      </c>
      <c r="H259" s="311" t="s">
        <v>1029</v>
      </c>
      <c r="I259" s="302" t="s">
        <v>456</v>
      </c>
      <c r="J259" s="273" t="s">
        <v>410</v>
      </c>
      <c r="K259" s="302">
        <v>1</v>
      </c>
      <c r="L259" s="273" t="s">
        <v>269</v>
      </c>
      <c r="M259" s="274">
        <v>150000</v>
      </c>
      <c r="N259" s="275">
        <f t="shared" si="20"/>
        <v>150000</v>
      </c>
      <c r="O259" s="311">
        <v>0</v>
      </c>
      <c r="P259" s="273">
        <f t="shared" si="21"/>
        <v>0</v>
      </c>
      <c r="Q259" s="313">
        <v>0.16</v>
      </c>
      <c r="R259" s="275">
        <f t="shared" si="22"/>
        <v>24000</v>
      </c>
      <c r="S259" s="275">
        <f t="shared" si="23"/>
        <v>174000</v>
      </c>
      <c r="T259" s="275">
        <f>INDEX('Glosario Partidas'!$M$8:$M$10,MATCH(L259,'Glosario Partidas'!$L$8:$L$10,0))</f>
        <v>1</v>
      </c>
      <c r="U259" s="275">
        <f t="shared" si="24"/>
        <v>174000</v>
      </c>
      <c r="V259" s="311" t="s">
        <v>965</v>
      </c>
      <c r="W259" s="311" t="s">
        <v>12</v>
      </c>
      <c r="X259" s="311" t="s">
        <v>493</v>
      </c>
      <c r="Y259" s="311"/>
    </row>
    <row r="260" spans="1:25" ht="15" customHeight="1" x14ac:dyDescent="0.2">
      <c r="A260" s="273"/>
      <c r="B260" s="273" t="s">
        <v>188</v>
      </c>
      <c r="C260" s="273" t="s">
        <v>112</v>
      </c>
      <c r="D260" s="273" t="s">
        <v>112</v>
      </c>
      <c r="E260" s="269" t="s">
        <v>967</v>
      </c>
      <c r="F260" s="311" t="s">
        <v>229</v>
      </c>
      <c r="G260" s="269" t="s">
        <v>705</v>
      </c>
      <c r="H260" s="311" t="s">
        <v>1029</v>
      </c>
      <c r="I260" s="302" t="s">
        <v>456</v>
      </c>
      <c r="J260" s="273" t="s">
        <v>410</v>
      </c>
      <c r="K260" s="302">
        <v>1</v>
      </c>
      <c r="L260" s="273" t="s">
        <v>269</v>
      </c>
      <c r="M260" s="274">
        <v>150000</v>
      </c>
      <c r="N260" s="275">
        <f t="shared" si="20"/>
        <v>150000</v>
      </c>
      <c r="O260" s="311">
        <v>0</v>
      </c>
      <c r="P260" s="273">
        <f t="shared" si="21"/>
        <v>0</v>
      </c>
      <c r="Q260" s="313">
        <v>0.16</v>
      </c>
      <c r="R260" s="275">
        <f t="shared" si="22"/>
        <v>24000</v>
      </c>
      <c r="S260" s="275">
        <f t="shared" si="23"/>
        <v>174000</v>
      </c>
      <c r="T260" s="275">
        <f>INDEX('Glosario Partidas'!$M$8:$M$10,MATCH(L260,'Glosario Partidas'!$L$8:$L$10,0))</f>
        <v>1</v>
      </c>
      <c r="U260" s="275">
        <f t="shared" si="24"/>
        <v>174000</v>
      </c>
      <c r="V260" s="311" t="s">
        <v>965</v>
      </c>
      <c r="W260" s="311" t="s">
        <v>12</v>
      </c>
      <c r="X260" s="311" t="s">
        <v>493</v>
      </c>
      <c r="Y260" s="311"/>
    </row>
    <row r="261" spans="1:25" ht="15" customHeight="1" x14ac:dyDescent="0.2">
      <c r="A261" s="273"/>
      <c r="B261" s="273" t="s">
        <v>188</v>
      </c>
      <c r="C261" s="273" t="s">
        <v>112</v>
      </c>
      <c r="D261" s="273" t="s">
        <v>112</v>
      </c>
      <c r="E261" s="269" t="s">
        <v>968</v>
      </c>
      <c r="F261" s="311" t="s">
        <v>229</v>
      </c>
      <c r="G261" s="269" t="s">
        <v>705</v>
      </c>
      <c r="H261" s="311" t="s">
        <v>1029</v>
      </c>
      <c r="I261" s="302" t="s">
        <v>456</v>
      </c>
      <c r="J261" s="273" t="s">
        <v>410</v>
      </c>
      <c r="K261" s="302">
        <v>1</v>
      </c>
      <c r="L261" s="273" t="s">
        <v>269</v>
      </c>
      <c r="M261" s="274">
        <v>200000</v>
      </c>
      <c r="N261" s="275">
        <f t="shared" si="20"/>
        <v>200000</v>
      </c>
      <c r="O261" s="311">
        <v>0</v>
      </c>
      <c r="P261" s="273">
        <f t="shared" si="21"/>
        <v>0</v>
      </c>
      <c r="Q261" s="313">
        <v>0.16</v>
      </c>
      <c r="R261" s="275">
        <f t="shared" si="22"/>
        <v>32000</v>
      </c>
      <c r="S261" s="275">
        <f t="shared" si="23"/>
        <v>232000</v>
      </c>
      <c r="T261" s="275">
        <f>INDEX('Glosario Partidas'!$M$8:$M$10,MATCH(L261,'Glosario Partidas'!$L$8:$L$10,0))</f>
        <v>1</v>
      </c>
      <c r="U261" s="275">
        <f t="shared" si="24"/>
        <v>232000</v>
      </c>
      <c r="V261" s="311" t="s">
        <v>965</v>
      </c>
      <c r="W261" s="311" t="s">
        <v>12</v>
      </c>
      <c r="X261" s="311" t="s">
        <v>493</v>
      </c>
      <c r="Y261" s="311"/>
    </row>
    <row r="262" spans="1:25" ht="15" customHeight="1" x14ac:dyDescent="0.2">
      <c r="A262" s="273"/>
      <c r="B262" s="273" t="s">
        <v>188</v>
      </c>
      <c r="C262" s="273" t="s">
        <v>112</v>
      </c>
      <c r="D262" s="273" t="s">
        <v>112</v>
      </c>
      <c r="E262" s="269" t="s">
        <v>969</v>
      </c>
      <c r="F262" s="311" t="s">
        <v>229</v>
      </c>
      <c r="G262" s="269" t="s">
        <v>705</v>
      </c>
      <c r="H262" s="311" t="s">
        <v>1029</v>
      </c>
      <c r="I262" s="302" t="s">
        <v>456</v>
      </c>
      <c r="J262" s="273" t="s">
        <v>410</v>
      </c>
      <c r="K262" s="302">
        <v>1</v>
      </c>
      <c r="L262" s="273" t="s">
        <v>269</v>
      </c>
      <c r="M262" s="274">
        <v>200000</v>
      </c>
      <c r="N262" s="275">
        <f t="shared" si="20"/>
        <v>200000</v>
      </c>
      <c r="O262" s="311">
        <v>0</v>
      </c>
      <c r="P262" s="273">
        <f t="shared" si="21"/>
        <v>0</v>
      </c>
      <c r="Q262" s="313">
        <v>0.16</v>
      </c>
      <c r="R262" s="275">
        <f t="shared" si="22"/>
        <v>32000</v>
      </c>
      <c r="S262" s="275">
        <f t="shared" si="23"/>
        <v>232000</v>
      </c>
      <c r="T262" s="275">
        <f>INDEX('Glosario Partidas'!$M$8:$M$10,MATCH(L262,'Glosario Partidas'!$L$8:$L$10,0))</f>
        <v>1</v>
      </c>
      <c r="U262" s="275">
        <f t="shared" si="24"/>
        <v>232000</v>
      </c>
      <c r="V262" s="311" t="s">
        <v>965</v>
      </c>
      <c r="W262" s="311" t="s">
        <v>12</v>
      </c>
      <c r="X262" s="311" t="s">
        <v>493</v>
      </c>
      <c r="Y262" s="311"/>
    </row>
    <row r="263" spans="1:25" ht="15" customHeight="1" x14ac:dyDescent="0.2">
      <c r="A263" s="273"/>
      <c r="B263" s="273" t="s">
        <v>188</v>
      </c>
      <c r="C263" s="273" t="s">
        <v>112</v>
      </c>
      <c r="D263" s="273" t="s">
        <v>112</v>
      </c>
      <c r="E263" s="269" t="s">
        <v>1009</v>
      </c>
      <c r="F263" s="311" t="s">
        <v>229</v>
      </c>
      <c r="G263" s="269" t="s">
        <v>705</v>
      </c>
      <c r="H263" s="311" t="s">
        <v>1029</v>
      </c>
      <c r="I263" s="302" t="s">
        <v>456</v>
      </c>
      <c r="J263" s="273" t="s">
        <v>410</v>
      </c>
      <c r="K263" s="302">
        <v>1</v>
      </c>
      <c r="L263" s="273" t="s">
        <v>269</v>
      </c>
      <c r="M263" s="274">
        <v>75000</v>
      </c>
      <c r="N263" s="275">
        <f t="shared" si="20"/>
        <v>75000</v>
      </c>
      <c r="O263" s="311">
        <v>0</v>
      </c>
      <c r="P263" s="273">
        <f t="shared" si="21"/>
        <v>0</v>
      </c>
      <c r="Q263" s="313">
        <v>0.16</v>
      </c>
      <c r="R263" s="275">
        <f t="shared" si="22"/>
        <v>12000</v>
      </c>
      <c r="S263" s="275">
        <f t="shared" si="23"/>
        <v>87000</v>
      </c>
      <c r="T263" s="275">
        <f>INDEX('Glosario Partidas'!$M$8:$M$10,MATCH(L263,'Glosario Partidas'!$L$8:$L$10,0))</f>
        <v>1</v>
      </c>
      <c r="U263" s="275">
        <f t="shared" si="24"/>
        <v>87000</v>
      </c>
      <c r="V263" s="311" t="s">
        <v>965</v>
      </c>
      <c r="W263" s="311" t="s">
        <v>12</v>
      </c>
      <c r="X263" s="311" t="s">
        <v>493</v>
      </c>
      <c r="Y263" s="311"/>
    </row>
    <row r="264" spans="1:25" ht="15" customHeight="1" x14ac:dyDescent="0.2">
      <c r="A264" s="273"/>
      <c r="B264" s="273" t="s">
        <v>188</v>
      </c>
      <c r="C264" s="273" t="s">
        <v>112</v>
      </c>
      <c r="D264" s="273" t="s">
        <v>970</v>
      </c>
      <c r="E264" s="269" t="s">
        <v>964</v>
      </c>
      <c r="F264" s="311" t="s">
        <v>229</v>
      </c>
      <c r="G264" s="269" t="s">
        <v>705</v>
      </c>
      <c r="H264" s="311" t="s">
        <v>1029</v>
      </c>
      <c r="I264" s="302" t="s">
        <v>456</v>
      </c>
      <c r="J264" s="273" t="s">
        <v>410</v>
      </c>
      <c r="K264" s="302">
        <v>1</v>
      </c>
      <c r="L264" s="273" t="s">
        <v>269</v>
      </c>
      <c r="M264" s="274">
        <v>40000</v>
      </c>
      <c r="N264" s="275">
        <f t="shared" si="20"/>
        <v>40000</v>
      </c>
      <c r="O264" s="311">
        <v>0</v>
      </c>
      <c r="P264" s="273">
        <f t="shared" si="21"/>
        <v>0</v>
      </c>
      <c r="Q264" s="313">
        <v>0.16</v>
      </c>
      <c r="R264" s="275">
        <f t="shared" si="22"/>
        <v>6400</v>
      </c>
      <c r="S264" s="275">
        <f t="shared" si="23"/>
        <v>46400</v>
      </c>
      <c r="T264" s="275">
        <f>INDEX('Glosario Partidas'!$M$8:$M$10,MATCH(L264,'Glosario Partidas'!$L$8:$L$10,0))</f>
        <v>1</v>
      </c>
      <c r="U264" s="275">
        <f t="shared" si="24"/>
        <v>46400</v>
      </c>
      <c r="V264" s="311" t="s">
        <v>965</v>
      </c>
      <c r="W264" s="311" t="s">
        <v>12</v>
      </c>
      <c r="X264" s="311" t="s">
        <v>493</v>
      </c>
      <c r="Y264" s="311"/>
    </row>
    <row r="265" spans="1:25" ht="15" customHeight="1" x14ac:dyDescent="0.2">
      <c r="A265" s="273"/>
      <c r="B265" s="273" t="s">
        <v>188</v>
      </c>
      <c r="C265" s="273" t="s">
        <v>112</v>
      </c>
      <c r="D265" s="273" t="s">
        <v>970</v>
      </c>
      <c r="E265" s="269" t="s">
        <v>966</v>
      </c>
      <c r="F265" s="311" t="s">
        <v>229</v>
      </c>
      <c r="G265" s="269" t="s">
        <v>705</v>
      </c>
      <c r="H265" s="311" t="s">
        <v>1029</v>
      </c>
      <c r="I265" s="302" t="s">
        <v>456</v>
      </c>
      <c r="J265" s="273" t="s">
        <v>410</v>
      </c>
      <c r="K265" s="302">
        <v>1</v>
      </c>
      <c r="L265" s="273" t="s">
        <v>269</v>
      </c>
      <c r="M265" s="274">
        <v>40000</v>
      </c>
      <c r="N265" s="275">
        <f t="shared" si="20"/>
        <v>40000</v>
      </c>
      <c r="O265" s="311">
        <v>0</v>
      </c>
      <c r="P265" s="273">
        <f t="shared" si="21"/>
        <v>0</v>
      </c>
      <c r="Q265" s="313">
        <v>0.16</v>
      </c>
      <c r="R265" s="275">
        <f t="shared" si="22"/>
        <v>6400</v>
      </c>
      <c r="S265" s="275">
        <f t="shared" si="23"/>
        <v>46400</v>
      </c>
      <c r="T265" s="275">
        <f>INDEX('Glosario Partidas'!$M$8:$M$10,MATCH(L265,'Glosario Partidas'!$L$8:$L$10,0))</f>
        <v>1</v>
      </c>
      <c r="U265" s="275">
        <f t="shared" si="24"/>
        <v>46400</v>
      </c>
      <c r="V265" s="311" t="s">
        <v>965</v>
      </c>
      <c r="W265" s="311" t="s">
        <v>12</v>
      </c>
      <c r="X265" s="311" t="s">
        <v>493</v>
      </c>
      <c r="Y265" s="311"/>
    </row>
    <row r="266" spans="1:25" ht="15" customHeight="1" x14ac:dyDescent="0.2">
      <c r="A266" s="273"/>
      <c r="B266" s="273" t="s">
        <v>188</v>
      </c>
      <c r="C266" s="273" t="s">
        <v>112</v>
      </c>
      <c r="D266" s="273" t="s">
        <v>970</v>
      </c>
      <c r="E266" s="269" t="s">
        <v>967</v>
      </c>
      <c r="F266" s="311" t="s">
        <v>229</v>
      </c>
      <c r="G266" s="269" t="s">
        <v>705</v>
      </c>
      <c r="H266" s="311" t="s">
        <v>1029</v>
      </c>
      <c r="I266" s="302" t="s">
        <v>456</v>
      </c>
      <c r="J266" s="273" t="s">
        <v>410</v>
      </c>
      <c r="K266" s="302">
        <v>1</v>
      </c>
      <c r="L266" s="273" t="s">
        <v>269</v>
      </c>
      <c r="M266" s="274">
        <v>40000</v>
      </c>
      <c r="N266" s="275">
        <f t="shared" si="20"/>
        <v>40000</v>
      </c>
      <c r="O266" s="311">
        <v>0</v>
      </c>
      <c r="P266" s="273">
        <f t="shared" si="21"/>
        <v>0</v>
      </c>
      <c r="Q266" s="313">
        <v>0.16</v>
      </c>
      <c r="R266" s="275">
        <f t="shared" si="22"/>
        <v>6400</v>
      </c>
      <c r="S266" s="275">
        <f t="shared" si="23"/>
        <v>46400</v>
      </c>
      <c r="T266" s="275">
        <f>INDEX('Glosario Partidas'!$M$8:$M$10,MATCH(L266,'Glosario Partidas'!$L$8:$L$10,0))</f>
        <v>1</v>
      </c>
      <c r="U266" s="275">
        <f t="shared" si="24"/>
        <v>46400</v>
      </c>
      <c r="V266" s="311" t="s">
        <v>965</v>
      </c>
      <c r="W266" s="311" t="s">
        <v>12</v>
      </c>
      <c r="X266" s="311" t="s">
        <v>493</v>
      </c>
      <c r="Y266" s="311"/>
    </row>
    <row r="267" spans="1:25" ht="15" customHeight="1" x14ac:dyDescent="0.2">
      <c r="A267" s="273"/>
      <c r="B267" s="273" t="s">
        <v>188</v>
      </c>
      <c r="C267" s="273" t="s">
        <v>112</v>
      </c>
      <c r="D267" s="273" t="s">
        <v>970</v>
      </c>
      <c r="E267" s="269" t="s">
        <v>968</v>
      </c>
      <c r="F267" s="311" t="s">
        <v>229</v>
      </c>
      <c r="G267" s="269" t="s">
        <v>705</v>
      </c>
      <c r="H267" s="311" t="s">
        <v>1029</v>
      </c>
      <c r="I267" s="302" t="s">
        <v>456</v>
      </c>
      <c r="J267" s="273" t="s">
        <v>410</v>
      </c>
      <c r="K267" s="302">
        <v>1</v>
      </c>
      <c r="L267" s="273" t="s">
        <v>269</v>
      </c>
      <c r="M267" s="274">
        <v>60000</v>
      </c>
      <c r="N267" s="275">
        <f t="shared" si="20"/>
        <v>60000</v>
      </c>
      <c r="O267" s="311">
        <v>0</v>
      </c>
      <c r="P267" s="273">
        <f t="shared" si="21"/>
        <v>0</v>
      </c>
      <c r="Q267" s="313">
        <v>0.16</v>
      </c>
      <c r="R267" s="275">
        <f t="shared" si="22"/>
        <v>9600</v>
      </c>
      <c r="S267" s="275">
        <f t="shared" si="23"/>
        <v>69600</v>
      </c>
      <c r="T267" s="275">
        <f>INDEX('Glosario Partidas'!$M$8:$M$10,MATCH(L267,'Glosario Partidas'!$L$8:$L$10,0))</f>
        <v>1</v>
      </c>
      <c r="U267" s="275">
        <f t="shared" si="24"/>
        <v>69600</v>
      </c>
      <c r="V267" s="311" t="s">
        <v>965</v>
      </c>
      <c r="W267" s="311" t="s">
        <v>12</v>
      </c>
      <c r="X267" s="311" t="s">
        <v>493</v>
      </c>
      <c r="Y267" s="311"/>
    </row>
    <row r="268" spans="1:25" ht="15" customHeight="1" x14ac:dyDescent="0.2">
      <c r="A268" s="273"/>
      <c r="B268" s="273" t="s">
        <v>188</v>
      </c>
      <c r="C268" s="273" t="s">
        <v>112</v>
      </c>
      <c r="D268" s="273" t="s">
        <v>970</v>
      </c>
      <c r="E268" s="269" t="s">
        <v>969</v>
      </c>
      <c r="F268" s="311" t="s">
        <v>229</v>
      </c>
      <c r="G268" s="269" t="s">
        <v>705</v>
      </c>
      <c r="H268" s="311" t="s">
        <v>1029</v>
      </c>
      <c r="I268" s="302" t="s">
        <v>456</v>
      </c>
      <c r="J268" s="273" t="s">
        <v>410</v>
      </c>
      <c r="K268" s="302">
        <v>1</v>
      </c>
      <c r="L268" s="273" t="s">
        <v>269</v>
      </c>
      <c r="M268" s="274">
        <v>60000</v>
      </c>
      <c r="N268" s="275">
        <f t="shared" si="20"/>
        <v>60000</v>
      </c>
      <c r="O268" s="311">
        <v>0</v>
      </c>
      <c r="P268" s="273">
        <f t="shared" si="21"/>
        <v>0</v>
      </c>
      <c r="Q268" s="313">
        <v>0.16</v>
      </c>
      <c r="R268" s="275">
        <f t="shared" si="22"/>
        <v>9600</v>
      </c>
      <c r="S268" s="275">
        <f t="shared" si="23"/>
        <v>69600</v>
      </c>
      <c r="T268" s="275">
        <f>INDEX('Glosario Partidas'!$M$8:$M$10,MATCH(L268,'Glosario Partidas'!$L$8:$L$10,0))</f>
        <v>1</v>
      </c>
      <c r="U268" s="275">
        <f t="shared" si="24"/>
        <v>69600</v>
      </c>
      <c r="V268" s="311" t="s">
        <v>965</v>
      </c>
      <c r="W268" s="311" t="s">
        <v>12</v>
      </c>
      <c r="X268" s="311" t="s">
        <v>493</v>
      </c>
      <c r="Y268" s="311"/>
    </row>
    <row r="269" spans="1:25" ht="15" customHeight="1" x14ac:dyDescent="0.2">
      <c r="A269" s="273"/>
      <c r="B269" s="273" t="s">
        <v>188</v>
      </c>
      <c r="C269" s="273" t="s">
        <v>112</v>
      </c>
      <c r="D269" s="273" t="s">
        <v>970</v>
      </c>
      <c r="E269" s="269" t="s">
        <v>1009</v>
      </c>
      <c r="F269" s="311" t="s">
        <v>229</v>
      </c>
      <c r="G269" s="269" t="s">
        <v>705</v>
      </c>
      <c r="H269" s="311" t="s">
        <v>1029</v>
      </c>
      <c r="I269" s="302" t="s">
        <v>456</v>
      </c>
      <c r="J269" s="273" t="s">
        <v>410</v>
      </c>
      <c r="K269" s="302">
        <v>1</v>
      </c>
      <c r="L269" s="273" t="s">
        <v>269</v>
      </c>
      <c r="M269" s="274">
        <v>25000</v>
      </c>
      <c r="N269" s="275">
        <f t="shared" si="20"/>
        <v>25000</v>
      </c>
      <c r="O269" s="311">
        <v>0</v>
      </c>
      <c r="P269" s="273">
        <f t="shared" si="21"/>
        <v>0</v>
      </c>
      <c r="Q269" s="313">
        <v>0.16</v>
      </c>
      <c r="R269" s="275">
        <f t="shared" si="22"/>
        <v>4000</v>
      </c>
      <c r="S269" s="275">
        <f t="shared" si="23"/>
        <v>29000</v>
      </c>
      <c r="T269" s="275">
        <f>INDEX('Glosario Partidas'!$M$8:$M$10,MATCH(L269,'Glosario Partidas'!$L$8:$L$10,0))</f>
        <v>1</v>
      </c>
      <c r="U269" s="275">
        <f t="shared" si="24"/>
        <v>29000</v>
      </c>
      <c r="V269" s="311" t="s">
        <v>965</v>
      </c>
      <c r="W269" s="311" t="s">
        <v>12</v>
      </c>
      <c r="X269" s="311" t="s">
        <v>493</v>
      </c>
      <c r="Y269" s="311"/>
    </row>
    <row r="270" spans="1:25" ht="15" customHeight="1" x14ac:dyDescent="0.2">
      <c r="A270" s="273"/>
      <c r="B270" s="273" t="s">
        <v>188</v>
      </c>
      <c r="C270" s="273" t="s">
        <v>113</v>
      </c>
      <c r="D270" s="273" t="s">
        <v>971</v>
      </c>
      <c r="E270" s="269" t="s">
        <v>1010</v>
      </c>
      <c r="F270" s="311" t="s">
        <v>229</v>
      </c>
      <c r="G270" s="269" t="s">
        <v>705</v>
      </c>
      <c r="H270" s="311" t="s">
        <v>1029</v>
      </c>
      <c r="I270" s="302" t="s">
        <v>456</v>
      </c>
      <c r="J270" s="273" t="s">
        <v>410</v>
      </c>
      <c r="K270" s="302">
        <v>3</v>
      </c>
      <c r="L270" s="273" t="s">
        <v>269</v>
      </c>
      <c r="M270" s="274">
        <v>195000</v>
      </c>
      <c r="N270" s="275">
        <f t="shared" si="20"/>
        <v>585000</v>
      </c>
      <c r="O270" s="311">
        <v>0</v>
      </c>
      <c r="P270" s="273">
        <f t="shared" si="21"/>
        <v>0</v>
      </c>
      <c r="Q270" s="313">
        <v>0.16</v>
      </c>
      <c r="R270" s="275">
        <f t="shared" si="22"/>
        <v>93600</v>
      </c>
      <c r="S270" s="275">
        <f t="shared" si="23"/>
        <v>678600</v>
      </c>
      <c r="T270" s="275">
        <f>INDEX('Glosario Partidas'!$M$8:$M$10,MATCH(L270,'Glosario Partidas'!$L$8:$L$10,0))</f>
        <v>1</v>
      </c>
      <c r="U270" s="275">
        <f t="shared" si="24"/>
        <v>678600</v>
      </c>
      <c r="V270" s="311" t="s">
        <v>965</v>
      </c>
      <c r="W270" s="311" t="s">
        <v>12</v>
      </c>
      <c r="X270" s="311" t="s">
        <v>493</v>
      </c>
      <c r="Y270" s="311"/>
    </row>
    <row r="271" spans="1:25" ht="15" customHeight="1" x14ac:dyDescent="0.2">
      <c r="A271" s="273"/>
      <c r="B271" s="273" t="s">
        <v>188</v>
      </c>
      <c r="C271" s="273" t="s">
        <v>113</v>
      </c>
      <c r="D271" s="273" t="s">
        <v>973</v>
      </c>
      <c r="E271" s="269" t="s">
        <v>974</v>
      </c>
      <c r="F271" s="311" t="s">
        <v>229</v>
      </c>
      <c r="G271" s="269" t="s">
        <v>705</v>
      </c>
      <c r="H271" s="311" t="s">
        <v>1029</v>
      </c>
      <c r="I271" s="302" t="s">
        <v>456</v>
      </c>
      <c r="J271" s="273" t="s">
        <v>410</v>
      </c>
      <c r="K271" s="302">
        <v>1</v>
      </c>
      <c r="L271" s="273" t="s">
        <v>269</v>
      </c>
      <c r="M271" s="274">
        <v>38000</v>
      </c>
      <c r="N271" s="275">
        <f t="shared" si="20"/>
        <v>38000</v>
      </c>
      <c r="O271" s="311">
        <v>0</v>
      </c>
      <c r="P271" s="273">
        <f t="shared" si="21"/>
        <v>0</v>
      </c>
      <c r="Q271" s="313">
        <v>0.16</v>
      </c>
      <c r="R271" s="275">
        <f t="shared" si="22"/>
        <v>6080</v>
      </c>
      <c r="S271" s="275">
        <f t="shared" si="23"/>
        <v>44080</v>
      </c>
      <c r="T271" s="275">
        <f>INDEX('Glosario Partidas'!$M$8:$M$10,MATCH(L271,'Glosario Partidas'!$L$8:$L$10,0))</f>
        <v>1</v>
      </c>
      <c r="U271" s="275">
        <f t="shared" si="24"/>
        <v>44080</v>
      </c>
      <c r="V271" s="311" t="s">
        <v>965</v>
      </c>
      <c r="W271" s="311" t="s">
        <v>12</v>
      </c>
      <c r="X271" s="311" t="s">
        <v>493</v>
      </c>
      <c r="Y271" s="311"/>
    </row>
    <row r="272" spans="1:25" ht="15" customHeight="1" x14ac:dyDescent="0.2">
      <c r="A272" s="273"/>
      <c r="B272" s="273" t="s">
        <v>188</v>
      </c>
      <c r="C272" s="273" t="s">
        <v>113</v>
      </c>
      <c r="D272" s="273" t="s">
        <v>973</v>
      </c>
      <c r="E272" s="269" t="s">
        <v>975</v>
      </c>
      <c r="F272" s="311" t="s">
        <v>229</v>
      </c>
      <c r="G272" s="269" t="s">
        <v>705</v>
      </c>
      <c r="H272" s="311" t="s">
        <v>1029</v>
      </c>
      <c r="I272" s="302" t="s">
        <v>456</v>
      </c>
      <c r="J272" s="273" t="s">
        <v>410</v>
      </c>
      <c r="K272" s="302">
        <v>1</v>
      </c>
      <c r="L272" s="273" t="s">
        <v>269</v>
      </c>
      <c r="M272" s="274">
        <v>38000</v>
      </c>
      <c r="N272" s="275">
        <f t="shared" si="20"/>
        <v>38000</v>
      </c>
      <c r="O272" s="311">
        <v>0</v>
      </c>
      <c r="P272" s="273">
        <f t="shared" si="21"/>
        <v>0</v>
      </c>
      <c r="Q272" s="313">
        <v>0.16</v>
      </c>
      <c r="R272" s="275">
        <f t="shared" si="22"/>
        <v>6080</v>
      </c>
      <c r="S272" s="275">
        <f t="shared" si="23"/>
        <v>44080</v>
      </c>
      <c r="T272" s="275">
        <f>INDEX('Glosario Partidas'!$M$8:$M$10,MATCH(L272,'Glosario Partidas'!$L$8:$L$10,0))</f>
        <v>1</v>
      </c>
      <c r="U272" s="275">
        <f t="shared" si="24"/>
        <v>44080</v>
      </c>
      <c r="V272" s="311" t="s">
        <v>965</v>
      </c>
      <c r="W272" s="311" t="s">
        <v>12</v>
      </c>
      <c r="X272" s="311" t="s">
        <v>493</v>
      </c>
      <c r="Y272" s="311"/>
    </row>
    <row r="273" spans="1:25" ht="15" customHeight="1" x14ac:dyDescent="0.2">
      <c r="A273" s="273"/>
      <c r="B273" s="273" t="s">
        <v>188</v>
      </c>
      <c r="C273" s="273" t="s">
        <v>113</v>
      </c>
      <c r="D273" s="273" t="s">
        <v>977</v>
      </c>
      <c r="E273" s="269" t="s">
        <v>1011</v>
      </c>
      <c r="F273" s="311" t="s">
        <v>229</v>
      </c>
      <c r="G273" s="269" t="s">
        <v>705</v>
      </c>
      <c r="H273" s="311" t="s">
        <v>1029</v>
      </c>
      <c r="I273" s="302" t="s">
        <v>456</v>
      </c>
      <c r="J273" s="273" t="s">
        <v>410</v>
      </c>
      <c r="K273" s="302">
        <v>1</v>
      </c>
      <c r="L273" s="273" t="s">
        <v>269</v>
      </c>
      <c r="M273" s="274">
        <v>46000</v>
      </c>
      <c r="N273" s="275">
        <f t="shared" si="20"/>
        <v>46000</v>
      </c>
      <c r="O273" s="311">
        <v>0</v>
      </c>
      <c r="P273" s="273">
        <f t="shared" si="21"/>
        <v>0</v>
      </c>
      <c r="Q273" s="313">
        <v>0.16</v>
      </c>
      <c r="R273" s="275">
        <f t="shared" si="22"/>
        <v>7360</v>
      </c>
      <c r="S273" s="275">
        <f t="shared" si="23"/>
        <v>53360</v>
      </c>
      <c r="T273" s="275">
        <f>INDEX('Glosario Partidas'!$M$8:$M$10,MATCH(L273,'Glosario Partidas'!$L$8:$L$10,0))</f>
        <v>1</v>
      </c>
      <c r="U273" s="275">
        <f t="shared" si="24"/>
        <v>53360</v>
      </c>
      <c r="V273" s="311" t="s">
        <v>965</v>
      </c>
      <c r="W273" s="311" t="s">
        <v>12</v>
      </c>
      <c r="X273" s="311" t="s">
        <v>493</v>
      </c>
      <c r="Y273" s="311"/>
    </row>
    <row r="274" spans="1:25" ht="15" customHeight="1" x14ac:dyDescent="0.2">
      <c r="A274" s="273"/>
      <c r="B274" s="273" t="s">
        <v>188</v>
      </c>
      <c r="C274" s="273" t="s">
        <v>113</v>
      </c>
      <c r="D274" s="273" t="s">
        <v>977</v>
      </c>
      <c r="E274" s="269" t="s">
        <v>1012</v>
      </c>
      <c r="F274" s="311" t="s">
        <v>229</v>
      </c>
      <c r="G274" s="269" t="s">
        <v>705</v>
      </c>
      <c r="H274" s="311" t="s">
        <v>1029</v>
      </c>
      <c r="I274" s="302" t="s">
        <v>456</v>
      </c>
      <c r="J274" s="273" t="s">
        <v>410</v>
      </c>
      <c r="K274" s="302">
        <v>1</v>
      </c>
      <c r="L274" s="273" t="s">
        <v>269</v>
      </c>
      <c r="M274" s="274">
        <v>46000</v>
      </c>
      <c r="N274" s="275">
        <f t="shared" si="20"/>
        <v>46000</v>
      </c>
      <c r="O274" s="311">
        <v>0</v>
      </c>
      <c r="P274" s="273">
        <f t="shared" si="21"/>
        <v>0</v>
      </c>
      <c r="Q274" s="313">
        <v>0.16</v>
      </c>
      <c r="R274" s="275">
        <f t="shared" si="22"/>
        <v>7360</v>
      </c>
      <c r="S274" s="275">
        <f t="shared" si="23"/>
        <v>53360</v>
      </c>
      <c r="T274" s="275">
        <f>INDEX('Glosario Partidas'!$M$8:$M$10,MATCH(L274,'Glosario Partidas'!$L$8:$L$10,0))</f>
        <v>1</v>
      </c>
      <c r="U274" s="275">
        <f t="shared" si="24"/>
        <v>53360</v>
      </c>
      <c r="V274" s="311" t="s">
        <v>965</v>
      </c>
      <c r="W274" s="311" t="s">
        <v>12</v>
      </c>
      <c r="X274" s="311" t="s">
        <v>493</v>
      </c>
      <c r="Y274" s="311"/>
    </row>
    <row r="275" spans="1:25" ht="15" customHeight="1" x14ac:dyDescent="0.2">
      <c r="A275" s="273"/>
      <c r="B275" s="273" t="s">
        <v>188</v>
      </c>
      <c r="C275" s="273" t="s">
        <v>113</v>
      </c>
      <c r="D275" s="273" t="s">
        <v>977</v>
      </c>
      <c r="E275" s="269" t="s">
        <v>1013</v>
      </c>
      <c r="F275" s="311" t="s">
        <v>229</v>
      </c>
      <c r="G275" s="269" t="s">
        <v>705</v>
      </c>
      <c r="H275" s="311" t="s">
        <v>1029</v>
      </c>
      <c r="I275" s="302" t="s">
        <v>456</v>
      </c>
      <c r="J275" s="273" t="s">
        <v>410</v>
      </c>
      <c r="K275" s="302">
        <v>1</v>
      </c>
      <c r="L275" s="273" t="s">
        <v>269</v>
      </c>
      <c r="M275" s="274">
        <v>46000</v>
      </c>
      <c r="N275" s="275">
        <f t="shared" si="20"/>
        <v>46000</v>
      </c>
      <c r="O275" s="311">
        <v>0</v>
      </c>
      <c r="P275" s="273">
        <f t="shared" si="21"/>
        <v>0</v>
      </c>
      <c r="Q275" s="313">
        <v>0.16</v>
      </c>
      <c r="R275" s="275">
        <f t="shared" si="22"/>
        <v>7360</v>
      </c>
      <c r="S275" s="275">
        <f t="shared" si="23"/>
        <v>53360</v>
      </c>
      <c r="T275" s="275">
        <f>INDEX('Glosario Partidas'!$M$8:$M$10,MATCH(L275,'Glosario Partidas'!$L$8:$L$10,0))</f>
        <v>1</v>
      </c>
      <c r="U275" s="275">
        <f t="shared" si="24"/>
        <v>53360</v>
      </c>
      <c r="V275" s="311" t="s">
        <v>965</v>
      </c>
      <c r="W275" s="311" t="s">
        <v>12</v>
      </c>
      <c r="X275" s="311" t="s">
        <v>493</v>
      </c>
      <c r="Y275" s="311"/>
    </row>
    <row r="276" spans="1:25" ht="15" customHeight="1" x14ac:dyDescent="0.2">
      <c r="A276" s="273"/>
      <c r="B276" s="273" t="s">
        <v>188</v>
      </c>
      <c r="C276" s="273" t="s">
        <v>113</v>
      </c>
      <c r="D276" s="273" t="s">
        <v>977</v>
      </c>
      <c r="E276" s="269" t="s">
        <v>1014</v>
      </c>
      <c r="F276" s="311" t="s">
        <v>229</v>
      </c>
      <c r="G276" s="269" t="s">
        <v>705</v>
      </c>
      <c r="H276" s="311" t="s">
        <v>1029</v>
      </c>
      <c r="I276" s="302" t="s">
        <v>456</v>
      </c>
      <c r="J276" s="273" t="s">
        <v>410</v>
      </c>
      <c r="K276" s="302">
        <v>1</v>
      </c>
      <c r="L276" s="273" t="s">
        <v>269</v>
      </c>
      <c r="M276" s="274">
        <v>46000</v>
      </c>
      <c r="N276" s="275">
        <f t="shared" si="20"/>
        <v>46000</v>
      </c>
      <c r="O276" s="311">
        <v>0</v>
      </c>
      <c r="P276" s="273">
        <f t="shared" si="21"/>
        <v>0</v>
      </c>
      <c r="Q276" s="313">
        <v>0.16</v>
      </c>
      <c r="R276" s="275">
        <f t="shared" si="22"/>
        <v>7360</v>
      </c>
      <c r="S276" s="275">
        <f t="shared" si="23"/>
        <v>53360</v>
      </c>
      <c r="T276" s="275">
        <f>INDEX('Glosario Partidas'!$M$8:$M$10,MATCH(L276,'Glosario Partidas'!$L$8:$L$10,0))</f>
        <v>1</v>
      </c>
      <c r="U276" s="275">
        <f t="shared" si="24"/>
        <v>53360</v>
      </c>
      <c r="V276" s="311" t="s">
        <v>965</v>
      </c>
      <c r="W276" s="311" t="s">
        <v>12</v>
      </c>
      <c r="X276" s="311" t="s">
        <v>493</v>
      </c>
      <c r="Y276" s="311"/>
    </row>
    <row r="277" spans="1:25" ht="15" customHeight="1" x14ac:dyDescent="0.2">
      <c r="A277" s="273"/>
      <c r="B277" s="273" t="s">
        <v>188</v>
      </c>
      <c r="C277" s="273" t="s">
        <v>113</v>
      </c>
      <c r="D277" s="273" t="s">
        <v>977</v>
      </c>
      <c r="E277" s="269" t="s">
        <v>1015</v>
      </c>
      <c r="F277" s="311" t="s">
        <v>229</v>
      </c>
      <c r="G277" s="269" t="s">
        <v>705</v>
      </c>
      <c r="H277" s="311" t="s">
        <v>1029</v>
      </c>
      <c r="I277" s="302" t="s">
        <v>456</v>
      </c>
      <c r="J277" s="273" t="s">
        <v>410</v>
      </c>
      <c r="K277" s="302">
        <v>1</v>
      </c>
      <c r="L277" s="273" t="s">
        <v>269</v>
      </c>
      <c r="M277" s="274">
        <v>46000</v>
      </c>
      <c r="N277" s="275">
        <f t="shared" si="20"/>
        <v>46000</v>
      </c>
      <c r="O277" s="311">
        <v>0</v>
      </c>
      <c r="P277" s="273">
        <f t="shared" si="21"/>
        <v>0</v>
      </c>
      <c r="Q277" s="313">
        <v>0.16</v>
      </c>
      <c r="R277" s="275">
        <f t="shared" si="22"/>
        <v>7360</v>
      </c>
      <c r="S277" s="275">
        <f t="shared" si="23"/>
        <v>53360</v>
      </c>
      <c r="T277" s="275">
        <f>INDEX('Glosario Partidas'!$M$8:$M$10,MATCH(L277,'Glosario Partidas'!$L$8:$L$10,0))</f>
        <v>1</v>
      </c>
      <c r="U277" s="275">
        <f t="shared" si="24"/>
        <v>53360</v>
      </c>
      <c r="V277" s="311" t="s">
        <v>965</v>
      </c>
      <c r="W277" s="311" t="s">
        <v>12</v>
      </c>
      <c r="X277" s="311" t="s">
        <v>493</v>
      </c>
      <c r="Y277" s="311"/>
    </row>
    <row r="278" spans="1:25" ht="15" customHeight="1" x14ac:dyDescent="0.2">
      <c r="A278" s="273"/>
      <c r="B278" s="273" t="s">
        <v>188</v>
      </c>
      <c r="C278" s="273" t="s">
        <v>113</v>
      </c>
      <c r="D278" s="273" t="s">
        <v>977</v>
      </c>
      <c r="E278" s="269" t="s">
        <v>1016</v>
      </c>
      <c r="F278" s="311" t="s">
        <v>229</v>
      </c>
      <c r="G278" s="269" t="s">
        <v>705</v>
      </c>
      <c r="H278" s="311" t="s">
        <v>1029</v>
      </c>
      <c r="I278" s="302" t="s">
        <v>456</v>
      </c>
      <c r="J278" s="273" t="s">
        <v>410</v>
      </c>
      <c r="K278" s="302">
        <v>1</v>
      </c>
      <c r="L278" s="273" t="s">
        <v>269</v>
      </c>
      <c r="M278" s="274">
        <v>46000</v>
      </c>
      <c r="N278" s="275">
        <f t="shared" si="20"/>
        <v>46000</v>
      </c>
      <c r="O278" s="311">
        <v>0</v>
      </c>
      <c r="P278" s="273">
        <f t="shared" si="21"/>
        <v>0</v>
      </c>
      <c r="Q278" s="313">
        <v>0.16</v>
      </c>
      <c r="R278" s="275">
        <f t="shared" si="22"/>
        <v>7360</v>
      </c>
      <c r="S278" s="275">
        <f t="shared" si="23"/>
        <v>53360</v>
      </c>
      <c r="T278" s="275">
        <f>INDEX('Glosario Partidas'!$M$8:$M$10,MATCH(L278,'Glosario Partidas'!$L$8:$L$10,0))</f>
        <v>1</v>
      </c>
      <c r="U278" s="275">
        <f t="shared" si="24"/>
        <v>53360</v>
      </c>
      <c r="V278" s="311" t="s">
        <v>965</v>
      </c>
      <c r="W278" s="311" t="s">
        <v>12</v>
      </c>
      <c r="X278" s="311" t="s">
        <v>493</v>
      </c>
      <c r="Y278" s="311"/>
    </row>
    <row r="279" spans="1:25" ht="15" customHeight="1" x14ac:dyDescent="0.2">
      <c r="A279" s="273"/>
      <c r="B279" s="273" t="s">
        <v>188</v>
      </c>
      <c r="C279" s="273" t="s">
        <v>113</v>
      </c>
      <c r="D279" s="273" t="s">
        <v>984</v>
      </c>
      <c r="E279" s="269" t="s">
        <v>1017</v>
      </c>
      <c r="F279" s="311" t="s">
        <v>229</v>
      </c>
      <c r="G279" s="269" t="s">
        <v>705</v>
      </c>
      <c r="H279" s="311" t="s">
        <v>1029</v>
      </c>
      <c r="I279" s="302" t="s">
        <v>456</v>
      </c>
      <c r="J279" s="273" t="s">
        <v>410</v>
      </c>
      <c r="K279" s="302">
        <v>1</v>
      </c>
      <c r="L279" s="273" t="s">
        <v>269</v>
      </c>
      <c r="M279" s="274">
        <v>60000</v>
      </c>
      <c r="N279" s="275">
        <f t="shared" si="20"/>
        <v>60000</v>
      </c>
      <c r="O279" s="311">
        <v>0</v>
      </c>
      <c r="P279" s="273">
        <f t="shared" si="21"/>
        <v>0</v>
      </c>
      <c r="Q279" s="313">
        <v>0.16</v>
      </c>
      <c r="R279" s="275">
        <f t="shared" si="22"/>
        <v>9600</v>
      </c>
      <c r="S279" s="275">
        <f t="shared" si="23"/>
        <v>69600</v>
      </c>
      <c r="T279" s="275">
        <f>INDEX('Glosario Partidas'!$M$8:$M$10,MATCH(L279,'Glosario Partidas'!$L$8:$L$10,0))</f>
        <v>1</v>
      </c>
      <c r="U279" s="275">
        <f t="shared" si="24"/>
        <v>69600</v>
      </c>
      <c r="V279" s="311" t="s">
        <v>965</v>
      </c>
      <c r="W279" s="311" t="s">
        <v>12</v>
      </c>
      <c r="X279" s="311" t="s">
        <v>493</v>
      </c>
      <c r="Y279" s="311"/>
    </row>
    <row r="280" spans="1:25" ht="15" customHeight="1" x14ac:dyDescent="0.2">
      <c r="A280" s="273"/>
      <c r="B280" s="273" t="s">
        <v>188</v>
      </c>
      <c r="C280" s="273" t="s">
        <v>113</v>
      </c>
      <c r="D280" s="273" t="s">
        <v>986</v>
      </c>
      <c r="E280" s="269" t="s">
        <v>1018</v>
      </c>
      <c r="F280" s="311" t="s">
        <v>229</v>
      </c>
      <c r="G280" s="269" t="s">
        <v>705</v>
      </c>
      <c r="H280" s="311" t="s">
        <v>1029</v>
      </c>
      <c r="I280" s="302" t="s">
        <v>456</v>
      </c>
      <c r="J280" s="273" t="s">
        <v>410</v>
      </c>
      <c r="K280" s="302">
        <v>1</v>
      </c>
      <c r="L280" s="273" t="s">
        <v>269</v>
      </c>
      <c r="M280" s="274">
        <v>98000</v>
      </c>
      <c r="N280" s="275">
        <f t="shared" si="20"/>
        <v>98000</v>
      </c>
      <c r="O280" s="311">
        <v>0</v>
      </c>
      <c r="P280" s="273">
        <f t="shared" si="21"/>
        <v>0</v>
      </c>
      <c r="Q280" s="313">
        <v>0.16</v>
      </c>
      <c r="R280" s="275">
        <f t="shared" si="22"/>
        <v>15680</v>
      </c>
      <c r="S280" s="275">
        <f t="shared" si="23"/>
        <v>113680</v>
      </c>
      <c r="T280" s="275">
        <f>INDEX('Glosario Partidas'!$M$8:$M$10,MATCH(L280,'Glosario Partidas'!$L$8:$L$10,0))</f>
        <v>1</v>
      </c>
      <c r="U280" s="275">
        <f t="shared" si="24"/>
        <v>113680</v>
      </c>
      <c r="V280" s="311" t="s">
        <v>965</v>
      </c>
      <c r="W280" s="311" t="s">
        <v>12</v>
      </c>
      <c r="X280" s="311" t="s">
        <v>493</v>
      </c>
      <c r="Y280" s="311"/>
    </row>
    <row r="281" spans="1:25" ht="15" customHeight="1" x14ac:dyDescent="0.2">
      <c r="A281" s="273"/>
      <c r="B281" s="273" t="s">
        <v>188</v>
      </c>
      <c r="C281" s="273" t="s">
        <v>113</v>
      </c>
      <c r="D281" s="273" t="s">
        <v>986</v>
      </c>
      <c r="E281" s="269" t="s">
        <v>1019</v>
      </c>
      <c r="F281" s="311" t="s">
        <v>229</v>
      </c>
      <c r="G281" s="269" t="s">
        <v>705</v>
      </c>
      <c r="H281" s="311" t="s">
        <v>1029</v>
      </c>
      <c r="I281" s="302" t="s">
        <v>456</v>
      </c>
      <c r="J281" s="273" t="s">
        <v>410</v>
      </c>
      <c r="K281" s="302">
        <v>1</v>
      </c>
      <c r="L281" s="273" t="s">
        <v>269</v>
      </c>
      <c r="M281" s="274">
        <v>98000</v>
      </c>
      <c r="N281" s="275">
        <f t="shared" si="20"/>
        <v>98000</v>
      </c>
      <c r="O281" s="311">
        <v>0</v>
      </c>
      <c r="P281" s="273">
        <f t="shared" si="21"/>
        <v>0</v>
      </c>
      <c r="Q281" s="313">
        <v>0.16</v>
      </c>
      <c r="R281" s="275">
        <f t="shared" si="22"/>
        <v>15680</v>
      </c>
      <c r="S281" s="275">
        <f t="shared" si="23"/>
        <v>113680</v>
      </c>
      <c r="T281" s="275">
        <f>INDEX('Glosario Partidas'!$M$8:$M$10,MATCH(L281,'Glosario Partidas'!$L$8:$L$10,0))</f>
        <v>1</v>
      </c>
      <c r="U281" s="275">
        <f t="shared" si="24"/>
        <v>113680</v>
      </c>
      <c r="V281" s="311" t="s">
        <v>965</v>
      </c>
      <c r="W281" s="311" t="s">
        <v>12</v>
      </c>
      <c r="X281" s="311" t="s">
        <v>493</v>
      </c>
      <c r="Y281" s="311"/>
    </row>
    <row r="282" spans="1:25" ht="15" customHeight="1" x14ac:dyDescent="0.2">
      <c r="A282" s="273"/>
      <c r="B282" s="273" t="s">
        <v>188</v>
      </c>
      <c r="C282" s="273" t="s">
        <v>113</v>
      </c>
      <c r="D282" s="273" t="s">
        <v>984</v>
      </c>
      <c r="E282" s="269" t="s">
        <v>1020</v>
      </c>
      <c r="F282" s="311" t="s">
        <v>229</v>
      </c>
      <c r="G282" s="269" t="s">
        <v>705</v>
      </c>
      <c r="H282" s="311" t="s">
        <v>1029</v>
      </c>
      <c r="I282" s="302" t="s">
        <v>456</v>
      </c>
      <c r="J282" s="273" t="s">
        <v>410</v>
      </c>
      <c r="K282" s="302">
        <v>1</v>
      </c>
      <c r="L282" s="273" t="s">
        <v>269</v>
      </c>
      <c r="M282" s="274">
        <v>60000</v>
      </c>
      <c r="N282" s="275">
        <f t="shared" si="20"/>
        <v>60000</v>
      </c>
      <c r="O282" s="311">
        <v>0</v>
      </c>
      <c r="P282" s="273">
        <f t="shared" si="21"/>
        <v>0</v>
      </c>
      <c r="Q282" s="313">
        <v>0.16</v>
      </c>
      <c r="R282" s="275">
        <f t="shared" si="22"/>
        <v>9600</v>
      </c>
      <c r="S282" s="275">
        <f t="shared" si="23"/>
        <v>69600</v>
      </c>
      <c r="T282" s="275">
        <f>INDEX('Glosario Partidas'!$M$8:$M$10,MATCH(L282,'Glosario Partidas'!$L$8:$L$10,0))</f>
        <v>1</v>
      </c>
      <c r="U282" s="275">
        <f t="shared" si="24"/>
        <v>69600</v>
      </c>
      <c r="V282" s="311" t="s">
        <v>965</v>
      </c>
      <c r="W282" s="311" t="s">
        <v>12</v>
      </c>
      <c r="X282" s="311" t="s">
        <v>493</v>
      </c>
      <c r="Y282" s="311"/>
    </row>
    <row r="283" spans="1:25" ht="15" customHeight="1" x14ac:dyDescent="0.2">
      <c r="A283" s="273"/>
      <c r="B283" s="273" t="s">
        <v>188</v>
      </c>
      <c r="C283" s="273" t="s">
        <v>113</v>
      </c>
      <c r="D283" s="273" t="s">
        <v>986</v>
      </c>
      <c r="E283" s="269" t="s">
        <v>1021</v>
      </c>
      <c r="F283" s="311" t="s">
        <v>229</v>
      </c>
      <c r="G283" s="269" t="s">
        <v>705</v>
      </c>
      <c r="H283" s="311" t="s">
        <v>1029</v>
      </c>
      <c r="I283" s="302" t="s">
        <v>456</v>
      </c>
      <c r="J283" s="273" t="s">
        <v>410</v>
      </c>
      <c r="K283" s="302">
        <v>1</v>
      </c>
      <c r="L283" s="273" t="s">
        <v>269</v>
      </c>
      <c r="M283" s="274">
        <v>98000</v>
      </c>
      <c r="N283" s="275">
        <f t="shared" si="20"/>
        <v>98000</v>
      </c>
      <c r="O283" s="311">
        <v>0</v>
      </c>
      <c r="P283" s="273">
        <f t="shared" si="21"/>
        <v>0</v>
      </c>
      <c r="Q283" s="313">
        <v>0.16</v>
      </c>
      <c r="R283" s="275">
        <f t="shared" si="22"/>
        <v>15680</v>
      </c>
      <c r="S283" s="275">
        <f t="shared" si="23"/>
        <v>113680</v>
      </c>
      <c r="T283" s="275">
        <f>INDEX('Glosario Partidas'!$M$8:$M$10,MATCH(L283,'Glosario Partidas'!$L$8:$L$10,0))</f>
        <v>1</v>
      </c>
      <c r="U283" s="275">
        <f t="shared" si="24"/>
        <v>113680</v>
      </c>
      <c r="V283" s="311" t="s">
        <v>965</v>
      </c>
      <c r="W283" s="311" t="s">
        <v>12</v>
      </c>
      <c r="X283" s="311" t="s">
        <v>493</v>
      </c>
      <c r="Y283" s="311"/>
    </row>
    <row r="284" spans="1:25" ht="15" customHeight="1" x14ac:dyDescent="0.2">
      <c r="A284" s="273"/>
      <c r="B284" s="273" t="s">
        <v>188</v>
      </c>
      <c r="C284" s="273" t="s">
        <v>113</v>
      </c>
      <c r="D284" s="273" t="s">
        <v>986</v>
      </c>
      <c r="E284" s="269" t="s">
        <v>1022</v>
      </c>
      <c r="F284" s="311" t="s">
        <v>229</v>
      </c>
      <c r="G284" s="269" t="s">
        <v>705</v>
      </c>
      <c r="H284" s="311" t="s">
        <v>1029</v>
      </c>
      <c r="I284" s="302" t="s">
        <v>456</v>
      </c>
      <c r="J284" s="273" t="s">
        <v>410</v>
      </c>
      <c r="K284" s="302">
        <v>1</v>
      </c>
      <c r="L284" s="273" t="s">
        <v>269</v>
      </c>
      <c r="M284" s="274">
        <v>98000</v>
      </c>
      <c r="N284" s="275">
        <f t="shared" si="20"/>
        <v>98000</v>
      </c>
      <c r="O284" s="311">
        <v>0</v>
      </c>
      <c r="P284" s="273">
        <f t="shared" si="21"/>
        <v>0</v>
      </c>
      <c r="Q284" s="313">
        <v>0.16</v>
      </c>
      <c r="R284" s="275">
        <f t="shared" si="22"/>
        <v>15680</v>
      </c>
      <c r="S284" s="275">
        <f t="shared" si="23"/>
        <v>113680</v>
      </c>
      <c r="T284" s="275">
        <f>INDEX('Glosario Partidas'!$M$8:$M$10,MATCH(L284,'Glosario Partidas'!$L$8:$L$10,0))</f>
        <v>1</v>
      </c>
      <c r="U284" s="275">
        <f t="shared" si="24"/>
        <v>113680</v>
      </c>
      <c r="V284" s="311" t="s">
        <v>965</v>
      </c>
      <c r="W284" s="311" t="s">
        <v>12</v>
      </c>
      <c r="X284" s="311" t="s">
        <v>493</v>
      </c>
      <c r="Y284" s="311"/>
    </row>
    <row r="285" spans="1:25" ht="15" customHeight="1" x14ac:dyDescent="0.2">
      <c r="A285" s="273"/>
      <c r="B285" s="273" t="s">
        <v>188</v>
      </c>
      <c r="C285" s="273" t="s">
        <v>113</v>
      </c>
      <c r="D285" s="273" t="s">
        <v>973</v>
      </c>
      <c r="E285" s="269" t="s">
        <v>1023</v>
      </c>
      <c r="F285" s="311" t="s">
        <v>229</v>
      </c>
      <c r="G285" s="269" t="s">
        <v>705</v>
      </c>
      <c r="H285" s="311" t="s">
        <v>1029</v>
      </c>
      <c r="I285" s="302" t="s">
        <v>456</v>
      </c>
      <c r="J285" s="273" t="s">
        <v>410</v>
      </c>
      <c r="K285" s="302">
        <v>1</v>
      </c>
      <c r="L285" s="273" t="s">
        <v>269</v>
      </c>
      <c r="M285" s="274">
        <v>38000</v>
      </c>
      <c r="N285" s="275">
        <f t="shared" si="20"/>
        <v>38000</v>
      </c>
      <c r="O285" s="311">
        <v>0</v>
      </c>
      <c r="P285" s="273">
        <f t="shared" si="21"/>
        <v>0</v>
      </c>
      <c r="Q285" s="313">
        <v>0.16</v>
      </c>
      <c r="R285" s="275">
        <f t="shared" si="22"/>
        <v>6080</v>
      </c>
      <c r="S285" s="275">
        <f t="shared" si="23"/>
        <v>44080</v>
      </c>
      <c r="T285" s="275">
        <f>INDEX('Glosario Partidas'!$M$8:$M$10,MATCH(L285,'Glosario Partidas'!$L$8:$L$10,0))</f>
        <v>1</v>
      </c>
      <c r="U285" s="275">
        <f t="shared" si="24"/>
        <v>44080</v>
      </c>
      <c r="V285" s="311" t="s">
        <v>965</v>
      </c>
      <c r="W285" s="311" t="s">
        <v>12</v>
      </c>
      <c r="X285" s="311" t="s">
        <v>493</v>
      </c>
      <c r="Y285" s="311"/>
    </row>
    <row r="286" spans="1:25" ht="15" customHeight="1" x14ac:dyDescent="0.2">
      <c r="A286" s="273"/>
      <c r="B286" s="273" t="s">
        <v>188</v>
      </c>
      <c r="C286" s="273" t="s">
        <v>113</v>
      </c>
      <c r="D286" s="273" t="s">
        <v>973</v>
      </c>
      <c r="E286" s="269" t="s">
        <v>1024</v>
      </c>
      <c r="F286" s="311" t="s">
        <v>229</v>
      </c>
      <c r="G286" s="269" t="s">
        <v>705</v>
      </c>
      <c r="H286" s="311" t="s">
        <v>1029</v>
      </c>
      <c r="I286" s="302" t="s">
        <v>456</v>
      </c>
      <c r="J286" s="273" t="s">
        <v>410</v>
      </c>
      <c r="K286" s="302">
        <v>1</v>
      </c>
      <c r="L286" s="273" t="s">
        <v>269</v>
      </c>
      <c r="M286" s="274">
        <v>38000</v>
      </c>
      <c r="N286" s="275">
        <f t="shared" si="20"/>
        <v>38000</v>
      </c>
      <c r="O286" s="311">
        <v>0</v>
      </c>
      <c r="P286" s="273">
        <f t="shared" si="21"/>
        <v>0</v>
      </c>
      <c r="Q286" s="313">
        <v>0.16</v>
      </c>
      <c r="R286" s="275">
        <f t="shared" si="22"/>
        <v>6080</v>
      </c>
      <c r="S286" s="275">
        <f t="shared" si="23"/>
        <v>44080</v>
      </c>
      <c r="T286" s="275">
        <f>INDEX('Glosario Partidas'!$M$8:$M$10,MATCH(L286,'Glosario Partidas'!$L$8:$L$10,0))</f>
        <v>1</v>
      </c>
      <c r="U286" s="275">
        <f t="shared" si="24"/>
        <v>44080</v>
      </c>
      <c r="V286" s="311" t="s">
        <v>965</v>
      </c>
      <c r="W286" s="311" t="s">
        <v>12</v>
      </c>
      <c r="X286" s="311" t="s">
        <v>493</v>
      </c>
      <c r="Y286" s="311"/>
    </row>
    <row r="287" spans="1:25" ht="15" customHeight="1" x14ac:dyDescent="0.2">
      <c r="A287" s="273"/>
      <c r="B287" s="273" t="s">
        <v>188</v>
      </c>
      <c r="C287" s="273" t="s">
        <v>113</v>
      </c>
      <c r="D287" s="273" t="s">
        <v>992</v>
      </c>
      <c r="E287" s="269" t="s">
        <v>993</v>
      </c>
      <c r="F287" s="311" t="s">
        <v>229</v>
      </c>
      <c r="G287" s="269" t="s">
        <v>705</v>
      </c>
      <c r="H287" s="311" t="s">
        <v>1029</v>
      </c>
      <c r="I287" s="302" t="s">
        <v>456</v>
      </c>
      <c r="J287" s="273" t="s">
        <v>410</v>
      </c>
      <c r="K287" s="302">
        <v>17</v>
      </c>
      <c r="L287" s="273" t="s">
        <v>269</v>
      </c>
      <c r="M287" s="274">
        <v>12000</v>
      </c>
      <c r="N287" s="275">
        <f t="shared" si="20"/>
        <v>204000</v>
      </c>
      <c r="O287" s="311">
        <v>0</v>
      </c>
      <c r="P287" s="273">
        <f t="shared" si="21"/>
        <v>0</v>
      </c>
      <c r="Q287" s="313">
        <v>0.16</v>
      </c>
      <c r="R287" s="275">
        <f t="shared" si="22"/>
        <v>32640</v>
      </c>
      <c r="S287" s="275">
        <f t="shared" si="23"/>
        <v>236640</v>
      </c>
      <c r="T287" s="275">
        <f>INDEX('Glosario Partidas'!$M$8:$M$10,MATCH(L287,'Glosario Partidas'!$L$8:$L$10,0))</f>
        <v>1</v>
      </c>
      <c r="U287" s="275">
        <f t="shared" si="24"/>
        <v>236640</v>
      </c>
      <c r="V287" s="311" t="s">
        <v>965</v>
      </c>
      <c r="W287" s="311" t="s">
        <v>12</v>
      </c>
      <c r="X287" s="311" t="s">
        <v>493</v>
      </c>
      <c r="Y287" s="311"/>
    </row>
    <row r="288" spans="1:25" ht="15" customHeight="1" x14ac:dyDescent="0.2">
      <c r="A288" s="273"/>
      <c r="B288" s="273" t="s">
        <v>188</v>
      </c>
      <c r="C288" s="273" t="s">
        <v>114</v>
      </c>
      <c r="D288" s="273" t="s">
        <v>994</v>
      </c>
      <c r="E288" s="269" t="s">
        <v>995</v>
      </c>
      <c r="F288" s="311" t="s">
        <v>229</v>
      </c>
      <c r="G288" s="269" t="s">
        <v>705</v>
      </c>
      <c r="H288" s="311" t="s">
        <v>1029</v>
      </c>
      <c r="I288" s="302" t="s">
        <v>456</v>
      </c>
      <c r="J288" s="273" t="s">
        <v>410</v>
      </c>
      <c r="K288" s="302">
        <v>1</v>
      </c>
      <c r="L288" s="273" t="s">
        <v>269</v>
      </c>
      <c r="M288" s="274">
        <v>240000</v>
      </c>
      <c r="N288" s="275">
        <f t="shared" si="20"/>
        <v>240000</v>
      </c>
      <c r="O288" s="311">
        <v>0</v>
      </c>
      <c r="P288" s="273">
        <f t="shared" si="21"/>
        <v>0</v>
      </c>
      <c r="Q288" s="313">
        <v>0.16</v>
      </c>
      <c r="R288" s="275">
        <f t="shared" si="22"/>
        <v>38400</v>
      </c>
      <c r="S288" s="275">
        <f t="shared" si="23"/>
        <v>278400</v>
      </c>
      <c r="T288" s="275">
        <f>INDEX('Glosario Partidas'!$M$8:$M$10,MATCH(L288,'Glosario Partidas'!$L$8:$L$10,0))</f>
        <v>1</v>
      </c>
      <c r="U288" s="275">
        <f t="shared" si="24"/>
        <v>278400</v>
      </c>
      <c r="V288" s="311" t="s">
        <v>965</v>
      </c>
      <c r="W288" s="311" t="s">
        <v>12</v>
      </c>
      <c r="X288" s="311" t="s">
        <v>493</v>
      </c>
      <c r="Y288" s="311"/>
    </row>
    <row r="289" spans="1:29" ht="15" customHeight="1" x14ac:dyDescent="0.2">
      <c r="A289" s="273"/>
      <c r="B289" s="273" t="s">
        <v>188</v>
      </c>
      <c r="C289" s="273" t="s">
        <v>114</v>
      </c>
      <c r="D289" s="273" t="s">
        <v>994</v>
      </c>
      <c r="E289" s="269" t="s">
        <v>996</v>
      </c>
      <c r="F289" s="311" t="s">
        <v>229</v>
      </c>
      <c r="G289" s="269" t="s">
        <v>705</v>
      </c>
      <c r="H289" s="311" t="s">
        <v>1029</v>
      </c>
      <c r="I289" s="302" t="s">
        <v>456</v>
      </c>
      <c r="J289" s="273" t="s">
        <v>410</v>
      </c>
      <c r="K289" s="302">
        <v>1</v>
      </c>
      <c r="L289" s="273" t="s">
        <v>269</v>
      </c>
      <c r="M289" s="274">
        <v>240000</v>
      </c>
      <c r="N289" s="275">
        <f t="shared" si="20"/>
        <v>240000</v>
      </c>
      <c r="O289" s="311">
        <v>0</v>
      </c>
      <c r="P289" s="273">
        <f t="shared" si="21"/>
        <v>0</v>
      </c>
      <c r="Q289" s="313">
        <v>0.16</v>
      </c>
      <c r="R289" s="275">
        <f t="shared" si="22"/>
        <v>38400</v>
      </c>
      <c r="S289" s="275">
        <f t="shared" si="23"/>
        <v>278400</v>
      </c>
      <c r="T289" s="275">
        <f>INDEX('Glosario Partidas'!$M$8:$M$10,MATCH(L289,'Glosario Partidas'!$L$8:$L$10,0))</f>
        <v>1</v>
      </c>
      <c r="U289" s="275">
        <f t="shared" si="24"/>
        <v>278400</v>
      </c>
      <c r="V289" s="311" t="s">
        <v>965</v>
      </c>
      <c r="W289" s="311" t="s">
        <v>12</v>
      </c>
      <c r="X289" s="311" t="s">
        <v>493</v>
      </c>
      <c r="Y289" s="311"/>
    </row>
    <row r="290" spans="1:29" ht="15" customHeight="1" x14ac:dyDescent="0.2">
      <c r="A290" s="273"/>
      <c r="B290" s="273" t="s">
        <v>188</v>
      </c>
      <c r="C290" s="273" t="s">
        <v>114</v>
      </c>
      <c r="D290" s="273" t="s">
        <v>997</v>
      </c>
      <c r="E290" s="269" t="s">
        <v>998</v>
      </c>
      <c r="F290" s="311" t="s">
        <v>229</v>
      </c>
      <c r="G290" s="269" t="s">
        <v>705</v>
      </c>
      <c r="H290" s="311" t="s">
        <v>1029</v>
      </c>
      <c r="I290" s="302" t="s">
        <v>456</v>
      </c>
      <c r="J290" s="273" t="s">
        <v>410</v>
      </c>
      <c r="K290" s="302">
        <v>1</v>
      </c>
      <c r="L290" s="273" t="s">
        <v>269</v>
      </c>
      <c r="M290" s="274">
        <v>550000</v>
      </c>
      <c r="N290" s="275">
        <f t="shared" si="20"/>
        <v>550000</v>
      </c>
      <c r="O290" s="311">
        <v>0</v>
      </c>
      <c r="P290" s="273">
        <f t="shared" si="21"/>
        <v>0</v>
      </c>
      <c r="Q290" s="313">
        <v>0.16</v>
      </c>
      <c r="R290" s="275">
        <f t="shared" si="22"/>
        <v>88000</v>
      </c>
      <c r="S290" s="275">
        <f t="shared" si="23"/>
        <v>638000</v>
      </c>
      <c r="T290" s="275">
        <f>INDEX('Glosario Partidas'!$M$8:$M$10,MATCH(L290,'Glosario Partidas'!$L$8:$L$10,0))</f>
        <v>1</v>
      </c>
      <c r="U290" s="275">
        <f t="shared" si="24"/>
        <v>638000</v>
      </c>
      <c r="V290" s="311" t="s">
        <v>965</v>
      </c>
      <c r="W290" s="311" t="s">
        <v>12</v>
      </c>
      <c r="X290" s="311" t="s">
        <v>493</v>
      </c>
      <c r="Y290" s="311"/>
    </row>
    <row r="291" spans="1:29" ht="15" customHeight="1" x14ac:dyDescent="0.2">
      <c r="A291" s="273"/>
      <c r="B291" s="273" t="s">
        <v>188</v>
      </c>
      <c r="C291" s="273" t="s">
        <v>114</v>
      </c>
      <c r="D291" s="273" t="s">
        <v>999</v>
      </c>
      <c r="E291" s="269" t="s">
        <v>1000</v>
      </c>
      <c r="F291" s="311" t="s">
        <v>229</v>
      </c>
      <c r="G291" s="269" t="s">
        <v>705</v>
      </c>
      <c r="H291" s="311" t="s">
        <v>1029</v>
      </c>
      <c r="I291" s="302" t="s">
        <v>456</v>
      </c>
      <c r="J291" s="273" t="s">
        <v>410</v>
      </c>
      <c r="K291" s="302">
        <v>1</v>
      </c>
      <c r="L291" s="273" t="s">
        <v>269</v>
      </c>
      <c r="M291" s="274">
        <v>360000</v>
      </c>
      <c r="N291" s="275">
        <f t="shared" si="20"/>
        <v>360000</v>
      </c>
      <c r="O291" s="311">
        <v>0</v>
      </c>
      <c r="P291" s="273">
        <f t="shared" si="21"/>
        <v>0</v>
      </c>
      <c r="Q291" s="313">
        <v>0.16</v>
      </c>
      <c r="R291" s="275">
        <f t="shared" si="22"/>
        <v>57600</v>
      </c>
      <c r="S291" s="275">
        <f t="shared" si="23"/>
        <v>417600</v>
      </c>
      <c r="T291" s="275">
        <f>INDEX('Glosario Partidas'!$M$8:$M$10,MATCH(L291,'Glosario Partidas'!$L$8:$L$10,0))</f>
        <v>1</v>
      </c>
      <c r="U291" s="275">
        <f t="shared" si="24"/>
        <v>417600</v>
      </c>
      <c r="V291" s="311" t="s">
        <v>965</v>
      </c>
      <c r="W291" s="311" t="s">
        <v>12</v>
      </c>
      <c r="X291" s="311" t="s">
        <v>493</v>
      </c>
      <c r="Y291" s="311"/>
    </row>
    <row r="292" spans="1:29" ht="15" customHeight="1" x14ac:dyDescent="0.2">
      <c r="A292" s="273"/>
      <c r="B292" s="273" t="s">
        <v>188</v>
      </c>
      <c r="C292" s="273" t="s">
        <v>114</v>
      </c>
      <c r="D292" s="273" t="s">
        <v>1001</v>
      </c>
      <c r="E292" s="269" t="s">
        <v>1002</v>
      </c>
      <c r="F292" s="311" t="s">
        <v>229</v>
      </c>
      <c r="G292" s="269" t="s">
        <v>705</v>
      </c>
      <c r="H292" s="311" t="s">
        <v>1029</v>
      </c>
      <c r="I292" s="302" t="s">
        <v>456</v>
      </c>
      <c r="J292" s="273" t="s">
        <v>410</v>
      </c>
      <c r="K292" s="302">
        <v>1</v>
      </c>
      <c r="L292" s="273" t="s">
        <v>269</v>
      </c>
      <c r="M292" s="274">
        <v>225000</v>
      </c>
      <c r="N292" s="275">
        <f t="shared" si="20"/>
        <v>225000</v>
      </c>
      <c r="O292" s="311">
        <v>0</v>
      </c>
      <c r="P292" s="273">
        <f t="shared" si="21"/>
        <v>0</v>
      </c>
      <c r="Q292" s="313">
        <v>0.16</v>
      </c>
      <c r="R292" s="275">
        <f t="shared" si="22"/>
        <v>36000</v>
      </c>
      <c r="S292" s="275">
        <f t="shared" si="23"/>
        <v>261000</v>
      </c>
      <c r="T292" s="275">
        <f>INDEX('Glosario Partidas'!$M$8:$M$10,MATCH(L292,'Glosario Partidas'!$L$8:$L$10,0))</f>
        <v>1</v>
      </c>
      <c r="U292" s="275">
        <f t="shared" si="24"/>
        <v>261000</v>
      </c>
      <c r="V292" s="311" t="s">
        <v>965</v>
      </c>
      <c r="W292" s="311" t="s">
        <v>12</v>
      </c>
      <c r="X292" s="311" t="s">
        <v>493</v>
      </c>
      <c r="Y292" s="311"/>
    </row>
    <row r="293" spans="1:29" ht="15" customHeight="1" x14ac:dyDescent="0.2">
      <c r="A293" s="273"/>
      <c r="B293" s="273" t="s">
        <v>188</v>
      </c>
      <c r="C293" s="273" t="s">
        <v>115</v>
      </c>
      <c r="D293" s="273" t="s">
        <v>1003</v>
      </c>
      <c r="E293" s="269" t="s">
        <v>1004</v>
      </c>
      <c r="F293" s="311" t="s">
        <v>229</v>
      </c>
      <c r="G293" s="269" t="s">
        <v>705</v>
      </c>
      <c r="H293" s="311" t="s">
        <v>1029</v>
      </c>
      <c r="I293" s="302" t="s">
        <v>456</v>
      </c>
      <c r="J293" s="273" t="s">
        <v>410</v>
      </c>
      <c r="K293" s="302">
        <v>1</v>
      </c>
      <c r="L293" s="273" t="s">
        <v>269</v>
      </c>
      <c r="M293" s="274">
        <v>50000</v>
      </c>
      <c r="N293" s="275">
        <f t="shared" si="20"/>
        <v>50000</v>
      </c>
      <c r="O293" s="311">
        <v>0</v>
      </c>
      <c r="P293" s="273">
        <f t="shared" si="21"/>
        <v>0</v>
      </c>
      <c r="Q293" s="313">
        <v>0.16</v>
      </c>
      <c r="R293" s="275">
        <f t="shared" si="22"/>
        <v>8000</v>
      </c>
      <c r="S293" s="275">
        <f t="shared" si="23"/>
        <v>58000</v>
      </c>
      <c r="T293" s="275">
        <f>INDEX('Glosario Partidas'!$M$8:$M$10,MATCH(L293,'Glosario Partidas'!$L$8:$L$10,0))</f>
        <v>1</v>
      </c>
      <c r="U293" s="275">
        <f t="shared" si="24"/>
        <v>58000</v>
      </c>
      <c r="V293" s="311" t="s">
        <v>1005</v>
      </c>
      <c r="W293" s="311" t="s">
        <v>12</v>
      </c>
      <c r="X293" s="311" t="s">
        <v>493</v>
      </c>
      <c r="Y293" s="311"/>
    </row>
    <row r="294" spans="1:29" ht="15" customHeight="1" x14ac:dyDescent="0.2">
      <c r="A294" s="273"/>
      <c r="B294" s="273" t="s">
        <v>188</v>
      </c>
      <c r="C294" s="273" t="s">
        <v>116</v>
      </c>
      <c r="D294" s="273" t="s">
        <v>116</v>
      </c>
      <c r="E294" s="269" t="s">
        <v>1006</v>
      </c>
      <c r="F294" s="311" t="s">
        <v>229</v>
      </c>
      <c r="G294" s="269" t="s">
        <v>705</v>
      </c>
      <c r="H294" s="311" t="s">
        <v>1029</v>
      </c>
      <c r="I294" s="302" t="s">
        <v>604</v>
      </c>
      <c r="J294" s="273" t="s">
        <v>207</v>
      </c>
      <c r="K294" s="302">
        <v>1</v>
      </c>
      <c r="L294" s="273" t="s">
        <v>269</v>
      </c>
      <c r="M294" s="274">
        <f>4120597/8</f>
        <v>515074.625</v>
      </c>
      <c r="N294" s="275">
        <f t="shared" si="20"/>
        <v>515074.625</v>
      </c>
      <c r="O294" s="311">
        <v>0</v>
      </c>
      <c r="P294" s="273">
        <f t="shared" si="21"/>
        <v>0</v>
      </c>
      <c r="Q294" s="313">
        <v>0.16</v>
      </c>
      <c r="R294" s="275">
        <f t="shared" si="22"/>
        <v>82411.94</v>
      </c>
      <c r="S294" s="275">
        <f t="shared" si="23"/>
        <v>597486.56499999994</v>
      </c>
      <c r="T294" s="275">
        <f>INDEX('Glosario Partidas'!$M$8:$M$10,MATCH(L294,'Glosario Partidas'!$L$8:$L$10,0))</f>
        <v>1</v>
      </c>
      <c r="U294" s="275">
        <f t="shared" si="24"/>
        <v>597486.56499999994</v>
      </c>
      <c r="V294" s="311" t="s">
        <v>1007</v>
      </c>
      <c r="W294" s="311" t="s">
        <v>12</v>
      </c>
      <c r="X294" s="311" t="s">
        <v>491</v>
      </c>
      <c r="Y294" s="311"/>
    </row>
    <row r="295" spans="1:29" ht="15" customHeight="1" x14ac:dyDescent="0.2">
      <c r="A295" s="273">
        <v>5</v>
      </c>
      <c r="B295" s="273" t="s">
        <v>188</v>
      </c>
      <c r="C295" s="273" t="s">
        <v>112</v>
      </c>
      <c r="D295" s="273" t="s">
        <v>112</v>
      </c>
      <c r="E295" s="269" t="s">
        <v>1026</v>
      </c>
      <c r="F295" s="311" t="s">
        <v>229</v>
      </c>
      <c r="G295" s="269" t="s">
        <v>705</v>
      </c>
      <c r="H295" s="311" t="s">
        <v>1029</v>
      </c>
      <c r="I295" s="302" t="s">
        <v>456</v>
      </c>
      <c r="J295" s="273" t="s">
        <v>410</v>
      </c>
      <c r="K295" s="302">
        <v>0</v>
      </c>
      <c r="L295" s="273" t="s">
        <v>269</v>
      </c>
      <c r="M295" s="274">
        <v>150000</v>
      </c>
      <c r="N295" s="275">
        <f t="shared" si="20"/>
        <v>0</v>
      </c>
      <c r="O295" s="311">
        <v>0</v>
      </c>
      <c r="P295" s="273">
        <f t="shared" si="21"/>
        <v>0</v>
      </c>
      <c r="Q295" s="313">
        <v>0.16</v>
      </c>
      <c r="R295" s="275">
        <f t="shared" si="22"/>
        <v>0</v>
      </c>
      <c r="S295" s="275">
        <f t="shared" si="23"/>
        <v>0</v>
      </c>
      <c r="T295" s="275">
        <f>INDEX('Glosario Partidas'!$M$8:$M$10,MATCH(L295,'Glosario Partidas'!$L$8:$L$10,0))</f>
        <v>1</v>
      </c>
      <c r="U295" s="275">
        <f t="shared" si="24"/>
        <v>0</v>
      </c>
      <c r="V295" s="311"/>
      <c r="W295" s="311" t="s">
        <v>12</v>
      </c>
      <c r="X295" s="311" t="s">
        <v>493</v>
      </c>
      <c r="Y295" s="311"/>
    </row>
    <row r="296" spans="1:29" ht="16.5" customHeight="1" x14ac:dyDescent="0.2">
      <c r="A296" s="273">
        <v>5</v>
      </c>
      <c r="B296" s="273" t="s">
        <v>188</v>
      </c>
      <c r="C296" s="273" t="s">
        <v>112</v>
      </c>
      <c r="D296" s="273" t="s">
        <v>970</v>
      </c>
      <c r="E296" s="269" t="s">
        <v>1026</v>
      </c>
      <c r="F296" s="311" t="s">
        <v>229</v>
      </c>
      <c r="G296" s="269" t="s">
        <v>705</v>
      </c>
      <c r="H296" s="311" t="s">
        <v>1029</v>
      </c>
      <c r="I296" s="302" t="s">
        <v>456</v>
      </c>
      <c r="J296" s="273" t="s">
        <v>410</v>
      </c>
      <c r="K296" s="302">
        <v>0</v>
      </c>
      <c r="L296" s="273" t="s">
        <v>269</v>
      </c>
      <c r="M296" s="274">
        <v>40000</v>
      </c>
      <c r="N296" s="275">
        <f t="shared" si="20"/>
        <v>0</v>
      </c>
      <c r="O296" s="311">
        <v>0</v>
      </c>
      <c r="P296" s="273">
        <f t="shared" si="21"/>
        <v>0</v>
      </c>
      <c r="Q296" s="313">
        <v>0.16</v>
      </c>
      <c r="R296" s="275">
        <f t="shared" si="22"/>
        <v>0</v>
      </c>
      <c r="S296" s="275">
        <f t="shared" si="23"/>
        <v>0</v>
      </c>
      <c r="T296" s="275">
        <f>INDEX('Glosario Partidas'!$M$8:$M$10,MATCH(L296,'Glosario Partidas'!$L$8:$L$10,0))</f>
        <v>1</v>
      </c>
      <c r="U296" s="275">
        <f t="shared" si="24"/>
        <v>0</v>
      </c>
      <c r="V296" s="311"/>
      <c r="W296" s="311" t="s">
        <v>12</v>
      </c>
      <c r="X296" s="311" t="s">
        <v>493</v>
      </c>
      <c r="Y296" s="311"/>
    </row>
    <row r="297" spans="1:29" ht="15" customHeight="1" x14ac:dyDescent="0.2">
      <c r="A297" s="273">
        <v>5</v>
      </c>
      <c r="B297" s="273" t="s">
        <v>188</v>
      </c>
      <c r="C297" s="273" t="s">
        <v>113</v>
      </c>
      <c r="D297" s="273" t="s">
        <v>459</v>
      </c>
      <c r="E297" s="269" t="s">
        <v>1027</v>
      </c>
      <c r="F297" s="311" t="s">
        <v>229</v>
      </c>
      <c r="G297" s="269" t="s">
        <v>705</v>
      </c>
      <c r="H297" s="311" t="s">
        <v>1029</v>
      </c>
      <c r="I297" s="302" t="s">
        <v>456</v>
      </c>
      <c r="J297" s="273" t="s">
        <v>410</v>
      </c>
      <c r="K297" s="302">
        <v>0</v>
      </c>
      <c r="L297" s="273" t="s">
        <v>269</v>
      </c>
      <c r="M297" s="274">
        <v>46000</v>
      </c>
      <c r="N297" s="275">
        <f t="shared" si="20"/>
        <v>0</v>
      </c>
      <c r="O297" s="311">
        <v>0</v>
      </c>
      <c r="P297" s="273">
        <f t="shared" si="21"/>
        <v>0</v>
      </c>
      <c r="Q297" s="313">
        <v>0.16</v>
      </c>
      <c r="R297" s="275">
        <f t="shared" si="22"/>
        <v>0</v>
      </c>
      <c r="S297" s="275">
        <f t="shared" si="23"/>
        <v>0</v>
      </c>
      <c r="T297" s="275">
        <f>INDEX('Glosario Partidas'!$M$8:$M$10,MATCH(L297,'Glosario Partidas'!$L$8:$L$10,0))</f>
        <v>1</v>
      </c>
      <c r="U297" s="275">
        <f t="shared" si="24"/>
        <v>0</v>
      </c>
      <c r="V297" s="311"/>
      <c r="W297" s="311" t="s">
        <v>12</v>
      </c>
      <c r="X297" s="311" t="s">
        <v>493</v>
      </c>
      <c r="Y297" s="311"/>
    </row>
    <row r="298" spans="1:29" ht="15" customHeight="1" x14ac:dyDescent="0.2">
      <c r="A298" s="273">
        <v>5</v>
      </c>
      <c r="B298" s="273" t="s">
        <v>188</v>
      </c>
      <c r="C298" s="273" t="s">
        <v>113</v>
      </c>
      <c r="D298" s="273" t="s">
        <v>459</v>
      </c>
      <c r="E298" s="269" t="s">
        <v>1026</v>
      </c>
      <c r="F298" s="311" t="s">
        <v>229</v>
      </c>
      <c r="G298" s="269" t="s">
        <v>705</v>
      </c>
      <c r="H298" s="311" t="s">
        <v>1029</v>
      </c>
      <c r="I298" s="302" t="s">
        <v>456</v>
      </c>
      <c r="J298" s="273" t="s">
        <v>410</v>
      </c>
      <c r="K298" s="302">
        <v>0</v>
      </c>
      <c r="L298" s="273" t="s">
        <v>269</v>
      </c>
      <c r="M298" s="274">
        <v>46000</v>
      </c>
      <c r="N298" s="275">
        <f t="shared" si="20"/>
        <v>0</v>
      </c>
      <c r="O298" s="311">
        <v>0</v>
      </c>
      <c r="P298" s="273">
        <f t="shared" si="21"/>
        <v>0</v>
      </c>
      <c r="Q298" s="313">
        <v>0.16</v>
      </c>
      <c r="R298" s="275">
        <f t="shared" si="22"/>
        <v>0</v>
      </c>
      <c r="S298" s="275">
        <f t="shared" si="23"/>
        <v>0</v>
      </c>
      <c r="T298" s="275">
        <f>INDEX('Glosario Partidas'!$M$8:$M$10,MATCH(L298,'Glosario Partidas'!$L$8:$L$10,0))</f>
        <v>1</v>
      </c>
      <c r="U298" s="275">
        <f t="shared" si="24"/>
        <v>0</v>
      </c>
      <c r="V298" s="311"/>
      <c r="W298" s="311" t="s">
        <v>12</v>
      </c>
      <c r="X298" s="311" t="s">
        <v>493</v>
      </c>
      <c r="Y298" s="311"/>
    </row>
    <row r="299" spans="1:29" ht="15" customHeight="1" x14ac:dyDescent="0.2">
      <c r="A299" s="273">
        <v>5</v>
      </c>
      <c r="B299" s="273" t="s">
        <v>188</v>
      </c>
      <c r="C299" s="273" t="s">
        <v>114</v>
      </c>
      <c r="D299" s="273" t="s">
        <v>114</v>
      </c>
      <c r="E299" s="269" t="s">
        <v>1027</v>
      </c>
      <c r="F299" s="311" t="s">
        <v>229</v>
      </c>
      <c r="G299" s="269" t="s">
        <v>705</v>
      </c>
      <c r="H299" s="311" t="s">
        <v>1029</v>
      </c>
      <c r="I299" s="302" t="s">
        <v>456</v>
      </c>
      <c r="J299" s="273" t="s">
        <v>410</v>
      </c>
      <c r="K299" s="302">
        <v>0</v>
      </c>
      <c r="L299" s="273" t="s">
        <v>269</v>
      </c>
      <c r="M299" s="274">
        <v>280000</v>
      </c>
      <c r="N299" s="275">
        <f t="shared" si="20"/>
        <v>0</v>
      </c>
      <c r="O299" s="311">
        <v>0</v>
      </c>
      <c r="P299" s="273">
        <f t="shared" si="21"/>
        <v>0</v>
      </c>
      <c r="Q299" s="313">
        <v>0.16</v>
      </c>
      <c r="R299" s="275">
        <f t="shared" si="22"/>
        <v>0</v>
      </c>
      <c r="S299" s="275">
        <f t="shared" si="23"/>
        <v>0</v>
      </c>
      <c r="T299" s="275">
        <f>INDEX('Glosario Partidas'!$M$8:$M$10,MATCH(L299,'Glosario Partidas'!$L$8:$L$10,0))</f>
        <v>1</v>
      </c>
      <c r="U299" s="275">
        <f t="shared" si="24"/>
        <v>0</v>
      </c>
      <c r="V299" s="311"/>
      <c r="W299" s="311" t="s">
        <v>12</v>
      </c>
      <c r="X299" s="311" t="s">
        <v>493</v>
      </c>
      <c r="Y299" s="311"/>
    </row>
    <row r="300" spans="1:29" ht="15" customHeight="1" x14ac:dyDescent="0.2">
      <c r="A300" s="273"/>
      <c r="B300" s="420" t="s">
        <v>185</v>
      </c>
      <c r="C300" s="273"/>
      <c r="D300" s="273"/>
      <c r="E300" s="269"/>
      <c r="F300" s="311"/>
      <c r="G300" s="269"/>
      <c r="H300" s="311"/>
      <c r="I300" s="302"/>
      <c r="J300" s="273"/>
      <c r="K300" s="302"/>
      <c r="L300" s="273"/>
      <c r="M300" s="274"/>
      <c r="N300" s="275"/>
      <c r="O300" s="311"/>
      <c r="P300" s="273"/>
      <c r="Q300" s="313"/>
      <c r="R300" s="275"/>
      <c r="S300" s="275"/>
      <c r="T300" s="275"/>
      <c r="U300" s="421">
        <f>SUM(U2:U299)</f>
        <v>46223299.084999993</v>
      </c>
      <c r="V300" s="311"/>
      <c r="W300" s="311"/>
      <c r="AB300" s="254">
        <f>SUMIFS($U:$U,$X:$X,"Contratado")</f>
        <v>40103520</v>
      </c>
      <c r="AC300" s="254">
        <f>SUMIFS($U:$U,$X:$X,"No Contratado")</f>
        <v>6119779.084999999</v>
      </c>
    </row>
    <row r="301" spans="1:29" ht="15" customHeight="1" x14ac:dyDescent="0.2">
      <c r="A301" s="211"/>
      <c r="B301" s="211"/>
      <c r="C301" s="211"/>
      <c r="D301" s="211"/>
      <c r="E301" s="78"/>
      <c r="F301" s="307"/>
      <c r="G301" s="78"/>
      <c r="H301" s="307"/>
      <c r="I301" s="422"/>
      <c r="J301" s="211"/>
      <c r="K301" s="422"/>
      <c r="L301" s="211"/>
      <c r="M301" s="142"/>
      <c r="N301" s="423"/>
      <c r="O301" s="307"/>
      <c r="P301" s="211"/>
      <c r="Q301" s="424"/>
      <c r="R301" s="423"/>
      <c r="S301" s="423"/>
      <c r="T301" s="423"/>
      <c r="U301" s="423"/>
      <c r="V301" s="307"/>
      <c r="W301" s="311"/>
    </row>
    <row r="302" spans="1:29" ht="15" customHeight="1" x14ac:dyDescent="0.2">
      <c r="A302" s="211"/>
      <c r="B302" s="211"/>
      <c r="C302" s="211"/>
      <c r="D302" s="211"/>
      <c r="E302" s="78"/>
      <c r="F302" s="307"/>
      <c r="G302" s="78"/>
      <c r="H302" s="307"/>
      <c r="I302" s="422"/>
      <c r="J302" s="211"/>
      <c r="K302" s="422"/>
      <c r="L302" s="211"/>
      <c r="M302" s="142"/>
      <c r="N302" s="423"/>
      <c r="O302" s="307"/>
      <c r="P302" s="211"/>
      <c r="Q302" s="424"/>
      <c r="R302" s="423"/>
      <c r="S302" s="423"/>
      <c r="T302" s="423"/>
      <c r="U302" s="423"/>
      <c r="V302" s="307"/>
      <c r="W302" s="311"/>
    </row>
    <row r="303" spans="1:29" ht="15" customHeight="1" x14ac:dyDescent="0.2">
      <c r="A303" s="211"/>
      <c r="B303" s="211"/>
      <c r="C303" s="211"/>
      <c r="D303" s="211"/>
      <c r="E303" s="78"/>
      <c r="F303" s="307"/>
      <c r="G303" s="78"/>
      <c r="H303" s="307"/>
      <c r="I303" s="422"/>
      <c r="J303" s="211"/>
      <c r="K303" s="422"/>
      <c r="L303" s="211"/>
      <c r="M303" s="142"/>
      <c r="N303" s="423"/>
      <c r="O303" s="307"/>
      <c r="P303" s="211"/>
      <c r="Q303" s="424"/>
      <c r="R303" s="423"/>
      <c r="S303" s="423"/>
      <c r="T303" s="423"/>
      <c r="U303" s="423"/>
      <c r="V303" s="307"/>
      <c r="W303" s="311"/>
    </row>
    <row r="304" spans="1:29" ht="15" customHeight="1" x14ac:dyDescent="0.2">
      <c r="A304" s="211"/>
      <c r="B304" s="211"/>
      <c r="C304" s="211"/>
      <c r="D304" s="211"/>
      <c r="E304" s="78"/>
      <c r="F304" s="307"/>
      <c r="G304" s="78"/>
      <c r="H304" s="307"/>
      <c r="I304" s="422"/>
      <c r="J304" s="211"/>
      <c r="K304" s="422"/>
      <c r="L304" s="211"/>
      <c r="M304" s="142"/>
      <c r="N304" s="423"/>
      <c r="O304" s="307"/>
      <c r="P304" s="211"/>
      <c r="Q304" s="424"/>
      <c r="R304" s="423"/>
      <c r="S304" s="423"/>
      <c r="T304" s="423"/>
      <c r="U304" s="423"/>
      <c r="V304" s="307"/>
      <c r="W304" s="311"/>
    </row>
    <row r="305" spans="1:23" ht="15" customHeight="1" x14ac:dyDescent="0.2">
      <c r="A305" s="211"/>
      <c r="B305" s="211"/>
      <c r="C305" s="211"/>
      <c r="D305" s="211"/>
      <c r="E305" s="78"/>
      <c r="F305" s="307"/>
      <c r="G305" s="78"/>
      <c r="H305" s="307"/>
      <c r="I305" s="422"/>
      <c r="J305" s="211"/>
      <c r="K305" s="422"/>
      <c r="L305" s="211"/>
      <c r="M305" s="142"/>
      <c r="N305" s="423"/>
      <c r="O305" s="307"/>
      <c r="P305" s="211"/>
      <c r="Q305" s="424"/>
      <c r="R305" s="423"/>
      <c r="S305" s="423"/>
      <c r="T305" s="423"/>
      <c r="U305" s="423"/>
      <c r="V305" s="307"/>
      <c r="W305" s="311"/>
    </row>
    <row r="306" spans="1:23" ht="15" customHeight="1" x14ac:dyDescent="0.2">
      <c r="A306" s="211"/>
      <c r="B306" s="211"/>
      <c r="C306" s="211"/>
      <c r="D306" s="211"/>
      <c r="E306" s="78"/>
      <c r="F306" s="307"/>
      <c r="G306" s="78"/>
      <c r="H306" s="307"/>
      <c r="I306" s="422"/>
      <c r="J306" s="211"/>
      <c r="K306" s="422"/>
      <c r="L306" s="211"/>
      <c r="M306" s="142"/>
      <c r="N306" s="423"/>
      <c r="O306" s="307"/>
      <c r="P306" s="211"/>
      <c r="Q306" s="424"/>
      <c r="R306" s="423"/>
      <c r="S306" s="423"/>
      <c r="T306" s="423"/>
      <c r="U306" s="423"/>
      <c r="V306" s="307"/>
      <c r="W306" s="311"/>
    </row>
    <row r="307" spans="1:23" ht="15" customHeight="1" x14ac:dyDescent="0.2">
      <c r="A307" s="211"/>
      <c r="B307" s="211"/>
      <c r="C307" s="211"/>
      <c r="D307" s="211"/>
      <c r="E307" s="78"/>
      <c r="F307" s="307"/>
      <c r="G307" s="78"/>
      <c r="H307" s="307"/>
      <c r="I307" s="422"/>
      <c r="J307" s="211"/>
      <c r="K307" s="422"/>
      <c r="L307" s="211"/>
      <c r="M307" s="142"/>
      <c r="N307" s="423"/>
      <c r="O307" s="307"/>
      <c r="P307" s="211"/>
      <c r="Q307" s="424"/>
      <c r="R307" s="423"/>
      <c r="S307" s="423"/>
      <c r="T307" s="423"/>
      <c r="U307" s="423"/>
      <c r="V307" s="307"/>
      <c r="W307" s="311"/>
    </row>
    <row r="308" spans="1:23" ht="15" customHeight="1" x14ac:dyDescent="0.2">
      <c r="A308" s="211"/>
      <c r="B308" s="211"/>
      <c r="C308" s="211"/>
      <c r="D308" s="211"/>
      <c r="E308" s="78"/>
      <c r="F308" s="307"/>
      <c r="G308" s="78"/>
      <c r="H308" s="307"/>
      <c r="I308" s="422"/>
      <c r="J308" s="211"/>
      <c r="K308" s="422"/>
      <c r="L308" s="211"/>
      <c r="M308" s="142"/>
      <c r="N308" s="423"/>
      <c r="O308" s="307"/>
      <c r="P308" s="211"/>
      <c r="Q308" s="424"/>
      <c r="R308" s="423"/>
      <c r="S308" s="423"/>
      <c r="T308" s="423"/>
      <c r="U308" s="423"/>
      <c r="V308" s="307"/>
      <c r="W308" s="311"/>
    </row>
    <row r="309" spans="1:23" ht="15" customHeight="1" x14ac:dyDescent="0.2">
      <c r="A309" s="211"/>
      <c r="B309" s="211"/>
      <c r="C309" s="211"/>
      <c r="D309" s="211"/>
      <c r="E309" s="78"/>
      <c r="F309" s="307"/>
      <c r="G309" s="78"/>
      <c r="H309" s="307"/>
      <c r="I309" s="422"/>
      <c r="J309" s="211"/>
      <c r="K309" s="422"/>
      <c r="L309" s="211"/>
      <c r="M309" s="142"/>
      <c r="N309" s="423"/>
      <c r="O309" s="307"/>
      <c r="P309" s="211"/>
      <c r="Q309" s="424"/>
      <c r="R309" s="423"/>
      <c r="S309" s="423"/>
      <c r="T309" s="423"/>
      <c r="U309" s="423"/>
      <c r="V309" s="307"/>
      <c r="W309" s="311"/>
    </row>
    <row r="310" spans="1:23" ht="15" customHeight="1" x14ac:dyDescent="0.2">
      <c r="A310" s="211"/>
      <c r="B310" s="211"/>
      <c r="C310" s="211"/>
      <c r="D310" s="211"/>
      <c r="E310" s="78"/>
      <c r="F310" s="307"/>
      <c r="G310" s="78"/>
      <c r="H310" s="307"/>
      <c r="I310" s="422"/>
      <c r="J310" s="211"/>
      <c r="K310" s="422"/>
      <c r="L310" s="211"/>
      <c r="M310" s="142"/>
      <c r="N310" s="423"/>
      <c r="O310" s="307"/>
      <c r="P310" s="211"/>
      <c r="Q310" s="424"/>
      <c r="R310" s="423"/>
      <c r="S310" s="423"/>
      <c r="T310" s="423"/>
      <c r="U310" s="423"/>
      <c r="V310" s="307"/>
      <c r="W310" s="311"/>
    </row>
    <row r="311" spans="1:23" ht="15" customHeight="1" x14ac:dyDescent="0.2">
      <c r="A311" s="211"/>
      <c r="B311" s="211"/>
      <c r="C311" s="211"/>
      <c r="D311" s="211"/>
      <c r="E311" s="78"/>
      <c r="F311" s="307"/>
      <c r="G311" s="78"/>
      <c r="H311" s="307"/>
      <c r="I311" s="422"/>
      <c r="J311" s="211"/>
      <c r="K311" s="422"/>
      <c r="L311" s="211"/>
      <c r="M311" s="142"/>
      <c r="N311" s="423"/>
      <c r="O311" s="307"/>
      <c r="P311" s="211"/>
      <c r="Q311" s="424"/>
      <c r="R311" s="423"/>
      <c r="S311" s="423"/>
      <c r="T311" s="423"/>
      <c r="U311" s="423"/>
      <c r="V311" s="307"/>
      <c r="W311" s="311"/>
    </row>
    <row r="312" spans="1:23" ht="15" customHeight="1" x14ac:dyDescent="0.2">
      <c r="A312" s="211"/>
      <c r="B312" s="211"/>
      <c r="C312" s="211"/>
      <c r="D312" s="211"/>
      <c r="E312" s="78"/>
      <c r="F312" s="307"/>
      <c r="G312" s="78"/>
      <c r="H312" s="307"/>
      <c r="I312" s="422"/>
      <c r="J312" s="211"/>
      <c r="K312" s="422"/>
      <c r="L312" s="211"/>
      <c r="M312" s="142"/>
      <c r="N312" s="423"/>
      <c r="O312" s="307"/>
      <c r="P312" s="211"/>
      <c r="Q312" s="424"/>
      <c r="R312" s="423"/>
      <c r="S312" s="423"/>
      <c r="T312" s="423"/>
      <c r="U312" s="423"/>
      <c r="V312" s="307"/>
      <c r="W312" s="311"/>
    </row>
    <row r="313" spans="1:23" ht="15" customHeight="1" x14ac:dyDescent="0.2">
      <c r="A313" s="211"/>
      <c r="B313" s="211"/>
      <c r="C313" s="211"/>
      <c r="D313" s="211"/>
      <c r="E313" s="78"/>
      <c r="F313" s="307"/>
      <c r="G313" s="78"/>
      <c r="H313" s="307"/>
      <c r="I313" s="422"/>
      <c r="J313" s="211"/>
      <c r="K313" s="422"/>
      <c r="L313" s="211"/>
      <c r="M313" s="142"/>
      <c r="N313" s="423"/>
      <c r="O313" s="307"/>
      <c r="P313" s="211"/>
      <c r="Q313" s="424"/>
      <c r="R313" s="423"/>
      <c r="S313" s="423"/>
      <c r="T313" s="423"/>
      <c r="U313" s="423"/>
      <c r="V313" s="307"/>
      <c r="W313" s="311"/>
    </row>
    <row r="314" spans="1:23" ht="15" customHeight="1" x14ac:dyDescent="0.2">
      <c r="A314" s="211"/>
      <c r="B314" s="211"/>
      <c r="C314" s="211"/>
      <c r="D314" s="211"/>
      <c r="E314" s="78"/>
      <c r="F314" s="307"/>
      <c r="G314" s="78"/>
      <c r="H314" s="307"/>
      <c r="I314" s="422"/>
      <c r="J314" s="211"/>
      <c r="K314" s="422"/>
      <c r="L314" s="211"/>
      <c r="M314" s="142"/>
      <c r="N314" s="423"/>
      <c r="O314" s="307"/>
      <c r="P314" s="211"/>
      <c r="Q314" s="424"/>
      <c r="R314" s="423"/>
      <c r="S314" s="423"/>
      <c r="T314" s="423"/>
      <c r="U314" s="423"/>
      <c r="V314" s="307"/>
      <c r="W314" s="311"/>
    </row>
    <row r="315" spans="1:23" ht="15" customHeight="1" x14ac:dyDescent="0.2">
      <c r="A315" s="211"/>
      <c r="B315" s="211"/>
      <c r="C315" s="211"/>
      <c r="D315" s="211"/>
      <c r="E315" s="78"/>
      <c r="F315" s="307"/>
      <c r="G315" s="78"/>
      <c r="H315" s="307"/>
      <c r="I315" s="422"/>
      <c r="J315" s="211"/>
      <c r="K315" s="422"/>
      <c r="L315" s="211"/>
      <c r="M315" s="142"/>
      <c r="N315" s="423"/>
      <c r="O315" s="307"/>
      <c r="P315" s="211"/>
      <c r="Q315" s="424"/>
      <c r="R315" s="423"/>
      <c r="S315" s="423"/>
      <c r="T315" s="423"/>
      <c r="U315" s="423"/>
      <c r="V315" s="307"/>
      <c r="W315" s="311"/>
    </row>
    <row r="316" spans="1:23" ht="15" customHeight="1" x14ac:dyDescent="0.2">
      <c r="A316" s="211"/>
      <c r="B316" s="211"/>
      <c r="C316" s="211"/>
      <c r="D316" s="211"/>
      <c r="E316" s="78"/>
      <c r="F316" s="307"/>
      <c r="G316" s="78"/>
      <c r="H316" s="307"/>
      <c r="I316" s="307"/>
      <c r="J316" s="211"/>
      <c r="K316" s="307"/>
      <c r="L316" s="211"/>
      <c r="M316" s="230"/>
      <c r="N316" s="423"/>
      <c r="O316" s="307"/>
      <c r="P316" s="211"/>
      <c r="Q316" s="424"/>
      <c r="R316" s="423"/>
      <c r="S316" s="423"/>
      <c r="T316" s="423"/>
      <c r="U316" s="423"/>
      <c r="V316" s="307"/>
      <c r="W316" s="311"/>
    </row>
    <row r="317" spans="1:23" ht="15" customHeight="1" x14ac:dyDescent="0.2">
      <c r="A317" s="211"/>
      <c r="B317" s="211"/>
      <c r="C317" s="211"/>
      <c r="D317" s="211"/>
      <c r="E317" s="78"/>
      <c r="F317" s="307"/>
      <c r="G317" s="78"/>
      <c r="H317" s="307"/>
      <c r="I317" s="422"/>
      <c r="J317" s="211"/>
      <c r="K317" s="422"/>
      <c r="L317" s="211"/>
      <c r="M317" s="142"/>
      <c r="N317" s="423"/>
      <c r="O317" s="307"/>
      <c r="P317" s="211"/>
      <c r="Q317" s="424"/>
      <c r="R317" s="423"/>
      <c r="S317" s="423"/>
      <c r="T317" s="423"/>
      <c r="U317" s="423"/>
      <c r="V317" s="307"/>
      <c r="W317" s="311"/>
    </row>
    <row r="318" spans="1:23" ht="15" customHeight="1" x14ac:dyDescent="0.2">
      <c r="A318" s="211"/>
      <c r="B318" s="211"/>
      <c r="C318" s="211"/>
      <c r="D318" s="211"/>
      <c r="E318" s="78"/>
      <c r="F318" s="307"/>
      <c r="G318" s="78"/>
      <c r="H318" s="307"/>
      <c r="I318" s="422"/>
      <c r="J318" s="211"/>
      <c r="K318" s="422"/>
      <c r="L318" s="211"/>
      <c r="M318" s="142"/>
      <c r="N318" s="423"/>
      <c r="O318" s="307"/>
      <c r="P318" s="211"/>
      <c r="Q318" s="424"/>
      <c r="R318" s="423"/>
      <c r="S318" s="423"/>
      <c r="T318" s="423"/>
      <c r="U318" s="423"/>
      <c r="V318" s="307"/>
      <c r="W318" s="311"/>
    </row>
    <row r="319" spans="1:23" ht="15" customHeight="1" x14ac:dyDescent="0.2">
      <c r="A319" s="211"/>
      <c r="B319" s="211"/>
      <c r="C319" s="211"/>
      <c r="D319" s="211"/>
      <c r="E319" s="78"/>
      <c r="F319" s="307"/>
      <c r="G319" s="78"/>
      <c r="H319" s="307"/>
      <c r="I319" s="422"/>
      <c r="J319" s="211"/>
      <c r="K319" s="422"/>
      <c r="L319" s="211"/>
      <c r="M319" s="142"/>
      <c r="N319" s="423"/>
      <c r="O319" s="307"/>
      <c r="P319" s="211"/>
      <c r="Q319" s="424"/>
      <c r="R319" s="423"/>
      <c r="S319" s="423"/>
      <c r="T319" s="423"/>
      <c r="U319" s="423"/>
      <c r="V319" s="307"/>
      <c r="W319" s="311"/>
    </row>
    <row r="320" spans="1:23" ht="15" customHeight="1" x14ac:dyDescent="0.2">
      <c r="A320" s="211"/>
      <c r="B320" s="211"/>
      <c r="C320" s="211"/>
      <c r="D320" s="211"/>
      <c r="E320" s="78"/>
      <c r="F320" s="307"/>
      <c r="G320" s="78"/>
      <c r="H320" s="307"/>
      <c r="I320" s="422"/>
      <c r="J320" s="211"/>
      <c r="K320" s="422"/>
      <c r="L320" s="211"/>
      <c r="M320" s="142"/>
      <c r="N320" s="423"/>
      <c r="O320" s="307"/>
      <c r="P320" s="211"/>
      <c r="Q320" s="424"/>
      <c r="R320" s="423"/>
      <c r="S320" s="423"/>
      <c r="T320" s="423"/>
      <c r="U320" s="423"/>
      <c r="V320" s="307"/>
      <c r="W320" s="311"/>
    </row>
    <row r="321" spans="1:23" ht="15" customHeight="1" x14ac:dyDescent="0.2">
      <c r="A321" s="211"/>
      <c r="B321" s="211"/>
      <c r="C321" s="211"/>
      <c r="D321" s="211"/>
      <c r="E321" s="78"/>
      <c r="F321" s="307"/>
      <c r="G321" s="78"/>
      <c r="H321" s="307"/>
      <c r="I321" s="422"/>
      <c r="J321" s="211"/>
      <c r="K321" s="422"/>
      <c r="L321" s="211"/>
      <c r="M321" s="142"/>
      <c r="N321" s="423"/>
      <c r="O321" s="307"/>
      <c r="P321" s="211"/>
      <c r="Q321" s="424"/>
      <c r="R321" s="423"/>
      <c r="S321" s="423"/>
      <c r="T321" s="423"/>
      <c r="U321" s="423"/>
      <c r="V321" s="307"/>
      <c r="W321" s="311"/>
    </row>
    <row r="322" spans="1:23" ht="15" customHeight="1" x14ac:dyDescent="0.2">
      <c r="A322" s="211"/>
      <c r="B322" s="211"/>
      <c r="C322" s="211"/>
      <c r="D322" s="211"/>
      <c r="E322" s="78"/>
      <c r="F322" s="307"/>
      <c r="G322" s="78"/>
      <c r="H322" s="307"/>
      <c r="I322" s="422"/>
      <c r="J322" s="211"/>
      <c r="K322" s="422"/>
      <c r="L322" s="211"/>
      <c r="M322" s="142"/>
      <c r="N322" s="423"/>
      <c r="O322" s="307"/>
      <c r="P322" s="211"/>
      <c r="Q322" s="424"/>
      <c r="R322" s="423"/>
      <c r="S322" s="423"/>
      <c r="T322" s="423"/>
      <c r="U322" s="423"/>
      <c r="V322" s="307"/>
      <c r="W322" s="311"/>
    </row>
    <row r="323" spans="1:23" ht="15" customHeight="1" x14ac:dyDescent="0.2">
      <c r="A323" s="211"/>
      <c r="B323" s="211"/>
      <c r="C323" s="211"/>
      <c r="D323" s="211"/>
      <c r="E323" s="78"/>
      <c r="F323" s="307"/>
      <c r="G323" s="78"/>
      <c r="H323" s="307"/>
      <c r="I323" s="422"/>
      <c r="J323" s="211"/>
      <c r="K323" s="422"/>
      <c r="L323" s="211"/>
      <c r="M323" s="142"/>
      <c r="N323" s="423"/>
      <c r="O323" s="307"/>
      <c r="P323" s="211"/>
      <c r="Q323" s="424"/>
      <c r="R323" s="423"/>
      <c r="S323" s="423"/>
      <c r="T323" s="423"/>
      <c r="U323" s="423"/>
      <c r="V323" s="307"/>
      <c r="W323" s="311"/>
    </row>
    <row r="324" spans="1:23" ht="15" customHeight="1" x14ac:dyDescent="0.2">
      <c r="A324" s="211"/>
      <c r="B324" s="211"/>
      <c r="C324" s="211"/>
      <c r="D324" s="211"/>
      <c r="E324" s="78"/>
      <c r="F324" s="307"/>
      <c r="G324" s="78"/>
      <c r="H324" s="307"/>
      <c r="I324" s="422"/>
      <c r="J324" s="211"/>
      <c r="K324" s="422"/>
      <c r="L324" s="211"/>
      <c r="M324" s="142"/>
      <c r="N324" s="423"/>
      <c r="O324" s="307"/>
      <c r="P324" s="211"/>
      <c r="Q324" s="424"/>
      <c r="R324" s="423"/>
      <c r="S324" s="423"/>
      <c r="T324" s="423"/>
      <c r="U324" s="423"/>
      <c r="V324" s="307"/>
      <c r="W324" s="311"/>
    </row>
    <row r="325" spans="1:23" ht="15" customHeight="1" x14ac:dyDescent="0.2">
      <c r="A325" s="211"/>
      <c r="B325" s="211"/>
      <c r="C325" s="211"/>
      <c r="D325" s="211"/>
      <c r="E325" s="78"/>
      <c r="F325" s="307"/>
      <c r="G325" s="78"/>
      <c r="H325" s="307"/>
      <c r="I325" s="422"/>
      <c r="J325" s="211"/>
      <c r="K325" s="422"/>
      <c r="L325" s="211"/>
      <c r="M325" s="142"/>
      <c r="N325" s="423"/>
      <c r="O325" s="307"/>
      <c r="P325" s="211"/>
      <c r="Q325" s="424"/>
      <c r="R325" s="423"/>
      <c r="S325" s="423"/>
      <c r="T325" s="423"/>
      <c r="U325" s="423"/>
      <c r="V325" s="307"/>
      <c r="W325" s="311"/>
    </row>
    <row r="326" spans="1:23" ht="15" customHeight="1" x14ac:dyDescent="0.2">
      <c r="A326" s="211"/>
      <c r="B326" s="211"/>
      <c r="C326" s="211"/>
      <c r="D326" s="211"/>
      <c r="E326" s="78"/>
      <c r="F326" s="307"/>
      <c r="G326" s="78"/>
      <c r="H326" s="307"/>
      <c r="I326" s="422"/>
      <c r="J326" s="211"/>
      <c r="K326" s="422"/>
      <c r="L326" s="211"/>
      <c r="M326" s="142"/>
      <c r="N326" s="423"/>
      <c r="O326" s="307"/>
      <c r="P326" s="211"/>
      <c r="Q326" s="424"/>
      <c r="R326" s="423"/>
      <c r="S326" s="423"/>
      <c r="T326" s="423"/>
      <c r="U326" s="423"/>
      <c r="V326" s="307"/>
      <c r="W326" s="311"/>
    </row>
    <row r="327" spans="1:23" ht="15" customHeight="1" x14ac:dyDescent="0.2">
      <c r="A327" s="211"/>
      <c r="B327" s="211"/>
      <c r="C327" s="211"/>
      <c r="D327" s="211"/>
      <c r="E327" s="78"/>
      <c r="F327" s="307"/>
      <c r="G327" s="78"/>
      <c r="H327" s="307"/>
      <c r="I327" s="422"/>
      <c r="J327" s="211"/>
      <c r="K327" s="422"/>
      <c r="L327" s="211"/>
      <c r="M327" s="142"/>
      <c r="N327" s="423"/>
      <c r="O327" s="307"/>
      <c r="P327" s="211"/>
      <c r="Q327" s="424"/>
      <c r="R327" s="423"/>
      <c r="S327" s="423"/>
      <c r="T327" s="423"/>
      <c r="U327" s="423"/>
      <c r="V327" s="307"/>
      <c r="W327" s="311"/>
    </row>
    <row r="328" spans="1:23" ht="15" customHeight="1" x14ac:dyDescent="0.2">
      <c r="A328" s="211"/>
      <c r="B328" s="211"/>
      <c r="C328" s="211"/>
      <c r="D328" s="211"/>
      <c r="E328" s="78"/>
      <c r="F328" s="307"/>
      <c r="G328" s="78"/>
      <c r="H328" s="307"/>
      <c r="I328" s="422"/>
      <c r="J328" s="211"/>
      <c r="K328" s="422"/>
      <c r="L328" s="211"/>
      <c r="M328" s="142"/>
      <c r="N328" s="423"/>
      <c r="O328" s="307"/>
      <c r="P328" s="211"/>
      <c r="Q328" s="424"/>
      <c r="R328" s="423"/>
      <c r="S328" s="423"/>
      <c r="T328" s="423"/>
      <c r="U328" s="423"/>
      <c r="V328" s="307"/>
      <c r="W328" s="311"/>
    </row>
    <row r="329" spans="1:23" ht="15" customHeight="1" x14ac:dyDescent="0.2">
      <c r="A329" s="211"/>
      <c r="B329" s="211"/>
      <c r="C329" s="211"/>
      <c r="D329" s="211"/>
      <c r="E329" s="78"/>
      <c r="F329" s="307"/>
      <c r="G329" s="78"/>
      <c r="H329" s="307"/>
      <c r="I329" s="422"/>
      <c r="J329" s="211"/>
      <c r="K329" s="422"/>
      <c r="L329" s="211"/>
      <c r="M329" s="142"/>
      <c r="N329" s="423"/>
      <c r="O329" s="307"/>
      <c r="P329" s="211"/>
      <c r="Q329" s="424"/>
      <c r="R329" s="423"/>
      <c r="S329" s="423"/>
      <c r="T329" s="423"/>
      <c r="U329" s="423"/>
      <c r="V329" s="307"/>
      <c r="W329" s="311"/>
    </row>
    <row r="330" spans="1:23" ht="15" customHeight="1" x14ac:dyDescent="0.2">
      <c r="A330" s="211"/>
      <c r="B330" s="211"/>
      <c r="C330" s="211"/>
      <c r="D330" s="211"/>
      <c r="E330" s="78"/>
      <c r="F330" s="307"/>
      <c r="G330" s="78"/>
      <c r="H330" s="307"/>
      <c r="I330" s="422"/>
      <c r="J330" s="211"/>
      <c r="K330" s="422"/>
      <c r="L330" s="211"/>
      <c r="M330" s="142"/>
      <c r="N330" s="423"/>
      <c r="O330" s="307"/>
      <c r="P330" s="211"/>
      <c r="Q330" s="424"/>
      <c r="R330" s="423"/>
      <c r="S330" s="423"/>
      <c r="T330" s="423"/>
      <c r="U330" s="423"/>
      <c r="V330" s="307"/>
      <c r="W330" s="311"/>
    </row>
    <row r="331" spans="1:23" ht="15" customHeight="1" x14ac:dyDescent="0.2">
      <c r="A331" s="211"/>
      <c r="B331" s="211"/>
      <c r="C331" s="211"/>
      <c r="D331" s="211"/>
      <c r="E331" s="78"/>
      <c r="F331" s="307"/>
      <c r="G331" s="78"/>
      <c r="H331" s="307"/>
      <c r="I331" s="422"/>
      <c r="J331" s="211"/>
      <c r="K331" s="422"/>
      <c r="L331" s="211"/>
      <c r="M331" s="142"/>
      <c r="N331" s="423"/>
      <c r="O331" s="307"/>
      <c r="P331" s="211"/>
      <c r="Q331" s="424"/>
      <c r="R331" s="423"/>
      <c r="S331" s="423"/>
      <c r="T331" s="423"/>
      <c r="U331" s="423"/>
      <c r="V331" s="307"/>
      <c r="W331" s="311"/>
    </row>
    <row r="332" spans="1:23" ht="15" customHeight="1" x14ac:dyDescent="0.2">
      <c r="A332" s="211"/>
      <c r="B332" s="211"/>
      <c r="C332" s="211"/>
      <c r="D332" s="211"/>
      <c r="E332" s="78"/>
      <c r="F332" s="307"/>
      <c r="G332" s="78"/>
      <c r="H332" s="307"/>
      <c r="I332" s="422"/>
      <c r="J332" s="211"/>
      <c r="K332" s="422"/>
      <c r="L332" s="211"/>
      <c r="M332" s="142"/>
      <c r="N332" s="423"/>
      <c r="O332" s="307"/>
      <c r="P332" s="211"/>
      <c r="Q332" s="424"/>
      <c r="R332" s="423"/>
      <c r="S332" s="423"/>
      <c r="T332" s="423"/>
      <c r="U332" s="423"/>
      <c r="V332" s="307"/>
      <c r="W332" s="311"/>
    </row>
    <row r="333" spans="1:23" ht="15" customHeight="1" x14ac:dyDescent="0.2">
      <c r="A333" s="211"/>
      <c r="B333" s="211"/>
      <c r="C333" s="211"/>
      <c r="D333" s="211"/>
      <c r="E333" s="78"/>
      <c r="F333" s="307"/>
      <c r="G333" s="78"/>
      <c r="H333" s="307"/>
      <c r="I333" s="422"/>
      <c r="J333" s="211"/>
      <c r="K333" s="422"/>
      <c r="L333" s="211"/>
      <c r="M333" s="142"/>
      <c r="N333" s="423"/>
      <c r="O333" s="307"/>
      <c r="P333" s="211"/>
      <c r="Q333" s="424"/>
      <c r="R333" s="423"/>
      <c r="S333" s="423"/>
      <c r="T333" s="423"/>
      <c r="U333" s="423"/>
      <c r="V333" s="307"/>
      <c r="W333" s="311"/>
    </row>
    <row r="334" spans="1:23" ht="15" customHeight="1" x14ac:dyDescent="0.2">
      <c r="A334" s="211"/>
      <c r="B334" s="211"/>
      <c r="C334" s="211"/>
      <c r="D334" s="211"/>
      <c r="E334" s="78"/>
      <c r="F334" s="307"/>
      <c r="G334" s="78"/>
      <c r="H334" s="307"/>
      <c r="I334" s="422"/>
      <c r="J334" s="211"/>
      <c r="K334" s="422"/>
      <c r="L334" s="211"/>
      <c r="M334" s="142"/>
      <c r="N334" s="423"/>
      <c r="O334" s="307"/>
      <c r="P334" s="211"/>
      <c r="Q334" s="424"/>
      <c r="R334" s="423"/>
      <c r="S334" s="423"/>
      <c r="T334" s="423"/>
      <c r="U334" s="423"/>
      <c r="V334" s="307"/>
      <c r="W334" s="311"/>
    </row>
    <row r="335" spans="1:23" ht="15" customHeight="1" x14ac:dyDescent="0.2">
      <c r="A335" s="211"/>
      <c r="B335" s="211"/>
      <c r="C335" s="211"/>
      <c r="D335" s="211"/>
      <c r="E335" s="78"/>
      <c r="F335" s="307"/>
      <c r="G335" s="78"/>
      <c r="H335" s="307"/>
      <c r="I335" s="422"/>
      <c r="J335" s="211"/>
      <c r="K335" s="422"/>
      <c r="L335" s="211"/>
      <c r="M335" s="142"/>
      <c r="N335" s="423"/>
      <c r="O335" s="307"/>
      <c r="P335" s="211"/>
      <c r="Q335" s="424"/>
      <c r="R335" s="423"/>
      <c r="S335" s="423"/>
      <c r="T335" s="423"/>
      <c r="U335" s="423"/>
      <c r="V335" s="307"/>
      <c r="W335" s="311"/>
    </row>
    <row r="336" spans="1:23" ht="15" customHeight="1" x14ac:dyDescent="0.2">
      <c r="A336" s="211"/>
      <c r="B336" s="211"/>
      <c r="C336" s="211"/>
      <c r="D336" s="211"/>
      <c r="E336" s="78"/>
      <c r="F336" s="307"/>
      <c r="G336" s="78"/>
      <c r="H336" s="307"/>
      <c r="I336" s="422"/>
      <c r="J336" s="211"/>
      <c r="K336" s="422"/>
      <c r="L336" s="211"/>
      <c r="M336" s="142"/>
      <c r="N336" s="423"/>
      <c r="O336" s="307"/>
      <c r="P336" s="211"/>
      <c r="Q336" s="424"/>
      <c r="R336" s="423"/>
      <c r="S336" s="423"/>
      <c r="T336" s="423"/>
      <c r="U336" s="423"/>
      <c r="V336" s="307"/>
      <c r="W336" s="311"/>
    </row>
    <row r="337" spans="1:23" ht="15" customHeight="1" x14ac:dyDescent="0.2">
      <c r="A337" s="211"/>
      <c r="B337" s="211"/>
      <c r="C337" s="211"/>
      <c r="D337" s="211"/>
      <c r="E337" s="78"/>
      <c r="F337" s="307"/>
      <c r="G337" s="78"/>
      <c r="H337" s="307"/>
      <c r="I337" s="422"/>
      <c r="J337" s="211"/>
      <c r="K337" s="422"/>
      <c r="L337" s="211"/>
      <c r="M337" s="142"/>
      <c r="N337" s="423"/>
      <c r="O337" s="307"/>
      <c r="P337" s="211"/>
      <c r="Q337" s="424"/>
      <c r="R337" s="423"/>
      <c r="S337" s="423"/>
      <c r="T337" s="423"/>
      <c r="U337" s="423"/>
      <c r="V337" s="307"/>
      <c r="W337" s="311"/>
    </row>
    <row r="338" spans="1:23" ht="15" customHeight="1" x14ac:dyDescent="0.2">
      <c r="A338" s="211"/>
      <c r="B338" s="211"/>
      <c r="C338" s="211"/>
      <c r="D338" s="211"/>
      <c r="E338" s="78"/>
      <c r="F338" s="307"/>
      <c r="G338" s="78"/>
      <c r="H338" s="307"/>
      <c r="I338" s="422"/>
      <c r="J338" s="211"/>
      <c r="K338" s="422"/>
      <c r="L338" s="211"/>
      <c r="M338" s="142"/>
      <c r="N338" s="423"/>
      <c r="O338" s="307"/>
      <c r="P338" s="211"/>
      <c r="Q338" s="424"/>
      <c r="R338" s="423"/>
      <c r="S338" s="423"/>
      <c r="T338" s="423"/>
      <c r="U338" s="423"/>
      <c r="V338" s="307"/>
      <c r="W338" s="311"/>
    </row>
    <row r="339" spans="1:23" ht="15" customHeight="1" x14ac:dyDescent="0.2">
      <c r="A339" s="211"/>
      <c r="B339" s="211"/>
      <c r="C339" s="211"/>
      <c r="D339" s="211"/>
      <c r="E339" s="78"/>
      <c r="F339" s="307"/>
      <c r="G339" s="78"/>
      <c r="H339" s="307"/>
      <c r="I339" s="422"/>
      <c r="J339" s="211"/>
      <c r="K339" s="422"/>
      <c r="L339" s="211"/>
      <c r="M339" s="142"/>
      <c r="N339" s="423"/>
      <c r="O339" s="307"/>
      <c r="P339" s="211"/>
      <c r="Q339" s="424"/>
      <c r="R339" s="423"/>
      <c r="S339" s="423"/>
      <c r="T339" s="423"/>
      <c r="U339" s="423"/>
      <c r="V339" s="307"/>
      <c r="W339" s="311"/>
    </row>
    <row r="340" spans="1:23" ht="15" customHeight="1" x14ac:dyDescent="0.2">
      <c r="A340" s="211"/>
      <c r="B340" s="211"/>
      <c r="C340" s="211"/>
      <c r="D340" s="211"/>
      <c r="E340" s="78"/>
      <c r="F340" s="307"/>
      <c r="G340" s="78"/>
      <c r="H340" s="307"/>
      <c r="I340" s="422"/>
      <c r="J340" s="211"/>
      <c r="K340" s="422"/>
      <c r="L340" s="211"/>
      <c r="M340" s="142"/>
      <c r="N340" s="423"/>
      <c r="O340" s="307"/>
      <c r="P340" s="211"/>
      <c r="Q340" s="424"/>
      <c r="R340" s="423"/>
      <c r="S340" s="423"/>
      <c r="T340" s="423"/>
      <c r="U340" s="423"/>
      <c r="V340" s="307"/>
      <c r="W340" s="311"/>
    </row>
    <row r="341" spans="1:23" ht="15" customHeight="1" x14ac:dyDescent="0.2">
      <c r="A341" s="211"/>
      <c r="B341" s="211"/>
      <c r="C341" s="211"/>
      <c r="D341" s="211"/>
      <c r="E341" s="78"/>
      <c r="F341" s="307"/>
      <c r="G341" s="78"/>
      <c r="H341" s="307"/>
      <c r="I341" s="422"/>
      <c r="J341" s="211"/>
      <c r="K341" s="422"/>
      <c r="L341" s="211"/>
      <c r="M341" s="142"/>
      <c r="N341" s="423"/>
      <c r="O341" s="307"/>
      <c r="P341" s="211"/>
      <c r="Q341" s="424"/>
      <c r="R341" s="423"/>
      <c r="S341" s="423"/>
      <c r="T341" s="423"/>
      <c r="U341" s="423"/>
      <c r="V341" s="307"/>
      <c r="W341" s="311"/>
    </row>
    <row r="342" spans="1:23" ht="15" customHeight="1" x14ac:dyDescent="0.2">
      <c r="A342" s="211"/>
      <c r="B342" s="211"/>
      <c r="C342" s="211"/>
      <c r="D342" s="211"/>
      <c r="E342" s="78"/>
      <c r="F342" s="307"/>
      <c r="G342" s="78"/>
      <c r="H342" s="307"/>
      <c r="I342" s="422"/>
      <c r="J342" s="211"/>
      <c r="K342" s="422"/>
      <c r="L342" s="211"/>
      <c r="M342" s="142"/>
      <c r="N342" s="423"/>
      <c r="O342" s="307"/>
      <c r="P342" s="211"/>
      <c r="Q342" s="424"/>
      <c r="R342" s="423"/>
      <c r="S342" s="423"/>
      <c r="T342" s="423"/>
      <c r="U342" s="423"/>
      <c r="V342" s="307"/>
      <c r="W342" s="311"/>
    </row>
    <row r="343" spans="1:23" ht="15" customHeight="1" x14ac:dyDescent="0.2">
      <c r="A343" s="211"/>
      <c r="B343" s="211"/>
      <c r="C343" s="211"/>
      <c r="D343" s="211"/>
      <c r="E343" s="78"/>
      <c r="F343" s="307"/>
      <c r="G343" s="78"/>
      <c r="H343" s="307"/>
      <c r="I343" s="422"/>
      <c r="J343" s="211"/>
      <c r="K343" s="422"/>
      <c r="L343" s="211"/>
      <c r="M343" s="142"/>
      <c r="N343" s="423"/>
      <c r="O343" s="307"/>
      <c r="P343" s="211"/>
      <c r="Q343" s="424"/>
      <c r="R343" s="423"/>
      <c r="S343" s="423"/>
      <c r="T343" s="423"/>
      <c r="U343" s="423"/>
      <c r="V343" s="307"/>
      <c r="W343" s="311"/>
    </row>
    <row r="344" spans="1:23" ht="15" customHeight="1" x14ac:dyDescent="0.2">
      <c r="A344" s="211"/>
      <c r="B344" s="211"/>
      <c r="C344" s="211"/>
      <c r="D344" s="211"/>
      <c r="E344" s="78"/>
      <c r="F344" s="307"/>
      <c r="G344" s="78"/>
      <c r="H344" s="307"/>
      <c r="I344" s="422"/>
      <c r="J344" s="211"/>
      <c r="K344" s="422"/>
      <c r="L344" s="211"/>
      <c r="M344" s="142"/>
      <c r="N344" s="423"/>
      <c r="O344" s="307"/>
      <c r="P344" s="211"/>
      <c r="Q344" s="424"/>
      <c r="R344" s="423"/>
      <c r="S344" s="423"/>
      <c r="T344" s="423"/>
      <c r="U344" s="423"/>
      <c r="V344" s="307"/>
      <c r="W344" s="311"/>
    </row>
    <row r="345" spans="1:23" ht="15" customHeight="1" x14ac:dyDescent="0.2">
      <c r="A345" s="211"/>
      <c r="B345" s="211"/>
      <c r="C345" s="211"/>
      <c r="D345" s="211"/>
      <c r="E345" s="78"/>
      <c r="F345" s="307"/>
      <c r="G345" s="78"/>
      <c r="H345" s="307"/>
      <c r="I345" s="422"/>
      <c r="J345" s="211"/>
      <c r="K345" s="422"/>
      <c r="L345" s="211"/>
      <c r="M345" s="142"/>
      <c r="N345" s="423"/>
      <c r="O345" s="307"/>
      <c r="P345" s="211"/>
      <c r="Q345" s="424"/>
      <c r="R345" s="423"/>
      <c r="S345" s="423"/>
      <c r="T345" s="423"/>
      <c r="U345" s="423"/>
      <c r="V345" s="307"/>
      <c r="W345" s="311"/>
    </row>
    <row r="346" spans="1:23" ht="15" customHeight="1" x14ac:dyDescent="0.2">
      <c r="A346" s="211"/>
      <c r="B346" s="211"/>
      <c r="C346" s="211"/>
      <c r="D346" s="211"/>
      <c r="E346" s="78"/>
      <c r="F346" s="307"/>
      <c r="G346" s="78"/>
      <c r="H346" s="307"/>
      <c r="I346" s="422"/>
      <c r="J346" s="211"/>
      <c r="K346" s="422"/>
      <c r="L346" s="211"/>
      <c r="M346" s="142"/>
      <c r="N346" s="423"/>
      <c r="O346" s="307"/>
      <c r="P346" s="211"/>
      <c r="Q346" s="424"/>
      <c r="R346" s="423"/>
      <c r="S346" s="423"/>
      <c r="T346" s="423"/>
      <c r="U346" s="423"/>
      <c r="V346" s="307"/>
      <c r="W346" s="311"/>
    </row>
    <row r="347" spans="1:23" ht="15" customHeight="1" x14ac:dyDescent="0.2">
      <c r="A347" s="211"/>
      <c r="B347" s="211"/>
      <c r="C347" s="211"/>
      <c r="D347" s="211"/>
      <c r="E347" s="78"/>
      <c r="F347" s="307"/>
      <c r="G347" s="78"/>
      <c r="H347" s="307"/>
      <c r="I347" s="422"/>
      <c r="J347" s="211"/>
      <c r="K347" s="422"/>
      <c r="L347" s="211"/>
      <c r="M347" s="142"/>
      <c r="N347" s="423"/>
      <c r="O347" s="307"/>
      <c r="P347" s="211"/>
      <c r="Q347" s="424"/>
      <c r="R347" s="423"/>
      <c r="S347" s="423"/>
      <c r="T347" s="423"/>
      <c r="U347" s="423"/>
      <c r="V347" s="307"/>
      <c r="W347" s="311"/>
    </row>
    <row r="348" spans="1:23" ht="15" customHeight="1" x14ac:dyDescent="0.2">
      <c r="A348" s="211"/>
      <c r="B348" s="211"/>
      <c r="C348" s="211"/>
      <c r="D348" s="211"/>
      <c r="E348" s="78"/>
      <c r="F348" s="307"/>
      <c r="G348" s="78"/>
      <c r="H348" s="307"/>
      <c r="I348" s="307"/>
      <c r="J348" s="211"/>
      <c r="K348" s="307"/>
      <c r="L348" s="211"/>
      <c r="M348" s="230"/>
      <c r="N348" s="423"/>
      <c r="O348" s="307"/>
      <c r="P348" s="211"/>
      <c r="Q348" s="424"/>
      <c r="R348" s="423"/>
      <c r="S348" s="423"/>
      <c r="T348" s="423"/>
      <c r="U348" s="423"/>
      <c r="V348" s="307"/>
      <c r="W348" s="311"/>
    </row>
    <row r="349" spans="1:23" ht="15" customHeight="1" x14ac:dyDescent="0.2">
      <c r="A349" s="211"/>
      <c r="B349" s="211"/>
      <c r="C349" s="211"/>
      <c r="D349" s="211"/>
      <c r="E349" s="78"/>
      <c r="F349" s="307"/>
      <c r="G349" s="78"/>
      <c r="H349" s="307"/>
      <c r="I349" s="307"/>
      <c r="J349" s="211"/>
      <c r="K349" s="307"/>
      <c r="L349" s="211"/>
      <c r="M349" s="230"/>
      <c r="N349" s="423"/>
      <c r="O349" s="307"/>
      <c r="P349" s="211"/>
      <c r="Q349" s="424"/>
      <c r="R349" s="423"/>
      <c r="S349" s="423"/>
      <c r="T349" s="423"/>
      <c r="U349" s="423"/>
      <c r="V349" s="307"/>
      <c r="W349" s="311"/>
    </row>
    <row r="350" spans="1:23" ht="15" customHeight="1" x14ac:dyDescent="0.2">
      <c r="A350" s="211"/>
      <c r="B350" s="211"/>
      <c r="C350" s="211"/>
      <c r="D350" s="211"/>
      <c r="E350" s="78"/>
      <c r="F350" s="307"/>
      <c r="G350" s="78"/>
      <c r="H350" s="307"/>
      <c r="I350" s="422"/>
      <c r="J350" s="211"/>
      <c r="K350" s="307"/>
      <c r="L350" s="211"/>
      <c r="M350" s="142"/>
      <c r="N350" s="423"/>
      <c r="O350" s="307"/>
      <c r="P350" s="211"/>
      <c r="Q350" s="424"/>
      <c r="R350" s="423"/>
      <c r="S350" s="423"/>
      <c r="T350" s="423"/>
      <c r="U350" s="423"/>
      <c r="V350" s="307"/>
      <c r="W350" s="311"/>
    </row>
    <row r="351" spans="1:23" ht="15" customHeight="1" x14ac:dyDescent="0.2">
      <c r="A351" s="211"/>
      <c r="B351" s="211"/>
      <c r="C351" s="211"/>
      <c r="D351" s="211"/>
      <c r="E351" s="78"/>
      <c r="F351" s="307"/>
      <c r="G351" s="78"/>
      <c r="H351" s="307"/>
      <c r="I351" s="307"/>
      <c r="J351" s="211"/>
      <c r="K351" s="307"/>
      <c r="L351" s="211"/>
      <c r="M351" s="230"/>
      <c r="N351" s="423"/>
      <c r="O351" s="307"/>
      <c r="P351" s="211"/>
      <c r="Q351" s="424"/>
      <c r="R351" s="423"/>
      <c r="S351" s="423"/>
      <c r="T351" s="423"/>
      <c r="U351" s="423"/>
      <c r="V351" s="307"/>
      <c r="W351" s="311"/>
    </row>
    <row r="352" spans="1:23" ht="15" customHeight="1" x14ac:dyDescent="0.2">
      <c r="A352" s="211"/>
      <c r="B352" s="211"/>
      <c r="C352" s="211"/>
      <c r="D352" s="211"/>
      <c r="E352" s="78"/>
      <c r="F352" s="307"/>
      <c r="G352" s="78"/>
      <c r="H352" s="307"/>
      <c r="I352" s="307"/>
      <c r="J352" s="211"/>
      <c r="K352" s="307"/>
      <c r="L352" s="211"/>
      <c r="M352" s="230"/>
      <c r="N352" s="423"/>
      <c r="O352" s="307"/>
      <c r="P352" s="211"/>
      <c r="Q352" s="424"/>
      <c r="R352" s="423"/>
      <c r="S352" s="423"/>
      <c r="T352" s="423"/>
      <c r="U352" s="423"/>
      <c r="V352" s="307"/>
      <c r="W352" s="311"/>
    </row>
    <row r="353" spans="1:23" ht="15" customHeight="1" x14ac:dyDescent="0.2">
      <c r="A353" s="211"/>
      <c r="B353" s="211"/>
      <c r="C353" s="211"/>
      <c r="D353" s="211"/>
      <c r="E353" s="78"/>
      <c r="F353" s="307"/>
      <c r="G353" s="78"/>
      <c r="H353" s="307"/>
      <c r="I353" s="307"/>
      <c r="J353" s="211"/>
      <c r="K353" s="307"/>
      <c r="L353" s="211"/>
      <c r="M353" s="230"/>
      <c r="N353" s="423"/>
      <c r="O353" s="307"/>
      <c r="P353" s="211"/>
      <c r="Q353" s="424"/>
      <c r="R353" s="423"/>
      <c r="S353" s="423"/>
      <c r="T353" s="423"/>
      <c r="U353" s="423"/>
      <c r="V353" s="307"/>
      <c r="W353" s="311"/>
    </row>
    <row r="354" spans="1:23" ht="15" customHeight="1" x14ac:dyDescent="0.2">
      <c r="A354" s="211"/>
      <c r="B354" s="211"/>
      <c r="C354" s="211"/>
      <c r="D354" s="211"/>
      <c r="E354" s="78"/>
      <c r="F354" s="307"/>
      <c r="G354" s="78"/>
      <c r="H354" s="307"/>
      <c r="I354" s="307"/>
      <c r="J354" s="211"/>
      <c r="K354" s="307"/>
      <c r="L354" s="211"/>
      <c r="M354" s="230"/>
      <c r="N354" s="423"/>
      <c r="O354" s="307"/>
      <c r="P354" s="211"/>
      <c r="Q354" s="424"/>
      <c r="R354" s="423"/>
      <c r="S354" s="423"/>
      <c r="T354" s="423"/>
      <c r="U354" s="423"/>
      <c r="V354" s="307"/>
      <c r="W354" s="311"/>
    </row>
    <row r="355" spans="1:23" ht="15" customHeight="1" x14ac:dyDescent="0.2">
      <c r="A355" s="211"/>
      <c r="B355" s="211"/>
      <c r="C355" s="211"/>
      <c r="D355" s="211"/>
      <c r="E355" s="78"/>
      <c r="F355" s="307"/>
      <c r="G355" s="78"/>
      <c r="H355" s="307"/>
      <c r="I355" s="307"/>
      <c r="J355" s="211"/>
      <c r="K355" s="307"/>
      <c r="L355" s="211"/>
      <c r="M355" s="230"/>
      <c r="N355" s="423"/>
      <c r="O355" s="307"/>
      <c r="P355" s="211"/>
      <c r="Q355" s="424"/>
      <c r="R355" s="423"/>
      <c r="S355" s="423"/>
      <c r="T355" s="423"/>
      <c r="U355" s="423"/>
      <c r="V355" s="307"/>
      <c r="W355" s="311"/>
    </row>
    <row r="356" spans="1:23" ht="15" customHeight="1" x14ac:dyDescent="0.2">
      <c r="A356" s="211"/>
      <c r="B356" s="211"/>
      <c r="C356" s="211"/>
      <c r="D356" s="211"/>
      <c r="E356" s="78"/>
      <c r="F356" s="307"/>
      <c r="G356" s="78"/>
      <c r="H356" s="307"/>
      <c r="I356" s="307"/>
      <c r="J356" s="211"/>
      <c r="K356" s="307"/>
      <c r="L356" s="211"/>
      <c r="M356" s="230"/>
      <c r="N356" s="423"/>
      <c r="O356" s="307"/>
      <c r="P356" s="211"/>
      <c r="Q356" s="424"/>
      <c r="R356" s="423"/>
      <c r="S356" s="423"/>
      <c r="T356" s="423"/>
      <c r="U356" s="423"/>
      <c r="V356" s="307"/>
      <c r="W356" s="311"/>
    </row>
    <row r="357" spans="1:23" ht="15" customHeight="1" x14ac:dyDescent="0.2">
      <c r="A357" s="211"/>
      <c r="B357" s="211"/>
      <c r="C357" s="211"/>
      <c r="D357" s="211"/>
      <c r="E357" s="78"/>
      <c r="F357" s="307"/>
      <c r="G357" s="78"/>
      <c r="H357" s="307"/>
      <c r="I357" s="422"/>
      <c r="J357" s="211"/>
      <c r="K357" s="422"/>
      <c r="L357" s="211"/>
      <c r="M357" s="142"/>
      <c r="N357" s="423"/>
      <c r="O357" s="307"/>
      <c r="P357" s="211"/>
      <c r="Q357" s="424"/>
      <c r="R357" s="423"/>
      <c r="S357" s="423"/>
      <c r="T357" s="423"/>
      <c r="U357" s="423"/>
      <c r="V357" s="307"/>
      <c r="W357" s="311"/>
    </row>
    <row r="358" spans="1:23" ht="15" customHeight="1" x14ac:dyDescent="0.2">
      <c r="A358" s="211"/>
      <c r="B358" s="211"/>
      <c r="C358" s="211"/>
      <c r="D358" s="211"/>
      <c r="E358" s="78"/>
      <c r="F358" s="307"/>
      <c r="G358" s="78"/>
      <c r="H358" s="307"/>
      <c r="I358" s="422"/>
      <c r="J358" s="211"/>
      <c r="K358" s="422"/>
      <c r="L358" s="211"/>
      <c r="M358" s="142"/>
      <c r="N358" s="423"/>
      <c r="O358" s="307"/>
      <c r="P358" s="211"/>
      <c r="Q358" s="424"/>
      <c r="R358" s="423"/>
      <c r="S358" s="423"/>
      <c r="T358" s="423"/>
      <c r="U358" s="423"/>
      <c r="V358" s="307"/>
      <c r="W358" s="311"/>
    </row>
    <row r="359" spans="1:23" ht="15" customHeight="1" x14ac:dyDescent="0.2">
      <c r="A359" s="211"/>
      <c r="B359" s="211"/>
      <c r="C359" s="211"/>
      <c r="D359" s="211"/>
      <c r="E359" s="78"/>
      <c r="F359" s="307"/>
      <c r="G359" s="78"/>
      <c r="H359" s="307"/>
      <c r="I359" s="422"/>
      <c r="J359" s="211"/>
      <c r="K359" s="422"/>
      <c r="L359" s="211"/>
      <c r="M359" s="142"/>
      <c r="N359" s="423"/>
      <c r="O359" s="307"/>
      <c r="P359" s="211"/>
      <c r="Q359" s="424"/>
      <c r="R359" s="423"/>
      <c r="S359" s="423"/>
      <c r="T359" s="423"/>
      <c r="U359" s="423"/>
      <c r="V359" s="307"/>
      <c r="W359" s="311"/>
    </row>
    <row r="360" spans="1:23" ht="15" customHeight="1" x14ac:dyDescent="0.2">
      <c r="A360" s="211"/>
      <c r="B360" s="211"/>
      <c r="C360" s="211"/>
      <c r="D360" s="211"/>
      <c r="E360" s="78"/>
      <c r="F360" s="307"/>
      <c r="G360" s="78"/>
      <c r="H360" s="307"/>
      <c r="I360" s="422"/>
      <c r="J360" s="211"/>
      <c r="K360" s="422"/>
      <c r="L360" s="211"/>
      <c r="M360" s="142"/>
      <c r="N360" s="423"/>
      <c r="O360" s="307"/>
      <c r="P360" s="211"/>
      <c r="Q360" s="424"/>
      <c r="R360" s="423"/>
      <c r="S360" s="423"/>
      <c r="T360" s="423"/>
      <c r="U360" s="423"/>
      <c r="V360" s="307"/>
      <c r="W360" s="311"/>
    </row>
    <row r="361" spans="1:23" ht="15" customHeight="1" x14ac:dyDescent="0.2">
      <c r="A361" s="211"/>
      <c r="B361" s="211"/>
      <c r="C361" s="211"/>
      <c r="D361" s="211"/>
      <c r="E361" s="78"/>
      <c r="F361" s="307"/>
      <c r="G361" s="78"/>
      <c r="H361" s="307"/>
      <c r="I361" s="422"/>
      <c r="J361" s="211"/>
      <c r="K361" s="422"/>
      <c r="L361" s="211"/>
      <c r="M361" s="142"/>
      <c r="N361" s="423"/>
      <c r="O361" s="307"/>
      <c r="P361" s="211"/>
      <c r="Q361" s="424"/>
      <c r="R361" s="423"/>
      <c r="S361" s="423"/>
      <c r="T361" s="423"/>
      <c r="U361" s="423"/>
      <c r="V361" s="307"/>
      <c r="W361" s="311"/>
    </row>
    <row r="362" spans="1:23" ht="15" customHeight="1" x14ac:dyDescent="0.2">
      <c r="A362" s="211"/>
      <c r="B362" s="211"/>
      <c r="C362" s="211"/>
      <c r="D362" s="211"/>
      <c r="E362" s="78"/>
      <c r="F362" s="307"/>
      <c r="G362" s="78"/>
      <c r="H362" s="307"/>
      <c r="I362" s="422"/>
      <c r="J362" s="211"/>
      <c r="K362" s="422"/>
      <c r="L362" s="211"/>
      <c r="M362" s="142"/>
      <c r="N362" s="423"/>
      <c r="O362" s="307"/>
      <c r="P362" s="211"/>
      <c r="Q362" s="424"/>
      <c r="R362" s="423"/>
      <c r="S362" s="423"/>
      <c r="T362" s="423"/>
      <c r="U362" s="423"/>
      <c r="V362" s="307"/>
      <c r="W362" s="311"/>
    </row>
    <row r="363" spans="1:23" ht="15" customHeight="1" x14ac:dyDescent="0.2">
      <c r="A363" s="211"/>
      <c r="B363" s="211"/>
      <c r="C363" s="211"/>
      <c r="D363" s="211"/>
      <c r="E363" s="78"/>
      <c r="F363" s="307"/>
      <c r="G363" s="78"/>
      <c r="H363" s="307"/>
      <c r="I363" s="422"/>
      <c r="J363" s="211"/>
      <c r="K363" s="422"/>
      <c r="L363" s="211"/>
      <c r="M363" s="142"/>
      <c r="N363" s="423"/>
      <c r="O363" s="307"/>
      <c r="P363" s="211"/>
      <c r="Q363" s="424"/>
      <c r="R363" s="423"/>
      <c r="S363" s="423"/>
      <c r="T363" s="423"/>
      <c r="U363" s="423"/>
      <c r="V363" s="307"/>
      <c r="W363" s="311"/>
    </row>
    <row r="364" spans="1:23" ht="15" customHeight="1" x14ac:dyDescent="0.2">
      <c r="A364" s="211"/>
      <c r="B364" s="211"/>
      <c r="C364" s="211"/>
      <c r="D364" s="211"/>
      <c r="E364" s="78"/>
      <c r="F364" s="307"/>
      <c r="G364" s="78"/>
      <c r="H364" s="307"/>
      <c r="I364" s="422"/>
      <c r="J364" s="211"/>
      <c r="K364" s="422"/>
      <c r="L364" s="211"/>
      <c r="M364" s="142"/>
      <c r="N364" s="423"/>
      <c r="O364" s="307"/>
      <c r="P364" s="211"/>
      <c r="Q364" s="424"/>
      <c r="R364" s="423"/>
      <c r="S364" s="423"/>
      <c r="T364" s="423"/>
      <c r="U364" s="423"/>
      <c r="V364" s="307"/>
      <c r="W364" s="311"/>
    </row>
    <row r="365" spans="1:23" ht="15" customHeight="1" x14ac:dyDescent="0.2">
      <c r="A365" s="211"/>
      <c r="B365" s="211"/>
      <c r="C365" s="211"/>
      <c r="D365" s="211"/>
      <c r="E365" s="78"/>
      <c r="F365" s="307"/>
      <c r="G365" s="78"/>
      <c r="H365" s="307"/>
      <c r="I365" s="422"/>
      <c r="J365" s="211"/>
      <c r="K365" s="422"/>
      <c r="L365" s="211"/>
      <c r="M365" s="142"/>
      <c r="N365" s="423"/>
      <c r="O365" s="307"/>
      <c r="P365" s="211"/>
      <c r="Q365" s="424"/>
      <c r="R365" s="423"/>
      <c r="S365" s="423"/>
      <c r="T365" s="423"/>
      <c r="U365" s="423"/>
      <c r="V365" s="307"/>
      <c r="W365" s="311"/>
    </row>
    <row r="366" spans="1:23" ht="15" customHeight="1" x14ac:dyDescent="0.2">
      <c r="A366" s="211"/>
      <c r="B366" s="211"/>
      <c r="C366" s="211"/>
      <c r="D366" s="211"/>
      <c r="E366" s="78"/>
      <c r="F366" s="307"/>
      <c r="G366" s="78"/>
      <c r="H366" s="307"/>
      <c r="I366" s="307"/>
      <c r="J366" s="211"/>
      <c r="K366" s="307"/>
      <c r="L366" s="211"/>
      <c r="M366" s="230"/>
      <c r="N366" s="423"/>
      <c r="O366" s="307"/>
      <c r="P366" s="211"/>
      <c r="Q366" s="424"/>
      <c r="R366" s="423"/>
      <c r="S366" s="423"/>
      <c r="T366" s="423"/>
      <c r="U366" s="423"/>
      <c r="V366" s="307"/>
      <c r="W366" s="311"/>
    </row>
    <row r="367" spans="1:23" ht="15" customHeight="1" x14ac:dyDescent="0.2">
      <c r="A367" s="211"/>
      <c r="B367" s="211"/>
      <c r="C367" s="211"/>
      <c r="D367" s="211"/>
      <c r="E367" s="78"/>
      <c r="F367" s="307"/>
      <c r="G367" s="78"/>
      <c r="H367" s="307"/>
      <c r="I367" s="422"/>
      <c r="J367" s="211"/>
      <c r="K367" s="422"/>
      <c r="L367" s="211"/>
      <c r="M367" s="142"/>
      <c r="N367" s="423"/>
      <c r="O367" s="307"/>
      <c r="P367" s="211"/>
      <c r="Q367" s="424"/>
      <c r="R367" s="423"/>
      <c r="S367" s="423"/>
      <c r="T367" s="423"/>
      <c r="U367" s="423"/>
      <c r="V367" s="307"/>
      <c r="W367" s="311"/>
    </row>
    <row r="368" spans="1:23" ht="15" customHeight="1" x14ac:dyDescent="0.2">
      <c r="A368" s="211"/>
      <c r="B368" s="211"/>
      <c r="C368" s="211"/>
      <c r="D368" s="211"/>
      <c r="E368" s="78"/>
      <c r="F368" s="307"/>
      <c r="G368" s="78"/>
      <c r="H368" s="307"/>
      <c r="I368" s="422"/>
      <c r="J368" s="211"/>
      <c r="K368" s="422"/>
      <c r="L368" s="211"/>
      <c r="M368" s="142"/>
      <c r="N368" s="423"/>
      <c r="O368" s="307"/>
      <c r="P368" s="211"/>
      <c r="Q368" s="424"/>
      <c r="R368" s="423"/>
      <c r="S368" s="423"/>
      <c r="T368" s="423"/>
      <c r="U368" s="423"/>
      <c r="V368" s="307"/>
      <c r="W368" s="311"/>
    </row>
    <row r="369" spans="1:23" ht="15" customHeight="1" x14ac:dyDescent="0.2">
      <c r="A369" s="211"/>
      <c r="B369" s="211"/>
      <c r="C369" s="211"/>
      <c r="D369" s="211"/>
      <c r="E369" s="78"/>
      <c r="F369" s="307"/>
      <c r="G369" s="78"/>
      <c r="H369" s="307"/>
      <c r="I369" s="422"/>
      <c r="J369" s="211"/>
      <c r="K369" s="422"/>
      <c r="L369" s="211"/>
      <c r="M369" s="142"/>
      <c r="N369" s="423"/>
      <c r="O369" s="307"/>
      <c r="P369" s="211"/>
      <c r="Q369" s="424"/>
      <c r="R369" s="423"/>
      <c r="S369" s="423"/>
      <c r="T369" s="423"/>
      <c r="U369" s="423"/>
      <c r="V369" s="307"/>
      <c r="W369" s="311"/>
    </row>
    <row r="370" spans="1:23" ht="15" customHeight="1" x14ac:dyDescent="0.2">
      <c r="A370" s="211"/>
      <c r="B370" s="211"/>
      <c r="C370" s="211"/>
      <c r="D370" s="211"/>
      <c r="E370" s="78"/>
      <c r="F370" s="307"/>
      <c r="G370" s="78"/>
      <c r="H370" s="307"/>
      <c r="I370" s="422"/>
      <c r="J370" s="211"/>
      <c r="K370" s="422"/>
      <c r="L370" s="211"/>
      <c r="M370" s="142"/>
      <c r="N370" s="423"/>
      <c r="O370" s="307"/>
      <c r="P370" s="211"/>
      <c r="Q370" s="424"/>
      <c r="R370" s="423"/>
      <c r="S370" s="423"/>
      <c r="T370" s="423"/>
      <c r="U370" s="423"/>
      <c r="V370" s="307"/>
      <c r="W370" s="311"/>
    </row>
    <row r="371" spans="1:23" ht="15" customHeight="1" x14ac:dyDescent="0.2">
      <c r="A371" s="211"/>
      <c r="B371" s="211"/>
      <c r="C371" s="211"/>
      <c r="D371" s="211"/>
      <c r="E371" s="78"/>
      <c r="F371" s="307"/>
      <c r="G371" s="78"/>
      <c r="H371" s="307"/>
      <c r="I371" s="422"/>
      <c r="J371" s="211"/>
      <c r="K371" s="422"/>
      <c r="L371" s="211"/>
      <c r="M371" s="142"/>
      <c r="N371" s="423"/>
      <c r="O371" s="307"/>
      <c r="P371" s="211"/>
      <c r="Q371" s="424"/>
      <c r="R371" s="423"/>
      <c r="S371" s="423"/>
      <c r="T371" s="423"/>
      <c r="U371" s="423"/>
      <c r="V371" s="307"/>
      <c r="W371" s="311"/>
    </row>
    <row r="372" spans="1:23" ht="15" customHeight="1" x14ac:dyDescent="0.2">
      <c r="A372" s="211"/>
      <c r="B372" s="211"/>
      <c r="C372" s="211"/>
      <c r="D372" s="211"/>
      <c r="E372" s="78"/>
      <c r="F372" s="307"/>
      <c r="G372" s="78"/>
      <c r="H372" s="307"/>
      <c r="I372" s="422"/>
      <c r="J372" s="211"/>
      <c r="K372" s="422"/>
      <c r="L372" s="211"/>
      <c r="M372" s="142"/>
      <c r="N372" s="423"/>
      <c r="O372" s="307"/>
      <c r="P372" s="211"/>
      <c r="Q372" s="424"/>
      <c r="R372" s="423"/>
      <c r="S372" s="423"/>
      <c r="T372" s="423"/>
      <c r="U372" s="423"/>
      <c r="V372" s="307"/>
      <c r="W372" s="311"/>
    </row>
    <row r="373" spans="1:23" ht="15" customHeight="1" x14ac:dyDescent="0.2">
      <c r="A373" s="211"/>
      <c r="B373" s="211"/>
      <c r="C373" s="211"/>
      <c r="D373" s="211"/>
      <c r="E373" s="78"/>
      <c r="F373" s="307"/>
      <c r="G373" s="78"/>
      <c r="H373" s="307"/>
      <c r="I373" s="422"/>
      <c r="J373" s="211"/>
      <c r="K373" s="422"/>
      <c r="L373" s="211"/>
      <c r="M373" s="142"/>
      <c r="N373" s="423"/>
      <c r="O373" s="307"/>
      <c r="P373" s="211"/>
      <c r="Q373" s="424"/>
      <c r="R373" s="423"/>
      <c r="S373" s="423"/>
      <c r="T373" s="423"/>
      <c r="U373" s="423"/>
      <c r="V373" s="307"/>
      <c r="W373" s="311"/>
    </row>
    <row r="374" spans="1:23" ht="15" customHeight="1" x14ac:dyDescent="0.2">
      <c r="A374" s="211"/>
      <c r="B374" s="211"/>
      <c r="C374" s="211"/>
      <c r="D374" s="211"/>
      <c r="E374" s="78"/>
      <c r="F374" s="307"/>
      <c r="G374" s="78"/>
      <c r="H374" s="307"/>
      <c r="I374" s="422"/>
      <c r="J374" s="211"/>
      <c r="K374" s="422"/>
      <c r="L374" s="211"/>
      <c r="M374" s="142"/>
      <c r="N374" s="423"/>
      <c r="O374" s="307"/>
      <c r="P374" s="211"/>
      <c r="Q374" s="424"/>
      <c r="R374" s="423"/>
      <c r="S374" s="423"/>
      <c r="T374" s="423"/>
      <c r="U374" s="423"/>
      <c r="V374" s="307"/>
      <c r="W374" s="311"/>
    </row>
    <row r="375" spans="1:23" ht="15" customHeight="1" x14ac:dyDescent="0.2">
      <c r="A375" s="211"/>
      <c r="B375" s="211"/>
      <c r="C375" s="211"/>
      <c r="D375" s="211"/>
      <c r="E375" s="78"/>
      <c r="F375" s="307"/>
      <c r="G375" s="78"/>
      <c r="H375" s="307"/>
      <c r="I375" s="422"/>
      <c r="J375" s="211"/>
      <c r="K375" s="422"/>
      <c r="L375" s="211"/>
      <c r="M375" s="142"/>
      <c r="N375" s="423"/>
      <c r="O375" s="307"/>
      <c r="P375" s="211"/>
      <c r="Q375" s="424"/>
      <c r="R375" s="423"/>
      <c r="S375" s="423"/>
      <c r="T375" s="423"/>
      <c r="U375" s="423"/>
      <c r="V375" s="307"/>
      <c r="W375" s="311"/>
    </row>
    <row r="376" spans="1:23" ht="15" customHeight="1" x14ac:dyDescent="0.2">
      <c r="A376" s="211"/>
      <c r="B376" s="211"/>
      <c r="C376" s="211"/>
      <c r="D376" s="211"/>
      <c r="E376" s="78"/>
      <c r="F376" s="307"/>
      <c r="G376" s="78"/>
      <c r="H376" s="307"/>
      <c r="I376" s="422"/>
      <c r="J376" s="211"/>
      <c r="K376" s="422"/>
      <c r="L376" s="211"/>
      <c r="M376" s="142"/>
      <c r="N376" s="423"/>
      <c r="O376" s="307"/>
      <c r="P376" s="211"/>
      <c r="Q376" s="424"/>
      <c r="R376" s="423"/>
      <c r="S376" s="423"/>
      <c r="T376" s="423"/>
      <c r="U376" s="423"/>
      <c r="V376" s="307"/>
      <c r="W376" s="311"/>
    </row>
    <row r="377" spans="1:23" ht="15" customHeight="1" x14ac:dyDescent="0.2">
      <c r="A377" s="211"/>
      <c r="B377" s="211"/>
      <c r="C377" s="211"/>
      <c r="D377" s="211"/>
      <c r="E377" s="78"/>
      <c r="F377" s="307"/>
      <c r="G377" s="78"/>
      <c r="H377" s="307"/>
      <c r="I377" s="422"/>
      <c r="J377" s="211"/>
      <c r="K377" s="422"/>
      <c r="L377" s="211"/>
      <c r="M377" s="142"/>
      <c r="N377" s="423"/>
      <c r="O377" s="307"/>
      <c r="P377" s="211"/>
      <c r="Q377" s="424"/>
      <c r="R377" s="423"/>
      <c r="S377" s="423"/>
      <c r="T377" s="423"/>
      <c r="U377" s="423"/>
      <c r="V377" s="307"/>
      <c r="W377" s="311"/>
    </row>
    <row r="378" spans="1:23" ht="15" customHeight="1" x14ac:dyDescent="0.2">
      <c r="A378" s="211"/>
      <c r="B378" s="211"/>
      <c r="C378" s="211"/>
      <c r="D378" s="211"/>
      <c r="E378" s="78"/>
      <c r="F378" s="307"/>
      <c r="G378" s="78"/>
      <c r="H378" s="307"/>
      <c r="I378" s="422"/>
      <c r="J378" s="211"/>
      <c r="K378" s="422"/>
      <c r="L378" s="211"/>
      <c r="M378" s="142"/>
      <c r="N378" s="423"/>
      <c r="O378" s="307"/>
      <c r="P378" s="211"/>
      <c r="Q378" s="424"/>
      <c r="R378" s="423"/>
      <c r="S378" s="423"/>
      <c r="T378" s="423"/>
      <c r="U378" s="423"/>
      <c r="V378" s="307"/>
      <c r="W378" s="311"/>
    </row>
    <row r="379" spans="1:23" ht="15" customHeight="1" x14ac:dyDescent="0.2">
      <c r="A379" s="211"/>
      <c r="B379" s="211"/>
      <c r="C379" s="211"/>
      <c r="D379" s="211"/>
      <c r="E379" s="78"/>
      <c r="F379" s="307"/>
      <c r="G379" s="78"/>
      <c r="H379" s="307"/>
      <c r="I379" s="422"/>
      <c r="J379" s="211"/>
      <c r="K379" s="422"/>
      <c r="L379" s="211"/>
      <c r="M379" s="142"/>
      <c r="N379" s="423"/>
      <c r="O379" s="307"/>
      <c r="P379" s="211"/>
      <c r="Q379" s="424"/>
      <c r="R379" s="423"/>
      <c r="S379" s="423"/>
      <c r="T379" s="423"/>
      <c r="U379" s="423"/>
      <c r="V379" s="307"/>
      <c r="W379" s="311"/>
    </row>
    <row r="380" spans="1:23" ht="15" customHeight="1" x14ac:dyDescent="0.2">
      <c r="A380" s="211"/>
      <c r="B380" s="211"/>
      <c r="C380" s="211"/>
      <c r="D380" s="211"/>
      <c r="E380" s="78"/>
      <c r="F380" s="307"/>
      <c r="G380" s="78"/>
      <c r="H380" s="307"/>
      <c r="I380" s="422"/>
      <c r="J380" s="211"/>
      <c r="K380" s="422"/>
      <c r="L380" s="211"/>
      <c r="M380" s="142"/>
      <c r="N380" s="423"/>
      <c r="O380" s="307"/>
      <c r="P380" s="211"/>
      <c r="Q380" s="424"/>
      <c r="R380" s="423"/>
      <c r="S380" s="423"/>
      <c r="T380" s="423"/>
      <c r="U380" s="423"/>
      <c r="V380" s="307"/>
      <c r="W380" s="311"/>
    </row>
    <row r="381" spans="1:23" ht="15" customHeight="1" x14ac:dyDescent="0.2">
      <c r="A381" s="211"/>
      <c r="B381" s="211"/>
      <c r="C381" s="211"/>
      <c r="D381" s="211"/>
      <c r="E381" s="78"/>
      <c r="F381" s="307"/>
      <c r="G381" s="78"/>
      <c r="H381" s="307"/>
      <c r="I381" s="422"/>
      <c r="J381" s="211"/>
      <c r="K381" s="422"/>
      <c r="L381" s="211"/>
      <c r="M381" s="142"/>
      <c r="N381" s="423"/>
      <c r="O381" s="307"/>
      <c r="P381" s="211"/>
      <c r="Q381" s="424"/>
      <c r="R381" s="423"/>
      <c r="S381" s="423"/>
      <c r="T381" s="423"/>
      <c r="U381" s="423"/>
      <c r="V381" s="307"/>
      <c r="W381" s="311"/>
    </row>
    <row r="382" spans="1:23" ht="15" customHeight="1" x14ac:dyDescent="0.2">
      <c r="A382" s="211"/>
      <c r="B382" s="211"/>
      <c r="C382" s="211"/>
      <c r="D382" s="211"/>
      <c r="E382" s="78"/>
      <c r="F382" s="307"/>
      <c r="G382" s="78"/>
      <c r="H382" s="307"/>
      <c r="I382" s="422"/>
      <c r="J382" s="211"/>
      <c r="K382" s="422"/>
      <c r="L382" s="211"/>
      <c r="M382" s="142"/>
      <c r="N382" s="423"/>
      <c r="O382" s="307"/>
      <c r="P382" s="211"/>
      <c r="Q382" s="424"/>
      <c r="R382" s="423"/>
      <c r="S382" s="423"/>
      <c r="T382" s="423"/>
      <c r="U382" s="423"/>
      <c r="V382" s="307"/>
      <c r="W382" s="311"/>
    </row>
    <row r="383" spans="1:23" ht="15" customHeight="1" x14ac:dyDescent="0.2">
      <c r="A383" s="211"/>
      <c r="B383" s="211"/>
      <c r="C383" s="211"/>
      <c r="D383" s="211"/>
      <c r="E383" s="78"/>
      <c r="F383" s="307"/>
      <c r="G383" s="78"/>
      <c r="H383" s="307"/>
      <c r="I383" s="422"/>
      <c r="J383" s="211"/>
      <c r="K383" s="422"/>
      <c r="L383" s="211"/>
      <c r="M383" s="142"/>
      <c r="N383" s="423"/>
      <c r="O383" s="307"/>
      <c r="P383" s="211"/>
      <c r="Q383" s="424"/>
      <c r="R383" s="423"/>
      <c r="S383" s="423"/>
      <c r="T383" s="423"/>
      <c r="U383" s="423"/>
      <c r="V383" s="307"/>
      <c r="W383" s="311"/>
    </row>
    <row r="384" spans="1:23" ht="15" customHeight="1" x14ac:dyDescent="0.2">
      <c r="A384" s="211"/>
      <c r="B384" s="211"/>
      <c r="C384" s="211"/>
      <c r="D384" s="211"/>
      <c r="E384" s="78"/>
      <c r="F384" s="307"/>
      <c r="G384" s="78"/>
      <c r="H384" s="307"/>
      <c r="I384" s="422"/>
      <c r="J384" s="211"/>
      <c r="K384" s="422"/>
      <c r="L384" s="211"/>
      <c r="M384" s="142"/>
      <c r="N384" s="423"/>
      <c r="O384" s="307"/>
      <c r="P384" s="211"/>
      <c r="Q384" s="424"/>
      <c r="R384" s="423"/>
      <c r="S384" s="423"/>
      <c r="T384" s="423"/>
      <c r="U384" s="423"/>
      <c r="V384" s="307"/>
      <c r="W384" s="311"/>
    </row>
    <row r="385" spans="1:23" ht="15" customHeight="1" x14ac:dyDescent="0.2">
      <c r="A385" s="211"/>
      <c r="B385" s="211"/>
      <c r="C385" s="211"/>
      <c r="D385" s="211"/>
      <c r="E385" s="78"/>
      <c r="F385" s="307"/>
      <c r="G385" s="78"/>
      <c r="H385" s="307"/>
      <c r="I385" s="307"/>
      <c r="J385" s="211"/>
      <c r="K385" s="307"/>
      <c r="L385" s="211"/>
      <c r="M385" s="230"/>
      <c r="N385" s="423"/>
      <c r="O385" s="307"/>
      <c r="P385" s="211"/>
      <c r="Q385" s="424"/>
      <c r="R385" s="423"/>
      <c r="S385" s="423"/>
      <c r="T385" s="423"/>
      <c r="U385" s="423"/>
      <c r="V385" s="307"/>
      <c r="W385" s="311"/>
    </row>
    <row r="386" spans="1:23" ht="15" customHeight="1" x14ac:dyDescent="0.2">
      <c r="A386" s="211"/>
      <c r="B386" s="211"/>
      <c r="C386" s="211"/>
      <c r="D386" s="211"/>
      <c r="E386" s="78"/>
      <c r="F386" s="307"/>
      <c r="G386" s="78"/>
      <c r="H386" s="307"/>
      <c r="I386" s="422"/>
      <c r="J386" s="211"/>
      <c r="K386" s="422"/>
      <c r="L386" s="211"/>
      <c r="M386" s="142"/>
      <c r="N386" s="423"/>
      <c r="O386" s="307"/>
      <c r="P386" s="211"/>
      <c r="Q386" s="424"/>
      <c r="R386" s="423"/>
      <c r="S386" s="423"/>
      <c r="T386" s="423"/>
      <c r="U386" s="423"/>
      <c r="V386" s="307"/>
      <c r="W386" s="311"/>
    </row>
    <row r="387" spans="1:23" ht="15" customHeight="1" x14ac:dyDescent="0.2">
      <c r="A387" s="211"/>
      <c r="B387" s="211"/>
      <c r="C387" s="211"/>
      <c r="D387" s="211"/>
      <c r="E387" s="78"/>
      <c r="F387" s="307"/>
      <c r="G387" s="78"/>
      <c r="H387" s="307"/>
      <c r="I387" s="422"/>
      <c r="J387" s="211"/>
      <c r="K387" s="422"/>
      <c r="L387" s="211"/>
      <c r="M387" s="142"/>
      <c r="N387" s="423"/>
      <c r="O387" s="307"/>
      <c r="P387" s="211"/>
      <c r="Q387" s="424"/>
      <c r="R387" s="423"/>
      <c r="S387" s="423"/>
      <c r="T387" s="423"/>
      <c r="U387" s="423"/>
      <c r="V387" s="307"/>
      <c r="W387" s="311"/>
    </row>
    <row r="388" spans="1:23" ht="15" customHeight="1" x14ac:dyDescent="0.2">
      <c r="A388" s="211"/>
      <c r="B388" s="211"/>
      <c r="C388" s="211"/>
      <c r="D388" s="211"/>
      <c r="E388" s="78"/>
      <c r="F388" s="307"/>
      <c r="G388" s="78"/>
      <c r="H388" s="307"/>
      <c r="I388" s="422"/>
      <c r="J388" s="211"/>
      <c r="K388" s="422"/>
      <c r="L388" s="211"/>
      <c r="M388" s="142"/>
      <c r="N388" s="423"/>
      <c r="O388" s="307"/>
      <c r="P388" s="211"/>
      <c r="Q388" s="424"/>
      <c r="R388" s="423"/>
      <c r="S388" s="423"/>
      <c r="T388" s="423"/>
      <c r="U388" s="423"/>
      <c r="V388" s="307"/>
      <c r="W388" s="311"/>
    </row>
    <row r="389" spans="1:23" ht="15" customHeight="1" x14ac:dyDescent="0.2">
      <c r="A389" s="211"/>
      <c r="B389" s="211"/>
      <c r="C389" s="211"/>
      <c r="D389" s="211"/>
      <c r="E389" s="78"/>
      <c r="F389" s="307"/>
      <c r="G389" s="78"/>
      <c r="H389" s="307"/>
      <c r="I389" s="422"/>
      <c r="J389" s="211"/>
      <c r="K389" s="422"/>
      <c r="L389" s="211"/>
      <c r="M389" s="142"/>
      <c r="N389" s="423"/>
      <c r="O389" s="307"/>
      <c r="P389" s="211"/>
      <c r="Q389" s="424"/>
      <c r="R389" s="423"/>
      <c r="S389" s="423"/>
      <c r="T389" s="423"/>
      <c r="U389" s="423"/>
      <c r="V389" s="307"/>
      <c r="W389" s="311"/>
    </row>
    <row r="390" spans="1:23" ht="15" customHeight="1" x14ac:dyDescent="0.2">
      <c r="A390" s="211"/>
      <c r="B390" s="211"/>
      <c r="C390" s="211"/>
      <c r="D390" s="211"/>
      <c r="E390" s="78"/>
      <c r="F390" s="307"/>
      <c r="G390" s="78"/>
      <c r="H390" s="307"/>
      <c r="I390" s="422"/>
      <c r="J390" s="211"/>
      <c r="K390" s="422"/>
      <c r="L390" s="211"/>
      <c r="M390" s="142"/>
      <c r="N390" s="423"/>
      <c r="O390" s="307"/>
      <c r="P390" s="211"/>
      <c r="Q390" s="424"/>
      <c r="R390" s="423"/>
      <c r="S390" s="423"/>
      <c r="T390" s="423"/>
      <c r="U390" s="423"/>
      <c r="V390" s="307"/>
      <c r="W390" s="311"/>
    </row>
    <row r="391" spans="1:23" ht="15" customHeight="1" x14ac:dyDescent="0.2">
      <c r="A391" s="211"/>
      <c r="B391" s="211"/>
      <c r="C391" s="211"/>
      <c r="D391" s="211"/>
      <c r="E391" s="78"/>
      <c r="F391" s="307"/>
      <c r="G391" s="78"/>
      <c r="H391" s="307"/>
      <c r="I391" s="422"/>
      <c r="J391" s="211"/>
      <c r="K391" s="422"/>
      <c r="L391" s="211"/>
      <c r="M391" s="142"/>
      <c r="N391" s="423"/>
      <c r="O391" s="307"/>
      <c r="P391" s="211"/>
      <c r="Q391" s="424"/>
      <c r="R391" s="423"/>
      <c r="S391" s="423"/>
      <c r="T391" s="423"/>
      <c r="U391" s="423"/>
      <c r="V391" s="307"/>
      <c r="W391" s="311"/>
    </row>
    <row r="392" spans="1:23" ht="15" customHeight="1" x14ac:dyDescent="0.2">
      <c r="A392" s="211"/>
      <c r="B392" s="211"/>
      <c r="C392" s="211"/>
      <c r="D392" s="211"/>
      <c r="E392" s="78"/>
      <c r="F392" s="307"/>
      <c r="G392" s="78"/>
      <c r="H392" s="307"/>
      <c r="I392" s="422"/>
      <c r="J392" s="211"/>
      <c r="K392" s="422"/>
      <c r="L392" s="211"/>
      <c r="M392" s="142"/>
      <c r="N392" s="423"/>
      <c r="O392" s="307"/>
      <c r="P392" s="211"/>
      <c r="Q392" s="424"/>
      <c r="R392" s="423"/>
      <c r="S392" s="423"/>
      <c r="T392" s="423"/>
      <c r="U392" s="423"/>
      <c r="V392" s="307"/>
      <c r="W392" s="311"/>
    </row>
    <row r="393" spans="1:23" ht="15" customHeight="1" x14ac:dyDescent="0.2">
      <c r="A393" s="211"/>
      <c r="B393" s="211"/>
      <c r="C393" s="211"/>
      <c r="D393" s="211"/>
      <c r="E393" s="78"/>
      <c r="F393" s="307"/>
      <c r="G393" s="78"/>
      <c r="H393" s="307"/>
      <c r="I393" s="422"/>
      <c r="J393" s="211"/>
      <c r="K393" s="422"/>
      <c r="L393" s="211"/>
      <c r="M393" s="142"/>
      <c r="N393" s="423"/>
      <c r="O393" s="307"/>
      <c r="P393" s="211"/>
      <c r="Q393" s="424"/>
      <c r="R393" s="423"/>
      <c r="S393" s="423"/>
      <c r="T393" s="423"/>
      <c r="U393" s="423"/>
      <c r="V393" s="307"/>
      <c r="W393" s="311"/>
    </row>
    <row r="394" spans="1:23" ht="15" customHeight="1" x14ac:dyDescent="0.2">
      <c r="A394" s="211"/>
      <c r="B394" s="211"/>
      <c r="C394" s="211"/>
      <c r="D394" s="211"/>
      <c r="E394" s="78"/>
      <c r="F394" s="307"/>
      <c r="G394" s="78"/>
      <c r="H394" s="307"/>
      <c r="I394" s="422"/>
      <c r="J394" s="211"/>
      <c r="K394" s="422"/>
      <c r="L394" s="211"/>
      <c r="M394" s="142"/>
      <c r="N394" s="423"/>
      <c r="O394" s="307"/>
      <c r="P394" s="211"/>
      <c r="Q394" s="424"/>
      <c r="R394" s="423"/>
      <c r="S394" s="423"/>
      <c r="T394" s="423"/>
      <c r="U394" s="423"/>
      <c r="V394" s="307"/>
      <c r="W394" s="311"/>
    </row>
    <row r="395" spans="1:23" ht="15" customHeight="1" x14ac:dyDescent="0.2">
      <c r="A395" s="211"/>
      <c r="B395" s="211"/>
      <c r="C395" s="211"/>
      <c r="D395" s="211"/>
      <c r="E395" s="78"/>
      <c r="F395" s="307"/>
      <c r="G395" s="78"/>
      <c r="H395" s="307"/>
      <c r="I395" s="422"/>
      <c r="J395" s="211"/>
      <c r="K395" s="422"/>
      <c r="L395" s="211"/>
      <c r="M395" s="142"/>
      <c r="N395" s="423"/>
      <c r="O395" s="307"/>
      <c r="P395" s="211"/>
      <c r="Q395" s="424"/>
      <c r="R395" s="423"/>
      <c r="S395" s="423"/>
      <c r="T395" s="423"/>
      <c r="U395" s="423"/>
      <c r="V395" s="307"/>
      <c r="W395" s="311"/>
    </row>
    <row r="396" spans="1:23" ht="15" customHeight="1" x14ac:dyDescent="0.2">
      <c r="A396" s="211"/>
      <c r="B396" s="211"/>
      <c r="C396" s="211"/>
      <c r="D396" s="211"/>
      <c r="E396" s="78"/>
      <c r="F396" s="307"/>
      <c r="G396" s="78"/>
      <c r="H396" s="307"/>
      <c r="I396" s="422"/>
      <c r="J396" s="211"/>
      <c r="K396" s="422"/>
      <c r="L396" s="211"/>
      <c r="M396" s="142"/>
      <c r="N396" s="423"/>
      <c r="O396" s="307"/>
      <c r="P396" s="211"/>
      <c r="Q396" s="424"/>
      <c r="R396" s="423"/>
      <c r="S396" s="423"/>
      <c r="T396" s="423"/>
      <c r="U396" s="423"/>
      <c r="V396" s="307"/>
      <c r="W396" s="311"/>
    </row>
    <row r="397" spans="1:23" ht="15" customHeight="1" x14ac:dyDescent="0.2">
      <c r="A397" s="211"/>
      <c r="B397" s="211"/>
      <c r="C397" s="211"/>
      <c r="D397" s="211"/>
      <c r="E397" s="78"/>
      <c r="F397" s="307"/>
      <c r="G397" s="78"/>
      <c r="H397" s="307"/>
      <c r="I397" s="422"/>
      <c r="J397" s="211"/>
      <c r="K397" s="422"/>
      <c r="L397" s="211"/>
      <c r="M397" s="142"/>
      <c r="N397" s="423"/>
      <c r="O397" s="307"/>
      <c r="P397" s="211"/>
      <c r="Q397" s="424"/>
      <c r="R397" s="423"/>
      <c r="S397" s="423"/>
      <c r="T397" s="423"/>
      <c r="U397" s="423"/>
      <c r="V397" s="307"/>
      <c r="W397" s="311"/>
    </row>
    <row r="398" spans="1:23" ht="15" customHeight="1" x14ac:dyDescent="0.2">
      <c r="A398" s="211"/>
      <c r="B398" s="211"/>
      <c r="C398" s="211"/>
      <c r="D398" s="211"/>
      <c r="E398" s="78"/>
      <c r="F398" s="307"/>
      <c r="G398" s="78"/>
      <c r="H398" s="307"/>
      <c r="I398" s="422"/>
      <c r="J398" s="211"/>
      <c r="K398" s="422"/>
      <c r="L398" s="211"/>
      <c r="M398" s="142"/>
      <c r="N398" s="423"/>
      <c r="O398" s="307"/>
      <c r="P398" s="211"/>
      <c r="Q398" s="424"/>
      <c r="R398" s="423"/>
      <c r="S398" s="423"/>
      <c r="T398" s="423"/>
      <c r="U398" s="423"/>
      <c r="V398" s="307"/>
      <c r="W398" s="311"/>
    </row>
    <row r="399" spans="1:23" ht="15" customHeight="1" x14ac:dyDescent="0.2">
      <c r="A399" s="211"/>
      <c r="B399" s="211"/>
      <c r="C399" s="211"/>
      <c r="D399" s="211"/>
      <c r="E399" s="78"/>
      <c r="F399" s="307"/>
      <c r="G399" s="78"/>
      <c r="H399" s="307"/>
      <c r="I399" s="422"/>
      <c r="J399" s="211"/>
      <c r="K399" s="422"/>
      <c r="L399" s="211"/>
      <c r="M399" s="142"/>
      <c r="N399" s="423"/>
      <c r="O399" s="307"/>
      <c r="P399" s="211"/>
      <c r="Q399" s="424"/>
      <c r="R399" s="423"/>
      <c r="S399" s="423"/>
      <c r="T399" s="423"/>
      <c r="U399" s="423"/>
      <c r="V399" s="307"/>
      <c r="W399" s="311"/>
    </row>
    <row r="400" spans="1:23" ht="15" customHeight="1" x14ac:dyDescent="0.2">
      <c r="A400" s="211"/>
      <c r="B400" s="211"/>
      <c r="C400" s="211"/>
      <c r="D400" s="211"/>
      <c r="E400" s="78"/>
      <c r="F400" s="307"/>
      <c r="G400" s="78"/>
      <c r="H400" s="307"/>
      <c r="I400" s="422"/>
      <c r="J400" s="211"/>
      <c r="K400" s="422"/>
      <c r="L400" s="211"/>
      <c r="M400" s="142"/>
      <c r="N400" s="423"/>
      <c r="O400" s="307"/>
      <c r="P400" s="211"/>
      <c r="Q400" s="424"/>
      <c r="R400" s="423"/>
      <c r="S400" s="423"/>
      <c r="T400" s="423"/>
      <c r="U400" s="423"/>
      <c r="V400" s="307"/>
      <c r="W400" s="311"/>
    </row>
    <row r="401" spans="1:23" ht="15" customHeight="1" x14ac:dyDescent="0.2">
      <c r="A401" s="211"/>
      <c r="B401" s="211"/>
      <c r="C401" s="211"/>
      <c r="D401" s="211"/>
      <c r="E401" s="78"/>
      <c r="F401" s="307"/>
      <c r="G401" s="78"/>
      <c r="H401" s="307"/>
      <c r="I401" s="422"/>
      <c r="J401" s="211"/>
      <c r="K401" s="422"/>
      <c r="L401" s="211"/>
      <c r="M401" s="142"/>
      <c r="N401" s="423"/>
      <c r="O401" s="307"/>
      <c r="P401" s="211"/>
      <c r="Q401" s="424"/>
      <c r="R401" s="423"/>
      <c r="S401" s="423"/>
      <c r="T401" s="423"/>
      <c r="U401" s="423"/>
      <c r="V401" s="307"/>
      <c r="W401" s="311"/>
    </row>
    <row r="402" spans="1:23" ht="15" customHeight="1" x14ac:dyDescent="0.2">
      <c r="A402" s="211"/>
      <c r="B402" s="211"/>
      <c r="C402" s="211"/>
      <c r="D402" s="211"/>
      <c r="E402" s="78"/>
      <c r="F402" s="307"/>
      <c r="G402" s="78"/>
      <c r="H402" s="307"/>
      <c r="I402" s="422"/>
      <c r="J402" s="211"/>
      <c r="K402" s="422"/>
      <c r="L402" s="211"/>
      <c r="M402" s="142"/>
      <c r="N402" s="423"/>
      <c r="O402" s="307"/>
      <c r="P402" s="211"/>
      <c r="Q402" s="424"/>
      <c r="R402" s="423"/>
      <c r="S402" s="423"/>
      <c r="T402" s="423"/>
      <c r="U402" s="423"/>
      <c r="V402" s="307"/>
      <c r="W402" s="311"/>
    </row>
    <row r="403" spans="1:23" ht="15" customHeight="1" x14ac:dyDescent="0.2">
      <c r="A403" s="211"/>
      <c r="B403" s="211"/>
      <c r="C403" s="211"/>
      <c r="D403" s="211"/>
      <c r="E403" s="78"/>
      <c r="F403" s="307"/>
      <c r="G403" s="78"/>
      <c r="H403" s="307"/>
      <c r="I403" s="422"/>
      <c r="J403" s="211"/>
      <c r="K403" s="422"/>
      <c r="L403" s="211"/>
      <c r="M403" s="142"/>
      <c r="N403" s="423"/>
      <c r="O403" s="307"/>
      <c r="P403" s="211"/>
      <c r="Q403" s="424"/>
      <c r="R403" s="423"/>
      <c r="S403" s="423"/>
      <c r="T403" s="423"/>
      <c r="U403" s="423"/>
      <c r="V403" s="307"/>
      <c r="W403" s="311"/>
    </row>
    <row r="404" spans="1:23" ht="15" customHeight="1" x14ac:dyDescent="0.2">
      <c r="A404" s="211"/>
      <c r="B404" s="211"/>
      <c r="C404" s="211"/>
      <c r="D404" s="211"/>
      <c r="E404" s="78"/>
      <c r="F404" s="307"/>
      <c r="G404" s="78"/>
      <c r="H404" s="307"/>
      <c r="I404" s="422"/>
      <c r="J404" s="211"/>
      <c r="K404" s="422"/>
      <c r="L404" s="211"/>
      <c r="M404" s="142"/>
      <c r="N404" s="423"/>
      <c r="O404" s="307"/>
      <c r="P404" s="211"/>
      <c r="Q404" s="424"/>
      <c r="R404" s="423"/>
      <c r="S404" s="423"/>
      <c r="T404" s="423"/>
      <c r="U404" s="423"/>
      <c r="V404" s="307"/>
      <c r="W404" s="311"/>
    </row>
    <row r="405" spans="1:23" ht="15" customHeight="1" x14ac:dyDescent="0.2">
      <c r="A405" s="211"/>
      <c r="B405" s="211"/>
      <c r="C405" s="211"/>
      <c r="D405" s="211"/>
      <c r="E405" s="78"/>
      <c r="F405" s="307"/>
      <c r="G405" s="78"/>
      <c r="H405" s="307"/>
      <c r="I405" s="422"/>
      <c r="J405" s="211"/>
      <c r="K405" s="422"/>
      <c r="L405" s="211"/>
      <c r="M405" s="142"/>
      <c r="N405" s="423"/>
      <c r="O405" s="307"/>
      <c r="P405" s="211"/>
      <c r="Q405" s="424"/>
      <c r="R405" s="423"/>
      <c r="S405" s="423"/>
      <c r="T405" s="423"/>
      <c r="U405" s="423"/>
      <c r="V405" s="307"/>
      <c r="W405" s="311"/>
    </row>
    <row r="406" spans="1:23" ht="15" customHeight="1" x14ac:dyDescent="0.2">
      <c r="A406" s="211"/>
      <c r="B406" s="211"/>
      <c r="C406" s="211"/>
      <c r="D406" s="211"/>
      <c r="E406" s="78"/>
      <c r="F406" s="307"/>
      <c r="G406" s="78"/>
      <c r="H406" s="307"/>
      <c r="I406" s="422"/>
      <c r="J406" s="211"/>
      <c r="K406" s="422"/>
      <c r="L406" s="211"/>
      <c r="M406" s="142"/>
      <c r="N406" s="423"/>
      <c r="O406" s="307"/>
      <c r="P406" s="211"/>
      <c r="Q406" s="424"/>
      <c r="R406" s="423"/>
      <c r="S406" s="423"/>
      <c r="T406" s="423"/>
      <c r="U406" s="423"/>
      <c r="V406" s="307"/>
      <c r="W406" s="311"/>
    </row>
    <row r="407" spans="1:23" ht="15" customHeight="1" x14ac:dyDescent="0.2">
      <c r="A407" s="211"/>
      <c r="B407" s="211"/>
      <c r="C407" s="211"/>
      <c r="D407" s="211"/>
      <c r="E407" s="78"/>
      <c r="F407" s="307"/>
      <c r="G407" s="78"/>
      <c r="H407" s="307"/>
      <c r="I407" s="422"/>
      <c r="J407" s="211"/>
      <c r="K407" s="422"/>
      <c r="L407" s="211"/>
      <c r="M407" s="142"/>
      <c r="N407" s="423"/>
      <c r="O407" s="307"/>
      <c r="P407" s="211"/>
      <c r="Q407" s="424"/>
      <c r="R407" s="423"/>
      <c r="S407" s="423"/>
      <c r="T407" s="423"/>
      <c r="U407" s="423"/>
      <c r="V407" s="307"/>
      <c r="W407" s="311"/>
    </row>
    <row r="408" spans="1:23" ht="15" customHeight="1" x14ac:dyDescent="0.2">
      <c r="A408" s="211"/>
      <c r="B408" s="211"/>
      <c r="C408" s="211"/>
      <c r="D408" s="211"/>
      <c r="E408" s="78"/>
      <c r="F408" s="307"/>
      <c r="G408" s="78"/>
      <c r="H408" s="307"/>
      <c r="I408" s="422"/>
      <c r="J408" s="211"/>
      <c r="K408" s="422"/>
      <c r="L408" s="211"/>
      <c r="M408" s="142"/>
      <c r="N408" s="423"/>
      <c r="O408" s="307"/>
      <c r="P408" s="211"/>
      <c r="Q408" s="424"/>
      <c r="R408" s="423"/>
      <c r="S408" s="423"/>
      <c r="T408" s="423"/>
      <c r="U408" s="423"/>
      <c r="V408" s="307"/>
      <c r="W408" s="311"/>
    </row>
    <row r="409" spans="1:23" ht="15" customHeight="1" x14ac:dyDescent="0.2">
      <c r="A409" s="211"/>
      <c r="B409" s="211"/>
      <c r="C409" s="211"/>
      <c r="D409" s="211"/>
      <c r="E409" s="78"/>
      <c r="F409" s="307"/>
      <c r="G409" s="78"/>
      <c r="H409" s="307"/>
      <c r="I409" s="422"/>
      <c r="J409" s="211"/>
      <c r="K409" s="422"/>
      <c r="L409" s="211"/>
      <c r="M409" s="142"/>
      <c r="N409" s="423"/>
      <c r="O409" s="307"/>
      <c r="P409" s="211"/>
      <c r="Q409" s="424"/>
      <c r="R409" s="423"/>
      <c r="S409" s="423"/>
      <c r="T409" s="423"/>
      <c r="U409" s="423"/>
      <c r="V409" s="307"/>
      <c r="W409" s="311"/>
    </row>
    <row r="410" spans="1:23" ht="15" customHeight="1" x14ac:dyDescent="0.2">
      <c r="A410" s="211"/>
      <c r="B410" s="211"/>
      <c r="C410" s="211"/>
      <c r="D410" s="211"/>
      <c r="E410" s="78"/>
      <c r="F410" s="307"/>
      <c r="G410" s="78"/>
      <c r="H410" s="307"/>
      <c r="I410" s="422"/>
      <c r="J410" s="211"/>
      <c r="K410" s="422"/>
      <c r="L410" s="211"/>
      <c r="M410" s="142"/>
      <c r="N410" s="423"/>
      <c r="O410" s="307"/>
      <c r="P410" s="211"/>
      <c r="Q410" s="424"/>
      <c r="R410" s="423"/>
      <c r="S410" s="423"/>
      <c r="T410" s="423"/>
      <c r="U410" s="423"/>
      <c r="V410" s="307"/>
      <c r="W410" s="311"/>
    </row>
    <row r="411" spans="1:23" ht="15" customHeight="1" x14ac:dyDescent="0.2">
      <c r="A411" s="211"/>
      <c r="B411" s="211"/>
      <c r="C411" s="211"/>
      <c r="D411" s="211"/>
      <c r="E411" s="78"/>
      <c r="F411" s="307"/>
      <c r="G411" s="78"/>
      <c r="H411" s="307"/>
      <c r="I411" s="422"/>
      <c r="J411" s="211"/>
      <c r="K411" s="422"/>
      <c r="L411" s="211"/>
      <c r="M411" s="142"/>
      <c r="N411" s="423"/>
      <c r="O411" s="307"/>
      <c r="P411" s="211"/>
      <c r="Q411" s="424"/>
      <c r="R411" s="423"/>
      <c r="S411" s="423"/>
      <c r="T411" s="423"/>
      <c r="U411" s="423"/>
      <c r="V411" s="307"/>
      <c r="W411" s="311"/>
    </row>
    <row r="412" spans="1:23" ht="15" customHeight="1" x14ac:dyDescent="0.2">
      <c r="A412" s="211"/>
      <c r="B412" s="211"/>
      <c r="C412" s="211"/>
      <c r="D412" s="211"/>
      <c r="E412" s="78"/>
      <c r="F412" s="307"/>
      <c r="G412" s="78"/>
      <c r="H412" s="307"/>
      <c r="I412" s="422"/>
      <c r="J412" s="211"/>
      <c r="K412" s="422"/>
      <c r="L412" s="211"/>
      <c r="M412" s="142"/>
      <c r="N412" s="423"/>
      <c r="O412" s="307"/>
      <c r="P412" s="211"/>
      <c r="Q412" s="424"/>
      <c r="R412" s="423"/>
      <c r="S412" s="423"/>
      <c r="T412" s="423"/>
      <c r="U412" s="423"/>
      <c r="V412" s="307"/>
      <c r="W412" s="311"/>
    </row>
    <row r="413" spans="1:23" ht="15" customHeight="1" x14ac:dyDescent="0.2">
      <c r="A413" s="211"/>
      <c r="B413" s="211"/>
      <c r="C413" s="211"/>
      <c r="D413" s="211"/>
      <c r="E413" s="78"/>
      <c r="F413" s="307"/>
      <c r="G413" s="78"/>
      <c r="H413" s="307"/>
      <c r="I413" s="422"/>
      <c r="J413" s="211"/>
      <c r="K413" s="422"/>
      <c r="L413" s="211"/>
      <c r="M413" s="142"/>
      <c r="N413" s="423"/>
      <c r="O413" s="307"/>
      <c r="P413" s="211"/>
      <c r="Q413" s="424"/>
      <c r="R413" s="423"/>
      <c r="S413" s="423"/>
      <c r="T413" s="423"/>
      <c r="U413" s="423"/>
      <c r="V413" s="307"/>
      <c r="W413" s="311"/>
    </row>
    <row r="414" spans="1:23" ht="15" customHeight="1" x14ac:dyDescent="0.2">
      <c r="A414" s="211"/>
      <c r="B414" s="211"/>
      <c r="C414" s="211"/>
      <c r="D414" s="211"/>
      <c r="E414" s="78"/>
      <c r="F414" s="307"/>
      <c r="G414" s="78"/>
      <c r="H414" s="307"/>
      <c r="I414" s="422"/>
      <c r="J414" s="211"/>
      <c r="K414" s="422"/>
      <c r="L414" s="211"/>
      <c r="M414" s="142"/>
      <c r="N414" s="423"/>
      <c r="O414" s="307"/>
      <c r="P414" s="211"/>
      <c r="Q414" s="424"/>
      <c r="R414" s="423"/>
      <c r="S414" s="423"/>
      <c r="T414" s="423"/>
      <c r="U414" s="423"/>
      <c r="V414" s="307"/>
      <c r="W414" s="311"/>
    </row>
    <row r="415" spans="1:23" ht="15" customHeight="1" x14ac:dyDescent="0.2">
      <c r="A415" s="211"/>
      <c r="B415" s="211"/>
      <c r="C415" s="211"/>
      <c r="D415" s="211"/>
      <c r="E415" s="78"/>
      <c r="F415" s="307"/>
      <c r="G415" s="78"/>
      <c r="H415" s="307"/>
      <c r="I415" s="422"/>
      <c r="J415" s="211"/>
      <c r="K415" s="422"/>
      <c r="L415" s="211"/>
      <c r="M415" s="142"/>
      <c r="N415" s="423"/>
      <c r="O415" s="307"/>
      <c r="P415" s="211"/>
      <c r="Q415" s="424"/>
      <c r="R415" s="423"/>
      <c r="S415" s="423"/>
      <c r="T415" s="423"/>
      <c r="U415" s="423"/>
      <c r="V415" s="307"/>
      <c r="W415" s="311"/>
    </row>
    <row r="416" spans="1:23" ht="15" customHeight="1" x14ac:dyDescent="0.2">
      <c r="A416" s="211"/>
      <c r="B416" s="211"/>
      <c r="C416" s="211"/>
      <c r="D416" s="211"/>
      <c r="E416" s="78"/>
      <c r="F416" s="307"/>
      <c r="G416" s="78"/>
      <c r="H416" s="307"/>
      <c r="I416" s="307"/>
      <c r="J416" s="211"/>
      <c r="K416" s="307"/>
      <c r="L416" s="211"/>
      <c r="M416" s="230"/>
      <c r="N416" s="423"/>
      <c r="O416" s="307"/>
      <c r="P416" s="211"/>
      <c r="Q416" s="424"/>
      <c r="R416" s="423"/>
      <c r="S416" s="423"/>
      <c r="T416" s="423"/>
      <c r="U416" s="423"/>
      <c r="V416" s="307"/>
      <c r="W416" s="311"/>
    </row>
    <row r="417" spans="1:23" ht="15" customHeight="1" x14ac:dyDescent="0.2">
      <c r="A417" s="211"/>
      <c r="B417" s="211"/>
      <c r="C417" s="211"/>
      <c r="D417" s="211"/>
      <c r="E417" s="78"/>
      <c r="F417" s="307"/>
      <c r="G417" s="78"/>
      <c r="H417" s="307"/>
      <c r="I417" s="307"/>
      <c r="J417" s="211"/>
      <c r="K417" s="307"/>
      <c r="L417" s="211"/>
      <c r="M417" s="230"/>
      <c r="N417" s="423"/>
      <c r="O417" s="307"/>
      <c r="P417" s="211"/>
      <c r="Q417" s="424"/>
      <c r="R417" s="423"/>
      <c r="S417" s="423"/>
      <c r="T417" s="423"/>
      <c r="U417" s="423"/>
      <c r="V417" s="307"/>
      <c r="W417" s="311"/>
    </row>
    <row r="418" spans="1:23" ht="15" customHeight="1" x14ac:dyDescent="0.2">
      <c r="A418" s="211"/>
      <c r="B418" s="211"/>
      <c r="C418" s="211"/>
      <c r="D418" s="211"/>
      <c r="E418" s="78"/>
      <c r="F418" s="307"/>
      <c r="G418" s="78"/>
      <c r="H418" s="307"/>
      <c r="I418" s="307"/>
      <c r="J418" s="211"/>
      <c r="K418" s="307"/>
      <c r="L418" s="211"/>
      <c r="M418" s="230"/>
      <c r="N418" s="423"/>
      <c r="O418" s="307"/>
      <c r="P418" s="211"/>
      <c r="Q418" s="424"/>
      <c r="R418" s="423"/>
      <c r="S418" s="423"/>
      <c r="T418" s="423"/>
      <c r="U418" s="423"/>
      <c r="V418" s="307"/>
      <c r="W418" s="311"/>
    </row>
    <row r="419" spans="1:23" ht="15" customHeight="1" x14ac:dyDescent="0.2">
      <c r="A419" s="211"/>
      <c r="B419" s="211"/>
      <c r="C419" s="211"/>
      <c r="D419" s="211"/>
      <c r="E419" s="78"/>
      <c r="F419" s="307"/>
      <c r="G419" s="78"/>
      <c r="H419" s="307"/>
      <c r="I419" s="422"/>
      <c r="J419" s="211"/>
      <c r="K419" s="307"/>
      <c r="L419" s="211"/>
      <c r="M419" s="142"/>
      <c r="N419" s="423"/>
      <c r="O419" s="307"/>
      <c r="P419" s="211"/>
      <c r="Q419" s="424"/>
      <c r="R419" s="423"/>
      <c r="S419" s="423"/>
      <c r="T419" s="423"/>
      <c r="U419" s="423"/>
      <c r="V419" s="307"/>
      <c r="W419" s="311"/>
    </row>
    <row r="420" spans="1:23" ht="15" customHeight="1" x14ac:dyDescent="0.2">
      <c r="A420" s="211"/>
      <c r="B420" s="211"/>
      <c r="C420" s="211"/>
      <c r="D420" s="211"/>
      <c r="E420" s="78"/>
      <c r="F420" s="307"/>
      <c r="G420" s="78"/>
      <c r="H420" s="307"/>
      <c r="I420" s="307"/>
      <c r="J420" s="211"/>
      <c r="K420" s="307"/>
      <c r="L420" s="211"/>
      <c r="M420" s="230"/>
      <c r="N420" s="423"/>
      <c r="O420" s="307"/>
      <c r="P420" s="211"/>
      <c r="Q420" s="424"/>
      <c r="R420" s="423"/>
      <c r="S420" s="423"/>
      <c r="T420" s="423"/>
      <c r="U420" s="423"/>
      <c r="V420" s="307"/>
      <c r="W420" s="311"/>
    </row>
    <row r="421" spans="1:23" ht="15" customHeight="1" x14ac:dyDescent="0.2">
      <c r="A421" s="211"/>
      <c r="B421" s="211"/>
      <c r="C421" s="211"/>
      <c r="D421" s="211"/>
      <c r="E421" s="78"/>
      <c r="F421" s="307"/>
      <c r="G421" s="78"/>
      <c r="H421" s="307"/>
      <c r="I421" s="307"/>
      <c r="J421" s="211"/>
      <c r="K421" s="307"/>
      <c r="L421" s="211"/>
      <c r="M421" s="230"/>
      <c r="N421" s="423"/>
      <c r="O421" s="307"/>
      <c r="P421" s="211"/>
      <c r="Q421" s="424"/>
      <c r="R421" s="423"/>
      <c r="S421" s="423"/>
      <c r="T421" s="423"/>
      <c r="U421" s="423"/>
      <c r="V421" s="307"/>
      <c r="W421" s="311"/>
    </row>
    <row r="422" spans="1:23" ht="15" customHeight="1" x14ac:dyDescent="0.2">
      <c r="A422" s="211"/>
      <c r="B422" s="211"/>
      <c r="C422" s="211"/>
      <c r="D422" s="211"/>
      <c r="E422" s="78"/>
      <c r="F422" s="307"/>
      <c r="G422" s="78"/>
      <c r="H422" s="307"/>
      <c r="I422" s="307"/>
      <c r="J422" s="211"/>
      <c r="K422" s="307"/>
      <c r="L422" s="211"/>
      <c r="M422" s="230"/>
      <c r="N422" s="423"/>
      <c r="O422" s="307"/>
      <c r="P422" s="211"/>
      <c r="Q422" s="424"/>
      <c r="R422" s="423"/>
      <c r="S422" s="423"/>
      <c r="T422" s="423"/>
      <c r="U422" s="423"/>
      <c r="V422" s="307"/>
      <c r="W422" s="311"/>
    </row>
    <row r="423" spans="1:23" ht="15" customHeight="1" x14ac:dyDescent="0.2">
      <c r="A423" s="211"/>
      <c r="B423" s="211"/>
      <c r="C423" s="211"/>
      <c r="D423" s="211"/>
      <c r="E423" s="78"/>
      <c r="F423" s="307"/>
      <c r="G423" s="78"/>
      <c r="H423" s="307"/>
      <c r="I423" s="307"/>
      <c r="J423" s="211"/>
      <c r="K423" s="307"/>
      <c r="L423" s="211"/>
      <c r="M423" s="230"/>
      <c r="N423" s="423"/>
      <c r="O423" s="307"/>
      <c r="P423" s="211"/>
      <c r="Q423" s="424"/>
      <c r="R423" s="423"/>
      <c r="S423" s="423"/>
      <c r="T423" s="423"/>
      <c r="U423" s="423"/>
      <c r="V423" s="307"/>
      <c r="W423" s="311"/>
    </row>
    <row r="424" spans="1:23" ht="15" customHeight="1" x14ac:dyDescent="0.2">
      <c r="A424" s="211"/>
      <c r="B424" s="211"/>
      <c r="C424" s="211"/>
      <c r="D424" s="211"/>
      <c r="E424" s="78"/>
      <c r="F424" s="307"/>
      <c r="G424" s="78"/>
      <c r="H424" s="307"/>
      <c r="I424" s="307"/>
      <c r="J424" s="211"/>
      <c r="K424" s="307"/>
      <c r="L424" s="211"/>
      <c r="M424" s="230"/>
      <c r="N424" s="423"/>
      <c r="O424" s="307"/>
      <c r="P424" s="211"/>
      <c r="Q424" s="424"/>
      <c r="R424" s="423"/>
      <c r="S424" s="423"/>
      <c r="T424" s="423"/>
      <c r="U424" s="423"/>
      <c r="V424" s="307"/>
      <c r="W424" s="311"/>
    </row>
    <row r="425" spans="1:23" ht="15" customHeight="1" x14ac:dyDescent="0.2">
      <c r="A425" s="211"/>
      <c r="B425" s="211"/>
      <c r="C425" s="211"/>
      <c r="D425" s="211"/>
      <c r="E425" s="78"/>
      <c r="F425" s="307"/>
      <c r="G425" s="78"/>
      <c r="H425" s="307"/>
      <c r="I425" s="307"/>
      <c r="J425" s="211"/>
      <c r="K425" s="307"/>
      <c r="L425" s="211"/>
      <c r="M425" s="230"/>
      <c r="N425" s="423"/>
      <c r="O425" s="307"/>
      <c r="P425" s="211"/>
      <c r="Q425" s="424"/>
      <c r="R425" s="423"/>
      <c r="S425" s="423"/>
      <c r="T425" s="423"/>
      <c r="U425" s="423"/>
      <c r="V425" s="307"/>
      <c r="W425" s="311"/>
    </row>
    <row r="426" spans="1:23" ht="15" customHeight="1" x14ac:dyDescent="0.2">
      <c r="A426" s="211"/>
      <c r="B426" s="211"/>
      <c r="C426" s="211"/>
      <c r="D426" s="211"/>
      <c r="E426" s="78"/>
      <c r="F426" s="307"/>
      <c r="G426" s="78"/>
      <c r="H426" s="307"/>
      <c r="I426" s="422"/>
      <c r="J426" s="211"/>
      <c r="K426" s="422"/>
      <c r="L426" s="211"/>
      <c r="M426" s="142"/>
      <c r="N426" s="423"/>
      <c r="O426" s="307"/>
      <c r="P426" s="211"/>
      <c r="Q426" s="424"/>
      <c r="R426" s="423"/>
      <c r="S426" s="423"/>
      <c r="T426" s="423"/>
      <c r="U426" s="423"/>
      <c r="V426" s="307"/>
      <c r="W426" s="311"/>
    </row>
    <row r="427" spans="1:23" ht="15" customHeight="1" x14ac:dyDescent="0.2">
      <c r="A427" s="211"/>
      <c r="B427" s="211"/>
      <c r="C427" s="211"/>
      <c r="D427" s="211"/>
      <c r="E427" s="78"/>
      <c r="F427" s="307"/>
      <c r="G427" s="78"/>
      <c r="H427" s="307"/>
      <c r="I427" s="422"/>
      <c r="J427" s="211"/>
      <c r="K427" s="422"/>
      <c r="L427" s="211"/>
      <c r="M427" s="142"/>
      <c r="N427" s="423"/>
      <c r="O427" s="307"/>
      <c r="P427" s="211"/>
      <c r="Q427" s="424"/>
      <c r="R427" s="423"/>
      <c r="S427" s="423"/>
      <c r="T427" s="423"/>
      <c r="U427" s="423"/>
      <c r="V427" s="307"/>
      <c r="W427" s="311"/>
    </row>
    <row r="428" spans="1:23" ht="15" customHeight="1" x14ac:dyDescent="0.2">
      <c r="A428" s="214"/>
      <c r="B428" s="214"/>
      <c r="C428" s="214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425"/>
      <c r="V428" s="214"/>
      <c r="W428" s="214"/>
    </row>
    <row r="431" spans="1:23" ht="15" customHeight="1" x14ac:dyDescent="0.2">
      <c r="L431" s="426"/>
    </row>
    <row r="432" spans="1:23" ht="15" customHeight="1" x14ac:dyDescent="0.2">
      <c r="A432" s="427"/>
      <c r="B432" s="427"/>
      <c r="C432" s="427"/>
      <c r="D432" s="427"/>
      <c r="E432" s="427"/>
      <c r="F432" s="427"/>
      <c r="G432" s="427"/>
      <c r="H432" s="427"/>
      <c r="I432" s="427"/>
      <c r="J432" s="427"/>
      <c r="K432" s="427"/>
      <c r="L432" s="427"/>
      <c r="M432" s="427"/>
      <c r="N432" s="427"/>
      <c r="O432" s="427"/>
      <c r="P432" s="427"/>
      <c r="Q432" s="427"/>
      <c r="R432" s="427"/>
      <c r="S432" s="427"/>
      <c r="T432" s="427"/>
      <c r="U432" s="427"/>
      <c r="V432" s="427"/>
      <c r="W432" s="427"/>
    </row>
  </sheetData>
  <autoFilter ref="A1:Y300" xr:uid="{00000000-0009-0000-0000-000035000000}"/>
  <dataValidations count="2">
    <dataValidation type="list" allowBlank="1" errorTitle="Valor inválido" error="Selecciona Contratado o No Contratado" promptTitle="Contratado/No Contratado" prompt="Selecciona estado" sqref="X2:X299" xr:uid="{00000000-0002-0000-35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Y2:Y299" xr:uid="{00000000-0002-0000-3500-000001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AC10"/>
  <sheetViews>
    <sheetView topLeftCell="M1" zoomScale="160" zoomScaleNormal="160" workbookViewId="0">
      <selection activeCell="W2" sqref="W2"/>
    </sheetView>
  </sheetViews>
  <sheetFormatPr baseColWidth="10" defaultColWidth="8.6640625" defaultRowHeight="15" customHeight="1" x14ac:dyDescent="0.2"/>
  <cols>
    <col min="3" max="3" width="13.33203125" customWidth="1"/>
    <col min="8" max="8" width="12.66406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B2" s="63" t="s">
        <v>191</v>
      </c>
      <c r="C2" s="63" t="s">
        <v>120</v>
      </c>
      <c r="D2" s="78" t="s">
        <v>313</v>
      </c>
      <c r="E2" s="171" t="s">
        <v>220</v>
      </c>
      <c r="F2" s="78" t="s">
        <v>221</v>
      </c>
      <c r="G2" s="171" t="s">
        <v>342</v>
      </c>
      <c r="H2" s="255" t="s">
        <v>368</v>
      </c>
      <c r="I2" s="225" t="s">
        <v>207</v>
      </c>
      <c r="J2" s="255">
        <v>1</v>
      </c>
      <c r="K2" s="225" t="s">
        <v>269</v>
      </c>
      <c r="L2" s="142">
        <f>'Albercas PU'!$M$47</f>
        <v>2493562.4999999995</v>
      </c>
      <c r="M2" s="227">
        <f t="shared" ref="M2:M9" si="0">J2*L2</f>
        <v>2493562.4999999995</v>
      </c>
      <c r="N2" s="251">
        <v>0</v>
      </c>
      <c r="O2" s="227">
        <f t="shared" ref="O2:O9" si="1">M2*N2</f>
        <v>0</v>
      </c>
      <c r="P2" s="251">
        <v>0.16</v>
      </c>
      <c r="Q2" s="227">
        <f t="shared" ref="Q2:Q9" si="2">(M2+O2)*P2</f>
        <v>398969.99999999994</v>
      </c>
      <c r="R2" s="227">
        <f t="shared" ref="R2:R9" si="3">M2+O2+Q2</f>
        <v>2892532.4999999995</v>
      </c>
      <c r="S2" s="255">
        <f>INDEX('Glosario Partidas'!$M$8:$M$10,MATCH(K2,'Glosario Partidas'!$L$8:$L$10,0))</f>
        <v>1</v>
      </c>
      <c r="T2" s="227">
        <f t="shared" ref="T2:T9" si="4">R2*S2</f>
        <v>2892532.4999999995</v>
      </c>
      <c r="U2" s="230" t="s">
        <v>369</v>
      </c>
      <c r="V2" s="249" t="s">
        <v>12</v>
      </c>
      <c r="W2" s="249" t="s">
        <v>491</v>
      </c>
      <c r="X2" s="249"/>
    </row>
    <row r="3" spans="1:29" ht="15" customHeight="1" x14ac:dyDescent="0.2">
      <c r="B3" s="63" t="s">
        <v>191</v>
      </c>
      <c r="C3" s="63" t="s">
        <v>120</v>
      </c>
      <c r="D3" s="78" t="s">
        <v>313</v>
      </c>
      <c r="E3" s="171" t="s">
        <v>220</v>
      </c>
      <c r="F3" s="78" t="s">
        <v>355</v>
      </c>
      <c r="G3" s="171" t="s">
        <v>342</v>
      </c>
      <c r="H3" s="255" t="s">
        <v>368</v>
      </c>
      <c r="I3" s="225" t="s">
        <v>207</v>
      </c>
      <c r="J3" s="255">
        <v>1</v>
      </c>
      <c r="K3" s="225" t="s">
        <v>269</v>
      </c>
      <c r="L3" s="142">
        <f>'Albercas PU'!$M$47</f>
        <v>2493562.4999999995</v>
      </c>
      <c r="M3" s="227">
        <f t="shared" si="0"/>
        <v>2493562.4999999995</v>
      </c>
      <c r="N3" s="251">
        <v>0</v>
      </c>
      <c r="O3" s="227">
        <f t="shared" si="1"/>
        <v>0</v>
      </c>
      <c r="P3" s="251">
        <v>0.16</v>
      </c>
      <c r="Q3" s="227">
        <f t="shared" si="2"/>
        <v>398969.99999999994</v>
      </c>
      <c r="R3" s="227">
        <f t="shared" si="3"/>
        <v>2892532.4999999995</v>
      </c>
      <c r="S3" s="255">
        <f>INDEX('Glosario Partidas'!$M$8:$M$10,MATCH(K3,'Glosario Partidas'!$L$8:$L$10,0))</f>
        <v>1</v>
      </c>
      <c r="T3" s="227">
        <f t="shared" si="4"/>
        <v>2892532.4999999995</v>
      </c>
      <c r="U3" s="230" t="s">
        <v>369</v>
      </c>
      <c r="V3" s="249" t="s">
        <v>12</v>
      </c>
      <c r="W3" s="249" t="s">
        <v>491</v>
      </c>
      <c r="X3" s="249"/>
    </row>
    <row r="4" spans="1:29" ht="15" customHeight="1" x14ac:dyDescent="0.2">
      <c r="B4" s="63" t="s">
        <v>191</v>
      </c>
      <c r="C4" s="63" t="s">
        <v>120</v>
      </c>
      <c r="D4" s="78" t="s">
        <v>313</v>
      </c>
      <c r="E4" s="171" t="s">
        <v>220</v>
      </c>
      <c r="F4" s="78" t="s">
        <v>221</v>
      </c>
      <c r="G4" s="171" t="s">
        <v>487</v>
      </c>
      <c r="H4" s="255" t="s">
        <v>368</v>
      </c>
      <c r="I4" s="225" t="s">
        <v>207</v>
      </c>
      <c r="J4" s="255">
        <v>1</v>
      </c>
      <c r="K4" s="225" t="s">
        <v>269</v>
      </c>
      <c r="L4" s="142">
        <f>'Albercas PU'!$M$47</f>
        <v>2493562.4999999995</v>
      </c>
      <c r="M4" s="227">
        <f t="shared" si="0"/>
        <v>2493562.4999999995</v>
      </c>
      <c r="N4" s="251">
        <v>0</v>
      </c>
      <c r="O4" s="227">
        <f t="shared" si="1"/>
        <v>0</v>
      </c>
      <c r="P4" s="251">
        <v>0.16</v>
      </c>
      <c r="Q4" s="227">
        <f t="shared" si="2"/>
        <v>398969.99999999994</v>
      </c>
      <c r="R4" s="227">
        <f t="shared" si="3"/>
        <v>2892532.4999999995</v>
      </c>
      <c r="S4" s="255">
        <f>INDEX('Glosario Partidas'!$M$8:$M$10,MATCH(K4,'Glosario Partidas'!$L$8:$L$10,0))</f>
        <v>1</v>
      </c>
      <c r="T4" s="227">
        <f t="shared" si="4"/>
        <v>2892532.4999999995</v>
      </c>
      <c r="U4" s="230" t="s">
        <v>369</v>
      </c>
      <c r="V4" s="249" t="s">
        <v>12</v>
      </c>
      <c r="W4" s="249" t="s">
        <v>491</v>
      </c>
      <c r="X4" s="249"/>
    </row>
    <row r="5" spans="1:29" ht="15" customHeight="1" x14ac:dyDescent="0.2">
      <c r="B5" s="63" t="s">
        <v>191</v>
      </c>
      <c r="C5" s="63" t="s">
        <v>120</v>
      </c>
      <c r="D5" s="78" t="s">
        <v>313</v>
      </c>
      <c r="E5" s="171" t="s">
        <v>220</v>
      </c>
      <c r="F5" s="78" t="s">
        <v>355</v>
      </c>
      <c r="G5" s="171" t="s">
        <v>487</v>
      </c>
      <c r="H5" s="255" t="s">
        <v>368</v>
      </c>
      <c r="I5" s="225" t="s">
        <v>207</v>
      </c>
      <c r="J5" s="255">
        <v>1</v>
      </c>
      <c r="K5" s="225" t="s">
        <v>269</v>
      </c>
      <c r="L5" s="142">
        <f>'Albercas PU'!$M$47</f>
        <v>2493562.4999999995</v>
      </c>
      <c r="M5" s="227">
        <f t="shared" si="0"/>
        <v>2493562.4999999995</v>
      </c>
      <c r="N5" s="251">
        <v>0</v>
      </c>
      <c r="O5" s="227">
        <f t="shared" si="1"/>
        <v>0</v>
      </c>
      <c r="P5" s="251">
        <v>0.16</v>
      </c>
      <c r="Q5" s="227">
        <f t="shared" si="2"/>
        <v>398969.99999999994</v>
      </c>
      <c r="R5" s="227">
        <f t="shared" si="3"/>
        <v>2892532.4999999995</v>
      </c>
      <c r="S5" s="255">
        <f>INDEX('Glosario Partidas'!$M$8:$M$10,MATCH(K5,'Glosario Partidas'!$L$8:$L$10,0))</f>
        <v>1</v>
      </c>
      <c r="T5" s="227">
        <f t="shared" si="4"/>
        <v>2892532.4999999995</v>
      </c>
      <c r="U5" s="230" t="s">
        <v>369</v>
      </c>
      <c r="V5" s="249" t="s">
        <v>12</v>
      </c>
      <c r="W5" s="249" t="s">
        <v>491</v>
      </c>
      <c r="X5" s="249"/>
    </row>
    <row r="6" spans="1:29" ht="15" customHeight="1" x14ac:dyDescent="0.2">
      <c r="B6" s="63" t="s">
        <v>191</v>
      </c>
      <c r="C6" s="63" t="s">
        <v>120</v>
      </c>
      <c r="D6" s="78" t="s">
        <v>313</v>
      </c>
      <c r="E6" s="171" t="s">
        <v>229</v>
      </c>
      <c r="F6" s="78" t="s">
        <v>221</v>
      </c>
      <c r="G6" s="171" t="s">
        <v>342</v>
      </c>
      <c r="H6" s="255" t="s">
        <v>368</v>
      </c>
      <c r="I6" s="225" t="s">
        <v>207</v>
      </c>
      <c r="J6" s="255">
        <v>1</v>
      </c>
      <c r="K6" s="225" t="s">
        <v>269</v>
      </c>
      <c r="L6" s="142">
        <f>'Albercas PU'!$M$47</f>
        <v>2493562.4999999995</v>
      </c>
      <c r="M6" s="227">
        <f t="shared" si="0"/>
        <v>2493562.4999999995</v>
      </c>
      <c r="N6" s="251">
        <v>0</v>
      </c>
      <c r="O6" s="227">
        <f t="shared" si="1"/>
        <v>0</v>
      </c>
      <c r="P6" s="251">
        <v>0.16</v>
      </c>
      <c r="Q6" s="227">
        <f t="shared" si="2"/>
        <v>398969.99999999994</v>
      </c>
      <c r="R6" s="227">
        <f t="shared" si="3"/>
        <v>2892532.4999999995</v>
      </c>
      <c r="S6" s="255">
        <f>INDEX('Glosario Partidas'!$M$8:$M$10,MATCH(K6,'Glosario Partidas'!$L$8:$L$10,0))</f>
        <v>1</v>
      </c>
      <c r="T6" s="227">
        <f t="shared" si="4"/>
        <v>2892532.4999999995</v>
      </c>
      <c r="U6" s="230" t="s">
        <v>369</v>
      </c>
      <c r="V6" s="249" t="s">
        <v>12</v>
      </c>
      <c r="W6" s="249" t="s">
        <v>491</v>
      </c>
      <c r="X6" s="249"/>
    </row>
    <row r="7" spans="1:29" ht="15" customHeight="1" x14ac:dyDescent="0.2">
      <c r="B7" s="63" t="s">
        <v>191</v>
      </c>
      <c r="C7" s="63" t="s">
        <v>120</v>
      </c>
      <c r="D7" s="78" t="s">
        <v>313</v>
      </c>
      <c r="E7" s="171" t="s">
        <v>229</v>
      </c>
      <c r="F7" s="78" t="s">
        <v>355</v>
      </c>
      <c r="G7" s="171" t="s">
        <v>342</v>
      </c>
      <c r="H7" s="255" t="s">
        <v>368</v>
      </c>
      <c r="I7" s="225" t="s">
        <v>207</v>
      </c>
      <c r="J7" s="255">
        <v>1</v>
      </c>
      <c r="K7" s="225" t="s">
        <v>269</v>
      </c>
      <c r="L7" s="142">
        <f>'Albercas PU'!$M$47</f>
        <v>2493562.4999999995</v>
      </c>
      <c r="M7" s="227">
        <f t="shared" si="0"/>
        <v>2493562.4999999995</v>
      </c>
      <c r="N7" s="251">
        <v>0</v>
      </c>
      <c r="O7" s="227">
        <f t="shared" si="1"/>
        <v>0</v>
      </c>
      <c r="P7" s="251">
        <v>0.16</v>
      </c>
      <c r="Q7" s="227">
        <f t="shared" si="2"/>
        <v>398969.99999999994</v>
      </c>
      <c r="R7" s="227">
        <f t="shared" si="3"/>
        <v>2892532.4999999995</v>
      </c>
      <c r="S7" s="255">
        <f>INDEX('Glosario Partidas'!$M$8:$M$10,MATCH(K7,'Glosario Partidas'!$L$8:$L$10,0))</f>
        <v>1</v>
      </c>
      <c r="T7" s="227">
        <f t="shared" si="4"/>
        <v>2892532.4999999995</v>
      </c>
      <c r="U7" s="230" t="s">
        <v>369</v>
      </c>
      <c r="V7" s="249" t="s">
        <v>12</v>
      </c>
      <c r="W7" s="249" t="s">
        <v>491</v>
      </c>
      <c r="X7" s="249"/>
    </row>
    <row r="8" spans="1:29" ht="15" customHeight="1" x14ac:dyDescent="0.2">
      <c r="B8" s="63" t="s">
        <v>191</v>
      </c>
      <c r="C8" s="63" t="s">
        <v>120</v>
      </c>
      <c r="D8" s="78" t="s">
        <v>313</v>
      </c>
      <c r="E8" s="171" t="s">
        <v>229</v>
      </c>
      <c r="F8" s="78" t="s">
        <v>221</v>
      </c>
      <c r="G8" s="171" t="s">
        <v>487</v>
      </c>
      <c r="H8" s="255" t="s">
        <v>368</v>
      </c>
      <c r="I8" s="225" t="s">
        <v>207</v>
      </c>
      <c r="J8" s="255">
        <v>1</v>
      </c>
      <c r="K8" s="225" t="s">
        <v>269</v>
      </c>
      <c r="L8" s="142">
        <f>'Albercas PU'!$M$47</f>
        <v>2493562.4999999995</v>
      </c>
      <c r="M8" s="227">
        <f t="shared" si="0"/>
        <v>2493562.4999999995</v>
      </c>
      <c r="N8" s="251">
        <v>0</v>
      </c>
      <c r="O8" s="227">
        <f t="shared" si="1"/>
        <v>0</v>
      </c>
      <c r="P8" s="251">
        <v>0.16</v>
      </c>
      <c r="Q8" s="227">
        <f t="shared" si="2"/>
        <v>398969.99999999994</v>
      </c>
      <c r="R8" s="227">
        <f t="shared" si="3"/>
        <v>2892532.4999999995</v>
      </c>
      <c r="S8" s="255">
        <f>INDEX('Glosario Partidas'!$M$8:$M$10,MATCH(K8,'Glosario Partidas'!$L$8:$L$10,0))</f>
        <v>1</v>
      </c>
      <c r="T8" s="227">
        <f t="shared" si="4"/>
        <v>2892532.4999999995</v>
      </c>
      <c r="U8" s="230" t="s">
        <v>369</v>
      </c>
      <c r="V8" s="249" t="s">
        <v>12</v>
      </c>
      <c r="W8" s="249" t="s">
        <v>491</v>
      </c>
      <c r="X8" s="249"/>
    </row>
    <row r="9" spans="1:29" ht="15" customHeight="1" x14ac:dyDescent="0.2">
      <c r="B9" s="63" t="s">
        <v>191</v>
      </c>
      <c r="C9" s="63" t="s">
        <v>120</v>
      </c>
      <c r="D9" s="78" t="s">
        <v>313</v>
      </c>
      <c r="E9" s="171" t="s">
        <v>229</v>
      </c>
      <c r="F9" s="78" t="s">
        <v>355</v>
      </c>
      <c r="G9" s="171" t="s">
        <v>487</v>
      </c>
      <c r="H9" s="255" t="s">
        <v>368</v>
      </c>
      <c r="I9" s="225" t="s">
        <v>207</v>
      </c>
      <c r="J9" s="255">
        <v>1</v>
      </c>
      <c r="K9" s="225" t="s">
        <v>269</v>
      </c>
      <c r="L9" s="142">
        <f>'Albercas PU'!$M$47</f>
        <v>2493562.4999999995</v>
      </c>
      <c r="M9" s="227">
        <f t="shared" si="0"/>
        <v>2493562.4999999995</v>
      </c>
      <c r="N9" s="251">
        <v>0</v>
      </c>
      <c r="O9" s="227">
        <f t="shared" si="1"/>
        <v>0</v>
      </c>
      <c r="P9" s="251">
        <v>0.16</v>
      </c>
      <c r="Q9" s="227">
        <f t="shared" si="2"/>
        <v>398969.99999999994</v>
      </c>
      <c r="R9" s="227">
        <f t="shared" si="3"/>
        <v>2892532.4999999995</v>
      </c>
      <c r="S9" s="255">
        <f>INDEX('Glosario Partidas'!$M$8:$M$10,MATCH(K9,'Glosario Partidas'!$L$8:$L$10,0))</f>
        <v>1</v>
      </c>
      <c r="T9" s="227">
        <f t="shared" si="4"/>
        <v>2892532.4999999995</v>
      </c>
      <c r="U9" s="230" t="s">
        <v>369</v>
      </c>
      <c r="V9" s="249" t="s">
        <v>12</v>
      </c>
      <c r="W9" s="249" t="s">
        <v>491</v>
      </c>
      <c r="X9" s="249"/>
    </row>
    <row r="10" spans="1:29" ht="15" customHeight="1" x14ac:dyDescent="0.2">
      <c r="A10" s="189"/>
      <c r="B10" s="189" t="s">
        <v>185</v>
      </c>
      <c r="C10" s="189"/>
      <c r="D10" s="189"/>
      <c r="E10" s="189"/>
      <c r="F10" s="189"/>
      <c r="G10" s="189"/>
      <c r="H10" s="189"/>
      <c r="I10" s="189"/>
      <c r="J10" s="189"/>
      <c r="K10" s="189"/>
      <c r="L10" s="303"/>
      <c r="M10" s="303"/>
      <c r="N10" s="304"/>
      <c r="O10" s="304"/>
      <c r="P10" s="304"/>
      <c r="Q10" s="303"/>
      <c r="R10" s="303"/>
      <c r="S10" s="303"/>
      <c r="T10" s="305">
        <f>SUM(T2:T9)</f>
        <v>23140259.999999996</v>
      </c>
      <c r="U10" s="189"/>
      <c r="V10" s="253"/>
      <c r="AB10" s="254">
        <f>SUMIFS($T:$T,$W:$W,"Contratado")</f>
        <v>0</v>
      </c>
      <c r="AC10" s="254">
        <f>SUMIFS($T:$T,$W:$W,"No Contratado")</f>
        <v>23140259.999999996</v>
      </c>
    </row>
  </sheetData>
  <dataValidations count="2">
    <dataValidation type="list" allowBlank="1" errorTitle="Valor inválido" error="Selecciona Contratado o No Contratado" promptTitle="Contratado/No Contratado" prompt="Selecciona estado" sqref="W2:W9" xr:uid="{00000000-0002-0000-36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9" xr:uid="{00000000-0002-0000-3600-000001000000}">
      <formula1>"Sí,No"</formula1>
      <formula2>0</formula2>
    </dataValidation>
  </dataValidations>
  <hyperlinks>
    <hyperlink ref="A1" location="'BUY OUT'!A1" display="⬅ Resumen PU" xr:uid="{00000000-0004-0000-3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49"/>
  <sheetViews>
    <sheetView topLeftCell="D11" zoomScale="110" zoomScaleNormal="110" workbookViewId="0">
      <selection activeCell="F1" sqref="F1"/>
    </sheetView>
  </sheetViews>
  <sheetFormatPr baseColWidth="10" defaultColWidth="10.6640625" defaultRowHeight="15" customHeight="1" x14ac:dyDescent="0.2"/>
  <cols>
    <col min="1" max="2" width="13" customWidth="1"/>
    <col min="3" max="3" width="14" customWidth="1"/>
    <col min="4" max="4" width="77.83203125" customWidth="1"/>
    <col min="5" max="6" width="13" style="151" customWidth="1"/>
    <col min="7" max="7" width="13" customWidth="1"/>
    <col min="8" max="8" width="27.33203125" customWidth="1"/>
    <col min="9" max="22" width="13" customWidth="1"/>
  </cols>
  <sheetData>
    <row r="1" spans="1:22" ht="15" customHeight="1" x14ac:dyDescent="0.2">
      <c r="A1" s="291">
        <v>46183</v>
      </c>
      <c r="B1" s="259" t="s">
        <v>495</v>
      </c>
      <c r="C1" s="260"/>
      <c r="D1" s="260"/>
      <c r="E1" s="260"/>
      <c r="F1" s="260" t="s">
        <v>1030</v>
      </c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</row>
    <row r="2" spans="1:22" ht="15" customHeight="1" x14ac:dyDescent="0.2">
      <c r="A2" s="261" t="s">
        <v>488</v>
      </c>
      <c r="B2" s="262" t="s">
        <v>295</v>
      </c>
      <c r="C2" s="262" t="s">
        <v>2</v>
      </c>
      <c r="D2" s="262" t="s">
        <v>296</v>
      </c>
      <c r="E2" s="263" t="s">
        <v>215</v>
      </c>
      <c r="F2" s="262" t="s">
        <v>297</v>
      </c>
      <c r="G2" s="263" t="s">
        <v>168</v>
      </c>
      <c r="H2" s="264" t="s">
        <v>298</v>
      </c>
      <c r="I2" s="262" t="s">
        <v>299</v>
      </c>
      <c r="J2" s="264" t="s">
        <v>300</v>
      </c>
      <c r="K2" s="262" t="s">
        <v>301</v>
      </c>
      <c r="L2" s="265" t="s">
        <v>302</v>
      </c>
      <c r="M2" s="265" t="s">
        <v>303</v>
      </c>
      <c r="N2" s="266" t="s">
        <v>304</v>
      </c>
      <c r="O2" s="265" t="s">
        <v>305</v>
      </c>
      <c r="P2" s="266" t="s">
        <v>306</v>
      </c>
      <c r="Q2" s="265" t="s">
        <v>307</v>
      </c>
      <c r="R2" s="265" t="s">
        <v>308</v>
      </c>
      <c r="S2" s="267" t="s">
        <v>309</v>
      </c>
      <c r="T2" s="265" t="s">
        <v>310</v>
      </c>
      <c r="U2" s="265" t="s">
        <v>311</v>
      </c>
      <c r="V2" s="262" t="s">
        <v>312</v>
      </c>
    </row>
    <row r="3" spans="1:22" ht="15" customHeight="1" x14ac:dyDescent="0.2">
      <c r="A3" s="268"/>
      <c r="B3" s="268" t="s">
        <v>191</v>
      </c>
      <c r="C3" s="268" t="s">
        <v>197</v>
      </c>
      <c r="D3" s="269" t="s">
        <v>1031</v>
      </c>
      <c r="E3" s="171" t="s">
        <v>220</v>
      </c>
      <c r="F3" s="273" t="s">
        <v>1032</v>
      </c>
      <c r="G3" s="292"/>
      <c r="H3" s="272" t="s">
        <v>1033</v>
      </c>
      <c r="I3" s="273" t="s">
        <v>204</v>
      </c>
      <c r="J3" s="302">
        <v>165</v>
      </c>
      <c r="K3" s="273" t="s">
        <v>269</v>
      </c>
      <c r="L3" s="274">
        <v>586.38</v>
      </c>
      <c r="M3" s="275">
        <f t="shared" ref="M3:M46" si="0">J3*L3</f>
        <v>96752.7</v>
      </c>
      <c r="N3" s="276">
        <v>0</v>
      </c>
      <c r="O3" s="275">
        <f t="shared" ref="O3:O46" si="1">M3*N3</f>
        <v>0</v>
      </c>
      <c r="P3" s="276">
        <v>0.16</v>
      </c>
      <c r="Q3" s="275">
        <f t="shared" ref="Q3:Q46" si="2">(M3+O3)*P3</f>
        <v>15480.432000000001</v>
      </c>
      <c r="R3" s="275">
        <f t="shared" ref="R3:R46" si="3">M3+O3+Q3</f>
        <v>112233.132</v>
      </c>
      <c r="S3" s="300">
        <f>INDEX('Glosario Partidas'!$M$8:$M$10,MATCH(K3,'Glosario Partidas'!$L$8:$L$10,0))</f>
        <v>1</v>
      </c>
      <c r="T3" s="275">
        <f t="shared" ref="T3:T46" si="4">R3*S3</f>
        <v>112233.132</v>
      </c>
      <c r="U3" s="275" t="s">
        <v>1034</v>
      </c>
      <c r="V3" s="249" t="s">
        <v>12</v>
      </c>
    </row>
    <row r="4" spans="1:22" ht="15" customHeight="1" x14ac:dyDescent="0.2">
      <c r="A4" s="268"/>
      <c r="B4" s="268" t="s">
        <v>191</v>
      </c>
      <c r="C4" s="268" t="s">
        <v>336</v>
      </c>
      <c r="D4" s="269" t="s">
        <v>1035</v>
      </c>
      <c r="E4" s="171" t="s">
        <v>220</v>
      </c>
      <c r="F4" s="273" t="s">
        <v>1032</v>
      </c>
      <c r="G4" s="292"/>
      <c r="H4" s="272" t="s">
        <v>1033</v>
      </c>
      <c r="I4" s="273" t="s">
        <v>204</v>
      </c>
      <c r="J4" s="302">
        <v>165</v>
      </c>
      <c r="K4" s="273" t="s">
        <v>269</v>
      </c>
      <c r="L4" s="274">
        <v>0</v>
      </c>
      <c r="M4" s="275">
        <f t="shared" si="0"/>
        <v>0</v>
      </c>
      <c r="N4" s="276">
        <v>0</v>
      </c>
      <c r="O4" s="275">
        <f t="shared" si="1"/>
        <v>0</v>
      </c>
      <c r="P4" s="276">
        <v>0.16</v>
      </c>
      <c r="Q4" s="275">
        <f t="shared" si="2"/>
        <v>0</v>
      </c>
      <c r="R4" s="275">
        <f t="shared" si="3"/>
        <v>0</v>
      </c>
      <c r="S4" s="300">
        <f>INDEX('Glosario Partidas'!$M$8:$M$10,MATCH(K4,'Glosario Partidas'!$L$8:$L$10,0))</f>
        <v>1</v>
      </c>
      <c r="T4" s="275">
        <f t="shared" si="4"/>
        <v>0</v>
      </c>
      <c r="U4" s="275" t="s">
        <v>1036</v>
      </c>
      <c r="V4" s="249" t="s">
        <v>12</v>
      </c>
    </row>
    <row r="5" spans="1:22" ht="15" customHeight="1" x14ac:dyDescent="0.2">
      <c r="A5" s="268"/>
      <c r="B5" s="268" t="s">
        <v>191</v>
      </c>
      <c r="C5" s="268" t="s">
        <v>336</v>
      </c>
      <c r="D5" s="269" t="s">
        <v>1037</v>
      </c>
      <c r="E5" s="171" t="s">
        <v>220</v>
      </c>
      <c r="F5" s="273" t="s">
        <v>1032</v>
      </c>
      <c r="G5" s="292"/>
      <c r="H5" s="272" t="s">
        <v>1033</v>
      </c>
      <c r="I5" s="273" t="s">
        <v>204</v>
      </c>
      <c r="J5" s="302">
        <v>165</v>
      </c>
      <c r="K5" s="273" t="s">
        <v>269</v>
      </c>
      <c r="L5" s="274">
        <v>611.64</v>
      </c>
      <c r="M5" s="275">
        <f t="shared" si="0"/>
        <v>100920.59999999999</v>
      </c>
      <c r="N5" s="276">
        <v>0</v>
      </c>
      <c r="O5" s="275">
        <f t="shared" si="1"/>
        <v>0</v>
      </c>
      <c r="P5" s="276">
        <v>0.16</v>
      </c>
      <c r="Q5" s="275">
        <f t="shared" si="2"/>
        <v>16147.295999999998</v>
      </c>
      <c r="R5" s="275">
        <f t="shared" si="3"/>
        <v>117067.89599999999</v>
      </c>
      <c r="S5" s="300">
        <f>INDEX('Glosario Partidas'!$M$8:$M$10,MATCH(K5,'Glosario Partidas'!$L$8:$L$10,0))</f>
        <v>1</v>
      </c>
      <c r="T5" s="275">
        <f t="shared" si="4"/>
        <v>117067.89599999999</v>
      </c>
      <c r="U5" s="275"/>
      <c r="V5" s="249" t="s">
        <v>12</v>
      </c>
    </row>
    <row r="6" spans="1:22" ht="15" customHeight="1" x14ac:dyDescent="0.2">
      <c r="A6" s="268"/>
      <c r="B6" s="268" t="s">
        <v>191</v>
      </c>
      <c r="C6" s="268" t="s">
        <v>336</v>
      </c>
      <c r="D6" s="269" t="s">
        <v>1038</v>
      </c>
      <c r="E6" s="171" t="s">
        <v>220</v>
      </c>
      <c r="F6" s="273" t="s">
        <v>1032</v>
      </c>
      <c r="G6" s="292"/>
      <c r="H6" s="272" t="s">
        <v>1033</v>
      </c>
      <c r="I6" s="273" t="s">
        <v>1039</v>
      </c>
      <c r="J6" s="302">
        <v>1</v>
      </c>
      <c r="K6" s="273" t="s">
        <v>269</v>
      </c>
      <c r="L6" s="274">
        <v>26027.51</v>
      </c>
      <c r="M6" s="275">
        <f t="shared" si="0"/>
        <v>26027.51</v>
      </c>
      <c r="N6" s="276">
        <v>0</v>
      </c>
      <c r="O6" s="275">
        <f t="shared" si="1"/>
        <v>0</v>
      </c>
      <c r="P6" s="276">
        <v>0.16</v>
      </c>
      <c r="Q6" s="275">
        <f t="shared" si="2"/>
        <v>4164.4016000000001</v>
      </c>
      <c r="R6" s="275">
        <f t="shared" si="3"/>
        <v>30191.911599999999</v>
      </c>
      <c r="S6" s="300">
        <f>INDEX('Glosario Partidas'!$M$8:$M$10,MATCH(K6,'Glosario Partidas'!$L$8:$L$10,0))</f>
        <v>1</v>
      </c>
      <c r="T6" s="275">
        <f t="shared" si="4"/>
        <v>30191.911599999999</v>
      </c>
      <c r="U6" s="275"/>
      <c r="V6" s="249" t="s">
        <v>12</v>
      </c>
    </row>
    <row r="7" spans="1:22" ht="15" customHeight="1" x14ac:dyDescent="0.2">
      <c r="A7" s="268"/>
      <c r="B7" s="268" t="s">
        <v>191</v>
      </c>
      <c r="C7" s="268" t="s">
        <v>336</v>
      </c>
      <c r="D7" s="269" t="s">
        <v>1040</v>
      </c>
      <c r="E7" s="171" t="s">
        <v>220</v>
      </c>
      <c r="F7" s="273" t="s">
        <v>1032</v>
      </c>
      <c r="G7" s="292"/>
      <c r="H7" s="272" t="s">
        <v>1033</v>
      </c>
      <c r="I7" s="273" t="s">
        <v>664</v>
      </c>
      <c r="J7" s="302">
        <v>65</v>
      </c>
      <c r="K7" s="273" t="s">
        <v>269</v>
      </c>
      <c r="L7" s="274">
        <v>0</v>
      </c>
      <c r="M7" s="275">
        <f t="shared" si="0"/>
        <v>0</v>
      </c>
      <c r="N7" s="276">
        <v>0</v>
      </c>
      <c r="O7" s="275">
        <f t="shared" si="1"/>
        <v>0</v>
      </c>
      <c r="P7" s="276">
        <v>0.16</v>
      </c>
      <c r="Q7" s="275">
        <f t="shared" si="2"/>
        <v>0</v>
      </c>
      <c r="R7" s="275">
        <f t="shared" si="3"/>
        <v>0</v>
      </c>
      <c r="S7" s="300">
        <f>INDEX('Glosario Partidas'!$M$8:$M$10,MATCH(K7,'Glosario Partidas'!$L$8:$L$10,0))</f>
        <v>1</v>
      </c>
      <c r="T7" s="275">
        <f t="shared" si="4"/>
        <v>0</v>
      </c>
      <c r="U7" s="275" t="s">
        <v>1036</v>
      </c>
      <c r="V7" s="249" t="s">
        <v>12</v>
      </c>
    </row>
    <row r="8" spans="1:22" ht="15" customHeight="1" x14ac:dyDescent="0.2">
      <c r="A8" s="268"/>
      <c r="B8" s="268" t="s">
        <v>191</v>
      </c>
      <c r="C8" s="268" t="s">
        <v>1041</v>
      </c>
      <c r="D8" s="269" t="s">
        <v>1042</v>
      </c>
      <c r="E8" s="171" t="s">
        <v>220</v>
      </c>
      <c r="F8" s="273" t="s">
        <v>1032</v>
      </c>
      <c r="G8" s="292"/>
      <c r="H8" s="272" t="s">
        <v>1033</v>
      </c>
      <c r="I8" s="273" t="s">
        <v>501</v>
      </c>
      <c r="J8" s="302">
        <v>72</v>
      </c>
      <c r="K8" s="273" t="s">
        <v>269</v>
      </c>
      <c r="L8" s="274">
        <v>491.66</v>
      </c>
      <c r="M8" s="275">
        <f t="shared" si="0"/>
        <v>35399.520000000004</v>
      </c>
      <c r="N8" s="276">
        <v>0</v>
      </c>
      <c r="O8" s="275">
        <f t="shared" si="1"/>
        <v>0</v>
      </c>
      <c r="P8" s="276">
        <v>0.16</v>
      </c>
      <c r="Q8" s="275">
        <f t="shared" si="2"/>
        <v>5663.9232000000011</v>
      </c>
      <c r="R8" s="275">
        <f t="shared" si="3"/>
        <v>41063.443200000009</v>
      </c>
      <c r="S8" s="300">
        <f>INDEX('Glosario Partidas'!$M$8:$M$10,MATCH(K8,'Glosario Partidas'!$L$8:$L$10,0))</f>
        <v>1</v>
      </c>
      <c r="T8" s="275">
        <f t="shared" si="4"/>
        <v>41063.443200000009</v>
      </c>
      <c r="U8" s="275"/>
      <c r="V8" s="249" t="s">
        <v>12</v>
      </c>
    </row>
    <row r="9" spans="1:22" ht="15" customHeight="1" x14ac:dyDescent="0.2">
      <c r="A9" s="268"/>
      <c r="B9" s="268" t="s">
        <v>191</v>
      </c>
      <c r="C9" s="268" t="s">
        <v>1041</v>
      </c>
      <c r="D9" s="269" t="s">
        <v>1043</v>
      </c>
      <c r="E9" s="171" t="s">
        <v>220</v>
      </c>
      <c r="F9" s="273" t="s">
        <v>1032</v>
      </c>
      <c r="G9" s="292"/>
      <c r="H9" s="272" t="s">
        <v>1033</v>
      </c>
      <c r="I9" s="273" t="s">
        <v>501</v>
      </c>
      <c r="J9" s="302">
        <v>60</v>
      </c>
      <c r="K9" s="273" t="s">
        <v>269</v>
      </c>
      <c r="L9" s="274">
        <v>420.39</v>
      </c>
      <c r="M9" s="275">
        <f t="shared" si="0"/>
        <v>25223.399999999998</v>
      </c>
      <c r="N9" s="276">
        <v>0</v>
      </c>
      <c r="O9" s="275">
        <f t="shared" si="1"/>
        <v>0</v>
      </c>
      <c r="P9" s="276">
        <v>0.16</v>
      </c>
      <c r="Q9" s="275">
        <f t="shared" si="2"/>
        <v>4035.7439999999997</v>
      </c>
      <c r="R9" s="275">
        <f t="shared" si="3"/>
        <v>29259.143999999997</v>
      </c>
      <c r="S9" s="300">
        <f>INDEX('Glosario Partidas'!$M$8:$M$10,MATCH(K9,'Glosario Partidas'!$L$8:$L$10,0))</f>
        <v>1</v>
      </c>
      <c r="T9" s="275">
        <f t="shared" si="4"/>
        <v>29259.143999999997</v>
      </c>
      <c r="U9" s="275"/>
      <c r="V9" s="249" t="s">
        <v>12</v>
      </c>
    </row>
    <row r="10" spans="1:22" ht="15" customHeight="1" x14ac:dyDescent="0.2">
      <c r="A10" s="268"/>
      <c r="B10" s="268" t="s">
        <v>191</v>
      </c>
      <c r="C10" s="268" t="s">
        <v>1041</v>
      </c>
      <c r="D10" s="269" t="s">
        <v>1044</v>
      </c>
      <c r="E10" s="171" t="s">
        <v>220</v>
      </c>
      <c r="F10" s="273" t="s">
        <v>1032</v>
      </c>
      <c r="G10" s="292"/>
      <c r="H10" s="272" t="s">
        <v>1033</v>
      </c>
      <c r="I10" s="273" t="s">
        <v>501</v>
      </c>
      <c r="J10" s="302">
        <v>18</v>
      </c>
      <c r="K10" s="273" t="s">
        <v>269</v>
      </c>
      <c r="L10" s="274">
        <v>300.41000000000003</v>
      </c>
      <c r="M10" s="275">
        <f t="shared" si="0"/>
        <v>5407.38</v>
      </c>
      <c r="N10" s="276">
        <v>0</v>
      </c>
      <c r="O10" s="275">
        <f t="shared" si="1"/>
        <v>0</v>
      </c>
      <c r="P10" s="276">
        <v>0.16</v>
      </c>
      <c r="Q10" s="275">
        <f t="shared" si="2"/>
        <v>865.18080000000009</v>
      </c>
      <c r="R10" s="275">
        <f t="shared" si="3"/>
        <v>6272.5608000000002</v>
      </c>
      <c r="S10" s="300">
        <f>INDEX('Glosario Partidas'!$M$8:$M$10,MATCH(K10,'Glosario Partidas'!$L$8:$L$10,0))</f>
        <v>1</v>
      </c>
      <c r="T10" s="275">
        <f t="shared" si="4"/>
        <v>6272.5608000000002</v>
      </c>
      <c r="U10" s="275"/>
      <c r="V10" s="249" t="s">
        <v>12</v>
      </c>
    </row>
    <row r="11" spans="1:22" ht="15" customHeight="1" x14ac:dyDescent="0.2">
      <c r="A11" s="268"/>
      <c r="B11" s="268" t="s">
        <v>191</v>
      </c>
      <c r="C11" s="268" t="s">
        <v>1041</v>
      </c>
      <c r="D11" s="269" t="s">
        <v>1045</v>
      </c>
      <c r="E11" s="171" t="s">
        <v>220</v>
      </c>
      <c r="F11" s="273" t="s">
        <v>1032</v>
      </c>
      <c r="G11" s="292"/>
      <c r="H11" s="272" t="s">
        <v>1033</v>
      </c>
      <c r="I11" s="273" t="s">
        <v>501</v>
      </c>
      <c r="J11" s="302">
        <v>18</v>
      </c>
      <c r="K11" s="273" t="s">
        <v>269</v>
      </c>
      <c r="L11" s="274">
        <v>176.82</v>
      </c>
      <c r="M11" s="275">
        <f t="shared" si="0"/>
        <v>3182.7599999999998</v>
      </c>
      <c r="N11" s="276">
        <v>0</v>
      </c>
      <c r="O11" s="275">
        <f t="shared" si="1"/>
        <v>0</v>
      </c>
      <c r="P11" s="276">
        <v>0.16</v>
      </c>
      <c r="Q11" s="275">
        <f t="shared" si="2"/>
        <v>509.24159999999995</v>
      </c>
      <c r="R11" s="275">
        <f t="shared" si="3"/>
        <v>3692.0015999999996</v>
      </c>
      <c r="S11" s="300">
        <f>INDEX('Glosario Partidas'!$M$8:$M$10,MATCH(K11,'Glosario Partidas'!$L$8:$L$10,0))</f>
        <v>1</v>
      </c>
      <c r="T11" s="275">
        <f t="shared" si="4"/>
        <v>3692.0015999999996</v>
      </c>
      <c r="U11" s="275"/>
      <c r="V11" s="249" t="s">
        <v>12</v>
      </c>
    </row>
    <row r="12" spans="1:22" ht="15" customHeight="1" x14ac:dyDescent="0.2">
      <c r="A12" s="268"/>
      <c r="B12" s="268" t="s">
        <v>191</v>
      </c>
      <c r="C12" s="268" t="s">
        <v>1041</v>
      </c>
      <c r="D12" s="269" t="s">
        <v>1046</v>
      </c>
      <c r="E12" s="171" t="s">
        <v>220</v>
      </c>
      <c r="F12" s="273" t="s">
        <v>1032</v>
      </c>
      <c r="G12" s="292"/>
      <c r="H12" s="272" t="s">
        <v>1033</v>
      </c>
      <c r="I12" s="273" t="s">
        <v>1039</v>
      </c>
      <c r="J12" s="302">
        <v>1</v>
      </c>
      <c r="K12" s="273" t="s">
        <v>269</v>
      </c>
      <c r="L12" s="274">
        <v>27685.599999999999</v>
      </c>
      <c r="M12" s="275">
        <f t="shared" si="0"/>
        <v>27685.599999999999</v>
      </c>
      <c r="N12" s="276">
        <v>0</v>
      </c>
      <c r="O12" s="275">
        <f t="shared" si="1"/>
        <v>0</v>
      </c>
      <c r="P12" s="276">
        <v>0.16</v>
      </c>
      <c r="Q12" s="275">
        <f t="shared" si="2"/>
        <v>4429.6959999999999</v>
      </c>
      <c r="R12" s="275">
        <f t="shared" si="3"/>
        <v>32115.295999999998</v>
      </c>
      <c r="S12" s="300">
        <f>INDEX('Glosario Partidas'!$M$8:$M$10,MATCH(K12,'Glosario Partidas'!$L$8:$L$10,0))</f>
        <v>1</v>
      </c>
      <c r="T12" s="275">
        <f t="shared" si="4"/>
        <v>32115.295999999998</v>
      </c>
      <c r="U12" s="275"/>
      <c r="V12" s="249" t="s">
        <v>12</v>
      </c>
    </row>
    <row r="13" spans="1:22" ht="15" customHeight="1" x14ac:dyDescent="0.2">
      <c r="A13" s="268"/>
      <c r="B13" s="268" t="s">
        <v>191</v>
      </c>
      <c r="C13" s="268" t="s">
        <v>1041</v>
      </c>
      <c r="D13" s="269" t="s">
        <v>1047</v>
      </c>
      <c r="E13" s="171" t="s">
        <v>220</v>
      </c>
      <c r="F13" s="273" t="s">
        <v>1032</v>
      </c>
      <c r="G13" s="292"/>
      <c r="H13" s="272" t="s">
        <v>1033</v>
      </c>
      <c r="I13" s="273" t="s">
        <v>843</v>
      </c>
      <c r="J13" s="302">
        <v>7</v>
      </c>
      <c r="K13" s="273" t="s">
        <v>269</v>
      </c>
      <c r="L13" s="274">
        <v>2477.2800000000002</v>
      </c>
      <c r="M13" s="275">
        <f t="shared" si="0"/>
        <v>17340.960000000003</v>
      </c>
      <c r="N13" s="276">
        <v>0</v>
      </c>
      <c r="O13" s="275">
        <f t="shared" si="1"/>
        <v>0</v>
      </c>
      <c r="P13" s="276">
        <v>0.16</v>
      </c>
      <c r="Q13" s="275">
        <f t="shared" si="2"/>
        <v>2774.5536000000006</v>
      </c>
      <c r="R13" s="275">
        <f t="shared" si="3"/>
        <v>20115.513600000002</v>
      </c>
      <c r="S13" s="300">
        <f>INDEX('Glosario Partidas'!$M$8:$M$10,MATCH(K13,'Glosario Partidas'!$L$8:$L$10,0))</f>
        <v>1</v>
      </c>
      <c r="T13" s="275">
        <f t="shared" si="4"/>
        <v>20115.513600000002</v>
      </c>
      <c r="U13" s="275"/>
      <c r="V13" s="249" t="s">
        <v>12</v>
      </c>
    </row>
    <row r="14" spans="1:22" ht="15" customHeight="1" x14ac:dyDescent="0.2">
      <c r="A14" s="268"/>
      <c r="B14" s="268" t="s">
        <v>191</v>
      </c>
      <c r="C14" s="268" t="s">
        <v>1041</v>
      </c>
      <c r="D14" s="269" t="s">
        <v>1048</v>
      </c>
      <c r="E14" s="171" t="s">
        <v>220</v>
      </c>
      <c r="F14" s="273" t="s">
        <v>1032</v>
      </c>
      <c r="G14" s="292"/>
      <c r="H14" s="272" t="s">
        <v>1033</v>
      </c>
      <c r="I14" s="273" t="s">
        <v>843</v>
      </c>
      <c r="J14" s="302">
        <v>1</v>
      </c>
      <c r="K14" s="273" t="s">
        <v>269</v>
      </c>
      <c r="L14" s="274">
        <v>2972.73</v>
      </c>
      <c r="M14" s="275">
        <f t="shared" si="0"/>
        <v>2972.73</v>
      </c>
      <c r="N14" s="276">
        <v>0</v>
      </c>
      <c r="O14" s="275">
        <f t="shared" si="1"/>
        <v>0</v>
      </c>
      <c r="P14" s="276">
        <v>0.16</v>
      </c>
      <c r="Q14" s="275">
        <f t="shared" si="2"/>
        <v>475.63679999999999</v>
      </c>
      <c r="R14" s="275">
        <f t="shared" si="3"/>
        <v>3448.3667999999998</v>
      </c>
      <c r="S14" s="300">
        <f>INDEX('Glosario Partidas'!$M$8:$M$10,MATCH(K14,'Glosario Partidas'!$L$8:$L$10,0))</f>
        <v>1</v>
      </c>
      <c r="T14" s="275">
        <f t="shared" si="4"/>
        <v>3448.3667999999998</v>
      </c>
      <c r="U14" s="275"/>
      <c r="V14" s="249" t="s">
        <v>12</v>
      </c>
    </row>
    <row r="15" spans="1:22" ht="15" customHeight="1" x14ac:dyDescent="0.2">
      <c r="A15" s="268"/>
      <c r="B15" s="268" t="s">
        <v>191</v>
      </c>
      <c r="C15" s="268" t="s">
        <v>1041</v>
      </c>
      <c r="D15" s="269" t="s">
        <v>1049</v>
      </c>
      <c r="E15" s="171" t="s">
        <v>220</v>
      </c>
      <c r="F15" s="273" t="s">
        <v>1032</v>
      </c>
      <c r="G15" s="292"/>
      <c r="H15" s="272" t="s">
        <v>1033</v>
      </c>
      <c r="I15" s="273" t="s">
        <v>501</v>
      </c>
      <c r="J15" s="302">
        <v>66</v>
      </c>
      <c r="K15" s="273" t="s">
        <v>269</v>
      </c>
      <c r="L15" s="274">
        <v>502.79</v>
      </c>
      <c r="M15" s="275">
        <f t="shared" si="0"/>
        <v>33184.14</v>
      </c>
      <c r="N15" s="276">
        <v>0</v>
      </c>
      <c r="O15" s="275">
        <f t="shared" si="1"/>
        <v>0</v>
      </c>
      <c r="P15" s="276">
        <v>0.16</v>
      </c>
      <c r="Q15" s="275">
        <f t="shared" si="2"/>
        <v>5309.4624000000003</v>
      </c>
      <c r="R15" s="275">
        <f t="shared" si="3"/>
        <v>38493.602400000003</v>
      </c>
      <c r="S15" s="300">
        <f>INDEX('Glosario Partidas'!$M$8:$M$10,MATCH(K15,'Glosario Partidas'!$L$8:$L$10,0))</f>
        <v>1</v>
      </c>
      <c r="T15" s="275">
        <f t="shared" si="4"/>
        <v>38493.602400000003</v>
      </c>
      <c r="U15" s="275"/>
      <c r="V15" s="249" t="s">
        <v>12</v>
      </c>
    </row>
    <row r="16" spans="1:22" ht="15" customHeight="1" x14ac:dyDescent="0.2">
      <c r="A16" s="268"/>
      <c r="B16" s="268" t="s">
        <v>191</v>
      </c>
      <c r="C16" s="268" t="s">
        <v>1041</v>
      </c>
      <c r="D16" s="269" t="s">
        <v>1050</v>
      </c>
      <c r="E16" s="171" t="s">
        <v>220</v>
      </c>
      <c r="F16" s="273" t="s">
        <v>1032</v>
      </c>
      <c r="G16" s="292"/>
      <c r="H16" s="272" t="s">
        <v>1033</v>
      </c>
      <c r="I16" s="273" t="s">
        <v>501</v>
      </c>
      <c r="J16" s="302">
        <v>12</v>
      </c>
      <c r="K16" s="273" t="s">
        <v>269</v>
      </c>
      <c r="L16" s="274">
        <v>214.14</v>
      </c>
      <c r="M16" s="275">
        <f t="shared" si="0"/>
        <v>2569.6799999999998</v>
      </c>
      <c r="N16" s="276">
        <v>0</v>
      </c>
      <c r="O16" s="275">
        <f t="shared" si="1"/>
        <v>0</v>
      </c>
      <c r="P16" s="276">
        <v>0.16</v>
      </c>
      <c r="Q16" s="275">
        <f t="shared" si="2"/>
        <v>411.14879999999999</v>
      </c>
      <c r="R16" s="275">
        <f t="shared" si="3"/>
        <v>2980.8287999999998</v>
      </c>
      <c r="S16" s="300">
        <f>INDEX('Glosario Partidas'!$M$8:$M$10,MATCH(K16,'Glosario Partidas'!$L$8:$L$10,0))</f>
        <v>1</v>
      </c>
      <c r="T16" s="275">
        <f t="shared" si="4"/>
        <v>2980.8287999999998</v>
      </c>
      <c r="U16" s="275"/>
      <c r="V16" s="249" t="s">
        <v>12</v>
      </c>
    </row>
    <row r="17" spans="1:22" ht="15" customHeight="1" x14ac:dyDescent="0.2">
      <c r="A17" s="268"/>
      <c r="B17" s="268" t="s">
        <v>191</v>
      </c>
      <c r="C17" s="268" t="s">
        <v>1041</v>
      </c>
      <c r="D17" s="269" t="s">
        <v>1051</v>
      </c>
      <c r="E17" s="171" t="s">
        <v>220</v>
      </c>
      <c r="F17" s="273" t="s">
        <v>1032</v>
      </c>
      <c r="G17" s="292"/>
      <c r="H17" s="272" t="s">
        <v>1033</v>
      </c>
      <c r="I17" s="273" t="s">
        <v>843</v>
      </c>
      <c r="J17" s="302">
        <v>8</v>
      </c>
      <c r="K17" s="273" t="s">
        <v>269</v>
      </c>
      <c r="L17" s="274">
        <v>3318.66</v>
      </c>
      <c r="M17" s="275">
        <f t="shared" si="0"/>
        <v>26549.279999999999</v>
      </c>
      <c r="N17" s="276">
        <v>0</v>
      </c>
      <c r="O17" s="275">
        <f t="shared" si="1"/>
        <v>0</v>
      </c>
      <c r="P17" s="276">
        <v>0.16</v>
      </c>
      <c r="Q17" s="275">
        <f t="shared" si="2"/>
        <v>4247.8847999999998</v>
      </c>
      <c r="R17" s="275">
        <f t="shared" si="3"/>
        <v>30797.164799999999</v>
      </c>
      <c r="S17" s="300">
        <f>INDEX('Glosario Partidas'!$M$8:$M$10,MATCH(K17,'Glosario Partidas'!$L$8:$L$10,0))</f>
        <v>1</v>
      </c>
      <c r="T17" s="275">
        <f t="shared" si="4"/>
        <v>30797.164799999999</v>
      </c>
      <c r="U17" s="275"/>
      <c r="V17" s="249" t="s">
        <v>12</v>
      </c>
    </row>
    <row r="18" spans="1:22" ht="15" customHeight="1" x14ac:dyDescent="0.2">
      <c r="A18" s="268"/>
      <c r="B18" s="268" t="s">
        <v>191</v>
      </c>
      <c r="C18" s="268" t="s">
        <v>1041</v>
      </c>
      <c r="D18" s="269" t="s">
        <v>1052</v>
      </c>
      <c r="E18" s="171" t="s">
        <v>220</v>
      </c>
      <c r="F18" s="273" t="s">
        <v>1032</v>
      </c>
      <c r="G18" s="292"/>
      <c r="H18" s="272" t="s">
        <v>1033</v>
      </c>
      <c r="I18" s="273" t="s">
        <v>843</v>
      </c>
      <c r="J18" s="302">
        <v>8</v>
      </c>
      <c r="K18" s="273" t="s">
        <v>269</v>
      </c>
      <c r="L18" s="274">
        <v>798.29</v>
      </c>
      <c r="M18" s="275">
        <f t="shared" si="0"/>
        <v>6386.32</v>
      </c>
      <c r="N18" s="276">
        <v>0</v>
      </c>
      <c r="O18" s="275">
        <f t="shared" si="1"/>
        <v>0</v>
      </c>
      <c r="P18" s="276">
        <v>0.16</v>
      </c>
      <c r="Q18" s="275">
        <f t="shared" si="2"/>
        <v>1021.8112</v>
      </c>
      <c r="R18" s="275">
        <f t="shared" si="3"/>
        <v>7408.1311999999998</v>
      </c>
      <c r="S18" s="300">
        <f>INDEX('Glosario Partidas'!$M$8:$M$10,MATCH(K18,'Glosario Partidas'!$L$8:$L$10,0))</f>
        <v>1</v>
      </c>
      <c r="T18" s="275">
        <f t="shared" si="4"/>
        <v>7408.1311999999998</v>
      </c>
      <c r="U18" s="275"/>
      <c r="V18" s="249" t="s">
        <v>12</v>
      </c>
    </row>
    <row r="19" spans="1:22" ht="15" customHeight="1" x14ac:dyDescent="0.2">
      <c r="A19" s="268"/>
      <c r="B19" s="268" t="s">
        <v>191</v>
      </c>
      <c r="C19" s="268" t="s">
        <v>1041</v>
      </c>
      <c r="D19" s="269" t="s">
        <v>1053</v>
      </c>
      <c r="E19" s="171" t="s">
        <v>220</v>
      </c>
      <c r="F19" s="273" t="s">
        <v>1032</v>
      </c>
      <c r="G19" s="292"/>
      <c r="H19" s="272" t="s">
        <v>1033</v>
      </c>
      <c r="I19" s="273" t="s">
        <v>1039</v>
      </c>
      <c r="J19" s="302">
        <v>1</v>
      </c>
      <c r="K19" s="273" t="s">
        <v>269</v>
      </c>
      <c r="L19" s="274">
        <v>17675.439999999999</v>
      </c>
      <c r="M19" s="275">
        <f t="shared" si="0"/>
        <v>17675.439999999999</v>
      </c>
      <c r="N19" s="276">
        <v>0</v>
      </c>
      <c r="O19" s="275">
        <f t="shared" si="1"/>
        <v>0</v>
      </c>
      <c r="P19" s="276">
        <v>0.16</v>
      </c>
      <c r="Q19" s="275">
        <f t="shared" si="2"/>
        <v>2828.0704000000001</v>
      </c>
      <c r="R19" s="275">
        <f t="shared" si="3"/>
        <v>20503.510399999999</v>
      </c>
      <c r="S19" s="300">
        <f>INDEX('Glosario Partidas'!$M$8:$M$10,MATCH(K19,'Glosario Partidas'!$L$8:$L$10,0))</f>
        <v>1</v>
      </c>
      <c r="T19" s="275">
        <f t="shared" si="4"/>
        <v>20503.510399999999</v>
      </c>
      <c r="U19" s="275"/>
      <c r="V19" s="249" t="s">
        <v>12</v>
      </c>
    </row>
    <row r="20" spans="1:22" ht="15" customHeight="1" x14ac:dyDescent="0.2">
      <c r="A20" s="268"/>
      <c r="B20" s="268" t="s">
        <v>191</v>
      </c>
      <c r="C20" s="268" t="s">
        <v>1041</v>
      </c>
      <c r="D20" s="269" t="s">
        <v>1054</v>
      </c>
      <c r="E20" s="171" t="s">
        <v>220</v>
      </c>
      <c r="F20" s="273" t="s">
        <v>1032</v>
      </c>
      <c r="G20" s="292"/>
      <c r="H20" s="272" t="s">
        <v>1033</v>
      </c>
      <c r="I20" s="273" t="s">
        <v>843</v>
      </c>
      <c r="J20" s="302">
        <v>1</v>
      </c>
      <c r="K20" s="273" t="s">
        <v>269</v>
      </c>
      <c r="L20" s="274">
        <v>37889.040000000001</v>
      </c>
      <c r="M20" s="275">
        <f t="shared" si="0"/>
        <v>37889.040000000001</v>
      </c>
      <c r="N20" s="276">
        <v>0</v>
      </c>
      <c r="O20" s="275">
        <f t="shared" si="1"/>
        <v>0</v>
      </c>
      <c r="P20" s="276">
        <v>0.16</v>
      </c>
      <c r="Q20" s="275">
        <f t="shared" si="2"/>
        <v>6062.2464</v>
      </c>
      <c r="R20" s="275">
        <f t="shared" si="3"/>
        <v>43951.286399999997</v>
      </c>
      <c r="S20" s="300">
        <f>INDEX('Glosario Partidas'!$M$8:$M$10,MATCH(K20,'Glosario Partidas'!$L$8:$L$10,0))</f>
        <v>1</v>
      </c>
      <c r="T20" s="275">
        <f t="shared" si="4"/>
        <v>43951.286399999997</v>
      </c>
      <c r="U20" s="275"/>
      <c r="V20" s="249" t="s">
        <v>12</v>
      </c>
    </row>
    <row r="21" spans="1:22" ht="15" customHeight="1" x14ac:dyDescent="0.2">
      <c r="A21" s="268"/>
      <c r="B21" s="268" t="s">
        <v>191</v>
      </c>
      <c r="C21" s="268" t="s">
        <v>1041</v>
      </c>
      <c r="D21" s="269" t="s">
        <v>1055</v>
      </c>
      <c r="E21" s="171" t="s">
        <v>220</v>
      </c>
      <c r="F21" s="273" t="s">
        <v>1032</v>
      </c>
      <c r="G21" s="292"/>
      <c r="H21" s="272" t="s">
        <v>1033</v>
      </c>
      <c r="I21" s="273" t="s">
        <v>1056</v>
      </c>
      <c r="J21" s="302">
        <v>5</v>
      </c>
      <c r="K21" s="273" t="s">
        <v>269</v>
      </c>
      <c r="L21" s="274">
        <v>8840.7800000000007</v>
      </c>
      <c r="M21" s="275">
        <f t="shared" si="0"/>
        <v>44203.9</v>
      </c>
      <c r="N21" s="276">
        <v>0</v>
      </c>
      <c r="O21" s="275">
        <f t="shared" si="1"/>
        <v>0</v>
      </c>
      <c r="P21" s="276">
        <v>0.16</v>
      </c>
      <c r="Q21" s="275">
        <f t="shared" si="2"/>
        <v>7072.6240000000007</v>
      </c>
      <c r="R21" s="275">
        <f t="shared" si="3"/>
        <v>51276.524000000005</v>
      </c>
      <c r="S21" s="300">
        <f>INDEX('Glosario Partidas'!$M$8:$M$10,MATCH(K21,'Glosario Partidas'!$L$8:$L$10,0))</f>
        <v>1</v>
      </c>
      <c r="T21" s="275">
        <f t="shared" si="4"/>
        <v>51276.524000000005</v>
      </c>
      <c r="U21" s="275"/>
      <c r="V21" s="249" t="s">
        <v>12</v>
      </c>
    </row>
    <row r="22" spans="1:22" ht="15" customHeight="1" x14ac:dyDescent="0.2">
      <c r="A22" s="268"/>
      <c r="B22" s="268" t="s">
        <v>191</v>
      </c>
      <c r="C22" s="268" t="s">
        <v>1041</v>
      </c>
      <c r="D22" s="269" t="s">
        <v>1057</v>
      </c>
      <c r="E22" s="171" t="s">
        <v>220</v>
      </c>
      <c r="F22" s="273" t="s">
        <v>1032</v>
      </c>
      <c r="G22" s="292"/>
      <c r="H22" s="272" t="s">
        <v>1033</v>
      </c>
      <c r="I22" s="273" t="s">
        <v>1056</v>
      </c>
      <c r="J22" s="302">
        <v>8</v>
      </c>
      <c r="K22" s="273" t="s">
        <v>269</v>
      </c>
      <c r="L22" s="274">
        <v>6202.07</v>
      </c>
      <c r="M22" s="275">
        <f t="shared" si="0"/>
        <v>49616.56</v>
      </c>
      <c r="N22" s="276">
        <v>0</v>
      </c>
      <c r="O22" s="275">
        <f t="shared" si="1"/>
        <v>0</v>
      </c>
      <c r="P22" s="276">
        <v>0.16</v>
      </c>
      <c r="Q22" s="275">
        <f t="shared" si="2"/>
        <v>7938.6495999999997</v>
      </c>
      <c r="R22" s="275">
        <f t="shared" si="3"/>
        <v>57555.209599999995</v>
      </c>
      <c r="S22" s="300">
        <f>INDEX('Glosario Partidas'!$M$8:$M$10,MATCH(K22,'Glosario Partidas'!$L$8:$L$10,0))</f>
        <v>1</v>
      </c>
      <c r="T22" s="275">
        <f t="shared" si="4"/>
        <v>57555.209599999995</v>
      </c>
      <c r="U22" s="275"/>
      <c r="V22" s="249" t="s">
        <v>12</v>
      </c>
    </row>
    <row r="23" spans="1:22" ht="15" customHeight="1" x14ac:dyDescent="0.2">
      <c r="A23" s="268"/>
      <c r="B23" s="268" t="s">
        <v>191</v>
      </c>
      <c r="C23" s="268" t="s">
        <v>1058</v>
      </c>
      <c r="D23" s="269" t="s">
        <v>1059</v>
      </c>
      <c r="E23" s="171" t="s">
        <v>220</v>
      </c>
      <c r="F23" s="273" t="s">
        <v>1032</v>
      </c>
      <c r="G23" s="292"/>
      <c r="H23" s="272" t="s">
        <v>1033</v>
      </c>
      <c r="I23" s="273" t="s">
        <v>843</v>
      </c>
      <c r="J23" s="302">
        <v>1</v>
      </c>
      <c r="K23" s="273" t="s">
        <v>269</v>
      </c>
      <c r="L23" s="274">
        <v>35182.68</v>
      </c>
      <c r="M23" s="275">
        <f t="shared" si="0"/>
        <v>35182.68</v>
      </c>
      <c r="N23" s="276">
        <v>0</v>
      </c>
      <c r="O23" s="275">
        <f t="shared" si="1"/>
        <v>0</v>
      </c>
      <c r="P23" s="276">
        <v>0.16</v>
      </c>
      <c r="Q23" s="275">
        <f t="shared" si="2"/>
        <v>5629.2287999999999</v>
      </c>
      <c r="R23" s="275">
        <f t="shared" si="3"/>
        <v>40811.908799999997</v>
      </c>
      <c r="S23" s="300">
        <f>INDEX('Glosario Partidas'!$M$8:$M$10,MATCH(K23,'Glosario Partidas'!$L$8:$L$10,0))</f>
        <v>1</v>
      </c>
      <c r="T23" s="275">
        <f t="shared" si="4"/>
        <v>40811.908799999997</v>
      </c>
      <c r="U23" s="275"/>
      <c r="V23" s="249" t="s">
        <v>12</v>
      </c>
    </row>
    <row r="24" spans="1:22" ht="15" customHeight="1" x14ac:dyDescent="0.2">
      <c r="A24" s="268"/>
      <c r="B24" s="268" t="s">
        <v>191</v>
      </c>
      <c r="C24" s="268" t="s">
        <v>1058</v>
      </c>
      <c r="D24" s="269" t="s">
        <v>1060</v>
      </c>
      <c r="E24" s="171" t="s">
        <v>220</v>
      </c>
      <c r="F24" s="273" t="s">
        <v>1032</v>
      </c>
      <c r="G24" s="292"/>
      <c r="H24" s="272" t="s">
        <v>1033</v>
      </c>
      <c r="I24" s="273" t="s">
        <v>843</v>
      </c>
      <c r="J24" s="302">
        <v>1</v>
      </c>
      <c r="K24" s="273" t="s">
        <v>269</v>
      </c>
      <c r="L24" s="274">
        <v>17140.28</v>
      </c>
      <c r="M24" s="275">
        <f t="shared" si="0"/>
        <v>17140.28</v>
      </c>
      <c r="N24" s="276">
        <v>0</v>
      </c>
      <c r="O24" s="275">
        <f t="shared" si="1"/>
        <v>0</v>
      </c>
      <c r="P24" s="276">
        <v>0.16</v>
      </c>
      <c r="Q24" s="275">
        <f t="shared" si="2"/>
        <v>2742.4447999999998</v>
      </c>
      <c r="R24" s="275">
        <f t="shared" si="3"/>
        <v>19882.7248</v>
      </c>
      <c r="S24" s="300">
        <f>INDEX('Glosario Partidas'!$M$8:$M$10,MATCH(K24,'Glosario Partidas'!$L$8:$L$10,0))</f>
        <v>1</v>
      </c>
      <c r="T24" s="275">
        <f t="shared" si="4"/>
        <v>19882.7248</v>
      </c>
      <c r="U24" s="275"/>
      <c r="V24" s="249" t="s">
        <v>12</v>
      </c>
    </row>
    <row r="25" spans="1:22" ht="15" customHeight="1" x14ac:dyDescent="0.2">
      <c r="A25" s="268"/>
      <c r="B25" s="268" t="s">
        <v>191</v>
      </c>
      <c r="C25" s="268" t="s">
        <v>1058</v>
      </c>
      <c r="D25" s="269" t="s">
        <v>1061</v>
      </c>
      <c r="E25" s="171" t="s">
        <v>220</v>
      </c>
      <c r="F25" s="273" t="s">
        <v>1032</v>
      </c>
      <c r="G25" s="292"/>
      <c r="H25" s="272" t="s">
        <v>1033</v>
      </c>
      <c r="I25" s="273" t="s">
        <v>843</v>
      </c>
      <c r="J25" s="302">
        <v>2</v>
      </c>
      <c r="K25" s="273" t="s">
        <v>269</v>
      </c>
      <c r="L25" s="274">
        <v>50889.17</v>
      </c>
      <c r="M25" s="275">
        <f t="shared" si="0"/>
        <v>101778.34</v>
      </c>
      <c r="N25" s="276">
        <v>0</v>
      </c>
      <c r="O25" s="275">
        <f t="shared" si="1"/>
        <v>0</v>
      </c>
      <c r="P25" s="276">
        <v>0.16</v>
      </c>
      <c r="Q25" s="275">
        <f t="shared" si="2"/>
        <v>16284.5344</v>
      </c>
      <c r="R25" s="275">
        <f t="shared" si="3"/>
        <v>118062.8744</v>
      </c>
      <c r="S25" s="300">
        <f>INDEX('Glosario Partidas'!$M$8:$M$10,MATCH(K25,'Glosario Partidas'!$L$8:$L$10,0))</f>
        <v>1</v>
      </c>
      <c r="T25" s="275">
        <f t="shared" si="4"/>
        <v>118062.8744</v>
      </c>
      <c r="U25" s="275"/>
      <c r="V25" s="249" t="s">
        <v>12</v>
      </c>
    </row>
    <row r="26" spans="1:22" ht="15" customHeight="1" x14ac:dyDescent="0.2">
      <c r="A26" s="268"/>
      <c r="B26" s="268" t="s">
        <v>191</v>
      </c>
      <c r="C26" s="268" t="s">
        <v>1058</v>
      </c>
      <c r="D26" s="269" t="s">
        <v>1062</v>
      </c>
      <c r="E26" s="171" t="s">
        <v>220</v>
      </c>
      <c r="F26" s="273" t="s">
        <v>1032</v>
      </c>
      <c r="G26" s="292"/>
      <c r="H26" s="272" t="s">
        <v>1033</v>
      </c>
      <c r="I26" s="273" t="s">
        <v>843</v>
      </c>
      <c r="J26" s="302">
        <v>1</v>
      </c>
      <c r="K26" s="273" t="s">
        <v>269</v>
      </c>
      <c r="L26" s="274">
        <v>29239.51</v>
      </c>
      <c r="M26" s="275">
        <f t="shared" si="0"/>
        <v>29239.51</v>
      </c>
      <c r="N26" s="276">
        <v>0</v>
      </c>
      <c r="O26" s="275">
        <f t="shared" si="1"/>
        <v>0</v>
      </c>
      <c r="P26" s="276">
        <v>0.16</v>
      </c>
      <c r="Q26" s="275">
        <f t="shared" si="2"/>
        <v>4678.3216000000002</v>
      </c>
      <c r="R26" s="275">
        <f t="shared" si="3"/>
        <v>33917.831599999998</v>
      </c>
      <c r="S26" s="300">
        <f>INDEX('Glosario Partidas'!$M$8:$M$10,MATCH(K26,'Glosario Partidas'!$L$8:$L$10,0))</f>
        <v>1</v>
      </c>
      <c r="T26" s="275">
        <f t="shared" si="4"/>
        <v>33917.831599999998</v>
      </c>
      <c r="U26" s="275"/>
      <c r="V26" s="249" t="s">
        <v>12</v>
      </c>
    </row>
    <row r="27" spans="1:22" ht="15" customHeight="1" x14ac:dyDescent="0.2">
      <c r="A27" s="268"/>
      <c r="B27" s="268" t="s">
        <v>191</v>
      </c>
      <c r="C27" s="268" t="s">
        <v>1058</v>
      </c>
      <c r="D27" s="269" t="s">
        <v>1063</v>
      </c>
      <c r="E27" s="171" t="s">
        <v>220</v>
      </c>
      <c r="F27" s="273" t="s">
        <v>1032</v>
      </c>
      <c r="G27" s="292"/>
      <c r="H27" s="272" t="s">
        <v>1033</v>
      </c>
      <c r="I27" s="273" t="s">
        <v>843</v>
      </c>
      <c r="J27" s="302">
        <v>1</v>
      </c>
      <c r="K27" s="273" t="s">
        <v>269</v>
      </c>
      <c r="L27" s="274">
        <v>93369.42</v>
      </c>
      <c r="M27" s="275">
        <f t="shared" si="0"/>
        <v>93369.42</v>
      </c>
      <c r="N27" s="276">
        <v>0</v>
      </c>
      <c r="O27" s="275">
        <f t="shared" si="1"/>
        <v>0</v>
      </c>
      <c r="P27" s="276">
        <v>0.16</v>
      </c>
      <c r="Q27" s="275">
        <f t="shared" si="2"/>
        <v>14939.1072</v>
      </c>
      <c r="R27" s="275">
        <f t="shared" si="3"/>
        <v>108308.5272</v>
      </c>
      <c r="S27" s="300">
        <f>INDEX('Glosario Partidas'!$M$8:$M$10,MATCH(K27,'Glosario Partidas'!$L$8:$L$10,0))</f>
        <v>1</v>
      </c>
      <c r="T27" s="275">
        <f t="shared" si="4"/>
        <v>108308.5272</v>
      </c>
      <c r="U27" s="275"/>
      <c r="V27" s="249" t="s">
        <v>12</v>
      </c>
    </row>
    <row r="28" spans="1:22" ht="15" customHeight="1" x14ac:dyDescent="0.2">
      <c r="A28" s="268"/>
      <c r="B28" s="268" t="s">
        <v>191</v>
      </c>
      <c r="C28" s="268" t="s">
        <v>1058</v>
      </c>
      <c r="D28" s="269" t="s">
        <v>1064</v>
      </c>
      <c r="E28" s="171" t="s">
        <v>220</v>
      </c>
      <c r="F28" s="273" t="s">
        <v>1032</v>
      </c>
      <c r="G28" s="292"/>
      <c r="H28" s="272" t="s">
        <v>1033</v>
      </c>
      <c r="I28" s="273" t="s">
        <v>843</v>
      </c>
      <c r="J28" s="302">
        <v>1</v>
      </c>
      <c r="K28" s="273" t="s">
        <v>269</v>
      </c>
      <c r="L28" s="274">
        <v>49526.39</v>
      </c>
      <c r="M28" s="275">
        <f t="shared" si="0"/>
        <v>49526.39</v>
      </c>
      <c r="N28" s="276">
        <v>0</v>
      </c>
      <c r="O28" s="275">
        <f t="shared" si="1"/>
        <v>0</v>
      </c>
      <c r="P28" s="276">
        <v>0.16</v>
      </c>
      <c r="Q28" s="275">
        <f t="shared" si="2"/>
        <v>7924.2223999999997</v>
      </c>
      <c r="R28" s="275">
        <f t="shared" si="3"/>
        <v>57450.612399999998</v>
      </c>
      <c r="S28" s="300">
        <f>INDEX('Glosario Partidas'!$M$8:$M$10,MATCH(K28,'Glosario Partidas'!$L$8:$L$10,0))</f>
        <v>1</v>
      </c>
      <c r="T28" s="275">
        <f t="shared" si="4"/>
        <v>57450.612399999998</v>
      </c>
      <c r="U28" s="275"/>
      <c r="V28" s="249" t="s">
        <v>12</v>
      </c>
    </row>
    <row r="29" spans="1:22" ht="15" customHeight="1" x14ac:dyDescent="0.2">
      <c r="A29" s="268"/>
      <c r="B29" s="268" t="s">
        <v>191</v>
      </c>
      <c r="C29" s="268" t="s">
        <v>1058</v>
      </c>
      <c r="D29" s="269" t="s">
        <v>1065</v>
      </c>
      <c r="E29" s="171" t="s">
        <v>220</v>
      </c>
      <c r="F29" s="273" t="s">
        <v>1032</v>
      </c>
      <c r="G29" s="292"/>
      <c r="H29" s="272" t="s">
        <v>1033</v>
      </c>
      <c r="I29" s="273" t="s">
        <v>843</v>
      </c>
      <c r="J29" s="302">
        <v>1</v>
      </c>
      <c r="K29" s="273" t="s">
        <v>269</v>
      </c>
      <c r="L29" s="274">
        <v>6765.9</v>
      </c>
      <c r="M29" s="275">
        <f t="shared" si="0"/>
        <v>6765.9</v>
      </c>
      <c r="N29" s="276">
        <v>0</v>
      </c>
      <c r="O29" s="275">
        <f t="shared" si="1"/>
        <v>0</v>
      </c>
      <c r="P29" s="276">
        <v>0.16</v>
      </c>
      <c r="Q29" s="275">
        <f t="shared" si="2"/>
        <v>1082.5439999999999</v>
      </c>
      <c r="R29" s="275">
        <f t="shared" si="3"/>
        <v>7848.4439999999995</v>
      </c>
      <c r="S29" s="300">
        <f>INDEX('Glosario Partidas'!$M$8:$M$10,MATCH(K29,'Glosario Partidas'!$L$8:$L$10,0))</f>
        <v>1</v>
      </c>
      <c r="T29" s="275">
        <f t="shared" si="4"/>
        <v>7848.4439999999995</v>
      </c>
      <c r="U29" s="275"/>
      <c r="V29" s="249" t="s">
        <v>12</v>
      </c>
    </row>
    <row r="30" spans="1:22" ht="15" customHeight="1" x14ac:dyDescent="0.2">
      <c r="A30" s="268"/>
      <c r="B30" s="268" t="s">
        <v>191</v>
      </c>
      <c r="C30" s="268" t="s">
        <v>1058</v>
      </c>
      <c r="D30" s="269" t="s">
        <v>1066</v>
      </c>
      <c r="E30" s="171" t="s">
        <v>220</v>
      </c>
      <c r="F30" s="273" t="s">
        <v>1032</v>
      </c>
      <c r="G30" s="292"/>
      <c r="H30" s="272" t="s">
        <v>1033</v>
      </c>
      <c r="I30" s="273" t="s">
        <v>843</v>
      </c>
      <c r="J30" s="302">
        <v>2</v>
      </c>
      <c r="K30" s="273" t="s">
        <v>269</v>
      </c>
      <c r="L30" s="274">
        <v>591.07000000000005</v>
      </c>
      <c r="M30" s="275">
        <f t="shared" si="0"/>
        <v>1182.1400000000001</v>
      </c>
      <c r="N30" s="276">
        <v>0</v>
      </c>
      <c r="O30" s="275">
        <f t="shared" si="1"/>
        <v>0</v>
      </c>
      <c r="P30" s="276">
        <v>0.16</v>
      </c>
      <c r="Q30" s="275">
        <f t="shared" si="2"/>
        <v>189.14240000000001</v>
      </c>
      <c r="R30" s="275">
        <f t="shared" si="3"/>
        <v>1371.2824000000001</v>
      </c>
      <c r="S30" s="300">
        <f>INDEX('Glosario Partidas'!$M$8:$M$10,MATCH(K30,'Glosario Partidas'!$L$8:$L$10,0))</f>
        <v>1</v>
      </c>
      <c r="T30" s="275">
        <f t="shared" si="4"/>
        <v>1371.2824000000001</v>
      </c>
      <c r="U30" s="275"/>
      <c r="V30" s="249" t="s">
        <v>12</v>
      </c>
    </row>
    <row r="31" spans="1:22" ht="15" customHeight="1" x14ac:dyDescent="0.2">
      <c r="A31" s="268"/>
      <c r="B31" s="268" t="s">
        <v>191</v>
      </c>
      <c r="C31" s="268" t="s">
        <v>1058</v>
      </c>
      <c r="D31" s="269" t="s">
        <v>1067</v>
      </c>
      <c r="E31" s="171" t="s">
        <v>220</v>
      </c>
      <c r="F31" s="273" t="s">
        <v>1032</v>
      </c>
      <c r="G31" s="292"/>
      <c r="H31" s="272" t="s">
        <v>1033</v>
      </c>
      <c r="I31" s="273" t="s">
        <v>843</v>
      </c>
      <c r="J31" s="302">
        <v>2</v>
      </c>
      <c r="K31" s="273" t="s">
        <v>269</v>
      </c>
      <c r="L31" s="274">
        <v>10912.64</v>
      </c>
      <c r="M31" s="275">
        <f t="shared" si="0"/>
        <v>21825.279999999999</v>
      </c>
      <c r="N31" s="276">
        <v>0</v>
      </c>
      <c r="O31" s="275">
        <f t="shared" si="1"/>
        <v>0</v>
      </c>
      <c r="P31" s="276">
        <v>0.16</v>
      </c>
      <c r="Q31" s="275">
        <f t="shared" si="2"/>
        <v>3492.0447999999997</v>
      </c>
      <c r="R31" s="275">
        <f t="shared" si="3"/>
        <v>25317.324799999999</v>
      </c>
      <c r="S31" s="300">
        <f>INDEX('Glosario Partidas'!$M$8:$M$10,MATCH(K31,'Glosario Partidas'!$L$8:$L$10,0))</f>
        <v>1</v>
      </c>
      <c r="T31" s="275">
        <f t="shared" si="4"/>
        <v>25317.324799999999</v>
      </c>
      <c r="U31" s="275"/>
      <c r="V31" s="249" t="s">
        <v>12</v>
      </c>
    </row>
    <row r="32" spans="1:22" ht="15" customHeight="1" x14ac:dyDescent="0.2">
      <c r="A32" s="268"/>
      <c r="B32" s="268" t="s">
        <v>191</v>
      </c>
      <c r="C32" s="268" t="s">
        <v>1058</v>
      </c>
      <c r="D32" s="269" t="s">
        <v>1068</v>
      </c>
      <c r="E32" s="171" t="s">
        <v>220</v>
      </c>
      <c r="F32" s="273" t="s">
        <v>1032</v>
      </c>
      <c r="G32" s="292"/>
      <c r="H32" s="272" t="s">
        <v>1033</v>
      </c>
      <c r="I32" s="273" t="s">
        <v>843</v>
      </c>
      <c r="J32" s="302">
        <v>8</v>
      </c>
      <c r="K32" s="273" t="s">
        <v>269</v>
      </c>
      <c r="L32" s="274">
        <v>2214.6999999999998</v>
      </c>
      <c r="M32" s="275">
        <f t="shared" si="0"/>
        <v>17717.599999999999</v>
      </c>
      <c r="N32" s="276">
        <v>0</v>
      </c>
      <c r="O32" s="275">
        <f t="shared" si="1"/>
        <v>0</v>
      </c>
      <c r="P32" s="276">
        <v>0.16</v>
      </c>
      <c r="Q32" s="275">
        <f t="shared" si="2"/>
        <v>2834.8159999999998</v>
      </c>
      <c r="R32" s="275">
        <f t="shared" si="3"/>
        <v>20552.415999999997</v>
      </c>
      <c r="S32" s="300">
        <f>INDEX('Glosario Partidas'!$M$8:$M$10,MATCH(K32,'Glosario Partidas'!$L$8:$L$10,0))</f>
        <v>1</v>
      </c>
      <c r="T32" s="275">
        <f t="shared" si="4"/>
        <v>20552.415999999997</v>
      </c>
      <c r="U32" s="275"/>
      <c r="V32" s="249" t="s">
        <v>12</v>
      </c>
    </row>
    <row r="33" spans="1:22" ht="15" customHeight="1" x14ac:dyDescent="0.2">
      <c r="A33" s="268"/>
      <c r="B33" s="268" t="s">
        <v>191</v>
      </c>
      <c r="C33" s="268" t="s">
        <v>1058</v>
      </c>
      <c r="D33" s="269" t="s">
        <v>1069</v>
      </c>
      <c r="E33" s="171" t="s">
        <v>220</v>
      </c>
      <c r="F33" s="273" t="s">
        <v>1032</v>
      </c>
      <c r="G33" s="292"/>
      <c r="H33" s="272" t="s">
        <v>1033</v>
      </c>
      <c r="I33" s="273" t="s">
        <v>843</v>
      </c>
      <c r="J33" s="302">
        <v>7</v>
      </c>
      <c r="K33" s="273" t="s">
        <v>269</v>
      </c>
      <c r="L33" s="274">
        <v>1654.93</v>
      </c>
      <c r="M33" s="275">
        <f t="shared" si="0"/>
        <v>11584.51</v>
      </c>
      <c r="N33" s="276">
        <v>0</v>
      </c>
      <c r="O33" s="275">
        <f t="shared" si="1"/>
        <v>0</v>
      </c>
      <c r="P33" s="276">
        <v>0.16</v>
      </c>
      <c r="Q33" s="275">
        <f t="shared" si="2"/>
        <v>1853.5216</v>
      </c>
      <c r="R33" s="275">
        <f t="shared" si="3"/>
        <v>13438.0316</v>
      </c>
      <c r="S33" s="300">
        <f>INDEX('Glosario Partidas'!$M$8:$M$10,MATCH(K33,'Glosario Partidas'!$L$8:$L$10,0))</f>
        <v>1</v>
      </c>
      <c r="T33" s="275">
        <f t="shared" si="4"/>
        <v>13438.0316</v>
      </c>
      <c r="U33" s="275"/>
      <c r="V33" s="249" t="s">
        <v>12</v>
      </c>
    </row>
    <row r="34" spans="1:22" ht="15" customHeight="1" x14ac:dyDescent="0.2">
      <c r="A34" s="268"/>
      <c r="B34" s="268" t="s">
        <v>191</v>
      </c>
      <c r="C34" s="268" t="s">
        <v>1058</v>
      </c>
      <c r="D34" s="269" t="s">
        <v>1070</v>
      </c>
      <c r="E34" s="171" t="s">
        <v>220</v>
      </c>
      <c r="F34" s="273" t="s">
        <v>1032</v>
      </c>
      <c r="G34" s="292"/>
      <c r="H34" s="272" t="s">
        <v>1033</v>
      </c>
      <c r="I34" s="273" t="s">
        <v>843</v>
      </c>
      <c r="J34" s="302">
        <v>5</v>
      </c>
      <c r="K34" s="273" t="s">
        <v>269</v>
      </c>
      <c r="L34" s="274">
        <v>4072.76</v>
      </c>
      <c r="M34" s="275">
        <f t="shared" si="0"/>
        <v>20363.800000000003</v>
      </c>
      <c r="N34" s="276">
        <v>0</v>
      </c>
      <c r="O34" s="275">
        <f t="shared" si="1"/>
        <v>0</v>
      </c>
      <c r="P34" s="276">
        <v>0.16</v>
      </c>
      <c r="Q34" s="275">
        <f t="shared" si="2"/>
        <v>3258.2080000000005</v>
      </c>
      <c r="R34" s="275">
        <f t="shared" si="3"/>
        <v>23622.008000000002</v>
      </c>
      <c r="S34" s="300">
        <f>INDEX('Glosario Partidas'!$M$8:$M$10,MATCH(K34,'Glosario Partidas'!$L$8:$L$10,0))</f>
        <v>1</v>
      </c>
      <c r="T34" s="275">
        <f t="shared" si="4"/>
        <v>23622.008000000002</v>
      </c>
      <c r="U34" s="275"/>
      <c r="V34" s="249" t="s">
        <v>12</v>
      </c>
    </row>
    <row r="35" spans="1:22" ht="15" customHeight="1" x14ac:dyDescent="0.2">
      <c r="A35" s="268"/>
      <c r="B35" s="268" t="s">
        <v>191</v>
      </c>
      <c r="C35" s="268" t="s">
        <v>1058</v>
      </c>
      <c r="D35" s="269" t="s">
        <v>1071</v>
      </c>
      <c r="E35" s="171" t="s">
        <v>220</v>
      </c>
      <c r="F35" s="273" t="s">
        <v>1032</v>
      </c>
      <c r="G35" s="292"/>
      <c r="H35" s="272" t="s">
        <v>1033</v>
      </c>
      <c r="I35" s="273" t="s">
        <v>843</v>
      </c>
      <c r="J35" s="302">
        <v>2</v>
      </c>
      <c r="K35" s="273" t="s">
        <v>269</v>
      </c>
      <c r="L35" s="274">
        <v>14353.4</v>
      </c>
      <c r="M35" s="275">
        <f t="shared" si="0"/>
        <v>28706.799999999999</v>
      </c>
      <c r="N35" s="276">
        <v>0</v>
      </c>
      <c r="O35" s="275">
        <f t="shared" si="1"/>
        <v>0</v>
      </c>
      <c r="P35" s="276">
        <v>0.16</v>
      </c>
      <c r="Q35" s="275">
        <f t="shared" si="2"/>
        <v>4593.0879999999997</v>
      </c>
      <c r="R35" s="275">
        <f t="shared" si="3"/>
        <v>33299.887999999999</v>
      </c>
      <c r="S35" s="300">
        <f>INDEX('Glosario Partidas'!$M$8:$M$10,MATCH(K35,'Glosario Partidas'!$L$8:$L$10,0))</f>
        <v>1</v>
      </c>
      <c r="T35" s="275">
        <f t="shared" si="4"/>
        <v>33299.887999999999</v>
      </c>
      <c r="U35" s="275"/>
      <c r="V35" s="249" t="s">
        <v>12</v>
      </c>
    </row>
    <row r="36" spans="1:22" ht="15" customHeight="1" x14ac:dyDescent="0.2">
      <c r="A36" s="268"/>
      <c r="B36" s="268" t="s">
        <v>191</v>
      </c>
      <c r="C36" s="268" t="s">
        <v>1058</v>
      </c>
      <c r="D36" s="269" t="s">
        <v>1072</v>
      </c>
      <c r="E36" s="171" t="s">
        <v>220</v>
      </c>
      <c r="F36" s="273" t="s">
        <v>1032</v>
      </c>
      <c r="G36" s="292"/>
      <c r="H36" s="272" t="s">
        <v>1033</v>
      </c>
      <c r="I36" s="273" t="s">
        <v>843</v>
      </c>
      <c r="J36" s="302">
        <v>5</v>
      </c>
      <c r="K36" s="273" t="s">
        <v>269</v>
      </c>
      <c r="L36" s="274">
        <v>13441.59</v>
      </c>
      <c r="M36" s="275">
        <f t="shared" si="0"/>
        <v>67207.95</v>
      </c>
      <c r="N36" s="276">
        <v>0</v>
      </c>
      <c r="O36" s="275">
        <f t="shared" si="1"/>
        <v>0</v>
      </c>
      <c r="P36" s="276">
        <v>0.16</v>
      </c>
      <c r="Q36" s="275">
        <f t="shared" si="2"/>
        <v>10753.271999999999</v>
      </c>
      <c r="R36" s="275">
        <f t="shared" si="3"/>
        <v>77961.221999999994</v>
      </c>
      <c r="S36" s="300">
        <f>INDEX('Glosario Partidas'!$M$8:$M$10,MATCH(K36,'Glosario Partidas'!$L$8:$L$10,0))</f>
        <v>1</v>
      </c>
      <c r="T36" s="275">
        <f t="shared" si="4"/>
        <v>77961.221999999994</v>
      </c>
      <c r="U36" s="275"/>
      <c r="V36" s="249" t="s">
        <v>12</v>
      </c>
    </row>
    <row r="37" spans="1:22" ht="15" customHeight="1" x14ac:dyDescent="0.2">
      <c r="A37" s="268"/>
      <c r="B37" s="268" t="s">
        <v>191</v>
      </c>
      <c r="C37" s="268" t="s">
        <v>1058</v>
      </c>
      <c r="D37" s="269" t="s">
        <v>1073</v>
      </c>
      <c r="E37" s="171" t="s">
        <v>220</v>
      </c>
      <c r="F37" s="273" t="s">
        <v>1032</v>
      </c>
      <c r="G37" s="292"/>
      <c r="H37" s="272" t="s">
        <v>1033</v>
      </c>
      <c r="I37" s="273" t="s">
        <v>843</v>
      </c>
      <c r="J37" s="302">
        <v>2</v>
      </c>
      <c r="K37" s="273" t="s">
        <v>269</v>
      </c>
      <c r="L37" s="274">
        <v>214704.56</v>
      </c>
      <c r="M37" s="275">
        <f t="shared" si="0"/>
        <v>429409.12</v>
      </c>
      <c r="N37" s="276">
        <v>0</v>
      </c>
      <c r="O37" s="275">
        <f t="shared" si="1"/>
        <v>0</v>
      </c>
      <c r="P37" s="276">
        <v>0.16</v>
      </c>
      <c r="Q37" s="275">
        <f t="shared" si="2"/>
        <v>68705.459199999998</v>
      </c>
      <c r="R37" s="275">
        <f t="shared" si="3"/>
        <v>498114.57919999998</v>
      </c>
      <c r="S37" s="300">
        <f>INDEX('Glosario Partidas'!$M$8:$M$10,MATCH(K37,'Glosario Partidas'!$L$8:$L$10,0))</f>
        <v>1</v>
      </c>
      <c r="T37" s="275">
        <f t="shared" si="4"/>
        <v>498114.57919999998</v>
      </c>
      <c r="U37" s="275"/>
      <c r="V37" s="249" t="s">
        <v>12</v>
      </c>
    </row>
    <row r="38" spans="1:22" ht="15" customHeight="1" x14ac:dyDescent="0.2">
      <c r="A38" s="268"/>
      <c r="B38" s="268" t="s">
        <v>191</v>
      </c>
      <c r="C38" s="268" t="s">
        <v>1058</v>
      </c>
      <c r="D38" s="269" t="s">
        <v>1074</v>
      </c>
      <c r="E38" s="171" t="s">
        <v>220</v>
      </c>
      <c r="F38" s="273" t="s">
        <v>1032</v>
      </c>
      <c r="G38" s="292"/>
      <c r="H38" s="272" t="s">
        <v>1033</v>
      </c>
      <c r="I38" s="273" t="s">
        <v>843</v>
      </c>
      <c r="J38" s="302">
        <v>1</v>
      </c>
      <c r="K38" s="273" t="s">
        <v>269</v>
      </c>
      <c r="L38" s="274">
        <v>17944</v>
      </c>
      <c r="M38" s="275">
        <f t="shared" si="0"/>
        <v>17944</v>
      </c>
      <c r="N38" s="276">
        <v>0</v>
      </c>
      <c r="O38" s="275">
        <f t="shared" si="1"/>
        <v>0</v>
      </c>
      <c r="P38" s="276">
        <v>0.16</v>
      </c>
      <c r="Q38" s="275">
        <f t="shared" si="2"/>
        <v>2871.04</v>
      </c>
      <c r="R38" s="275">
        <f t="shared" si="3"/>
        <v>20815.04</v>
      </c>
      <c r="S38" s="300">
        <f>INDEX('Glosario Partidas'!$M$8:$M$10,MATCH(K38,'Glosario Partidas'!$L$8:$L$10,0))</f>
        <v>1</v>
      </c>
      <c r="T38" s="275">
        <f t="shared" si="4"/>
        <v>20815.04</v>
      </c>
      <c r="U38" s="275"/>
      <c r="V38" s="249" t="s">
        <v>12</v>
      </c>
    </row>
    <row r="39" spans="1:22" ht="15" customHeight="1" x14ac:dyDescent="0.2">
      <c r="A39" s="268"/>
      <c r="B39" s="268" t="s">
        <v>191</v>
      </c>
      <c r="C39" s="268" t="s">
        <v>1058</v>
      </c>
      <c r="D39" s="269" t="s">
        <v>1075</v>
      </c>
      <c r="E39" s="171" t="s">
        <v>220</v>
      </c>
      <c r="F39" s="273" t="s">
        <v>1032</v>
      </c>
      <c r="G39" s="292"/>
      <c r="H39" s="272" t="s">
        <v>1033</v>
      </c>
      <c r="I39" s="273" t="s">
        <v>843</v>
      </c>
      <c r="J39" s="302">
        <v>1</v>
      </c>
      <c r="K39" s="273" t="s">
        <v>269</v>
      </c>
      <c r="L39" s="274">
        <v>4059.54</v>
      </c>
      <c r="M39" s="275">
        <f t="shared" si="0"/>
        <v>4059.54</v>
      </c>
      <c r="N39" s="276">
        <v>0</v>
      </c>
      <c r="O39" s="275">
        <f t="shared" si="1"/>
        <v>0</v>
      </c>
      <c r="P39" s="276">
        <v>0.16</v>
      </c>
      <c r="Q39" s="275">
        <f t="shared" si="2"/>
        <v>649.52639999999997</v>
      </c>
      <c r="R39" s="275">
        <f t="shared" si="3"/>
        <v>4709.0663999999997</v>
      </c>
      <c r="S39" s="300">
        <f>INDEX('Glosario Partidas'!$M$8:$M$10,MATCH(K39,'Glosario Partidas'!$L$8:$L$10,0))</f>
        <v>1</v>
      </c>
      <c r="T39" s="275">
        <f t="shared" si="4"/>
        <v>4709.0663999999997</v>
      </c>
      <c r="U39" s="275"/>
      <c r="V39" s="249" t="s">
        <v>12</v>
      </c>
    </row>
    <row r="40" spans="1:22" ht="15" customHeight="1" x14ac:dyDescent="0.2">
      <c r="A40" s="268"/>
      <c r="B40" s="268" t="s">
        <v>191</v>
      </c>
      <c r="C40" s="268" t="s">
        <v>1058</v>
      </c>
      <c r="D40" s="269" t="s">
        <v>1076</v>
      </c>
      <c r="E40" s="171" t="s">
        <v>220</v>
      </c>
      <c r="F40" s="273" t="s">
        <v>1032</v>
      </c>
      <c r="G40" s="292"/>
      <c r="H40" s="272" t="s">
        <v>1033</v>
      </c>
      <c r="I40" s="273" t="s">
        <v>1039</v>
      </c>
      <c r="J40" s="302">
        <v>1</v>
      </c>
      <c r="K40" s="273" t="s">
        <v>269</v>
      </c>
      <c r="L40" s="274">
        <v>111155.83</v>
      </c>
      <c r="M40" s="275">
        <f t="shared" si="0"/>
        <v>111155.83</v>
      </c>
      <c r="N40" s="276">
        <v>0</v>
      </c>
      <c r="O40" s="275">
        <f t="shared" si="1"/>
        <v>0</v>
      </c>
      <c r="P40" s="276">
        <v>0.16</v>
      </c>
      <c r="Q40" s="275">
        <f t="shared" si="2"/>
        <v>17784.932800000002</v>
      </c>
      <c r="R40" s="275">
        <f t="shared" si="3"/>
        <v>128940.7628</v>
      </c>
      <c r="S40" s="300">
        <f>INDEX('Glosario Partidas'!$M$8:$M$10,MATCH(K40,'Glosario Partidas'!$L$8:$L$10,0))</f>
        <v>1</v>
      </c>
      <c r="T40" s="275">
        <f t="shared" si="4"/>
        <v>128940.7628</v>
      </c>
      <c r="U40" s="275"/>
      <c r="V40" s="249" t="s">
        <v>12</v>
      </c>
    </row>
    <row r="41" spans="1:22" ht="15" customHeight="1" x14ac:dyDescent="0.2">
      <c r="A41" s="268"/>
      <c r="B41" s="268" t="s">
        <v>191</v>
      </c>
      <c r="C41" s="268" t="s">
        <v>79</v>
      </c>
      <c r="D41" s="269" t="s">
        <v>1077</v>
      </c>
      <c r="E41" s="171" t="s">
        <v>220</v>
      </c>
      <c r="F41" s="273" t="s">
        <v>1032</v>
      </c>
      <c r="G41" s="292"/>
      <c r="H41" s="272" t="s">
        <v>1033</v>
      </c>
      <c r="I41" s="273" t="s">
        <v>204</v>
      </c>
      <c r="J41" s="302">
        <v>165</v>
      </c>
      <c r="K41" s="273" t="s">
        <v>269</v>
      </c>
      <c r="L41" s="274">
        <v>3938.62</v>
      </c>
      <c r="M41" s="275">
        <f t="shared" si="0"/>
        <v>649872.29999999993</v>
      </c>
      <c r="N41" s="276">
        <v>0</v>
      </c>
      <c r="O41" s="275">
        <f t="shared" si="1"/>
        <v>0</v>
      </c>
      <c r="P41" s="276">
        <v>0.16</v>
      </c>
      <c r="Q41" s="275">
        <f t="shared" si="2"/>
        <v>103979.56799999998</v>
      </c>
      <c r="R41" s="275">
        <f t="shared" si="3"/>
        <v>753851.8679999999</v>
      </c>
      <c r="S41" s="300">
        <f>INDEX('Glosario Partidas'!$M$8:$M$10,MATCH(K41,'Glosario Partidas'!$L$8:$L$10,0))</f>
        <v>1</v>
      </c>
      <c r="T41" s="275">
        <f t="shared" si="4"/>
        <v>753851.8679999999</v>
      </c>
      <c r="U41" s="275"/>
      <c r="V41" s="249" t="s">
        <v>12</v>
      </c>
    </row>
    <row r="42" spans="1:22" ht="15" customHeight="1" x14ac:dyDescent="0.2">
      <c r="A42" s="268"/>
      <c r="B42" s="268" t="s">
        <v>191</v>
      </c>
      <c r="C42" s="268" t="s">
        <v>1078</v>
      </c>
      <c r="D42" s="269" t="s">
        <v>1079</v>
      </c>
      <c r="E42" s="171" t="s">
        <v>220</v>
      </c>
      <c r="F42" s="273" t="s">
        <v>1032</v>
      </c>
      <c r="G42" s="292"/>
      <c r="H42" s="272" t="s">
        <v>1033</v>
      </c>
      <c r="I42" s="273" t="s">
        <v>843</v>
      </c>
      <c r="J42" s="302">
        <v>1</v>
      </c>
      <c r="K42" s="273" t="s">
        <v>269</v>
      </c>
      <c r="L42" s="274">
        <v>11702.81</v>
      </c>
      <c r="M42" s="275">
        <f t="shared" si="0"/>
        <v>11702.81</v>
      </c>
      <c r="N42" s="276">
        <v>0</v>
      </c>
      <c r="O42" s="275">
        <f t="shared" si="1"/>
        <v>0</v>
      </c>
      <c r="P42" s="276">
        <v>0.16</v>
      </c>
      <c r="Q42" s="275">
        <f t="shared" si="2"/>
        <v>1872.4495999999999</v>
      </c>
      <c r="R42" s="275">
        <f t="shared" si="3"/>
        <v>13575.259599999999</v>
      </c>
      <c r="S42" s="300">
        <f>INDEX('Glosario Partidas'!$M$8:$M$10,MATCH(K42,'Glosario Partidas'!$L$8:$L$10,0))</f>
        <v>1</v>
      </c>
      <c r="T42" s="275">
        <f t="shared" si="4"/>
        <v>13575.259599999999</v>
      </c>
      <c r="U42" s="275"/>
      <c r="V42" s="249" t="s">
        <v>12</v>
      </c>
    </row>
    <row r="43" spans="1:22" ht="15" customHeight="1" x14ac:dyDescent="0.2">
      <c r="A43" s="268"/>
      <c r="B43" s="268" t="s">
        <v>191</v>
      </c>
      <c r="C43" s="268" t="s">
        <v>1078</v>
      </c>
      <c r="D43" s="269" t="s">
        <v>1080</v>
      </c>
      <c r="E43" s="171" t="s">
        <v>220</v>
      </c>
      <c r="F43" s="273" t="s">
        <v>1032</v>
      </c>
      <c r="G43" s="292"/>
      <c r="H43" s="272" t="s">
        <v>1033</v>
      </c>
      <c r="I43" s="273" t="s">
        <v>843</v>
      </c>
      <c r="J43" s="302">
        <v>1</v>
      </c>
      <c r="K43" s="273" t="s">
        <v>269</v>
      </c>
      <c r="L43" s="274">
        <v>55480.38</v>
      </c>
      <c r="M43" s="275">
        <f t="shared" si="0"/>
        <v>55480.38</v>
      </c>
      <c r="N43" s="276">
        <v>0</v>
      </c>
      <c r="O43" s="275">
        <f t="shared" si="1"/>
        <v>0</v>
      </c>
      <c r="P43" s="276">
        <v>0.16</v>
      </c>
      <c r="Q43" s="275">
        <f t="shared" si="2"/>
        <v>8876.8608000000004</v>
      </c>
      <c r="R43" s="275">
        <f t="shared" si="3"/>
        <v>64357.2408</v>
      </c>
      <c r="S43" s="300">
        <f>INDEX('Glosario Partidas'!$M$8:$M$10,MATCH(K43,'Glosario Partidas'!$L$8:$L$10,0))</f>
        <v>1</v>
      </c>
      <c r="T43" s="275">
        <f t="shared" si="4"/>
        <v>64357.2408</v>
      </c>
      <c r="U43" s="275"/>
      <c r="V43" s="249" t="s">
        <v>12</v>
      </c>
    </row>
    <row r="44" spans="1:22" ht="15" customHeight="1" x14ac:dyDescent="0.2">
      <c r="A44" s="268"/>
      <c r="B44" s="268" t="s">
        <v>191</v>
      </c>
      <c r="C44" s="268" t="s">
        <v>1078</v>
      </c>
      <c r="D44" s="269" t="s">
        <v>1081</v>
      </c>
      <c r="E44" s="171" t="s">
        <v>220</v>
      </c>
      <c r="F44" s="273" t="s">
        <v>1032</v>
      </c>
      <c r="G44" s="292"/>
      <c r="H44" s="272" t="s">
        <v>1033</v>
      </c>
      <c r="I44" s="273" t="s">
        <v>843</v>
      </c>
      <c r="J44" s="302">
        <v>1</v>
      </c>
      <c r="K44" s="273" t="s">
        <v>269</v>
      </c>
      <c r="L44" s="274">
        <v>32476.32</v>
      </c>
      <c r="M44" s="275">
        <f t="shared" si="0"/>
        <v>32476.32</v>
      </c>
      <c r="N44" s="276">
        <v>0</v>
      </c>
      <c r="O44" s="275">
        <f t="shared" si="1"/>
        <v>0</v>
      </c>
      <c r="P44" s="276">
        <v>0.16</v>
      </c>
      <c r="Q44" s="275">
        <f t="shared" si="2"/>
        <v>5196.2111999999997</v>
      </c>
      <c r="R44" s="275">
        <f t="shared" si="3"/>
        <v>37672.531199999998</v>
      </c>
      <c r="S44" s="300">
        <f>INDEX('Glosario Partidas'!$M$8:$M$10,MATCH(K44,'Glosario Partidas'!$L$8:$L$10,0))</f>
        <v>1</v>
      </c>
      <c r="T44" s="275">
        <f t="shared" si="4"/>
        <v>37672.531199999998</v>
      </c>
      <c r="U44" s="275"/>
      <c r="V44" s="249" t="s">
        <v>12</v>
      </c>
    </row>
    <row r="45" spans="1:22" ht="15" customHeight="1" x14ac:dyDescent="0.2">
      <c r="A45" s="268"/>
      <c r="B45" s="268" t="s">
        <v>191</v>
      </c>
      <c r="C45" s="268" t="s">
        <v>1078</v>
      </c>
      <c r="D45" s="269" t="s">
        <v>1082</v>
      </c>
      <c r="E45" s="171" t="s">
        <v>220</v>
      </c>
      <c r="F45" s="273" t="s">
        <v>1032</v>
      </c>
      <c r="G45" s="292"/>
      <c r="H45" s="272" t="s">
        <v>1033</v>
      </c>
      <c r="I45" s="273" t="s">
        <v>843</v>
      </c>
      <c r="J45" s="302">
        <v>1</v>
      </c>
      <c r="K45" s="273" t="s">
        <v>269</v>
      </c>
      <c r="L45" s="274">
        <v>62246.28</v>
      </c>
      <c r="M45" s="275">
        <f t="shared" si="0"/>
        <v>62246.28</v>
      </c>
      <c r="N45" s="276">
        <v>0</v>
      </c>
      <c r="O45" s="275">
        <f t="shared" si="1"/>
        <v>0</v>
      </c>
      <c r="P45" s="276">
        <v>0.16</v>
      </c>
      <c r="Q45" s="275">
        <f t="shared" si="2"/>
        <v>9959.4048000000003</v>
      </c>
      <c r="R45" s="275">
        <f t="shared" si="3"/>
        <v>72205.684800000003</v>
      </c>
      <c r="S45" s="300">
        <f>INDEX('Glosario Partidas'!$M$8:$M$10,MATCH(K45,'Glosario Partidas'!$L$8:$L$10,0))</f>
        <v>1</v>
      </c>
      <c r="T45" s="275">
        <f t="shared" si="4"/>
        <v>72205.684800000003</v>
      </c>
      <c r="U45" s="275"/>
      <c r="V45" s="249" t="s">
        <v>12</v>
      </c>
    </row>
    <row r="46" spans="1:22" ht="15" customHeight="1" x14ac:dyDescent="0.2">
      <c r="A46" s="268"/>
      <c r="B46" s="268" t="s">
        <v>191</v>
      </c>
      <c r="C46" s="268" t="s">
        <v>1078</v>
      </c>
      <c r="D46" s="269" t="s">
        <v>1083</v>
      </c>
      <c r="E46" s="171" t="s">
        <v>220</v>
      </c>
      <c r="F46" s="273" t="s">
        <v>1032</v>
      </c>
      <c r="G46" s="292"/>
      <c r="H46" s="272" t="s">
        <v>1033</v>
      </c>
      <c r="I46" s="273" t="s">
        <v>843</v>
      </c>
      <c r="J46" s="302">
        <v>1</v>
      </c>
      <c r="K46" s="273" t="s">
        <v>269</v>
      </c>
      <c r="L46" s="274">
        <v>58637.8</v>
      </c>
      <c r="M46" s="275">
        <f t="shared" si="0"/>
        <v>58637.8</v>
      </c>
      <c r="N46" s="276">
        <v>0</v>
      </c>
      <c r="O46" s="275">
        <f t="shared" si="1"/>
        <v>0</v>
      </c>
      <c r="P46" s="276">
        <v>0.16</v>
      </c>
      <c r="Q46" s="275">
        <f t="shared" si="2"/>
        <v>9382.0480000000007</v>
      </c>
      <c r="R46" s="275">
        <f t="shared" si="3"/>
        <v>68019.847999999998</v>
      </c>
      <c r="S46" s="300">
        <f>INDEX('Glosario Partidas'!$M$8:$M$10,MATCH(K46,'Glosario Partidas'!$L$8:$L$10,0))</f>
        <v>1</v>
      </c>
      <c r="T46" s="275">
        <f t="shared" si="4"/>
        <v>68019.847999999998</v>
      </c>
      <c r="U46" s="275"/>
      <c r="V46" s="249" t="s">
        <v>12</v>
      </c>
    </row>
    <row r="47" spans="1:22" ht="15" customHeight="1" x14ac:dyDescent="0.2">
      <c r="A47" s="268"/>
      <c r="B47" s="253" t="s">
        <v>185</v>
      </c>
      <c r="C47" s="253"/>
      <c r="D47" s="294"/>
      <c r="E47" s="295"/>
      <c r="F47" s="428"/>
      <c r="G47" s="295"/>
      <c r="H47" s="297"/>
      <c r="I47" s="132"/>
      <c r="J47" s="297"/>
      <c r="K47" s="132"/>
      <c r="L47" s="286"/>
      <c r="M47" s="286">
        <f>SUM(M3:M46)</f>
        <v>2493562.4999999995</v>
      </c>
      <c r="N47" s="298"/>
      <c r="O47" s="286"/>
      <c r="P47" s="298"/>
      <c r="Q47" s="286">
        <f>SUM(Q3:Q46)</f>
        <v>398970.00000000006</v>
      </c>
      <c r="R47" s="286">
        <f>SUM(R3:R46)</f>
        <v>2892532.5</v>
      </c>
      <c r="S47" s="299"/>
      <c r="T47" s="286">
        <f>SUM(T3:T46)</f>
        <v>2892532.5</v>
      </c>
      <c r="U47" s="286"/>
      <c r="V47" s="253"/>
    </row>
    <row r="48" spans="1:22" ht="15" customHeight="1" x14ac:dyDescent="0.2">
      <c r="A48" s="268"/>
      <c r="B48" s="268"/>
      <c r="C48" s="268"/>
      <c r="D48" s="269"/>
      <c r="E48" s="171"/>
      <c r="F48" s="273"/>
      <c r="G48" s="292"/>
      <c r="H48" s="272"/>
      <c r="I48" s="273"/>
      <c r="J48" s="302"/>
      <c r="K48" s="273"/>
      <c r="L48" s="274"/>
      <c r="M48" s="275"/>
      <c r="N48" s="276"/>
      <c r="O48" s="275"/>
      <c r="P48" s="276"/>
      <c r="Q48" s="275"/>
      <c r="R48" s="275"/>
      <c r="S48" s="300"/>
      <c r="T48" s="275"/>
      <c r="U48" s="275"/>
      <c r="V48" s="249"/>
    </row>
    <row r="49" spans="1:22" ht="15" customHeight="1" x14ac:dyDescent="0.2">
      <c r="A49" s="268"/>
      <c r="B49" s="253"/>
      <c r="C49" s="253"/>
      <c r="D49" s="294"/>
      <c r="E49" s="295"/>
      <c r="F49" s="428"/>
      <c r="G49" s="295"/>
      <c r="H49" s="297"/>
      <c r="I49" s="132"/>
      <c r="J49" s="297"/>
      <c r="K49" s="132"/>
      <c r="L49" s="286"/>
      <c r="M49" s="286"/>
      <c r="N49" s="298"/>
      <c r="O49" s="286"/>
      <c r="P49" s="298"/>
      <c r="Q49" s="286"/>
      <c r="R49" s="286"/>
      <c r="S49" s="299"/>
      <c r="T49" s="286"/>
      <c r="U49" s="286"/>
      <c r="V49" s="253"/>
    </row>
  </sheetData>
  <hyperlinks>
    <hyperlink ref="A2" location="'BUY OUT'!A1" display="⬅ Resumen PU" xr:uid="{00000000-0004-0000-37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AC516"/>
  <sheetViews>
    <sheetView showGridLines="0" topLeftCell="O2" zoomScale="178" zoomScaleNormal="178" workbookViewId="0">
      <selection activeCell="W515" sqref="W515"/>
    </sheetView>
  </sheetViews>
  <sheetFormatPr baseColWidth="10" defaultColWidth="8.6640625" defaultRowHeight="15" x14ac:dyDescent="0.2"/>
  <cols>
    <col min="1" max="1" width="8" customWidth="1"/>
    <col min="2" max="2" width="25" customWidth="1"/>
    <col min="3" max="3" width="27" customWidth="1"/>
    <col min="4" max="4" width="45" customWidth="1"/>
    <col min="5" max="5" width="10" customWidth="1"/>
    <col min="6" max="6" width="6" customWidth="1"/>
    <col min="7" max="7" width="10" customWidth="1"/>
    <col min="8" max="8" width="12" customWidth="1"/>
    <col min="9" max="9" width="6" customWidth="1"/>
    <col min="10" max="10" width="10" customWidth="1"/>
    <col min="11" max="11" width="8" customWidth="1"/>
    <col min="12" max="12" width="12" customWidth="1"/>
    <col min="13" max="13" width="14" customWidth="1"/>
    <col min="14" max="14" width="10" customWidth="1"/>
    <col min="15" max="15" width="14" customWidth="1"/>
    <col min="16" max="16" width="7.83203125" customWidth="1"/>
    <col min="17" max="17" width="14" customWidth="1"/>
    <col min="19" max="19" width="8" customWidth="1"/>
    <col min="20" max="20" width="14" customWidth="1"/>
    <col min="21" max="21" width="35" customWidth="1"/>
    <col min="22" max="22" width="15" customWidth="1"/>
    <col min="23" max="23" width="22" customWidth="1"/>
    <col min="24" max="24" width="12" customWidth="1"/>
  </cols>
  <sheetData>
    <row r="1" spans="1:29" ht="34.5" customHeight="1" x14ac:dyDescent="0.2">
      <c r="A1" s="429" t="s">
        <v>488</v>
      </c>
      <c r="B1" s="430" t="s">
        <v>295</v>
      </c>
      <c r="C1" s="430" t="s">
        <v>2</v>
      </c>
      <c r="D1" s="430" t="s">
        <v>296</v>
      </c>
      <c r="E1" s="430" t="s">
        <v>215</v>
      </c>
      <c r="F1" s="430" t="s">
        <v>297</v>
      </c>
      <c r="G1" s="430" t="s">
        <v>168</v>
      </c>
      <c r="H1" s="430" t="s">
        <v>298</v>
      </c>
      <c r="I1" s="430" t="s">
        <v>299</v>
      </c>
      <c r="J1" s="430" t="s">
        <v>300</v>
      </c>
      <c r="K1" s="430" t="s">
        <v>301</v>
      </c>
      <c r="L1" s="430" t="s">
        <v>302</v>
      </c>
      <c r="M1" s="430" t="s">
        <v>303</v>
      </c>
      <c r="N1" s="430" t="s">
        <v>304</v>
      </c>
      <c r="O1" s="430" t="s">
        <v>305</v>
      </c>
      <c r="P1" s="430" t="s">
        <v>306</v>
      </c>
      <c r="Q1" s="430" t="s">
        <v>307</v>
      </c>
      <c r="R1" s="430" t="s">
        <v>308</v>
      </c>
      <c r="S1" s="430" t="s">
        <v>309</v>
      </c>
      <c r="T1" s="430" t="s">
        <v>310</v>
      </c>
      <c r="U1" s="430" t="s">
        <v>311</v>
      </c>
      <c r="V1" s="430" t="s">
        <v>312</v>
      </c>
      <c r="W1" s="430" t="s">
        <v>489</v>
      </c>
      <c r="X1" s="430" t="s">
        <v>490</v>
      </c>
      <c r="AB1" s="248" t="s">
        <v>14</v>
      </c>
      <c r="AC1" s="248" t="s">
        <v>15</v>
      </c>
    </row>
    <row r="2" spans="1:29" ht="15" customHeight="1" x14ac:dyDescent="0.2">
      <c r="A2" s="268"/>
      <c r="B2" s="268" t="s">
        <v>108</v>
      </c>
      <c r="C2" s="268" t="s">
        <v>399</v>
      </c>
      <c r="D2" s="431" t="str">
        <f>GC!$B$7</f>
        <v>Inodoro a piso de una pieza (Starck 3)</v>
      </c>
      <c r="E2" s="249" t="s">
        <v>220</v>
      </c>
      <c r="F2" s="268" t="s">
        <v>221</v>
      </c>
      <c r="G2" s="249" t="s">
        <v>700</v>
      </c>
      <c r="H2" s="249" t="s">
        <v>435</v>
      </c>
      <c r="I2" s="268" t="s">
        <v>410</v>
      </c>
      <c r="J2" s="249">
        <v>1</v>
      </c>
      <c r="K2" s="268" t="s">
        <v>153</v>
      </c>
      <c r="L2" s="432">
        <f>GC!$F$7</f>
        <v>667.07</v>
      </c>
      <c r="M2" s="433">
        <f t="shared" ref="M2:M65" si="0">J2*L2</f>
        <v>667.07</v>
      </c>
      <c r="N2" s="249">
        <v>0</v>
      </c>
      <c r="O2" s="433">
        <f t="shared" ref="O2:O65" si="1">M2*N2</f>
        <v>0</v>
      </c>
      <c r="P2" s="434">
        <v>0.16</v>
      </c>
      <c r="Q2" s="433">
        <f t="shared" ref="Q2:Q65" si="2">(M2+O2)*P2</f>
        <v>106.73120000000002</v>
      </c>
      <c r="R2" s="433">
        <f t="shared" ref="R2:R65" si="3">M2+O2+Q2</f>
        <v>773.80120000000011</v>
      </c>
      <c r="S2" s="433">
        <f>INDEX('Glosario Partidas'!$M$8:$M$10,MATCH(K2,'Glosario Partidas'!$L$8:$L$10,0))</f>
        <v>17.5</v>
      </c>
      <c r="T2" s="433">
        <f t="shared" ref="T2:T65" si="4">R2*S2</f>
        <v>13541.521000000002</v>
      </c>
      <c r="U2" s="268"/>
      <c r="V2" s="249" t="s">
        <v>12</v>
      </c>
      <c r="W2" s="249" t="s">
        <v>491</v>
      </c>
      <c r="X2" s="249"/>
    </row>
    <row r="3" spans="1:29" ht="15" customHeight="1" x14ac:dyDescent="0.2">
      <c r="A3" s="268"/>
      <c r="B3" s="268" t="s">
        <v>108</v>
      </c>
      <c r="C3" s="268" t="s">
        <v>399</v>
      </c>
      <c r="D3" s="431" t="str">
        <f>GC!$B$8</f>
        <v>Monomando de lavabo con válvula automática</v>
      </c>
      <c r="E3" s="249" t="s">
        <v>220</v>
      </c>
      <c r="F3" s="268" t="s">
        <v>221</v>
      </c>
      <c r="G3" s="249" t="s">
        <v>700</v>
      </c>
      <c r="H3" s="249" t="s">
        <v>435</v>
      </c>
      <c r="I3" s="268" t="s">
        <v>410</v>
      </c>
      <c r="J3" s="249">
        <v>2</v>
      </c>
      <c r="K3" s="268" t="s">
        <v>153</v>
      </c>
      <c r="L3" s="432">
        <f>GC!$F$8</f>
        <v>975.99151900000004</v>
      </c>
      <c r="M3" s="433">
        <f t="shared" si="0"/>
        <v>1951.9830380000001</v>
      </c>
      <c r="N3" s="249">
        <v>0</v>
      </c>
      <c r="O3" s="433">
        <f t="shared" si="1"/>
        <v>0</v>
      </c>
      <c r="P3" s="434">
        <v>0.16</v>
      </c>
      <c r="Q3" s="433">
        <f t="shared" si="2"/>
        <v>312.31728608000003</v>
      </c>
      <c r="R3" s="433">
        <f t="shared" si="3"/>
        <v>2264.3003240799999</v>
      </c>
      <c r="S3" s="433">
        <f>INDEX('Glosario Partidas'!$M$8:$M$10,MATCH(K3,'Glosario Partidas'!$L$8:$L$10,0))</f>
        <v>17.5</v>
      </c>
      <c r="T3" s="433">
        <f t="shared" si="4"/>
        <v>39625.255671399995</v>
      </c>
      <c r="U3" s="268"/>
      <c r="V3" s="249" t="s">
        <v>12</v>
      </c>
      <c r="W3" s="249" t="s">
        <v>491</v>
      </c>
      <c r="X3" s="249"/>
    </row>
    <row r="4" spans="1:29" ht="15" customHeight="1" x14ac:dyDescent="0.2">
      <c r="A4" s="268"/>
      <c r="B4" s="268" t="s">
        <v>108</v>
      </c>
      <c r="C4" s="268" t="s">
        <v>399</v>
      </c>
      <c r="D4" s="431" t="str">
        <f>GC!$B$21</f>
        <v>Soporte para vidrio (SERIES SPECIFIC, XS-081077, Brushed Dark Platinum)</v>
      </c>
      <c r="E4" s="249" t="s">
        <v>220</v>
      </c>
      <c r="F4" s="268" t="s">
        <v>221</v>
      </c>
      <c r="G4" s="249" t="s">
        <v>700</v>
      </c>
      <c r="H4" s="249" t="s">
        <v>435</v>
      </c>
      <c r="I4" s="268" t="s">
        <v>410</v>
      </c>
      <c r="J4" s="249">
        <v>2</v>
      </c>
      <c r="K4" s="268" t="s">
        <v>153</v>
      </c>
      <c r="L4" s="432">
        <f>GC!$F$21</f>
        <v>281.02</v>
      </c>
      <c r="M4" s="433">
        <f t="shared" si="0"/>
        <v>562.04</v>
      </c>
      <c r="N4" s="249">
        <v>0</v>
      </c>
      <c r="O4" s="433">
        <f t="shared" si="1"/>
        <v>0</v>
      </c>
      <c r="P4" s="434">
        <v>0.16</v>
      </c>
      <c r="Q4" s="433">
        <f t="shared" si="2"/>
        <v>89.926400000000001</v>
      </c>
      <c r="R4" s="433">
        <f t="shared" si="3"/>
        <v>651.96640000000002</v>
      </c>
      <c r="S4" s="433">
        <f>INDEX('Glosario Partidas'!$M$8:$M$10,MATCH(K4,'Glosario Partidas'!$L$8:$L$10,0))</f>
        <v>17.5</v>
      </c>
      <c r="T4" s="433">
        <f t="shared" si="4"/>
        <v>11409.412</v>
      </c>
      <c r="U4" s="268" t="s">
        <v>1084</v>
      </c>
      <c r="V4" s="249" t="s">
        <v>12</v>
      </c>
      <c r="W4" s="249" t="s">
        <v>491</v>
      </c>
      <c r="X4" s="249"/>
    </row>
    <row r="5" spans="1:29" ht="15" customHeight="1" x14ac:dyDescent="0.2">
      <c r="A5" s="268"/>
      <c r="B5" s="268" t="s">
        <v>108</v>
      </c>
      <c r="C5" s="268" t="s">
        <v>399</v>
      </c>
      <c r="D5" s="431" t="str">
        <f>GC!$B$12</f>
        <v>Set de ducha de mano con soporte de pared integrado</v>
      </c>
      <c r="E5" s="249" t="s">
        <v>220</v>
      </c>
      <c r="F5" s="268" t="s">
        <v>221</v>
      </c>
      <c r="G5" s="249" t="s">
        <v>700</v>
      </c>
      <c r="H5" s="249" t="s">
        <v>435</v>
      </c>
      <c r="I5" s="268" t="s">
        <v>410</v>
      </c>
      <c r="J5" s="249">
        <v>1</v>
      </c>
      <c r="K5" s="268" t="s">
        <v>153</v>
      </c>
      <c r="L5" s="432">
        <f>GC!$F$12</f>
        <v>325.25947400000001</v>
      </c>
      <c r="M5" s="433">
        <f t="shared" si="0"/>
        <v>325.25947400000001</v>
      </c>
      <c r="N5" s="249">
        <v>0</v>
      </c>
      <c r="O5" s="433">
        <f t="shared" si="1"/>
        <v>0</v>
      </c>
      <c r="P5" s="434">
        <v>0.16</v>
      </c>
      <c r="Q5" s="433">
        <f t="shared" si="2"/>
        <v>52.041515840000002</v>
      </c>
      <c r="R5" s="433">
        <f t="shared" si="3"/>
        <v>377.30098984</v>
      </c>
      <c r="S5" s="433">
        <f>INDEX('Glosario Partidas'!$M$8:$M$10,MATCH(K5,'Glosario Partidas'!$L$8:$L$10,0))</f>
        <v>17.5</v>
      </c>
      <c r="T5" s="433">
        <f t="shared" si="4"/>
        <v>6602.7673222000003</v>
      </c>
      <c r="U5" s="268"/>
      <c r="V5" s="249" t="s">
        <v>12</v>
      </c>
      <c r="W5" s="249" t="s">
        <v>491</v>
      </c>
      <c r="X5" s="249"/>
    </row>
    <row r="6" spans="1:29" ht="15" customHeight="1" x14ac:dyDescent="0.2">
      <c r="A6" s="268"/>
      <c r="B6" s="268" t="s">
        <v>108</v>
      </c>
      <c r="C6" s="268" t="s">
        <v>399</v>
      </c>
      <c r="D6" s="431" t="str">
        <f>GC!$B$13</f>
        <v>Ducha efecto lluvia con fijación a pared 400 mm</v>
      </c>
      <c r="E6" s="249" t="s">
        <v>220</v>
      </c>
      <c r="F6" s="268" t="s">
        <v>221</v>
      </c>
      <c r="G6" s="249" t="s">
        <v>700</v>
      </c>
      <c r="H6" s="249" t="s">
        <v>435</v>
      </c>
      <c r="I6" s="268" t="s">
        <v>410</v>
      </c>
      <c r="J6" s="249">
        <v>1</v>
      </c>
      <c r="K6" s="268" t="s">
        <v>153</v>
      </c>
      <c r="L6" s="432">
        <f>GC!$F$13</f>
        <v>1807.197105</v>
      </c>
      <c r="M6" s="433">
        <f t="shared" si="0"/>
        <v>1807.197105</v>
      </c>
      <c r="N6" s="249">
        <v>0</v>
      </c>
      <c r="O6" s="433">
        <f t="shared" si="1"/>
        <v>0</v>
      </c>
      <c r="P6" s="434">
        <v>0.16</v>
      </c>
      <c r="Q6" s="433">
        <f t="shared" si="2"/>
        <v>289.15153679999997</v>
      </c>
      <c r="R6" s="433">
        <f t="shared" si="3"/>
        <v>2096.3486417999998</v>
      </c>
      <c r="S6" s="433">
        <f>INDEX('Glosario Partidas'!$M$8:$M$10,MATCH(K6,'Glosario Partidas'!$L$8:$L$10,0))</f>
        <v>17.5</v>
      </c>
      <c r="T6" s="433">
        <f t="shared" si="4"/>
        <v>36686.101231499997</v>
      </c>
      <c r="U6" s="268"/>
      <c r="V6" s="249" t="s">
        <v>12</v>
      </c>
      <c r="W6" s="249" t="s">
        <v>491</v>
      </c>
      <c r="X6" s="249"/>
    </row>
    <row r="7" spans="1:29" ht="15" customHeight="1" x14ac:dyDescent="0.2">
      <c r="A7" s="268"/>
      <c r="B7" s="268" t="s">
        <v>108</v>
      </c>
      <c r="C7" s="268" t="s">
        <v>399</v>
      </c>
      <c r="D7" s="431" t="str">
        <f>GC!$B$22</f>
        <v>Canaleta de ducha para piedra natural TECE showerline (15201082)</v>
      </c>
      <c r="E7" s="249" t="s">
        <v>220</v>
      </c>
      <c r="F7" s="268" t="s">
        <v>221</v>
      </c>
      <c r="G7" s="249" t="s">
        <v>700</v>
      </c>
      <c r="H7" s="249" t="s">
        <v>435</v>
      </c>
      <c r="I7" s="268" t="s">
        <v>410</v>
      </c>
      <c r="J7" s="249">
        <v>1</v>
      </c>
      <c r="K7" s="268" t="s">
        <v>153</v>
      </c>
      <c r="L7" s="432">
        <f>GC!$F$22</f>
        <v>290.33763199999999</v>
      </c>
      <c r="M7" s="433">
        <f t="shared" si="0"/>
        <v>290.33763199999999</v>
      </c>
      <c r="N7" s="249">
        <v>0</v>
      </c>
      <c r="O7" s="433">
        <f t="shared" si="1"/>
        <v>0</v>
      </c>
      <c r="P7" s="434">
        <v>0.16</v>
      </c>
      <c r="Q7" s="433">
        <f t="shared" si="2"/>
        <v>46.45402112</v>
      </c>
      <c r="R7" s="433">
        <f t="shared" si="3"/>
        <v>336.79165311999998</v>
      </c>
      <c r="S7" s="433">
        <f>INDEX('Glosario Partidas'!$M$8:$M$10,MATCH(K7,'Glosario Partidas'!$L$8:$L$10,0))</f>
        <v>17.5</v>
      </c>
      <c r="T7" s="433">
        <f t="shared" si="4"/>
        <v>5893.8539295999999</v>
      </c>
      <c r="U7" s="268" t="s">
        <v>1085</v>
      </c>
      <c r="V7" s="249" t="s">
        <v>12</v>
      </c>
      <c r="W7" s="249" t="s">
        <v>491</v>
      </c>
      <c r="X7" s="249"/>
    </row>
    <row r="8" spans="1:29" ht="15" customHeight="1" x14ac:dyDescent="0.2">
      <c r="A8" s="268"/>
      <c r="B8" s="268" t="s">
        <v>108</v>
      </c>
      <c r="C8" s="268" t="s">
        <v>399</v>
      </c>
      <c r="D8" s="431" t="str">
        <f>GC!$B$14</f>
        <v>Termostato oculto con control de volumen bidireccional</v>
      </c>
      <c r="E8" s="249" t="s">
        <v>220</v>
      </c>
      <c r="F8" s="268" t="s">
        <v>221</v>
      </c>
      <c r="G8" s="249" t="s">
        <v>700</v>
      </c>
      <c r="H8" s="249" t="s">
        <v>435</v>
      </c>
      <c r="I8" s="268" t="s">
        <v>410</v>
      </c>
      <c r="J8" s="249">
        <v>1</v>
      </c>
      <c r="K8" s="268" t="s">
        <v>153</v>
      </c>
      <c r="L8" s="432">
        <f>GC!$F$14</f>
        <v>350.19605300000001</v>
      </c>
      <c r="M8" s="433">
        <f t="shared" si="0"/>
        <v>350.19605300000001</v>
      </c>
      <c r="N8" s="249">
        <v>0</v>
      </c>
      <c r="O8" s="433">
        <f t="shared" si="1"/>
        <v>0</v>
      </c>
      <c r="P8" s="434">
        <v>0.16</v>
      </c>
      <c r="Q8" s="433">
        <f t="shared" si="2"/>
        <v>56.031368480000005</v>
      </c>
      <c r="R8" s="433">
        <f t="shared" si="3"/>
        <v>406.22742148000003</v>
      </c>
      <c r="S8" s="433">
        <f>INDEX('Glosario Partidas'!$M$8:$M$10,MATCH(K8,'Glosario Partidas'!$L$8:$L$10,0))</f>
        <v>17.5</v>
      </c>
      <c r="T8" s="433">
        <f t="shared" si="4"/>
        <v>7108.9798759000005</v>
      </c>
      <c r="U8" s="268"/>
      <c r="V8" s="249" t="s">
        <v>12</v>
      </c>
      <c r="W8" s="249" t="s">
        <v>491</v>
      </c>
      <c r="X8" s="249"/>
    </row>
    <row r="9" spans="1:29" ht="15" customHeight="1" x14ac:dyDescent="0.2">
      <c r="A9" s="268"/>
      <c r="B9" s="268" t="s">
        <v>108</v>
      </c>
      <c r="C9" s="268" t="s">
        <v>399</v>
      </c>
      <c r="D9" s="431" t="str">
        <f>GC!$B$15</f>
        <v>Termostato empotrado (rough)</v>
      </c>
      <c r="E9" s="249" t="s">
        <v>220</v>
      </c>
      <c r="F9" s="268" t="s">
        <v>221</v>
      </c>
      <c r="G9" s="249" t="s">
        <v>700</v>
      </c>
      <c r="H9" s="249" t="s">
        <v>435</v>
      </c>
      <c r="I9" s="268" t="s">
        <v>410</v>
      </c>
      <c r="J9" s="249">
        <v>1</v>
      </c>
      <c r="K9" s="268" t="s">
        <v>153</v>
      </c>
      <c r="L9" s="432">
        <f>GC!$F$15</f>
        <v>313.33</v>
      </c>
      <c r="M9" s="433">
        <f t="shared" si="0"/>
        <v>313.33</v>
      </c>
      <c r="N9" s="249">
        <v>0</v>
      </c>
      <c r="O9" s="433">
        <f t="shared" si="1"/>
        <v>0</v>
      </c>
      <c r="P9" s="434">
        <v>0.16</v>
      </c>
      <c r="Q9" s="433">
        <f t="shared" si="2"/>
        <v>50.132799999999996</v>
      </c>
      <c r="R9" s="433">
        <f t="shared" si="3"/>
        <v>363.46279999999996</v>
      </c>
      <c r="S9" s="433">
        <f>INDEX('Glosario Partidas'!$M$8:$M$10,MATCH(K9,'Glosario Partidas'!$L$8:$L$10,0))</f>
        <v>17.5</v>
      </c>
      <c r="T9" s="433">
        <f t="shared" si="4"/>
        <v>6360.5989999999993</v>
      </c>
      <c r="U9" s="268"/>
      <c r="V9" s="249" t="s">
        <v>12</v>
      </c>
      <c r="W9" s="249" t="s">
        <v>491</v>
      </c>
      <c r="X9" s="249"/>
    </row>
    <row r="10" spans="1:29" ht="15" customHeight="1" x14ac:dyDescent="0.2">
      <c r="A10" s="268"/>
      <c r="B10" s="268" t="s">
        <v>108</v>
      </c>
      <c r="C10" s="268" t="s">
        <v>399</v>
      </c>
      <c r="D10" s="431" t="str">
        <f>GC!$B$10</f>
        <v>Soporte para papel higiénico sin cubierta</v>
      </c>
      <c r="E10" s="249" t="s">
        <v>220</v>
      </c>
      <c r="F10" s="268" t="s">
        <v>221</v>
      </c>
      <c r="G10" s="249" t="s">
        <v>700</v>
      </c>
      <c r="H10" s="249" t="s">
        <v>435</v>
      </c>
      <c r="I10" s="268" t="s">
        <v>410</v>
      </c>
      <c r="J10" s="249">
        <v>1</v>
      </c>
      <c r="K10" s="268" t="s">
        <v>153</v>
      </c>
      <c r="L10" s="432">
        <f>GC!$F$10</f>
        <v>238.874348</v>
      </c>
      <c r="M10" s="433">
        <f t="shared" si="0"/>
        <v>238.874348</v>
      </c>
      <c r="N10" s="249">
        <v>0</v>
      </c>
      <c r="O10" s="433">
        <f t="shared" si="1"/>
        <v>0</v>
      </c>
      <c r="P10" s="434">
        <v>0.16</v>
      </c>
      <c r="Q10" s="433">
        <f t="shared" si="2"/>
        <v>38.21989568</v>
      </c>
      <c r="R10" s="433">
        <f t="shared" si="3"/>
        <v>277.09424367999998</v>
      </c>
      <c r="S10" s="433">
        <f>INDEX('Glosario Partidas'!$M$8:$M$10,MATCH(K10,'Glosario Partidas'!$L$8:$L$10,0))</f>
        <v>17.5</v>
      </c>
      <c r="T10" s="433">
        <f t="shared" si="4"/>
        <v>4849.1492644</v>
      </c>
      <c r="U10" s="268"/>
      <c r="V10" s="249" t="s">
        <v>12</v>
      </c>
      <c r="W10" s="249" t="s">
        <v>491</v>
      </c>
      <c r="X10" s="249"/>
    </row>
    <row r="11" spans="1:29" ht="15" customHeight="1" x14ac:dyDescent="0.2">
      <c r="A11" s="268"/>
      <c r="B11" s="268" t="s">
        <v>108</v>
      </c>
      <c r="C11" s="268" t="s">
        <v>399</v>
      </c>
      <c r="D11" s="431" t="str">
        <f>GC!$B$18</f>
        <v>Bañera blanca exenta, con faldón integrado y bastidor (Cape Cod)</v>
      </c>
      <c r="E11" s="249" t="s">
        <v>220</v>
      </c>
      <c r="F11" s="268" t="s">
        <v>221</v>
      </c>
      <c r="G11" s="249" t="s">
        <v>700</v>
      </c>
      <c r="H11" s="249" t="s">
        <v>435</v>
      </c>
      <c r="I11" s="268" t="s">
        <v>410</v>
      </c>
      <c r="J11" s="249">
        <v>1</v>
      </c>
      <c r="K11" s="268" t="s">
        <v>153</v>
      </c>
      <c r="L11" s="432">
        <f>GC!$F$18</f>
        <v>4565</v>
      </c>
      <c r="M11" s="433">
        <f t="shared" si="0"/>
        <v>4565</v>
      </c>
      <c r="N11" s="249">
        <v>0</v>
      </c>
      <c r="O11" s="433">
        <f t="shared" si="1"/>
        <v>0</v>
      </c>
      <c r="P11" s="434">
        <v>0.16</v>
      </c>
      <c r="Q11" s="433">
        <f t="shared" si="2"/>
        <v>730.4</v>
      </c>
      <c r="R11" s="433">
        <f t="shared" si="3"/>
        <v>5295.4</v>
      </c>
      <c r="S11" s="433">
        <f>INDEX('Glosario Partidas'!$M$8:$M$10,MATCH(K11,'Glosario Partidas'!$L$8:$L$10,0))</f>
        <v>17.5</v>
      </c>
      <c r="T11" s="433">
        <f t="shared" si="4"/>
        <v>92669.5</v>
      </c>
      <c r="U11" s="268"/>
      <c r="V11" s="249" t="s">
        <v>12</v>
      </c>
      <c r="W11" s="249" t="s">
        <v>491</v>
      </c>
      <c r="X11" s="249"/>
    </row>
    <row r="12" spans="1:29" ht="15" customHeight="1" x14ac:dyDescent="0.2">
      <c r="A12" s="268"/>
      <c r="B12" s="268" t="s">
        <v>108</v>
      </c>
      <c r="C12" s="268" t="s">
        <v>399</v>
      </c>
      <c r="D12" s="268" t="s">
        <v>1086</v>
      </c>
      <c r="E12" s="249" t="s">
        <v>220</v>
      </c>
      <c r="F12" s="268" t="s">
        <v>221</v>
      </c>
      <c r="G12" s="249" t="s">
        <v>700</v>
      </c>
      <c r="H12" s="249" t="s">
        <v>435</v>
      </c>
      <c r="I12" s="268" t="s">
        <v>410</v>
      </c>
      <c r="J12" s="249">
        <v>0</v>
      </c>
      <c r="K12" s="268" t="s">
        <v>153</v>
      </c>
      <c r="L12" s="432">
        <v>0</v>
      </c>
      <c r="M12" s="433">
        <f t="shared" si="0"/>
        <v>0</v>
      </c>
      <c r="N12" s="249">
        <v>0</v>
      </c>
      <c r="O12" s="433">
        <f t="shared" si="1"/>
        <v>0</v>
      </c>
      <c r="P12" s="434">
        <v>0.16</v>
      </c>
      <c r="Q12" s="433">
        <f t="shared" si="2"/>
        <v>0</v>
      </c>
      <c r="R12" s="433">
        <f t="shared" si="3"/>
        <v>0</v>
      </c>
      <c r="S12" s="433">
        <f>INDEX('Glosario Partidas'!$M$8:$M$10,MATCH(K12,'Glosario Partidas'!$L$8:$L$10,0))</f>
        <v>17.5</v>
      </c>
      <c r="T12" s="433">
        <f t="shared" si="4"/>
        <v>0</v>
      </c>
      <c r="U12" s="268" t="s">
        <v>1087</v>
      </c>
      <c r="V12" s="249" t="s">
        <v>12</v>
      </c>
      <c r="W12" s="249" t="s">
        <v>491</v>
      </c>
      <c r="X12" s="249"/>
    </row>
    <row r="13" spans="1:29" ht="15" customHeight="1" x14ac:dyDescent="0.2">
      <c r="A13" s="268"/>
      <c r="B13" s="268" t="s">
        <v>108</v>
      </c>
      <c r="C13" s="268" t="s">
        <v>399</v>
      </c>
      <c r="D13" s="431" t="str">
        <f>GC!$B$16</f>
        <v>Monomando de bañera en columna para montaje exento con juego de ducha de mano</v>
      </c>
      <c r="E13" s="249" t="s">
        <v>220</v>
      </c>
      <c r="F13" s="268" t="s">
        <v>221</v>
      </c>
      <c r="G13" s="249" t="s">
        <v>700</v>
      </c>
      <c r="H13" s="249" t="s">
        <v>435</v>
      </c>
      <c r="I13" s="268" t="s">
        <v>410</v>
      </c>
      <c r="J13" s="249">
        <v>1</v>
      </c>
      <c r="K13" s="268" t="s">
        <v>153</v>
      </c>
      <c r="L13" s="432">
        <f>GC!$F$16</f>
        <v>1904.2149999999999</v>
      </c>
      <c r="M13" s="433">
        <f t="shared" si="0"/>
        <v>1904.2149999999999</v>
      </c>
      <c r="N13" s="249">
        <v>0</v>
      </c>
      <c r="O13" s="433">
        <f t="shared" si="1"/>
        <v>0</v>
      </c>
      <c r="P13" s="434">
        <v>0.16</v>
      </c>
      <c r="Q13" s="433">
        <f t="shared" si="2"/>
        <v>304.67439999999999</v>
      </c>
      <c r="R13" s="433">
        <f t="shared" si="3"/>
        <v>2208.8894</v>
      </c>
      <c r="S13" s="433">
        <f>INDEX('Glosario Partidas'!$M$8:$M$10,MATCH(K13,'Glosario Partidas'!$L$8:$L$10,0))</f>
        <v>17.5</v>
      </c>
      <c r="T13" s="433">
        <f t="shared" si="4"/>
        <v>38655.5645</v>
      </c>
      <c r="U13" s="268"/>
      <c r="V13" s="249" t="s">
        <v>12</v>
      </c>
      <c r="W13" s="249" t="s">
        <v>491</v>
      </c>
      <c r="X13" s="249"/>
    </row>
    <row r="14" spans="1:29" ht="15" customHeight="1" x14ac:dyDescent="0.2">
      <c r="A14" s="268"/>
      <c r="B14" s="268" t="s">
        <v>108</v>
      </c>
      <c r="C14" s="268" t="s">
        <v>399</v>
      </c>
      <c r="D14" s="431" t="str">
        <f>GC!$B$17</f>
        <v>Fijación al suelo empotrado (rough)</v>
      </c>
      <c r="E14" s="249" t="s">
        <v>220</v>
      </c>
      <c r="F14" s="268" t="s">
        <v>221</v>
      </c>
      <c r="G14" s="249" t="s">
        <v>700</v>
      </c>
      <c r="H14" s="249" t="s">
        <v>435</v>
      </c>
      <c r="I14" s="268" t="s">
        <v>410</v>
      </c>
      <c r="J14" s="249">
        <v>1</v>
      </c>
      <c r="K14" s="268" t="s">
        <v>153</v>
      </c>
      <c r="L14" s="432">
        <f>GC!$F$17</f>
        <v>292.73</v>
      </c>
      <c r="M14" s="433">
        <f t="shared" si="0"/>
        <v>292.73</v>
      </c>
      <c r="N14" s="249">
        <v>0</v>
      </c>
      <c r="O14" s="433">
        <f t="shared" si="1"/>
        <v>0</v>
      </c>
      <c r="P14" s="434">
        <v>0.16</v>
      </c>
      <c r="Q14" s="433">
        <f t="shared" si="2"/>
        <v>46.836800000000004</v>
      </c>
      <c r="R14" s="433">
        <f t="shared" si="3"/>
        <v>339.5668</v>
      </c>
      <c r="S14" s="433">
        <f>INDEX('Glosario Partidas'!$M$8:$M$10,MATCH(K14,'Glosario Partidas'!$L$8:$L$10,0))</f>
        <v>17.5</v>
      </c>
      <c r="T14" s="433">
        <f t="shared" si="4"/>
        <v>5942.4189999999999</v>
      </c>
      <c r="U14" s="268"/>
      <c r="V14" s="249" t="s">
        <v>12</v>
      </c>
      <c r="W14" s="249" t="s">
        <v>491</v>
      </c>
      <c r="X14" s="249"/>
    </row>
    <row r="15" spans="1:29" ht="15" customHeight="1" x14ac:dyDescent="0.2">
      <c r="A15" s="268"/>
      <c r="B15" s="268" t="s">
        <v>108</v>
      </c>
      <c r="C15" s="268" t="s">
        <v>399</v>
      </c>
      <c r="D15" s="431" t="str">
        <f>GC!$B$9</f>
        <v>Barra de agarre / Toallero chico 45cm</v>
      </c>
      <c r="E15" s="249" t="s">
        <v>220</v>
      </c>
      <c r="F15" s="268" t="s">
        <v>221</v>
      </c>
      <c r="G15" s="249" t="s">
        <v>700</v>
      </c>
      <c r="H15" s="249" t="s">
        <v>435</v>
      </c>
      <c r="I15" s="268" t="s">
        <v>410</v>
      </c>
      <c r="J15" s="249">
        <v>2</v>
      </c>
      <c r="K15" s="268" t="s">
        <v>153</v>
      </c>
      <c r="L15" s="432">
        <f>GC!$F$9</f>
        <v>471.15</v>
      </c>
      <c r="M15" s="433">
        <f t="shared" si="0"/>
        <v>942.3</v>
      </c>
      <c r="N15" s="249">
        <v>0</v>
      </c>
      <c r="O15" s="433">
        <f t="shared" si="1"/>
        <v>0</v>
      </c>
      <c r="P15" s="434">
        <v>0.16</v>
      </c>
      <c r="Q15" s="433">
        <f t="shared" si="2"/>
        <v>150.768</v>
      </c>
      <c r="R15" s="433">
        <f t="shared" si="3"/>
        <v>1093.068</v>
      </c>
      <c r="S15" s="433">
        <f>INDEX('Glosario Partidas'!$M$8:$M$10,MATCH(K15,'Glosario Partidas'!$L$8:$L$10,0))</f>
        <v>17.5</v>
      </c>
      <c r="T15" s="433">
        <f t="shared" si="4"/>
        <v>19128.689999999999</v>
      </c>
      <c r="U15" s="268"/>
      <c r="V15" s="249" t="s">
        <v>12</v>
      </c>
      <c r="W15" s="249" t="s">
        <v>491</v>
      </c>
      <c r="X15" s="249"/>
    </row>
    <row r="16" spans="1:29" ht="15" customHeight="1" x14ac:dyDescent="0.2">
      <c r="A16" s="268"/>
      <c r="B16" s="268" t="s">
        <v>108</v>
      </c>
      <c r="C16" s="268" t="s">
        <v>399</v>
      </c>
      <c r="D16" s="431" t="str">
        <f>GC!$B$11</f>
        <v>Gancho</v>
      </c>
      <c r="E16" s="249" t="s">
        <v>220</v>
      </c>
      <c r="F16" s="268" t="s">
        <v>221</v>
      </c>
      <c r="G16" s="249" t="s">
        <v>700</v>
      </c>
      <c r="H16" s="249" t="s">
        <v>435</v>
      </c>
      <c r="I16" s="268" t="s">
        <v>410</v>
      </c>
      <c r="J16" s="249">
        <v>2</v>
      </c>
      <c r="K16" s="268" t="s">
        <v>153</v>
      </c>
      <c r="L16" s="432">
        <f>GC!$F$11</f>
        <v>61.111086999999998</v>
      </c>
      <c r="M16" s="433">
        <f t="shared" si="0"/>
        <v>122.222174</v>
      </c>
      <c r="N16" s="249">
        <v>0</v>
      </c>
      <c r="O16" s="433">
        <f t="shared" si="1"/>
        <v>0</v>
      </c>
      <c r="P16" s="434">
        <v>0.16</v>
      </c>
      <c r="Q16" s="433">
        <f t="shared" si="2"/>
        <v>19.555547839999999</v>
      </c>
      <c r="R16" s="433">
        <f t="shared" si="3"/>
        <v>141.77772184</v>
      </c>
      <c r="S16" s="433">
        <f>INDEX('Glosario Partidas'!$M$8:$M$10,MATCH(K16,'Glosario Partidas'!$L$8:$L$10,0))</f>
        <v>17.5</v>
      </c>
      <c r="T16" s="433">
        <f t="shared" si="4"/>
        <v>2481.1101322</v>
      </c>
      <c r="U16" s="268"/>
      <c r="V16" s="249" t="s">
        <v>12</v>
      </c>
      <c r="W16" s="249" t="s">
        <v>491</v>
      </c>
      <c r="X16" s="249"/>
    </row>
    <row r="17" spans="1:24" ht="15" customHeight="1" x14ac:dyDescent="0.2">
      <c r="A17" s="268"/>
      <c r="B17" s="268" t="s">
        <v>108</v>
      </c>
      <c r="C17" s="268" t="s">
        <v>399</v>
      </c>
      <c r="D17" s="431" t="str">
        <f>GC!$B$7</f>
        <v>Inodoro a piso de una pieza (Starck 3)</v>
      </c>
      <c r="E17" s="249" t="s">
        <v>220</v>
      </c>
      <c r="F17" s="268" t="s">
        <v>354</v>
      </c>
      <c r="G17" s="249" t="s">
        <v>706</v>
      </c>
      <c r="H17" s="249" t="s">
        <v>435</v>
      </c>
      <c r="I17" s="268" t="s">
        <v>410</v>
      </c>
      <c r="J17" s="249">
        <v>1</v>
      </c>
      <c r="K17" s="268" t="s">
        <v>153</v>
      </c>
      <c r="L17" s="432">
        <f>GC!$F$7</f>
        <v>667.07</v>
      </c>
      <c r="M17" s="433">
        <f t="shared" si="0"/>
        <v>667.07</v>
      </c>
      <c r="N17" s="249">
        <v>0</v>
      </c>
      <c r="O17" s="433">
        <f t="shared" si="1"/>
        <v>0</v>
      </c>
      <c r="P17" s="434">
        <v>0.16</v>
      </c>
      <c r="Q17" s="433">
        <f t="shared" si="2"/>
        <v>106.73120000000002</v>
      </c>
      <c r="R17" s="433">
        <f t="shared" si="3"/>
        <v>773.80120000000011</v>
      </c>
      <c r="S17" s="433">
        <f>INDEX('Glosario Partidas'!$M$8:$M$10,MATCH(K17,'Glosario Partidas'!$L$8:$L$10,0))</f>
        <v>17.5</v>
      </c>
      <c r="T17" s="433">
        <f t="shared" si="4"/>
        <v>13541.521000000002</v>
      </c>
      <c r="U17" s="268"/>
      <c r="V17" s="249" t="s">
        <v>12</v>
      </c>
      <c r="W17" s="249" t="s">
        <v>491</v>
      </c>
      <c r="X17" s="249"/>
    </row>
    <row r="18" spans="1:24" ht="15" customHeight="1" x14ac:dyDescent="0.2">
      <c r="A18" s="268"/>
      <c r="B18" s="268" t="s">
        <v>108</v>
      </c>
      <c r="C18" s="268" t="s">
        <v>399</v>
      </c>
      <c r="D18" s="431" t="str">
        <f>GC!$B$8</f>
        <v>Monomando de lavabo con válvula automática</v>
      </c>
      <c r="E18" s="249" t="s">
        <v>220</v>
      </c>
      <c r="F18" s="268" t="s">
        <v>354</v>
      </c>
      <c r="G18" s="249" t="s">
        <v>706</v>
      </c>
      <c r="H18" s="249" t="s">
        <v>435</v>
      </c>
      <c r="I18" s="268" t="s">
        <v>410</v>
      </c>
      <c r="J18" s="249">
        <v>2</v>
      </c>
      <c r="K18" s="268" t="s">
        <v>153</v>
      </c>
      <c r="L18" s="432">
        <f>GC!$F$8</f>
        <v>975.99151900000004</v>
      </c>
      <c r="M18" s="433">
        <f t="shared" si="0"/>
        <v>1951.9830380000001</v>
      </c>
      <c r="N18" s="249">
        <v>0</v>
      </c>
      <c r="O18" s="433">
        <f t="shared" si="1"/>
        <v>0</v>
      </c>
      <c r="P18" s="434">
        <v>0.16</v>
      </c>
      <c r="Q18" s="433">
        <f t="shared" si="2"/>
        <v>312.31728608000003</v>
      </c>
      <c r="R18" s="433">
        <f t="shared" si="3"/>
        <v>2264.3003240799999</v>
      </c>
      <c r="S18" s="433">
        <f>INDEX('Glosario Partidas'!$M$8:$M$10,MATCH(K18,'Glosario Partidas'!$L$8:$L$10,0))</f>
        <v>17.5</v>
      </c>
      <c r="T18" s="433">
        <f t="shared" si="4"/>
        <v>39625.255671399995</v>
      </c>
      <c r="U18" s="268"/>
      <c r="V18" s="249" t="s">
        <v>12</v>
      </c>
      <c r="W18" s="249" t="s">
        <v>491</v>
      </c>
      <c r="X18" s="249"/>
    </row>
    <row r="19" spans="1:24" ht="15" customHeight="1" x14ac:dyDescent="0.2">
      <c r="A19" s="268"/>
      <c r="B19" s="268" t="s">
        <v>108</v>
      </c>
      <c r="C19" s="268" t="s">
        <v>399</v>
      </c>
      <c r="D19" s="431" t="str">
        <f>GC!$B$21</f>
        <v>Soporte para vidrio (SERIES SPECIFIC, XS-081077, Brushed Dark Platinum)</v>
      </c>
      <c r="E19" s="249" t="s">
        <v>220</v>
      </c>
      <c r="F19" s="268" t="s">
        <v>354</v>
      </c>
      <c r="G19" s="249" t="s">
        <v>706</v>
      </c>
      <c r="H19" s="249" t="s">
        <v>435</v>
      </c>
      <c r="I19" s="268" t="s">
        <v>410</v>
      </c>
      <c r="J19" s="249">
        <v>2</v>
      </c>
      <c r="K19" s="268" t="s">
        <v>153</v>
      </c>
      <c r="L19" s="432">
        <f>GC!$F$21</f>
        <v>281.02</v>
      </c>
      <c r="M19" s="433">
        <f t="shared" si="0"/>
        <v>562.04</v>
      </c>
      <c r="N19" s="249">
        <v>0</v>
      </c>
      <c r="O19" s="433">
        <f t="shared" si="1"/>
        <v>0</v>
      </c>
      <c r="P19" s="434">
        <v>0.16</v>
      </c>
      <c r="Q19" s="433">
        <f t="shared" si="2"/>
        <v>89.926400000000001</v>
      </c>
      <c r="R19" s="433">
        <f t="shared" si="3"/>
        <v>651.96640000000002</v>
      </c>
      <c r="S19" s="433">
        <f>INDEX('Glosario Partidas'!$M$8:$M$10,MATCH(K19,'Glosario Partidas'!$L$8:$L$10,0))</f>
        <v>17.5</v>
      </c>
      <c r="T19" s="433">
        <f t="shared" si="4"/>
        <v>11409.412</v>
      </c>
      <c r="U19" s="268" t="s">
        <v>1084</v>
      </c>
      <c r="V19" s="249" t="s">
        <v>12</v>
      </c>
      <c r="W19" s="249" t="s">
        <v>491</v>
      </c>
      <c r="X19" s="249"/>
    </row>
    <row r="20" spans="1:24" ht="15" customHeight="1" x14ac:dyDescent="0.2">
      <c r="A20" s="268"/>
      <c r="B20" s="268" t="s">
        <v>108</v>
      </c>
      <c r="C20" s="268" t="s">
        <v>399</v>
      </c>
      <c r="D20" s="431" t="str">
        <f>GC!$B$12</f>
        <v>Set de ducha de mano con soporte de pared integrado</v>
      </c>
      <c r="E20" s="249" t="s">
        <v>220</v>
      </c>
      <c r="F20" s="268" t="s">
        <v>354</v>
      </c>
      <c r="G20" s="249" t="s">
        <v>706</v>
      </c>
      <c r="H20" s="249" t="s">
        <v>435</v>
      </c>
      <c r="I20" s="268" t="s">
        <v>410</v>
      </c>
      <c r="J20" s="249">
        <v>1</v>
      </c>
      <c r="K20" s="268" t="s">
        <v>153</v>
      </c>
      <c r="L20" s="432">
        <f>GC!$F$12</f>
        <v>325.25947400000001</v>
      </c>
      <c r="M20" s="433">
        <f t="shared" si="0"/>
        <v>325.25947400000001</v>
      </c>
      <c r="N20" s="249">
        <v>0</v>
      </c>
      <c r="O20" s="433">
        <f t="shared" si="1"/>
        <v>0</v>
      </c>
      <c r="P20" s="434">
        <v>0.16</v>
      </c>
      <c r="Q20" s="433">
        <f t="shared" si="2"/>
        <v>52.041515840000002</v>
      </c>
      <c r="R20" s="433">
        <f t="shared" si="3"/>
        <v>377.30098984</v>
      </c>
      <c r="S20" s="433">
        <f>INDEX('Glosario Partidas'!$M$8:$M$10,MATCH(K20,'Glosario Partidas'!$L$8:$L$10,0))</f>
        <v>17.5</v>
      </c>
      <c r="T20" s="433">
        <f t="shared" si="4"/>
        <v>6602.7673222000003</v>
      </c>
      <c r="U20" s="268"/>
      <c r="V20" s="249" t="s">
        <v>12</v>
      </c>
      <c r="W20" s="249" t="s">
        <v>491</v>
      </c>
      <c r="X20" s="249"/>
    </row>
    <row r="21" spans="1:24" ht="15" customHeight="1" x14ac:dyDescent="0.2">
      <c r="A21" s="268"/>
      <c r="B21" s="268" t="s">
        <v>108</v>
      </c>
      <c r="C21" s="268" t="s">
        <v>399</v>
      </c>
      <c r="D21" s="431" t="str">
        <f>GC!$B$13</f>
        <v>Ducha efecto lluvia con fijación a pared 400 mm</v>
      </c>
      <c r="E21" s="249" t="s">
        <v>220</v>
      </c>
      <c r="F21" s="268" t="s">
        <v>354</v>
      </c>
      <c r="G21" s="249" t="s">
        <v>706</v>
      </c>
      <c r="H21" s="249" t="s">
        <v>435</v>
      </c>
      <c r="I21" s="268" t="s">
        <v>410</v>
      </c>
      <c r="J21" s="249">
        <v>1</v>
      </c>
      <c r="K21" s="268" t="s">
        <v>153</v>
      </c>
      <c r="L21" s="432">
        <f>GC!$F$13</f>
        <v>1807.197105</v>
      </c>
      <c r="M21" s="433">
        <f t="shared" si="0"/>
        <v>1807.197105</v>
      </c>
      <c r="N21" s="249">
        <v>0</v>
      </c>
      <c r="O21" s="433">
        <f t="shared" si="1"/>
        <v>0</v>
      </c>
      <c r="P21" s="434">
        <v>0.16</v>
      </c>
      <c r="Q21" s="433">
        <f t="shared" si="2"/>
        <v>289.15153679999997</v>
      </c>
      <c r="R21" s="433">
        <f t="shared" si="3"/>
        <v>2096.3486417999998</v>
      </c>
      <c r="S21" s="433">
        <f>INDEX('Glosario Partidas'!$M$8:$M$10,MATCH(K21,'Glosario Partidas'!$L$8:$L$10,0))</f>
        <v>17.5</v>
      </c>
      <c r="T21" s="433">
        <f t="shared" si="4"/>
        <v>36686.101231499997</v>
      </c>
      <c r="U21" s="268"/>
      <c r="V21" s="249" t="s">
        <v>12</v>
      </c>
      <c r="W21" s="249" t="s">
        <v>491</v>
      </c>
      <c r="X21" s="249"/>
    </row>
    <row r="22" spans="1:24" ht="15" customHeight="1" x14ac:dyDescent="0.2">
      <c r="A22" s="268"/>
      <c r="B22" s="268" t="s">
        <v>108</v>
      </c>
      <c r="C22" s="268" t="s">
        <v>399</v>
      </c>
      <c r="D22" s="431" t="str">
        <f>GC!$B$22</f>
        <v>Canaleta de ducha para piedra natural TECE showerline (15201082)</v>
      </c>
      <c r="E22" s="249" t="s">
        <v>220</v>
      </c>
      <c r="F22" s="268" t="s">
        <v>354</v>
      </c>
      <c r="G22" s="249" t="s">
        <v>706</v>
      </c>
      <c r="H22" s="249" t="s">
        <v>435</v>
      </c>
      <c r="I22" s="268" t="s">
        <v>410</v>
      </c>
      <c r="J22" s="249">
        <v>1</v>
      </c>
      <c r="K22" s="268" t="s">
        <v>153</v>
      </c>
      <c r="L22" s="432">
        <f>GC!$F$22</f>
        <v>290.33763199999999</v>
      </c>
      <c r="M22" s="433">
        <f t="shared" si="0"/>
        <v>290.33763199999999</v>
      </c>
      <c r="N22" s="249">
        <v>0</v>
      </c>
      <c r="O22" s="433">
        <f t="shared" si="1"/>
        <v>0</v>
      </c>
      <c r="P22" s="434">
        <v>0.16</v>
      </c>
      <c r="Q22" s="433">
        <f t="shared" si="2"/>
        <v>46.45402112</v>
      </c>
      <c r="R22" s="433">
        <f t="shared" si="3"/>
        <v>336.79165311999998</v>
      </c>
      <c r="S22" s="433">
        <f>INDEX('Glosario Partidas'!$M$8:$M$10,MATCH(K22,'Glosario Partidas'!$L$8:$L$10,0))</f>
        <v>17.5</v>
      </c>
      <c r="T22" s="433">
        <f t="shared" si="4"/>
        <v>5893.8539295999999</v>
      </c>
      <c r="U22" s="268" t="s">
        <v>1085</v>
      </c>
      <c r="V22" s="249" t="s">
        <v>12</v>
      </c>
      <c r="W22" s="249" t="s">
        <v>491</v>
      </c>
      <c r="X22" s="249"/>
    </row>
    <row r="23" spans="1:24" ht="15" customHeight="1" x14ac:dyDescent="0.2">
      <c r="A23" s="268"/>
      <c r="B23" s="268" t="s">
        <v>108</v>
      </c>
      <c r="C23" s="268" t="s">
        <v>399</v>
      </c>
      <c r="D23" s="431" t="str">
        <f>GC!$B$14</f>
        <v>Termostato oculto con control de volumen bidireccional</v>
      </c>
      <c r="E23" s="249" t="s">
        <v>220</v>
      </c>
      <c r="F23" s="268" t="s">
        <v>354</v>
      </c>
      <c r="G23" s="249" t="s">
        <v>706</v>
      </c>
      <c r="H23" s="249" t="s">
        <v>435</v>
      </c>
      <c r="I23" s="268" t="s">
        <v>410</v>
      </c>
      <c r="J23" s="249">
        <v>1</v>
      </c>
      <c r="K23" s="268" t="s">
        <v>153</v>
      </c>
      <c r="L23" s="432">
        <f>GC!$F$14</f>
        <v>350.19605300000001</v>
      </c>
      <c r="M23" s="433">
        <f t="shared" si="0"/>
        <v>350.19605300000001</v>
      </c>
      <c r="N23" s="249">
        <v>0</v>
      </c>
      <c r="O23" s="433">
        <f t="shared" si="1"/>
        <v>0</v>
      </c>
      <c r="P23" s="434">
        <v>0.16</v>
      </c>
      <c r="Q23" s="433">
        <f t="shared" si="2"/>
        <v>56.031368480000005</v>
      </c>
      <c r="R23" s="433">
        <f t="shared" si="3"/>
        <v>406.22742148000003</v>
      </c>
      <c r="S23" s="433">
        <f>INDEX('Glosario Partidas'!$M$8:$M$10,MATCH(K23,'Glosario Partidas'!$L$8:$L$10,0))</f>
        <v>17.5</v>
      </c>
      <c r="T23" s="433">
        <f t="shared" si="4"/>
        <v>7108.9798759000005</v>
      </c>
      <c r="U23" s="268"/>
      <c r="V23" s="249" t="s">
        <v>12</v>
      </c>
      <c r="W23" s="249" t="s">
        <v>491</v>
      </c>
      <c r="X23" s="249"/>
    </row>
    <row r="24" spans="1:24" ht="15" customHeight="1" x14ac:dyDescent="0.2">
      <c r="A24" s="268"/>
      <c r="B24" s="268" t="s">
        <v>108</v>
      </c>
      <c r="C24" s="268" t="s">
        <v>399</v>
      </c>
      <c r="D24" s="431" t="str">
        <f>GC!$B$15</f>
        <v>Termostato empotrado (rough)</v>
      </c>
      <c r="E24" s="249" t="s">
        <v>220</v>
      </c>
      <c r="F24" s="268" t="s">
        <v>354</v>
      </c>
      <c r="G24" s="249" t="s">
        <v>706</v>
      </c>
      <c r="H24" s="249" t="s">
        <v>435</v>
      </c>
      <c r="I24" s="268" t="s">
        <v>410</v>
      </c>
      <c r="J24" s="249">
        <v>1</v>
      </c>
      <c r="K24" s="268" t="s">
        <v>153</v>
      </c>
      <c r="L24" s="432">
        <f>GC!$F$15</f>
        <v>313.33</v>
      </c>
      <c r="M24" s="433">
        <f t="shared" si="0"/>
        <v>313.33</v>
      </c>
      <c r="N24" s="249">
        <v>0</v>
      </c>
      <c r="O24" s="433">
        <f t="shared" si="1"/>
        <v>0</v>
      </c>
      <c r="P24" s="434">
        <v>0.16</v>
      </c>
      <c r="Q24" s="433">
        <f t="shared" si="2"/>
        <v>50.132799999999996</v>
      </c>
      <c r="R24" s="433">
        <f t="shared" si="3"/>
        <v>363.46279999999996</v>
      </c>
      <c r="S24" s="433">
        <f>INDEX('Glosario Partidas'!$M$8:$M$10,MATCH(K24,'Glosario Partidas'!$L$8:$L$10,0))</f>
        <v>17.5</v>
      </c>
      <c r="T24" s="433">
        <f t="shared" si="4"/>
        <v>6360.5989999999993</v>
      </c>
      <c r="U24" s="268"/>
      <c r="V24" s="249" t="s">
        <v>12</v>
      </c>
      <c r="W24" s="249" t="s">
        <v>491</v>
      </c>
      <c r="X24" s="249"/>
    </row>
    <row r="25" spans="1:24" ht="15" customHeight="1" x14ac:dyDescent="0.2">
      <c r="A25" s="268"/>
      <c r="B25" s="268" t="s">
        <v>108</v>
      </c>
      <c r="C25" s="268" t="s">
        <v>399</v>
      </c>
      <c r="D25" s="431" t="str">
        <f>GC!$B$10</f>
        <v>Soporte para papel higiénico sin cubierta</v>
      </c>
      <c r="E25" s="249" t="s">
        <v>220</v>
      </c>
      <c r="F25" s="268" t="s">
        <v>354</v>
      </c>
      <c r="G25" s="249" t="s">
        <v>706</v>
      </c>
      <c r="H25" s="249" t="s">
        <v>435</v>
      </c>
      <c r="I25" s="268" t="s">
        <v>410</v>
      </c>
      <c r="J25" s="249">
        <v>1</v>
      </c>
      <c r="K25" s="268" t="s">
        <v>153</v>
      </c>
      <c r="L25" s="432">
        <f>GC!$F$10</f>
        <v>238.874348</v>
      </c>
      <c r="M25" s="433">
        <f t="shared" si="0"/>
        <v>238.874348</v>
      </c>
      <c r="N25" s="249">
        <v>0</v>
      </c>
      <c r="O25" s="433">
        <f t="shared" si="1"/>
        <v>0</v>
      </c>
      <c r="P25" s="434">
        <v>0.16</v>
      </c>
      <c r="Q25" s="433">
        <f t="shared" si="2"/>
        <v>38.21989568</v>
      </c>
      <c r="R25" s="433">
        <f t="shared" si="3"/>
        <v>277.09424367999998</v>
      </c>
      <c r="S25" s="433">
        <f>INDEX('Glosario Partidas'!$M$8:$M$10,MATCH(K25,'Glosario Partidas'!$L$8:$L$10,0))</f>
        <v>17.5</v>
      </c>
      <c r="T25" s="433">
        <f t="shared" si="4"/>
        <v>4849.1492644</v>
      </c>
      <c r="U25" s="268"/>
      <c r="V25" s="249" t="s">
        <v>12</v>
      </c>
      <c r="W25" s="249" t="s">
        <v>491</v>
      </c>
      <c r="X25" s="249"/>
    </row>
    <row r="26" spans="1:24" ht="15" customHeight="1" x14ac:dyDescent="0.2">
      <c r="A26" s="268"/>
      <c r="B26" s="268" t="s">
        <v>108</v>
      </c>
      <c r="C26" s="268" t="s">
        <v>399</v>
      </c>
      <c r="D26" s="431" t="str">
        <f>GC!$B$18</f>
        <v>Bañera blanca exenta, con faldón integrado y bastidor (Cape Cod)</v>
      </c>
      <c r="E26" s="249" t="s">
        <v>220</v>
      </c>
      <c r="F26" s="268" t="s">
        <v>354</v>
      </c>
      <c r="G26" s="249" t="s">
        <v>706</v>
      </c>
      <c r="H26" s="249" t="s">
        <v>435</v>
      </c>
      <c r="I26" s="268" t="s">
        <v>410</v>
      </c>
      <c r="J26" s="249">
        <v>1</v>
      </c>
      <c r="K26" s="268" t="s">
        <v>153</v>
      </c>
      <c r="L26" s="432">
        <f>GC!$F$18</f>
        <v>4565</v>
      </c>
      <c r="M26" s="433">
        <f t="shared" si="0"/>
        <v>4565</v>
      </c>
      <c r="N26" s="249">
        <v>0</v>
      </c>
      <c r="O26" s="433">
        <f t="shared" si="1"/>
        <v>0</v>
      </c>
      <c r="P26" s="434">
        <v>0.16</v>
      </c>
      <c r="Q26" s="433">
        <f t="shared" si="2"/>
        <v>730.4</v>
      </c>
      <c r="R26" s="433">
        <f t="shared" si="3"/>
        <v>5295.4</v>
      </c>
      <c r="S26" s="433">
        <f>INDEX('Glosario Partidas'!$M$8:$M$10,MATCH(K26,'Glosario Partidas'!$L$8:$L$10,0))</f>
        <v>17.5</v>
      </c>
      <c r="T26" s="433">
        <f t="shared" si="4"/>
        <v>92669.5</v>
      </c>
      <c r="U26" s="268"/>
      <c r="V26" s="249" t="s">
        <v>12</v>
      </c>
      <c r="W26" s="249" t="s">
        <v>491</v>
      </c>
      <c r="X26" s="249"/>
    </row>
    <row r="27" spans="1:24" ht="15" customHeight="1" x14ac:dyDescent="0.2">
      <c r="A27" s="268"/>
      <c r="B27" s="268" t="s">
        <v>108</v>
      </c>
      <c r="C27" s="268" t="s">
        <v>399</v>
      </c>
      <c r="D27" s="268" t="s">
        <v>1086</v>
      </c>
      <c r="E27" s="249" t="s">
        <v>220</v>
      </c>
      <c r="F27" s="268" t="s">
        <v>354</v>
      </c>
      <c r="G27" s="249" t="s">
        <v>706</v>
      </c>
      <c r="H27" s="249" t="s">
        <v>435</v>
      </c>
      <c r="I27" s="268" t="s">
        <v>410</v>
      </c>
      <c r="J27" s="249">
        <v>0</v>
      </c>
      <c r="K27" s="268" t="s">
        <v>153</v>
      </c>
      <c r="L27" s="432">
        <v>0</v>
      </c>
      <c r="M27" s="433">
        <f t="shared" si="0"/>
        <v>0</v>
      </c>
      <c r="N27" s="249">
        <v>0</v>
      </c>
      <c r="O27" s="433">
        <f t="shared" si="1"/>
        <v>0</v>
      </c>
      <c r="P27" s="434">
        <v>0.16</v>
      </c>
      <c r="Q27" s="433">
        <f t="shared" si="2"/>
        <v>0</v>
      </c>
      <c r="R27" s="433">
        <f t="shared" si="3"/>
        <v>0</v>
      </c>
      <c r="S27" s="433">
        <f>INDEX('Glosario Partidas'!$M$8:$M$10,MATCH(K27,'Glosario Partidas'!$L$8:$L$10,0))</f>
        <v>17.5</v>
      </c>
      <c r="T27" s="433">
        <f t="shared" si="4"/>
        <v>0</v>
      </c>
      <c r="U27" s="268" t="s">
        <v>1087</v>
      </c>
      <c r="V27" s="249" t="s">
        <v>12</v>
      </c>
      <c r="W27" s="249" t="s">
        <v>491</v>
      </c>
      <c r="X27" s="249"/>
    </row>
    <row r="28" spans="1:24" ht="15" customHeight="1" x14ac:dyDescent="0.2">
      <c r="A28" s="268"/>
      <c r="B28" s="268" t="s">
        <v>108</v>
      </c>
      <c r="C28" s="268" t="s">
        <v>399</v>
      </c>
      <c r="D28" s="431" t="str">
        <f>GC!$B$16</f>
        <v>Monomando de bañera en columna para montaje exento con juego de ducha de mano</v>
      </c>
      <c r="E28" s="249" t="s">
        <v>220</v>
      </c>
      <c r="F28" s="268" t="s">
        <v>354</v>
      </c>
      <c r="G28" s="249" t="s">
        <v>706</v>
      </c>
      <c r="H28" s="249" t="s">
        <v>435</v>
      </c>
      <c r="I28" s="268" t="s">
        <v>410</v>
      </c>
      <c r="J28" s="249">
        <v>1</v>
      </c>
      <c r="K28" s="268" t="s">
        <v>153</v>
      </c>
      <c r="L28" s="432">
        <f>GC!$F$16</f>
        <v>1904.2149999999999</v>
      </c>
      <c r="M28" s="433">
        <f t="shared" si="0"/>
        <v>1904.2149999999999</v>
      </c>
      <c r="N28" s="249">
        <v>0</v>
      </c>
      <c r="O28" s="433">
        <f t="shared" si="1"/>
        <v>0</v>
      </c>
      <c r="P28" s="434">
        <v>0.16</v>
      </c>
      <c r="Q28" s="433">
        <f t="shared" si="2"/>
        <v>304.67439999999999</v>
      </c>
      <c r="R28" s="433">
        <f t="shared" si="3"/>
        <v>2208.8894</v>
      </c>
      <c r="S28" s="433">
        <f>INDEX('Glosario Partidas'!$M$8:$M$10,MATCH(K28,'Glosario Partidas'!$L$8:$L$10,0))</f>
        <v>17.5</v>
      </c>
      <c r="T28" s="433">
        <f t="shared" si="4"/>
        <v>38655.5645</v>
      </c>
      <c r="U28" s="268"/>
      <c r="V28" s="249" t="s">
        <v>12</v>
      </c>
      <c r="W28" s="249" t="s">
        <v>491</v>
      </c>
      <c r="X28" s="249"/>
    </row>
    <row r="29" spans="1:24" ht="15" customHeight="1" x14ac:dyDescent="0.2">
      <c r="A29" s="268"/>
      <c r="B29" s="268" t="s">
        <v>108</v>
      </c>
      <c r="C29" s="268" t="s">
        <v>399</v>
      </c>
      <c r="D29" s="431" t="str">
        <f>GC!$B$17</f>
        <v>Fijación al suelo empotrado (rough)</v>
      </c>
      <c r="E29" s="249" t="s">
        <v>220</v>
      </c>
      <c r="F29" s="268" t="s">
        <v>354</v>
      </c>
      <c r="G29" s="249" t="s">
        <v>706</v>
      </c>
      <c r="H29" s="249" t="s">
        <v>435</v>
      </c>
      <c r="I29" s="268" t="s">
        <v>410</v>
      </c>
      <c r="J29" s="249">
        <v>1</v>
      </c>
      <c r="K29" s="268" t="s">
        <v>153</v>
      </c>
      <c r="L29" s="432">
        <f>GC!$F$17</f>
        <v>292.73</v>
      </c>
      <c r="M29" s="433">
        <f t="shared" si="0"/>
        <v>292.73</v>
      </c>
      <c r="N29" s="249">
        <v>0</v>
      </c>
      <c r="O29" s="433">
        <f t="shared" si="1"/>
        <v>0</v>
      </c>
      <c r="P29" s="434">
        <v>0.16</v>
      </c>
      <c r="Q29" s="433">
        <f t="shared" si="2"/>
        <v>46.836800000000004</v>
      </c>
      <c r="R29" s="433">
        <f t="shared" si="3"/>
        <v>339.5668</v>
      </c>
      <c r="S29" s="433">
        <f>INDEX('Glosario Partidas'!$M$8:$M$10,MATCH(K29,'Glosario Partidas'!$L$8:$L$10,0))</f>
        <v>17.5</v>
      </c>
      <c r="T29" s="433">
        <f t="shared" si="4"/>
        <v>5942.4189999999999</v>
      </c>
      <c r="U29" s="268"/>
      <c r="V29" s="249" t="s">
        <v>12</v>
      </c>
      <c r="W29" s="249" t="s">
        <v>491</v>
      </c>
      <c r="X29" s="249"/>
    </row>
    <row r="30" spans="1:24" ht="15" customHeight="1" x14ac:dyDescent="0.2">
      <c r="A30" s="268"/>
      <c r="B30" s="268" t="s">
        <v>108</v>
      </c>
      <c r="C30" s="268" t="s">
        <v>399</v>
      </c>
      <c r="D30" s="431" t="str">
        <f>GC!$B$9</f>
        <v>Barra de agarre / Toallero chico 45cm</v>
      </c>
      <c r="E30" s="249" t="s">
        <v>220</v>
      </c>
      <c r="F30" s="268" t="s">
        <v>354</v>
      </c>
      <c r="G30" s="249" t="s">
        <v>706</v>
      </c>
      <c r="H30" s="249" t="s">
        <v>435</v>
      </c>
      <c r="I30" s="268" t="s">
        <v>410</v>
      </c>
      <c r="J30" s="249">
        <v>2</v>
      </c>
      <c r="K30" s="268" t="s">
        <v>153</v>
      </c>
      <c r="L30" s="432">
        <f>GC!$F$9</f>
        <v>471.15</v>
      </c>
      <c r="M30" s="433">
        <f t="shared" si="0"/>
        <v>942.3</v>
      </c>
      <c r="N30" s="249">
        <v>0</v>
      </c>
      <c r="O30" s="433">
        <f t="shared" si="1"/>
        <v>0</v>
      </c>
      <c r="P30" s="434">
        <v>0.16</v>
      </c>
      <c r="Q30" s="433">
        <f t="shared" si="2"/>
        <v>150.768</v>
      </c>
      <c r="R30" s="433">
        <f t="shared" si="3"/>
        <v>1093.068</v>
      </c>
      <c r="S30" s="433">
        <f>INDEX('Glosario Partidas'!$M$8:$M$10,MATCH(K30,'Glosario Partidas'!$L$8:$L$10,0))</f>
        <v>17.5</v>
      </c>
      <c r="T30" s="433">
        <f t="shared" si="4"/>
        <v>19128.689999999999</v>
      </c>
      <c r="U30" s="268"/>
      <c r="V30" s="249" t="s">
        <v>12</v>
      </c>
      <c r="W30" s="249" t="s">
        <v>491</v>
      </c>
      <c r="X30" s="249"/>
    </row>
    <row r="31" spans="1:24" ht="15" customHeight="1" x14ac:dyDescent="0.2">
      <c r="A31" s="268"/>
      <c r="B31" s="268" t="s">
        <v>108</v>
      </c>
      <c r="C31" s="268" t="s">
        <v>399</v>
      </c>
      <c r="D31" s="431" t="str">
        <f>GC!$B$11</f>
        <v>Gancho</v>
      </c>
      <c r="E31" s="249" t="s">
        <v>220</v>
      </c>
      <c r="F31" s="268" t="s">
        <v>354</v>
      </c>
      <c r="G31" s="249" t="s">
        <v>706</v>
      </c>
      <c r="H31" s="249" t="s">
        <v>435</v>
      </c>
      <c r="I31" s="268" t="s">
        <v>410</v>
      </c>
      <c r="J31" s="249">
        <v>2</v>
      </c>
      <c r="K31" s="268" t="s">
        <v>153</v>
      </c>
      <c r="L31" s="432">
        <f>GC!$F$11</f>
        <v>61.111086999999998</v>
      </c>
      <c r="M31" s="433">
        <f t="shared" si="0"/>
        <v>122.222174</v>
      </c>
      <c r="N31" s="249">
        <v>0</v>
      </c>
      <c r="O31" s="433">
        <f t="shared" si="1"/>
        <v>0</v>
      </c>
      <c r="P31" s="434">
        <v>0.16</v>
      </c>
      <c r="Q31" s="433">
        <f t="shared" si="2"/>
        <v>19.555547839999999</v>
      </c>
      <c r="R31" s="433">
        <f t="shared" si="3"/>
        <v>141.77772184</v>
      </c>
      <c r="S31" s="433">
        <f>INDEX('Glosario Partidas'!$M$8:$M$10,MATCH(K31,'Glosario Partidas'!$L$8:$L$10,0))</f>
        <v>17.5</v>
      </c>
      <c r="T31" s="433">
        <f t="shared" si="4"/>
        <v>2481.1101322</v>
      </c>
      <c r="U31" s="268"/>
      <c r="V31" s="249" t="s">
        <v>12</v>
      </c>
      <c r="W31" s="249" t="s">
        <v>491</v>
      </c>
      <c r="X31" s="249"/>
    </row>
    <row r="32" spans="1:24" ht="15" customHeight="1" x14ac:dyDescent="0.2">
      <c r="A32" s="268"/>
      <c r="B32" s="268" t="s">
        <v>108</v>
      </c>
      <c r="C32" s="268" t="s">
        <v>399</v>
      </c>
      <c r="D32" s="431" t="str">
        <f>GC!$B$7</f>
        <v>Inodoro a piso de una pieza (Starck 3)</v>
      </c>
      <c r="E32" s="249" t="s">
        <v>220</v>
      </c>
      <c r="F32" s="268" t="s">
        <v>221</v>
      </c>
      <c r="G32" s="249" t="s">
        <v>703</v>
      </c>
      <c r="H32" s="249" t="s">
        <v>435</v>
      </c>
      <c r="I32" s="268" t="s">
        <v>410</v>
      </c>
      <c r="J32" s="249">
        <v>1</v>
      </c>
      <c r="K32" s="268" t="s">
        <v>153</v>
      </c>
      <c r="L32" s="432">
        <f>GC!$F$7</f>
        <v>667.07</v>
      </c>
      <c r="M32" s="433">
        <f t="shared" si="0"/>
        <v>667.07</v>
      </c>
      <c r="N32" s="249">
        <v>0</v>
      </c>
      <c r="O32" s="433">
        <f t="shared" si="1"/>
        <v>0</v>
      </c>
      <c r="P32" s="434">
        <v>0.16</v>
      </c>
      <c r="Q32" s="433">
        <f t="shared" si="2"/>
        <v>106.73120000000002</v>
      </c>
      <c r="R32" s="433">
        <f t="shared" si="3"/>
        <v>773.80120000000011</v>
      </c>
      <c r="S32" s="433">
        <f>INDEX('Glosario Partidas'!$M$8:$M$10,MATCH(K32,'Glosario Partidas'!$L$8:$L$10,0))</f>
        <v>17.5</v>
      </c>
      <c r="T32" s="433">
        <f t="shared" si="4"/>
        <v>13541.521000000002</v>
      </c>
      <c r="U32" s="268"/>
      <c r="V32" s="249" t="s">
        <v>12</v>
      </c>
      <c r="W32" s="249" t="s">
        <v>491</v>
      </c>
      <c r="X32" s="249"/>
    </row>
    <row r="33" spans="1:24" ht="15" customHeight="1" x14ac:dyDescent="0.2">
      <c r="A33" s="268"/>
      <c r="B33" s="268" t="s">
        <v>108</v>
      </c>
      <c r="C33" s="268" t="s">
        <v>399</v>
      </c>
      <c r="D33" s="431" t="str">
        <f>GC!$B$8</f>
        <v>Monomando de lavabo con válvula automática</v>
      </c>
      <c r="E33" s="249" t="s">
        <v>220</v>
      </c>
      <c r="F33" s="268" t="s">
        <v>221</v>
      </c>
      <c r="G33" s="249" t="s">
        <v>703</v>
      </c>
      <c r="H33" s="249" t="s">
        <v>435</v>
      </c>
      <c r="I33" s="268" t="s">
        <v>410</v>
      </c>
      <c r="J33" s="249">
        <v>2</v>
      </c>
      <c r="K33" s="268" t="s">
        <v>153</v>
      </c>
      <c r="L33" s="432">
        <f>GC!$F$8</f>
        <v>975.99151900000004</v>
      </c>
      <c r="M33" s="433">
        <f t="shared" si="0"/>
        <v>1951.9830380000001</v>
      </c>
      <c r="N33" s="249">
        <v>0</v>
      </c>
      <c r="O33" s="433">
        <f t="shared" si="1"/>
        <v>0</v>
      </c>
      <c r="P33" s="434">
        <v>0.16</v>
      </c>
      <c r="Q33" s="433">
        <f t="shared" si="2"/>
        <v>312.31728608000003</v>
      </c>
      <c r="R33" s="433">
        <f t="shared" si="3"/>
        <v>2264.3003240799999</v>
      </c>
      <c r="S33" s="433">
        <f>INDEX('Glosario Partidas'!$M$8:$M$10,MATCH(K33,'Glosario Partidas'!$L$8:$L$10,0))</f>
        <v>17.5</v>
      </c>
      <c r="T33" s="433">
        <f t="shared" si="4"/>
        <v>39625.255671399995</v>
      </c>
      <c r="U33" s="268"/>
      <c r="V33" s="249" t="s">
        <v>12</v>
      </c>
      <c r="W33" s="249" t="s">
        <v>491</v>
      </c>
      <c r="X33" s="249"/>
    </row>
    <row r="34" spans="1:24" ht="15" customHeight="1" x14ac:dyDescent="0.2">
      <c r="A34" s="268"/>
      <c r="B34" s="268" t="s">
        <v>108</v>
      </c>
      <c r="C34" s="268" t="s">
        <v>399</v>
      </c>
      <c r="D34" s="431" t="str">
        <f>GC!$B$21</f>
        <v>Soporte para vidrio (SERIES SPECIFIC, XS-081077, Brushed Dark Platinum)</v>
      </c>
      <c r="E34" s="249" t="s">
        <v>220</v>
      </c>
      <c r="F34" s="268" t="s">
        <v>221</v>
      </c>
      <c r="G34" s="249" t="s">
        <v>703</v>
      </c>
      <c r="H34" s="249" t="s">
        <v>435</v>
      </c>
      <c r="I34" s="268" t="s">
        <v>410</v>
      </c>
      <c r="J34" s="249">
        <v>2</v>
      </c>
      <c r="K34" s="268" t="s">
        <v>153</v>
      </c>
      <c r="L34" s="432">
        <f>GC!$F$21</f>
        <v>281.02</v>
      </c>
      <c r="M34" s="433">
        <f t="shared" si="0"/>
        <v>562.04</v>
      </c>
      <c r="N34" s="249">
        <v>0</v>
      </c>
      <c r="O34" s="433">
        <f t="shared" si="1"/>
        <v>0</v>
      </c>
      <c r="P34" s="434">
        <v>0.16</v>
      </c>
      <c r="Q34" s="433">
        <f t="shared" si="2"/>
        <v>89.926400000000001</v>
      </c>
      <c r="R34" s="433">
        <f t="shared" si="3"/>
        <v>651.96640000000002</v>
      </c>
      <c r="S34" s="433">
        <f>INDEX('Glosario Partidas'!$M$8:$M$10,MATCH(K34,'Glosario Partidas'!$L$8:$L$10,0))</f>
        <v>17.5</v>
      </c>
      <c r="T34" s="433">
        <f t="shared" si="4"/>
        <v>11409.412</v>
      </c>
      <c r="U34" s="268" t="s">
        <v>1084</v>
      </c>
      <c r="V34" s="249" t="s">
        <v>12</v>
      </c>
      <c r="W34" s="249" t="s">
        <v>491</v>
      </c>
      <c r="X34" s="249"/>
    </row>
    <row r="35" spans="1:24" ht="15" customHeight="1" x14ac:dyDescent="0.2">
      <c r="A35" s="268"/>
      <c r="B35" s="268" t="s">
        <v>108</v>
      </c>
      <c r="C35" s="268" t="s">
        <v>399</v>
      </c>
      <c r="D35" s="431" t="str">
        <f>GC!$B$12</f>
        <v>Set de ducha de mano con soporte de pared integrado</v>
      </c>
      <c r="E35" s="249" t="s">
        <v>220</v>
      </c>
      <c r="F35" s="268" t="s">
        <v>221</v>
      </c>
      <c r="G35" s="249" t="s">
        <v>703</v>
      </c>
      <c r="H35" s="249" t="s">
        <v>435</v>
      </c>
      <c r="I35" s="268" t="s">
        <v>410</v>
      </c>
      <c r="J35" s="249">
        <v>1</v>
      </c>
      <c r="K35" s="268" t="s">
        <v>153</v>
      </c>
      <c r="L35" s="432">
        <f>GC!$F$12</f>
        <v>325.25947400000001</v>
      </c>
      <c r="M35" s="433">
        <f t="shared" si="0"/>
        <v>325.25947400000001</v>
      </c>
      <c r="N35" s="249">
        <v>0</v>
      </c>
      <c r="O35" s="433">
        <f t="shared" si="1"/>
        <v>0</v>
      </c>
      <c r="P35" s="434">
        <v>0.16</v>
      </c>
      <c r="Q35" s="433">
        <f t="shared" si="2"/>
        <v>52.041515840000002</v>
      </c>
      <c r="R35" s="433">
        <f t="shared" si="3"/>
        <v>377.30098984</v>
      </c>
      <c r="S35" s="433">
        <f>INDEX('Glosario Partidas'!$M$8:$M$10,MATCH(K35,'Glosario Partidas'!$L$8:$L$10,0))</f>
        <v>17.5</v>
      </c>
      <c r="T35" s="433">
        <f t="shared" si="4"/>
        <v>6602.7673222000003</v>
      </c>
      <c r="U35" s="268"/>
      <c r="V35" s="249" t="s">
        <v>12</v>
      </c>
      <c r="W35" s="249" t="s">
        <v>491</v>
      </c>
      <c r="X35" s="249"/>
    </row>
    <row r="36" spans="1:24" ht="15" customHeight="1" x14ac:dyDescent="0.2">
      <c r="A36" s="268"/>
      <c r="B36" s="268" t="s">
        <v>108</v>
      </c>
      <c r="C36" s="268" t="s">
        <v>399</v>
      </c>
      <c r="D36" s="431" t="str">
        <f>GC!$B$13</f>
        <v>Ducha efecto lluvia con fijación a pared 400 mm</v>
      </c>
      <c r="E36" s="249" t="s">
        <v>220</v>
      </c>
      <c r="F36" s="268" t="s">
        <v>221</v>
      </c>
      <c r="G36" s="249" t="s">
        <v>703</v>
      </c>
      <c r="H36" s="249" t="s">
        <v>435</v>
      </c>
      <c r="I36" s="268" t="s">
        <v>410</v>
      </c>
      <c r="J36" s="249">
        <v>1</v>
      </c>
      <c r="K36" s="268" t="s">
        <v>153</v>
      </c>
      <c r="L36" s="432">
        <f>GC!$F$13</f>
        <v>1807.197105</v>
      </c>
      <c r="M36" s="433">
        <f t="shared" si="0"/>
        <v>1807.197105</v>
      </c>
      <c r="N36" s="249">
        <v>0</v>
      </c>
      <c r="O36" s="433">
        <f t="shared" si="1"/>
        <v>0</v>
      </c>
      <c r="P36" s="434">
        <v>0.16</v>
      </c>
      <c r="Q36" s="433">
        <f t="shared" si="2"/>
        <v>289.15153679999997</v>
      </c>
      <c r="R36" s="433">
        <f t="shared" si="3"/>
        <v>2096.3486417999998</v>
      </c>
      <c r="S36" s="433">
        <f>INDEX('Glosario Partidas'!$M$8:$M$10,MATCH(K36,'Glosario Partidas'!$L$8:$L$10,0))</f>
        <v>17.5</v>
      </c>
      <c r="T36" s="433">
        <f t="shared" si="4"/>
        <v>36686.101231499997</v>
      </c>
      <c r="U36" s="268"/>
      <c r="V36" s="249" t="s">
        <v>12</v>
      </c>
      <c r="W36" s="249" t="s">
        <v>491</v>
      </c>
      <c r="X36" s="249"/>
    </row>
    <row r="37" spans="1:24" ht="15" customHeight="1" x14ac:dyDescent="0.2">
      <c r="A37" s="268"/>
      <c r="B37" s="268" t="s">
        <v>108</v>
      </c>
      <c r="C37" s="268" t="s">
        <v>399</v>
      </c>
      <c r="D37" s="431" t="str">
        <f>GC!$B$22</f>
        <v>Canaleta de ducha para piedra natural TECE showerline (15201082)</v>
      </c>
      <c r="E37" s="249" t="s">
        <v>220</v>
      </c>
      <c r="F37" s="268" t="s">
        <v>221</v>
      </c>
      <c r="G37" s="249" t="s">
        <v>703</v>
      </c>
      <c r="H37" s="249" t="s">
        <v>435</v>
      </c>
      <c r="I37" s="268" t="s">
        <v>410</v>
      </c>
      <c r="J37" s="249">
        <v>1</v>
      </c>
      <c r="K37" s="268" t="s">
        <v>153</v>
      </c>
      <c r="L37" s="432">
        <f>GC!$F$22</f>
        <v>290.33763199999999</v>
      </c>
      <c r="M37" s="433">
        <f t="shared" si="0"/>
        <v>290.33763199999999</v>
      </c>
      <c r="N37" s="249">
        <v>0</v>
      </c>
      <c r="O37" s="433">
        <f t="shared" si="1"/>
        <v>0</v>
      </c>
      <c r="P37" s="434">
        <v>0.16</v>
      </c>
      <c r="Q37" s="433">
        <f t="shared" si="2"/>
        <v>46.45402112</v>
      </c>
      <c r="R37" s="433">
        <f t="shared" si="3"/>
        <v>336.79165311999998</v>
      </c>
      <c r="S37" s="433">
        <f>INDEX('Glosario Partidas'!$M$8:$M$10,MATCH(K37,'Glosario Partidas'!$L$8:$L$10,0))</f>
        <v>17.5</v>
      </c>
      <c r="T37" s="433">
        <f t="shared" si="4"/>
        <v>5893.8539295999999</v>
      </c>
      <c r="U37" s="268" t="s">
        <v>1085</v>
      </c>
      <c r="V37" s="249" t="s">
        <v>12</v>
      </c>
      <c r="W37" s="249" t="s">
        <v>491</v>
      </c>
      <c r="X37" s="249"/>
    </row>
    <row r="38" spans="1:24" ht="15" customHeight="1" x14ac:dyDescent="0.2">
      <c r="A38" s="268"/>
      <c r="B38" s="268" t="s">
        <v>108</v>
      </c>
      <c r="C38" s="268" t="s">
        <v>399</v>
      </c>
      <c r="D38" s="431" t="str">
        <f>GC!$B$14</f>
        <v>Termostato oculto con control de volumen bidireccional</v>
      </c>
      <c r="E38" s="249" t="s">
        <v>220</v>
      </c>
      <c r="F38" s="268" t="s">
        <v>221</v>
      </c>
      <c r="G38" s="249" t="s">
        <v>703</v>
      </c>
      <c r="H38" s="249" t="s">
        <v>435</v>
      </c>
      <c r="I38" s="268" t="s">
        <v>410</v>
      </c>
      <c r="J38" s="249">
        <v>1</v>
      </c>
      <c r="K38" s="268" t="s">
        <v>153</v>
      </c>
      <c r="L38" s="432">
        <f>GC!$F$14</f>
        <v>350.19605300000001</v>
      </c>
      <c r="M38" s="433">
        <f t="shared" si="0"/>
        <v>350.19605300000001</v>
      </c>
      <c r="N38" s="249">
        <v>0</v>
      </c>
      <c r="O38" s="433">
        <f t="shared" si="1"/>
        <v>0</v>
      </c>
      <c r="P38" s="434">
        <v>0.16</v>
      </c>
      <c r="Q38" s="433">
        <f t="shared" si="2"/>
        <v>56.031368480000005</v>
      </c>
      <c r="R38" s="433">
        <f t="shared" si="3"/>
        <v>406.22742148000003</v>
      </c>
      <c r="S38" s="433">
        <f>INDEX('Glosario Partidas'!$M$8:$M$10,MATCH(K38,'Glosario Partidas'!$L$8:$L$10,0))</f>
        <v>17.5</v>
      </c>
      <c r="T38" s="433">
        <f t="shared" si="4"/>
        <v>7108.9798759000005</v>
      </c>
      <c r="U38" s="268"/>
      <c r="V38" s="249" t="s">
        <v>12</v>
      </c>
      <c r="W38" s="249" t="s">
        <v>491</v>
      </c>
      <c r="X38" s="249"/>
    </row>
    <row r="39" spans="1:24" ht="15" customHeight="1" x14ac:dyDescent="0.2">
      <c r="A39" s="268"/>
      <c r="B39" s="268" t="s">
        <v>108</v>
      </c>
      <c r="C39" s="268" t="s">
        <v>399</v>
      </c>
      <c r="D39" s="431" t="str">
        <f>GC!$B$15</f>
        <v>Termostato empotrado (rough)</v>
      </c>
      <c r="E39" s="249" t="s">
        <v>220</v>
      </c>
      <c r="F39" s="268" t="s">
        <v>221</v>
      </c>
      <c r="G39" s="249" t="s">
        <v>703</v>
      </c>
      <c r="H39" s="249" t="s">
        <v>435</v>
      </c>
      <c r="I39" s="268" t="s">
        <v>410</v>
      </c>
      <c r="J39" s="249">
        <v>1</v>
      </c>
      <c r="K39" s="268" t="s">
        <v>153</v>
      </c>
      <c r="L39" s="432">
        <f>GC!$F$15</f>
        <v>313.33</v>
      </c>
      <c r="M39" s="433">
        <f t="shared" si="0"/>
        <v>313.33</v>
      </c>
      <c r="N39" s="249">
        <v>0</v>
      </c>
      <c r="O39" s="433">
        <f t="shared" si="1"/>
        <v>0</v>
      </c>
      <c r="P39" s="434">
        <v>0.16</v>
      </c>
      <c r="Q39" s="433">
        <f t="shared" si="2"/>
        <v>50.132799999999996</v>
      </c>
      <c r="R39" s="433">
        <f t="shared" si="3"/>
        <v>363.46279999999996</v>
      </c>
      <c r="S39" s="433">
        <f>INDEX('Glosario Partidas'!$M$8:$M$10,MATCH(K39,'Glosario Partidas'!$L$8:$L$10,0))</f>
        <v>17.5</v>
      </c>
      <c r="T39" s="433">
        <f t="shared" si="4"/>
        <v>6360.5989999999993</v>
      </c>
      <c r="U39" s="268"/>
      <c r="V39" s="249" t="s">
        <v>12</v>
      </c>
      <c r="W39" s="249" t="s">
        <v>491</v>
      </c>
      <c r="X39" s="249"/>
    </row>
    <row r="40" spans="1:24" ht="15" customHeight="1" x14ac:dyDescent="0.2">
      <c r="A40" s="268"/>
      <c r="B40" s="268" t="s">
        <v>108</v>
      </c>
      <c r="C40" s="268" t="s">
        <v>399</v>
      </c>
      <c r="D40" s="431" t="str">
        <f>GC!$B$10</f>
        <v>Soporte para papel higiénico sin cubierta</v>
      </c>
      <c r="E40" s="249" t="s">
        <v>220</v>
      </c>
      <c r="F40" s="268" t="s">
        <v>221</v>
      </c>
      <c r="G40" s="249" t="s">
        <v>703</v>
      </c>
      <c r="H40" s="249" t="s">
        <v>435</v>
      </c>
      <c r="I40" s="268" t="s">
        <v>410</v>
      </c>
      <c r="J40" s="249">
        <v>1</v>
      </c>
      <c r="K40" s="268" t="s">
        <v>153</v>
      </c>
      <c r="L40" s="432">
        <f>GC!$F$10</f>
        <v>238.874348</v>
      </c>
      <c r="M40" s="433">
        <f t="shared" si="0"/>
        <v>238.874348</v>
      </c>
      <c r="N40" s="249">
        <v>0</v>
      </c>
      <c r="O40" s="433">
        <f t="shared" si="1"/>
        <v>0</v>
      </c>
      <c r="P40" s="434">
        <v>0.16</v>
      </c>
      <c r="Q40" s="433">
        <f t="shared" si="2"/>
        <v>38.21989568</v>
      </c>
      <c r="R40" s="433">
        <f t="shared" si="3"/>
        <v>277.09424367999998</v>
      </c>
      <c r="S40" s="433">
        <f>INDEX('Glosario Partidas'!$M$8:$M$10,MATCH(K40,'Glosario Partidas'!$L$8:$L$10,0))</f>
        <v>17.5</v>
      </c>
      <c r="T40" s="433">
        <f t="shared" si="4"/>
        <v>4849.1492644</v>
      </c>
      <c r="U40" s="268"/>
      <c r="V40" s="249" t="s">
        <v>12</v>
      </c>
      <c r="W40" s="249" t="s">
        <v>491</v>
      </c>
      <c r="X40" s="249"/>
    </row>
    <row r="41" spans="1:24" ht="15" customHeight="1" x14ac:dyDescent="0.2">
      <c r="A41" s="268"/>
      <c r="B41" s="268" t="s">
        <v>108</v>
      </c>
      <c r="C41" s="268" t="s">
        <v>399</v>
      </c>
      <c r="D41" s="431" t="str">
        <f>GC!$B$18</f>
        <v>Bañera blanca exenta, con faldón integrado y bastidor (Cape Cod)</v>
      </c>
      <c r="E41" s="249" t="s">
        <v>220</v>
      </c>
      <c r="F41" s="268" t="s">
        <v>221</v>
      </c>
      <c r="G41" s="249" t="s">
        <v>703</v>
      </c>
      <c r="H41" s="249" t="s">
        <v>435</v>
      </c>
      <c r="I41" s="268" t="s">
        <v>410</v>
      </c>
      <c r="J41" s="249">
        <v>1</v>
      </c>
      <c r="K41" s="268" t="s">
        <v>153</v>
      </c>
      <c r="L41" s="432">
        <f>GC!$F$18</f>
        <v>4565</v>
      </c>
      <c r="M41" s="433">
        <f t="shared" si="0"/>
        <v>4565</v>
      </c>
      <c r="N41" s="249">
        <v>0</v>
      </c>
      <c r="O41" s="433">
        <f t="shared" si="1"/>
        <v>0</v>
      </c>
      <c r="P41" s="434">
        <v>0.16</v>
      </c>
      <c r="Q41" s="433">
        <f t="shared" si="2"/>
        <v>730.4</v>
      </c>
      <c r="R41" s="433">
        <f t="shared" si="3"/>
        <v>5295.4</v>
      </c>
      <c r="S41" s="433">
        <f>INDEX('Glosario Partidas'!$M$8:$M$10,MATCH(K41,'Glosario Partidas'!$L$8:$L$10,0))</f>
        <v>17.5</v>
      </c>
      <c r="T41" s="433">
        <f t="shared" si="4"/>
        <v>92669.5</v>
      </c>
      <c r="U41" s="268"/>
      <c r="V41" s="249" t="s">
        <v>12</v>
      </c>
      <c r="W41" s="249" t="s">
        <v>491</v>
      </c>
      <c r="X41" s="249"/>
    </row>
    <row r="42" spans="1:24" ht="15" customHeight="1" x14ac:dyDescent="0.2">
      <c r="A42" s="268"/>
      <c r="B42" s="268" t="s">
        <v>108</v>
      </c>
      <c r="C42" s="268" t="s">
        <v>399</v>
      </c>
      <c r="D42" s="268" t="s">
        <v>1086</v>
      </c>
      <c r="E42" s="249" t="s">
        <v>220</v>
      </c>
      <c r="F42" s="268" t="s">
        <v>221</v>
      </c>
      <c r="G42" s="249" t="s">
        <v>703</v>
      </c>
      <c r="H42" s="249" t="s">
        <v>435</v>
      </c>
      <c r="I42" s="268" t="s">
        <v>410</v>
      </c>
      <c r="J42" s="249">
        <v>0</v>
      </c>
      <c r="K42" s="268" t="s">
        <v>153</v>
      </c>
      <c r="L42" s="432">
        <v>0</v>
      </c>
      <c r="M42" s="433">
        <f t="shared" si="0"/>
        <v>0</v>
      </c>
      <c r="N42" s="249">
        <v>0</v>
      </c>
      <c r="O42" s="433">
        <f t="shared" si="1"/>
        <v>0</v>
      </c>
      <c r="P42" s="434">
        <v>0.16</v>
      </c>
      <c r="Q42" s="433">
        <f t="shared" si="2"/>
        <v>0</v>
      </c>
      <c r="R42" s="433">
        <f t="shared" si="3"/>
        <v>0</v>
      </c>
      <c r="S42" s="433">
        <f>INDEX('Glosario Partidas'!$M$8:$M$10,MATCH(K42,'Glosario Partidas'!$L$8:$L$10,0))</f>
        <v>17.5</v>
      </c>
      <c r="T42" s="433">
        <f t="shared" si="4"/>
        <v>0</v>
      </c>
      <c r="U42" s="268" t="s">
        <v>1087</v>
      </c>
      <c r="V42" s="249" t="s">
        <v>12</v>
      </c>
      <c r="W42" s="249" t="s">
        <v>491</v>
      </c>
      <c r="X42" s="249"/>
    </row>
    <row r="43" spans="1:24" ht="15" customHeight="1" x14ac:dyDescent="0.2">
      <c r="A43" s="268"/>
      <c r="B43" s="268" t="s">
        <v>108</v>
      </c>
      <c r="C43" s="268" t="s">
        <v>399</v>
      </c>
      <c r="D43" s="431" t="str">
        <f>GC!$B$16</f>
        <v>Monomando de bañera en columna para montaje exento con juego de ducha de mano</v>
      </c>
      <c r="E43" s="249" t="s">
        <v>220</v>
      </c>
      <c r="F43" s="268" t="s">
        <v>221</v>
      </c>
      <c r="G43" s="249" t="s">
        <v>703</v>
      </c>
      <c r="H43" s="249" t="s">
        <v>435</v>
      </c>
      <c r="I43" s="268" t="s">
        <v>410</v>
      </c>
      <c r="J43" s="249">
        <v>1</v>
      </c>
      <c r="K43" s="268" t="s">
        <v>153</v>
      </c>
      <c r="L43" s="432">
        <f>GC!$F$16</f>
        <v>1904.2149999999999</v>
      </c>
      <c r="M43" s="433">
        <f t="shared" si="0"/>
        <v>1904.2149999999999</v>
      </c>
      <c r="N43" s="249">
        <v>0</v>
      </c>
      <c r="O43" s="433">
        <f t="shared" si="1"/>
        <v>0</v>
      </c>
      <c r="P43" s="434">
        <v>0.16</v>
      </c>
      <c r="Q43" s="433">
        <f t="shared" si="2"/>
        <v>304.67439999999999</v>
      </c>
      <c r="R43" s="433">
        <f t="shared" si="3"/>
        <v>2208.8894</v>
      </c>
      <c r="S43" s="433">
        <f>INDEX('Glosario Partidas'!$M$8:$M$10,MATCH(K43,'Glosario Partidas'!$L$8:$L$10,0))</f>
        <v>17.5</v>
      </c>
      <c r="T43" s="433">
        <f t="shared" si="4"/>
        <v>38655.5645</v>
      </c>
      <c r="U43" s="268"/>
      <c r="V43" s="249" t="s">
        <v>12</v>
      </c>
      <c r="W43" s="249" t="s">
        <v>491</v>
      </c>
      <c r="X43" s="249"/>
    </row>
    <row r="44" spans="1:24" ht="15" customHeight="1" x14ac:dyDescent="0.2">
      <c r="A44" s="268"/>
      <c r="B44" s="268" t="s">
        <v>108</v>
      </c>
      <c r="C44" s="268" t="s">
        <v>399</v>
      </c>
      <c r="D44" s="431" t="str">
        <f>GC!$B$17</f>
        <v>Fijación al suelo empotrado (rough)</v>
      </c>
      <c r="E44" s="249" t="s">
        <v>220</v>
      </c>
      <c r="F44" s="268" t="s">
        <v>221</v>
      </c>
      <c r="G44" s="249" t="s">
        <v>703</v>
      </c>
      <c r="H44" s="249" t="s">
        <v>435</v>
      </c>
      <c r="I44" s="268" t="s">
        <v>410</v>
      </c>
      <c r="J44" s="249">
        <v>1</v>
      </c>
      <c r="K44" s="268" t="s">
        <v>153</v>
      </c>
      <c r="L44" s="432">
        <f>GC!$F$17</f>
        <v>292.73</v>
      </c>
      <c r="M44" s="433">
        <f t="shared" si="0"/>
        <v>292.73</v>
      </c>
      <c r="N44" s="249">
        <v>0</v>
      </c>
      <c r="O44" s="433">
        <f t="shared" si="1"/>
        <v>0</v>
      </c>
      <c r="P44" s="434">
        <v>0.16</v>
      </c>
      <c r="Q44" s="433">
        <f t="shared" si="2"/>
        <v>46.836800000000004</v>
      </c>
      <c r="R44" s="433">
        <f t="shared" si="3"/>
        <v>339.5668</v>
      </c>
      <c r="S44" s="433">
        <f>INDEX('Glosario Partidas'!$M$8:$M$10,MATCH(K44,'Glosario Partidas'!$L$8:$L$10,0))</f>
        <v>17.5</v>
      </c>
      <c r="T44" s="433">
        <f t="shared" si="4"/>
        <v>5942.4189999999999</v>
      </c>
      <c r="U44" s="268"/>
      <c r="V44" s="249" t="s">
        <v>12</v>
      </c>
      <c r="W44" s="249" t="s">
        <v>491</v>
      </c>
      <c r="X44" s="249"/>
    </row>
    <row r="45" spans="1:24" ht="15" customHeight="1" x14ac:dyDescent="0.2">
      <c r="A45" s="268"/>
      <c r="B45" s="268" t="s">
        <v>108</v>
      </c>
      <c r="C45" s="268" t="s">
        <v>399</v>
      </c>
      <c r="D45" s="431" t="str">
        <f>GC!$B$9</f>
        <v>Barra de agarre / Toallero chico 45cm</v>
      </c>
      <c r="E45" s="249" t="s">
        <v>220</v>
      </c>
      <c r="F45" s="268" t="s">
        <v>221</v>
      </c>
      <c r="G45" s="249" t="s">
        <v>703</v>
      </c>
      <c r="H45" s="249" t="s">
        <v>435</v>
      </c>
      <c r="I45" s="268" t="s">
        <v>410</v>
      </c>
      <c r="J45" s="249">
        <v>2</v>
      </c>
      <c r="K45" s="268" t="s">
        <v>153</v>
      </c>
      <c r="L45" s="432">
        <f>GC!$F$9</f>
        <v>471.15</v>
      </c>
      <c r="M45" s="433">
        <f t="shared" si="0"/>
        <v>942.3</v>
      </c>
      <c r="N45" s="249">
        <v>0</v>
      </c>
      <c r="O45" s="433">
        <f t="shared" si="1"/>
        <v>0</v>
      </c>
      <c r="P45" s="434">
        <v>0.16</v>
      </c>
      <c r="Q45" s="433">
        <f t="shared" si="2"/>
        <v>150.768</v>
      </c>
      <c r="R45" s="433">
        <f t="shared" si="3"/>
        <v>1093.068</v>
      </c>
      <c r="S45" s="433">
        <f>INDEX('Glosario Partidas'!$M$8:$M$10,MATCH(K45,'Glosario Partidas'!$L$8:$L$10,0))</f>
        <v>17.5</v>
      </c>
      <c r="T45" s="433">
        <f t="shared" si="4"/>
        <v>19128.689999999999</v>
      </c>
      <c r="U45" s="268"/>
      <c r="V45" s="249" t="s">
        <v>12</v>
      </c>
      <c r="W45" s="249" t="s">
        <v>491</v>
      </c>
      <c r="X45" s="249"/>
    </row>
    <row r="46" spans="1:24" ht="15" customHeight="1" x14ac:dyDescent="0.2">
      <c r="A46" s="268"/>
      <c r="B46" s="268" t="s">
        <v>108</v>
      </c>
      <c r="C46" s="268" t="s">
        <v>399</v>
      </c>
      <c r="D46" s="431" t="str">
        <f>GC!$B$11</f>
        <v>Gancho</v>
      </c>
      <c r="E46" s="249" t="s">
        <v>220</v>
      </c>
      <c r="F46" s="268" t="s">
        <v>221</v>
      </c>
      <c r="G46" s="249" t="s">
        <v>703</v>
      </c>
      <c r="H46" s="249" t="s">
        <v>435</v>
      </c>
      <c r="I46" s="268" t="s">
        <v>410</v>
      </c>
      <c r="J46" s="249">
        <v>2</v>
      </c>
      <c r="K46" s="268" t="s">
        <v>153</v>
      </c>
      <c r="L46" s="432">
        <f>GC!$F$11</f>
        <v>61.111086999999998</v>
      </c>
      <c r="M46" s="433">
        <f t="shared" si="0"/>
        <v>122.222174</v>
      </c>
      <c r="N46" s="249">
        <v>0</v>
      </c>
      <c r="O46" s="433">
        <f t="shared" si="1"/>
        <v>0</v>
      </c>
      <c r="P46" s="434">
        <v>0.16</v>
      </c>
      <c r="Q46" s="433">
        <f t="shared" si="2"/>
        <v>19.555547839999999</v>
      </c>
      <c r="R46" s="433">
        <f t="shared" si="3"/>
        <v>141.77772184</v>
      </c>
      <c r="S46" s="433">
        <f>INDEX('Glosario Partidas'!$M$8:$M$10,MATCH(K46,'Glosario Partidas'!$L$8:$L$10,0))</f>
        <v>17.5</v>
      </c>
      <c r="T46" s="433">
        <f t="shared" si="4"/>
        <v>2481.1101322</v>
      </c>
      <c r="U46" s="268"/>
      <c r="V46" s="249" t="s">
        <v>12</v>
      </c>
      <c r="W46" s="249" t="s">
        <v>491</v>
      </c>
      <c r="X46" s="249"/>
    </row>
    <row r="47" spans="1:24" ht="15" customHeight="1" x14ac:dyDescent="0.2">
      <c r="A47" s="268"/>
      <c r="B47" s="268" t="s">
        <v>108</v>
      </c>
      <c r="C47" s="268" t="s">
        <v>399</v>
      </c>
      <c r="D47" s="431" t="str">
        <f>GC!$B$7</f>
        <v>Inodoro a piso de una pieza (Starck 3)</v>
      </c>
      <c r="E47" s="249" t="s">
        <v>220</v>
      </c>
      <c r="F47" s="268" t="s">
        <v>354</v>
      </c>
      <c r="G47" s="249" t="s">
        <v>707</v>
      </c>
      <c r="H47" s="249" t="s">
        <v>435</v>
      </c>
      <c r="I47" s="268" t="s">
        <v>410</v>
      </c>
      <c r="J47" s="249">
        <v>1</v>
      </c>
      <c r="K47" s="268" t="s">
        <v>153</v>
      </c>
      <c r="L47" s="432">
        <f>GC!$F$7</f>
        <v>667.07</v>
      </c>
      <c r="M47" s="433">
        <f t="shared" si="0"/>
        <v>667.07</v>
      </c>
      <c r="N47" s="249">
        <v>0</v>
      </c>
      <c r="O47" s="433">
        <f t="shared" si="1"/>
        <v>0</v>
      </c>
      <c r="P47" s="434">
        <v>0.16</v>
      </c>
      <c r="Q47" s="433">
        <f t="shared" si="2"/>
        <v>106.73120000000002</v>
      </c>
      <c r="R47" s="433">
        <f t="shared" si="3"/>
        <v>773.80120000000011</v>
      </c>
      <c r="S47" s="433">
        <f>INDEX('Glosario Partidas'!$M$8:$M$10,MATCH(K47,'Glosario Partidas'!$L$8:$L$10,0))</f>
        <v>17.5</v>
      </c>
      <c r="T47" s="433">
        <f t="shared" si="4"/>
        <v>13541.521000000002</v>
      </c>
      <c r="U47" s="268"/>
      <c r="V47" s="249" t="s">
        <v>12</v>
      </c>
      <c r="W47" s="249" t="s">
        <v>491</v>
      </c>
      <c r="X47" s="249"/>
    </row>
    <row r="48" spans="1:24" ht="15" customHeight="1" x14ac:dyDescent="0.2">
      <c r="A48" s="268"/>
      <c r="B48" s="268" t="s">
        <v>108</v>
      </c>
      <c r="C48" s="268" t="s">
        <v>399</v>
      </c>
      <c r="D48" s="431" t="str">
        <f>GC!$B$8</f>
        <v>Monomando de lavabo con válvula automática</v>
      </c>
      <c r="E48" s="249" t="s">
        <v>220</v>
      </c>
      <c r="F48" s="268" t="s">
        <v>354</v>
      </c>
      <c r="G48" s="249" t="s">
        <v>707</v>
      </c>
      <c r="H48" s="249" t="s">
        <v>435</v>
      </c>
      <c r="I48" s="268" t="s">
        <v>410</v>
      </c>
      <c r="J48" s="249">
        <v>2</v>
      </c>
      <c r="K48" s="268" t="s">
        <v>153</v>
      </c>
      <c r="L48" s="432">
        <f>GC!$F$8</f>
        <v>975.99151900000004</v>
      </c>
      <c r="M48" s="433">
        <f t="shared" si="0"/>
        <v>1951.9830380000001</v>
      </c>
      <c r="N48" s="249">
        <v>0</v>
      </c>
      <c r="O48" s="433">
        <f t="shared" si="1"/>
        <v>0</v>
      </c>
      <c r="P48" s="434">
        <v>0.16</v>
      </c>
      <c r="Q48" s="433">
        <f t="shared" si="2"/>
        <v>312.31728608000003</v>
      </c>
      <c r="R48" s="433">
        <f t="shared" si="3"/>
        <v>2264.3003240799999</v>
      </c>
      <c r="S48" s="433">
        <f>INDEX('Glosario Partidas'!$M$8:$M$10,MATCH(K48,'Glosario Partidas'!$L$8:$L$10,0))</f>
        <v>17.5</v>
      </c>
      <c r="T48" s="433">
        <f t="shared" si="4"/>
        <v>39625.255671399995</v>
      </c>
      <c r="U48" s="268"/>
      <c r="V48" s="249" t="s">
        <v>12</v>
      </c>
      <c r="W48" s="249" t="s">
        <v>491</v>
      </c>
      <c r="X48" s="249"/>
    </row>
    <row r="49" spans="1:24" ht="15" customHeight="1" x14ac:dyDescent="0.2">
      <c r="A49" s="268"/>
      <c r="B49" s="268" t="s">
        <v>108</v>
      </c>
      <c r="C49" s="268" t="s">
        <v>399</v>
      </c>
      <c r="D49" s="431" t="str">
        <f>GC!$B$21</f>
        <v>Soporte para vidrio (SERIES SPECIFIC, XS-081077, Brushed Dark Platinum)</v>
      </c>
      <c r="E49" s="249" t="s">
        <v>220</v>
      </c>
      <c r="F49" s="268" t="s">
        <v>354</v>
      </c>
      <c r="G49" s="249" t="s">
        <v>707</v>
      </c>
      <c r="H49" s="249" t="s">
        <v>435</v>
      </c>
      <c r="I49" s="268" t="s">
        <v>410</v>
      </c>
      <c r="J49" s="249">
        <v>2</v>
      </c>
      <c r="K49" s="268" t="s">
        <v>153</v>
      </c>
      <c r="L49" s="432">
        <f>GC!$F$21</f>
        <v>281.02</v>
      </c>
      <c r="M49" s="433">
        <f t="shared" si="0"/>
        <v>562.04</v>
      </c>
      <c r="N49" s="249">
        <v>0</v>
      </c>
      <c r="O49" s="433">
        <f t="shared" si="1"/>
        <v>0</v>
      </c>
      <c r="P49" s="434">
        <v>0.16</v>
      </c>
      <c r="Q49" s="433">
        <f t="shared" si="2"/>
        <v>89.926400000000001</v>
      </c>
      <c r="R49" s="433">
        <f t="shared" si="3"/>
        <v>651.96640000000002</v>
      </c>
      <c r="S49" s="433">
        <f>INDEX('Glosario Partidas'!$M$8:$M$10,MATCH(K49,'Glosario Partidas'!$L$8:$L$10,0))</f>
        <v>17.5</v>
      </c>
      <c r="T49" s="433">
        <f t="shared" si="4"/>
        <v>11409.412</v>
      </c>
      <c r="U49" s="268" t="s">
        <v>1084</v>
      </c>
      <c r="V49" s="249" t="s">
        <v>12</v>
      </c>
      <c r="W49" s="249" t="s">
        <v>491</v>
      </c>
      <c r="X49" s="249"/>
    </row>
    <row r="50" spans="1:24" ht="15" customHeight="1" x14ac:dyDescent="0.2">
      <c r="A50" s="268"/>
      <c r="B50" s="268" t="s">
        <v>108</v>
      </c>
      <c r="C50" s="268" t="s">
        <v>399</v>
      </c>
      <c r="D50" s="431" t="str">
        <f>GC!$B$12</f>
        <v>Set de ducha de mano con soporte de pared integrado</v>
      </c>
      <c r="E50" s="249" t="s">
        <v>220</v>
      </c>
      <c r="F50" s="268" t="s">
        <v>354</v>
      </c>
      <c r="G50" s="249" t="s">
        <v>707</v>
      </c>
      <c r="H50" s="249" t="s">
        <v>435</v>
      </c>
      <c r="I50" s="268" t="s">
        <v>410</v>
      </c>
      <c r="J50" s="249">
        <v>1</v>
      </c>
      <c r="K50" s="268" t="s">
        <v>153</v>
      </c>
      <c r="L50" s="432">
        <f>GC!$F$12</f>
        <v>325.25947400000001</v>
      </c>
      <c r="M50" s="433">
        <f t="shared" si="0"/>
        <v>325.25947400000001</v>
      </c>
      <c r="N50" s="249">
        <v>0</v>
      </c>
      <c r="O50" s="433">
        <f t="shared" si="1"/>
        <v>0</v>
      </c>
      <c r="P50" s="434">
        <v>0.16</v>
      </c>
      <c r="Q50" s="433">
        <f t="shared" si="2"/>
        <v>52.041515840000002</v>
      </c>
      <c r="R50" s="433">
        <f t="shared" si="3"/>
        <v>377.30098984</v>
      </c>
      <c r="S50" s="433">
        <f>INDEX('Glosario Partidas'!$M$8:$M$10,MATCH(K50,'Glosario Partidas'!$L$8:$L$10,0))</f>
        <v>17.5</v>
      </c>
      <c r="T50" s="433">
        <f t="shared" si="4"/>
        <v>6602.7673222000003</v>
      </c>
      <c r="U50" s="268"/>
      <c r="V50" s="249" t="s">
        <v>12</v>
      </c>
      <c r="W50" s="249" t="s">
        <v>491</v>
      </c>
      <c r="X50" s="249"/>
    </row>
    <row r="51" spans="1:24" ht="15" customHeight="1" x14ac:dyDescent="0.2">
      <c r="A51" s="268"/>
      <c r="B51" s="268" t="s">
        <v>108</v>
      </c>
      <c r="C51" s="268" t="s">
        <v>399</v>
      </c>
      <c r="D51" s="431" t="str">
        <f>GC!$B$13</f>
        <v>Ducha efecto lluvia con fijación a pared 400 mm</v>
      </c>
      <c r="E51" s="249" t="s">
        <v>220</v>
      </c>
      <c r="F51" s="268" t="s">
        <v>354</v>
      </c>
      <c r="G51" s="249" t="s">
        <v>707</v>
      </c>
      <c r="H51" s="249" t="s">
        <v>435</v>
      </c>
      <c r="I51" s="268" t="s">
        <v>410</v>
      </c>
      <c r="J51" s="249">
        <v>1</v>
      </c>
      <c r="K51" s="268" t="s">
        <v>153</v>
      </c>
      <c r="L51" s="432">
        <f>GC!$F$13</f>
        <v>1807.197105</v>
      </c>
      <c r="M51" s="433">
        <f t="shared" si="0"/>
        <v>1807.197105</v>
      </c>
      <c r="N51" s="249">
        <v>0</v>
      </c>
      <c r="O51" s="433">
        <f t="shared" si="1"/>
        <v>0</v>
      </c>
      <c r="P51" s="434">
        <v>0.16</v>
      </c>
      <c r="Q51" s="433">
        <f t="shared" si="2"/>
        <v>289.15153679999997</v>
      </c>
      <c r="R51" s="433">
        <f t="shared" si="3"/>
        <v>2096.3486417999998</v>
      </c>
      <c r="S51" s="433">
        <f>INDEX('Glosario Partidas'!$M$8:$M$10,MATCH(K51,'Glosario Partidas'!$L$8:$L$10,0))</f>
        <v>17.5</v>
      </c>
      <c r="T51" s="433">
        <f t="shared" si="4"/>
        <v>36686.101231499997</v>
      </c>
      <c r="U51" s="268"/>
      <c r="V51" s="249" t="s">
        <v>12</v>
      </c>
      <c r="W51" s="249" t="s">
        <v>491</v>
      </c>
      <c r="X51" s="249"/>
    </row>
    <row r="52" spans="1:24" ht="15" customHeight="1" x14ac:dyDescent="0.2">
      <c r="A52" s="268"/>
      <c r="B52" s="268" t="s">
        <v>108</v>
      </c>
      <c r="C52" s="268" t="s">
        <v>399</v>
      </c>
      <c r="D52" s="431" t="str">
        <f>GC!$B$22</f>
        <v>Canaleta de ducha para piedra natural TECE showerline (15201082)</v>
      </c>
      <c r="E52" s="249" t="s">
        <v>220</v>
      </c>
      <c r="F52" s="268" t="s">
        <v>354</v>
      </c>
      <c r="G52" s="249" t="s">
        <v>707</v>
      </c>
      <c r="H52" s="249" t="s">
        <v>435</v>
      </c>
      <c r="I52" s="268" t="s">
        <v>410</v>
      </c>
      <c r="J52" s="249">
        <v>1</v>
      </c>
      <c r="K52" s="268" t="s">
        <v>153</v>
      </c>
      <c r="L52" s="432">
        <f>GC!$F$22</f>
        <v>290.33763199999999</v>
      </c>
      <c r="M52" s="433">
        <f t="shared" si="0"/>
        <v>290.33763199999999</v>
      </c>
      <c r="N52" s="249">
        <v>0</v>
      </c>
      <c r="O52" s="433">
        <f t="shared" si="1"/>
        <v>0</v>
      </c>
      <c r="P52" s="434">
        <v>0.16</v>
      </c>
      <c r="Q52" s="433">
        <f t="shared" si="2"/>
        <v>46.45402112</v>
      </c>
      <c r="R52" s="433">
        <f t="shared" si="3"/>
        <v>336.79165311999998</v>
      </c>
      <c r="S52" s="433">
        <f>INDEX('Glosario Partidas'!$M$8:$M$10,MATCH(K52,'Glosario Partidas'!$L$8:$L$10,0))</f>
        <v>17.5</v>
      </c>
      <c r="T52" s="433">
        <f t="shared" si="4"/>
        <v>5893.8539295999999</v>
      </c>
      <c r="U52" s="268" t="s">
        <v>1085</v>
      </c>
      <c r="V52" s="249" t="s">
        <v>12</v>
      </c>
      <c r="W52" s="249" t="s">
        <v>491</v>
      </c>
      <c r="X52" s="249"/>
    </row>
    <row r="53" spans="1:24" ht="15" customHeight="1" x14ac:dyDescent="0.2">
      <c r="A53" s="268"/>
      <c r="B53" s="268" t="s">
        <v>108</v>
      </c>
      <c r="C53" s="268" t="s">
        <v>399</v>
      </c>
      <c r="D53" s="431" t="str">
        <f>GC!$B$14</f>
        <v>Termostato oculto con control de volumen bidireccional</v>
      </c>
      <c r="E53" s="249" t="s">
        <v>220</v>
      </c>
      <c r="F53" s="268" t="s">
        <v>354</v>
      </c>
      <c r="G53" s="249" t="s">
        <v>707</v>
      </c>
      <c r="H53" s="249" t="s">
        <v>435</v>
      </c>
      <c r="I53" s="268" t="s">
        <v>410</v>
      </c>
      <c r="J53" s="249">
        <v>1</v>
      </c>
      <c r="K53" s="268" t="s">
        <v>153</v>
      </c>
      <c r="L53" s="432">
        <f>GC!$F$14</f>
        <v>350.19605300000001</v>
      </c>
      <c r="M53" s="433">
        <f t="shared" si="0"/>
        <v>350.19605300000001</v>
      </c>
      <c r="N53" s="249">
        <v>0</v>
      </c>
      <c r="O53" s="433">
        <f t="shared" si="1"/>
        <v>0</v>
      </c>
      <c r="P53" s="434">
        <v>0.16</v>
      </c>
      <c r="Q53" s="433">
        <f t="shared" si="2"/>
        <v>56.031368480000005</v>
      </c>
      <c r="R53" s="433">
        <f t="shared" si="3"/>
        <v>406.22742148000003</v>
      </c>
      <c r="S53" s="433">
        <f>INDEX('Glosario Partidas'!$M$8:$M$10,MATCH(K53,'Glosario Partidas'!$L$8:$L$10,0))</f>
        <v>17.5</v>
      </c>
      <c r="T53" s="433">
        <f t="shared" si="4"/>
        <v>7108.9798759000005</v>
      </c>
      <c r="U53" s="268"/>
      <c r="V53" s="249" t="s">
        <v>12</v>
      </c>
      <c r="W53" s="249" t="s">
        <v>491</v>
      </c>
      <c r="X53" s="249"/>
    </row>
    <row r="54" spans="1:24" ht="15" customHeight="1" x14ac:dyDescent="0.2">
      <c r="A54" s="268"/>
      <c r="B54" s="268" t="s">
        <v>108</v>
      </c>
      <c r="C54" s="268" t="s">
        <v>399</v>
      </c>
      <c r="D54" s="431" t="str">
        <f>GC!$B$15</f>
        <v>Termostato empotrado (rough)</v>
      </c>
      <c r="E54" s="249" t="s">
        <v>220</v>
      </c>
      <c r="F54" s="268" t="s">
        <v>354</v>
      </c>
      <c r="G54" s="249" t="s">
        <v>707</v>
      </c>
      <c r="H54" s="249" t="s">
        <v>435</v>
      </c>
      <c r="I54" s="268" t="s">
        <v>410</v>
      </c>
      <c r="J54" s="249">
        <v>1</v>
      </c>
      <c r="K54" s="268" t="s">
        <v>153</v>
      </c>
      <c r="L54" s="432">
        <f>GC!$F$15</f>
        <v>313.33</v>
      </c>
      <c r="M54" s="433">
        <f t="shared" si="0"/>
        <v>313.33</v>
      </c>
      <c r="N54" s="249">
        <v>0</v>
      </c>
      <c r="O54" s="433">
        <f t="shared" si="1"/>
        <v>0</v>
      </c>
      <c r="P54" s="434">
        <v>0.16</v>
      </c>
      <c r="Q54" s="433">
        <f t="shared" si="2"/>
        <v>50.132799999999996</v>
      </c>
      <c r="R54" s="433">
        <f t="shared" si="3"/>
        <v>363.46279999999996</v>
      </c>
      <c r="S54" s="433">
        <f>INDEX('Glosario Partidas'!$M$8:$M$10,MATCH(K54,'Glosario Partidas'!$L$8:$L$10,0))</f>
        <v>17.5</v>
      </c>
      <c r="T54" s="433">
        <f t="shared" si="4"/>
        <v>6360.5989999999993</v>
      </c>
      <c r="U54" s="268"/>
      <c r="V54" s="249" t="s">
        <v>12</v>
      </c>
      <c r="W54" s="249" t="s">
        <v>491</v>
      </c>
      <c r="X54" s="249"/>
    </row>
    <row r="55" spans="1:24" ht="15" customHeight="1" x14ac:dyDescent="0.2">
      <c r="A55" s="268"/>
      <c r="B55" s="268" t="s">
        <v>108</v>
      </c>
      <c r="C55" s="268" t="s">
        <v>399</v>
      </c>
      <c r="D55" s="431" t="str">
        <f>GC!$B$10</f>
        <v>Soporte para papel higiénico sin cubierta</v>
      </c>
      <c r="E55" s="249" t="s">
        <v>220</v>
      </c>
      <c r="F55" s="268" t="s">
        <v>354</v>
      </c>
      <c r="G55" s="249" t="s">
        <v>707</v>
      </c>
      <c r="H55" s="249" t="s">
        <v>435</v>
      </c>
      <c r="I55" s="268" t="s">
        <v>410</v>
      </c>
      <c r="J55" s="249">
        <v>1</v>
      </c>
      <c r="K55" s="268" t="s">
        <v>153</v>
      </c>
      <c r="L55" s="432">
        <f>GC!$F$10</f>
        <v>238.874348</v>
      </c>
      <c r="M55" s="433">
        <f t="shared" si="0"/>
        <v>238.874348</v>
      </c>
      <c r="N55" s="249">
        <v>0</v>
      </c>
      <c r="O55" s="433">
        <f t="shared" si="1"/>
        <v>0</v>
      </c>
      <c r="P55" s="434">
        <v>0.16</v>
      </c>
      <c r="Q55" s="433">
        <f t="shared" si="2"/>
        <v>38.21989568</v>
      </c>
      <c r="R55" s="433">
        <f t="shared" si="3"/>
        <v>277.09424367999998</v>
      </c>
      <c r="S55" s="433">
        <f>INDEX('Glosario Partidas'!$M$8:$M$10,MATCH(K55,'Glosario Partidas'!$L$8:$L$10,0))</f>
        <v>17.5</v>
      </c>
      <c r="T55" s="433">
        <f t="shared" si="4"/>
        <v>4849.1492644</v>
      </c>
      <c r="U55" s="268"/>
      <c r="V55" s="249" t="s">
        <v>12</v>
      </c>
      <c r="W55" s="249" t="s">
        <v>491</v>
      </c>
      <c r="X55" s="249"/>
    </row>
    <row r="56" spans="1:24" ht="15" customHeight="1" x14ac:dyDescent="0.2">
      <c r="A56" s="268"/>
      <c r="B56" s="268" t="s">
        <v>108</v>
      </c>
      <c r="C56" s="268" t="s">
        <v>399</v>
      </c>
      <c r="D56" s="431" t="str">
        <f>GC!$B$18</f>
        <v>Bañera blanca exenta, con faldón integrado y bastidor (Cape Cod)</v>
      </c>
      <c r="E56" s="249" t="s">
        <v>220</v>
      </c>
      <c r="F56" s="268" t="s">
        <v>354</v>
      </c>
      <c r="G56" s="249" t="s">
        <v>707</v>
      </c>
      <c r="H56" s="249" t="s">
        <v>435</v>
      </c>
      <c r="I56" s="268" t="s">
        <v>410</v>
      </c>
      <c r="J56" s="249">
        <v>1</v>
      </c>
      <c r="K56" s="268" t="s">
        <v>153</v>
      </c>
      <c r="L56" s="432">
        <f>GC!$F$18</f>
        <v>4565</v>
      </c>
      <c r="M56" s="433">
        <f t="shared" si="0"/>
        <v>4565</v>
      </c>
      <c r="N56" s="249">
        <v>0</v>
      </c>
      <c r="O56" s="433">
        <f t="shared" si="1"/>
        <v>0</v>
      </c>
      <c r="P56" s="434">
        <v>0.16</v>
      </c>
      <c r="Q56" s="433">
        <f t="shared" si="2"/>
        <v>730.4</v>
      </c>
      <c r="R56" s="433">
        <f t="shared" si="3"/>
        <v>5295.4</v>
      </c>
      <c r="S56" s="433">
        <f>INDEX('Glosario Partidas'!$M$8:$M$10,MATCH(K56,'Glosario Partidas'!$L$8:$L$10,0))</f>
        <v>17.5</v>
      </c>
      <c r="T56" s="433">
        <f t="shared" si="4"/>
        <v>92669.5</v>
      </c>
      <c r="U56" s="268"/>
      <c r="V56" s="249" t="s">
        <v>12</v>
      </c>
      <c r="W56" s="249" t="s">
        <v>491</v>
      </c>
      <c r="X56" s="249"/>
    </row>
    <row r="57" spans="1:24" ht="15" customHeight="1" x14ac:dyDescent="0.2">
      <c r="A57" s="268"/>
      <c r="B57" s="268" t="s">
        <v>108</v>
      </c>
      <c r="C57" s="268" t="s">
        <v>399</v>
      </c>
      <c r="D57" s="268" t="s">
        <v>1086</v>
      </c>
      <c r="E57" s="249" t="s">
        <v>220</v>
      </c>
      <c r="F57" s="268" t="s">
        <v>354</v>
      </c>
      <c r="G57" s="249" t="s">
        <v>707</v>
      </c>
      <c r="H57" s="249" t="s">
        <v>435</v>
      </c>
      <c r="I57" s="268" t="s">
        <v>410</v>
      </c>
      <c r="J57" s="249">
        <v>0</v>
      </c>
      <c r="K57" s="268" t="s">
        <v>153</v>
      </c>
      <c r="L57" s="432">
        <v>0</v>
      </c>
      <c r="M57" s="433">
        <f t="shared" si="0"/>
        <v>0</v>
      </c>
      <c r="N57" s="249">
        <v>0</v>
      </c>
      <c r="O57" s="433">
        <f t="shared" si="1"/>
        <v>0</v>
      </c>
      <c r="P57" s="434">
        <v>0.16</v>
      </c>
      <c r="Q57" s="433">
        <f t="shared" si="2"/>
        <v>0</v>
      </c>
      <c r="R57" s="433">
        <f t="shared" si="3"/>
        <v>0</v>
      </c>
      <c r="S57" s="433">
        <f>INDEX('Glosario Partidas'!$M$8:$M$10,MATCH(K57,'Glosario Partidas'!$L$8:$L$10,0))</f>
        <v>17.5</v>
      </c>
      <c r="T57" s="433">
        <f t="shared" si="4"/>
        <v>0</v>
      </c>
      <c r="U57" s="268" t="s">
        <v>1087</v>
      </c>
      <c r="V57" s="249" t="s">
        <v>12</v>
      </c>
      <c r="W57" s="249" t="s">
        <v>491</v>
      </c>
      <c r="X57" s="249"/>
    </row>
    <row r="58" spans="1:24" ht="15" customHeight="1" x14ac:dyDescent="0.2">
      <c r="A58" s="268"/>
      <c r="B58" s="268" t="s">
        <v>108</v>
      </c>
      <c r="C58" s="268" t="s">
        <v>399</v>
      </c>
      <c r="D58" s="431" t="str">
        <f>GC!$B$16</f>
        <v>Monomando de bañera en columna para montaje exento con juego de ducha de mano</v>
      </c>
      <c r="E58" s="249" t="s">
        <v>220</v>
      </c>
      <c r="F58" s="268" t="s">
        <v>354</v>
      </c>
      <c r="G58" s="249" t="s">
        <v>707</v>
      </c>
      <c r="H58" s="249" t="s">
        <v>435</v>
      </c>
      <c r="I58" s="268" t="s">
        <v>410</v>
      </c>
      <c r="J58" s="249">
        <v>1</v>
      </c>
      <c r="K58" s="268" t="s">
        <v>153</v>
      </c>
      <c r="L58" s="432">
        <f>GC!$F$16</f>
        <v>1904.2149999999999</v>
      </c>
      <c r="M58" s="433">
        <f t="shared" si="0"/>
        <v>1904.2149999999999</v>
      </c>
      <c r="N58" s="249">
        <v>0</v>
      </c>
      <c r="O58" s="433">
        <f t="shared" si="1"/>
        <v>0</v>
      </c>
      <c r="P58" s="434">
        <v>0.16</v>
      </c>
      <c r="Q58" s="433">
        <f t="shared" si="2"/>
        <v>304.67439999999999</v>
      </c>
      <c r="R58" s="433">
        <f t="shared" si="3"/>
        <v>2208.8894</v>
      </c>
      <c r="S58" s="433">
        <f>INDEX('Glosario Partidas'!$M$8:$M$10,MATCH(K58,'Glosario Partidas'!$L$8:$L$10,0))</f>
        <v>17.5</v>
      </c>
      <c r="T58" s="433">
        <f t="shared" si="4"/>
        <v>38655.5645</v>
      </c>
      <c r="U58" s="268"/>
      <c r="V58" s="249" t="s">
        <v>12</v>
      </c>
      <c r="W58" s="249" t="s">
        <v>491</v>
      </c>
      <c r="X58" s="249"/>
    </row>
    <row r="59" spans="1:24" ht="15" customHeight="1" x14ac:dyDescent="0.2">
      <c r="A59" s="268"/>
      <c r="B59" s="268" t="s">
        <v>108</v>
      </c>
      <c r="C59" s="268" t="s">
        <v>399</v>
      </c>
      <c r="D59" s="431" t="str">
        <f>GC!$B$17</f>
        <v>Fijación al suelo empotrado (rough)</v>
      </c>
      <c r="E59" s="249" t="s">
        <v>220</v>
      </c>
      <c r="F59" s="268" t="s">
        <v>354</v>
      </c>
      <c r="G59" s="249" t="s">
        <v>707</v>
      </c>
      <c r="H59" s="249" t="s">
        <v>435</v>
      </c>
      <c r="I59" s="268" t="s">
        <v>410</v>
      </c>
      <c r="J59" s="249">
        <v>1</v>
      </c>
      <c r="K59" s="268" t="s">
        <v>153</v>
      </c>
      <c r="L59" s="432">
        <f>GC!$F$17</f>
        <v>292.73</v>
      </c>
      <c r="M59" s="433">
        <f t="shared" si="0"/>
        <v>292.73</v>
      </c>
      <c r="N59" s="249">
        <v>0</v>
      </c>
      <c r="O59" s="433">
        <f t="shared" si="1"/>
        <v>0</v>
      </c>
      <c r="P59" s="434">
        <v>0.16</v>
      </c>
      <c r="Q59" s="433">
        <f t="shared" si="2"/>
        <v>46.836800000000004</v>
      </c>
      <c r="R59" s="433">
        <f t="shared" si="3"/>
        <v>339.5668</v>
      </c>
      <c r="S59" s="433">
        <f>INDEX('Glosario Partidas'!$M$8:$M$10,MATCH(K59,'Glosario Partidas'!$L$8:$L$10,0))</f>
        <v>17.5</v>
      </c>
      <c r="T59" s="433">
        <f t="shared" si="4"/>
        <v>5942.4189999999999</v>
      </c>
      <c r="U59" s="268"/>
      <c r="V59" s="249" t="s">
        <v>12</v>
      </c>
      <c r="W59" s="249" t="s">
        <v>491</v>
      </c>
      <c r="X59" s="249"/>
    </row>
    <row r="60" spans="1:24" ht="15" customHeight="1" x14ac:dyDescent="0.2">
      <c r="A60" s="268"/>
      <c r="B60" s="268" t="s">
        <v>108</v>
      </c>
      <c r="C60" s="268" t="s">
        <v>399</v>
      </c>
      <c r="D60" s="431" t="str">
        <f>GC!$B$9</f>
        <v>Barra de agarre / Toallero chico 45cm</v>
      </c>
      <c r="E60" s="249" t="s">
        <v>220</v>
      </c>
      <c r="F60" s="268" t="s">
        <v>354</v>
      </c>
      <c r="G60" s="249" t="s">
        <v>707</v>
      </c>
      <c r="H60" s="249" t="s">
        <v>435</v>
      </c>
      <c r="I60" s="268" t="s">
        <v>410</v>
      </c>
      <c r="J60" s="249">
        <v>2</v>
      </c>
      <c r="K60" s="268" t="s">
        <v>153</v>
      </c>
      <c r="L60" s="432">
        <f>GC!$F$9</f>
        <v>471.15</v>
      </c>
      <c r="M60" s="433">
        <f t="shared" si="0"/>
        <v>942.3</v>
      </c>
      <c r="N60" s="249">
        <v>0</v>
      </c>
      <c r="O60" s="433">
        <f t="shared" si="1"/>
        <v>0</v>
      </c>
      <c r="P60" s="434">
        <v>0.16</v>
      </c>
      <c r="Q60" s="433">
        <f t="shared" si="2"/>
        <v>150.768</v>
      </c>
      <c r="R60" s="433">
        <f t="shared" si="3"/>
        <v>1093.068</v>
      </c>
      <c r="S60" s="433">
        <f>INDEX('Glosario Partidas'!$M$8:$M$10,MATCH(K60,'Glosario Partidas'!$L$8:$L$10,0))</f>
        <v>17.5</v>
      </c>
      <c r="T60" s="433">
        <f t="shared" si="4"/>
        <v>19128.689999999999</v>
      </c>
      <c r="U60" s="268"/>
      <c r="V60" s="249" t="s">
        <v>12</v>
      </c>
      <c r="W60" s="249" t="s">
        <v>491</v>
      </c>
      <c r="X60" s="249"/>
    </row>
    <row r="61" spans="1:24" ht="15" customHeight="1" x14ac:dyDescent="0.2">
      <c r="A61" s="268"/>
      <c r="B61" s="268" t="s">
        <v>108</v>
      </c>
      <c r="C61" s="268" t="s">
        <v>399</v>
      </c>
      <c r="D61" s="431" t="str">
        <f>GC!$B$11</f>
        <v>Gancho</v>
      </c>
      <c r="E61" s="249" t="s">
        <v>220</v>
      </c>
      <c r="F61" s="268" t="s">
        <v>354</v>
      </c>
      <c r="G61" s="249" t="s">
        <v>707</v>
      </c>
      <c r="H61" s="249" t="s">
        <v>435</v>
      </c>
      <c r="I61" s="268" t="s">
        <v>410</v>
      </c>
      <c r="J61" s="249">
        <v>2</v>
      </c>
      <c r="K61" s="268" t="s">
        <v>153</v>
      </c>
      <c r="L61" s="432">
        <f>GC!$F$11</f>
        <v>61.111086999999998</v>
      </c>
      <c r="M61" s="433">
        <f t="shared" si="0"/>
        <v>122.222174</v>
      </c>
      <c r="N61" s="249">
        <v>0</v>
      </c>
      <c r="O61" s="433">
        <f t="shared" si="1"/>
        <v>0</v>
      </c>
      <c r="P61" s="434">
        <v>0.16</v>
      </c>
      <c r="Q61" s="433">
        <f t="shared" si="2"/>
        <v>19.555547839999999</v>
      </c>
      <c r="R61" s="433">
        <f t="shared" si="3"/>
        <v>141.77772184</v>
      </c>
      <c r="S61" s="433">
        <f>INDEX('Glosario Partidas'!$M$8:$M$10,MATCH(K61,'Glosario Partidas'!$L$8:$L$10,0))</f>
        <v>17.5</v>
      </c>
      <c r="T61" s="433">
        <f t="shared" si="4"/>
        <v>2481.1101322</v>
      </c>
      <c r="U61" s="268"/>
      <c r="V61" s="249" t="s">
        <v>12</v>
      </c>
      <c r="W61" s="249" t="s">
        <v>491</v>
      </c>
      <c r="X61" s="249"/>
    </row>
    <row r="62" spans="1:24" ht="15" customHeight="1" x14ac:dyDescent="0.2">
      <c r="A62" s="268"/>
      <c r="B62" s="268" t="s">
        <v>108</v>
      </c>
      <c r="C62" s="268" t="s">
        <v>400</v>
      </c>
      <c r="D62" s="431" t="str">
        <f>GC!$B$7</f>
        <v>Inodoro a piso de una pieza (Starck 3)</v>
      </c>
      <c r="E62" s="249" t="s">
        <v>220</v>
      </c>
      <c r="F62" s="268" t="s">
        <v>221</v>
      </c>
      <c r="G62" s="249" t="s">
        <v>700</v>
      </c>
      <c r="H62" s="249" t="s">
        <v>435</v>
      </c>
      <c r="I62" s="268" t="s">
        <v>410</v>
      </c>
      <c r="J62" s="249">
        <v>1</v>
      </c>
      <c r="K62" s="268" t="s">
        <v>153</v>
      </c>
      <c r="L62" s="432">
        <f>GC!$F$7</f>
        <v>667.07</v>
      </c>
      <c r="M62" s="433">
        <f t="shared" si="0"/>
        <v>667.07</v>
      </c>
      <c r="N62" s="249">
        <v>0</v>
      </c>
      <c r="O62" s="433">
        <f t="shared" si="1"/>
        <v>0</v>
      </c>
      <c r="P62" s="434">
        <v>0.16</v>
      </c>
      <c r="Q62" s="433">
        <f t="shared" si="2"/>
        <v>106.73120000000002</v>
      </c>
      <c r="R62" s="433">
        <f t="shared" si="3"/>
        <v>773.80120000000011</v>
      </c>
      <c r="S62" s="433">
        <f>INDEX('Glosario Partidas'!$M$8:$M$10,MATCH(K62,'Glosario Partidas'!$L$8:$L$10,0))</f>
        <v>17.5</v>
      </c>
      <c r="T62" s="433">
        <f t="shared" si="4"/>
        <v>13541.521000000002</v>
      </c>
      <c r="U62" s="268"/>
      <c r="V62" s="249" t="s">
        <v>12</v>
      </c>
      <c r="W62" s="249" t="s">
        <v>491</v>
      </c>
      <c r="X62" s="249"/>
    </row>
    <row r="63" spans="1:24" ht="15" customHeight="1" x14ac:dyDescent="0.2">
      <c r="A63" s="268"/>
      <c r="B63" s="268" t="s">
        <v>108</v>
      </c>
      <c r="C63" s="268" t="s">
        <v>400</v>
      </c>
      <c r="D63" s="431" t="str">
        <f>GC!$B$8</f>
        <v>Monomando de lavabo con válvula automática</v>
      </c>
      <c r="E63" s="249" t="s">
        <v>220</v>
      </c>
      <c r="F63" s="268" t="s">
        <v>221</v>
      </c>
      <c r="G63" s="249" t="s">
        <v>700</v>
      </c>
      <c r="H63" s="249" t="s">
        <v>435</v>
      </c>
      <c r="I63" s="268" t="s">
        <v>410</v>
      </c>
      <c r="J63" s="249">
        <v>2</v>
      </c>
      <c r="K63" s="268" t="s">
        <v>153</v>
      </c>
      <c r="L63" s="432">
        <f>GC!$F$8</f>
        <v>975.99151900000004</v>
      </c>
      <c r="M63" s="433">
        <f t="shared" si="0"/>
        <v>1951.9830380000001</v>
      </c>
      <c r="N63" s="249">
        <v>0</v>
      </c>
      <c r="O63" s="433">
        <f t="shared" si="1"/>
        <v>0</v>
      </c>
      <c r="P63" s="434">
        <v>0.16</v>
      </c>
      <c r="Q63" s="433">
        <f t="shared" si="2"/>
        <v>312.31728608000003</v>
      </c>
      <c r="R63" s="433">
        <f t="shared" si="3"/>
        <v>2264.3003240799999</v>
      </c>
      <c r="S63" s="433">
        <f>INDEX('Glosario Partidas'!$M$8:$M$10,MATCH(K63,'Glosario Partidas'!$L$8:$L$10,0))</f>
        <v>17.5</v>
      </c>
      <c r="T63" s="433">
        <f t="shared" si="4"/>
        <v>39625.255671399995</v>
      </c>
      <c r="U63" s="268"/>
      <c r="V63" s="249" t="s">
        <v>12</v>
      </c>
      <c r="W63" s="249" t="s">
        <v>491</v>
      </c>
      <c r="X63" s="249"/>
    </row>
    <row r="64" spans="1:24" ht="15" customHeight="1" x14ac:dyDescent="0.2">
      <c r="A64" s="268"/>
      <c r="B64" s="268" t="s">
        <v>108</v>
      </c>
      <c r="C64" s="268" t="s">
        <v>400</v>
      </c>
      <c r="D64" s="431" t="str">
        <f>GC!$B$21</f>
        <v>Soporte para vidrio (SERIES SPECIFIC, XS-081077, Brushed Dark Platinum)</v>
      </c>
      <c r="E64" s="249" t="s">
        <v>220</v>
      </c>
      <c r="F64" s="268" t="s">
        <v>221</v>
      </c>
      <c r="G64" s="249" t="s">
        <v>700</v>
      </c>
      <c r="H64" s="249" t="s">
        <v>435</v>
      </c>
      <c r="I64" s="268" t="s">
        <v>410</v>
      </c>
      <c r="J64" s="249">
        <v>2</v>
      </c>
      <c r="K64" s="268" t="s">
        <v>153</v>
      </c>
      <c r="L64" s="432">
        <f>GC!$F$21</f>
        <v>281.02</v>
      </c>
      <c r="M64" s="433">
        <f t="shared" si="0"/>
        <v>562.04</v>
      </c>
      <c r="N64" s="249">
        <v>0</v>
      </c>
      <c r="O64" s="433">
        <f t="shared" si="1"/>
        <v>0</v>
      </c>
      <c r="P64" s="434">
        <v>0.16</v>
      </c>
      <c r="Q64" s="433">
        <f t="shared" si="2"/>
        <v>89.926400000000001</v>
      </c>
      <c r="R64" s="433">
        <f t="shared" si="3"/>
        <v>651.96640000000002</v>
      </c>
      <c r="S64" s="433">
        <f>INDEX('Glosario Partidas'!$M$8:$M$10,MATCH(K64,'Glosario Partidas'!$L$8:$L$10,0))</f>
        <v>17.5</v>
      </c>
      <c r="T64" s="433">
        <f t="shared" si="4"/>
        <v>11409.412</v>
      </c>
      <c r="U64" s="268" t="s">
        <v>1084</v>
      </c>
      <c r="V64" s="249" t="s">
        <v>12</v>
      </c>
      <c r="W64" s="249" t="s">
        <v>491</v>
      </c>
      <c r="X64" s="249"/>
    </row>
    <row r="65" spans="1:24" ht="15" customHeight="1" x14ac:dyDescent="0.2">
      <c r="A65" s="268"/>
      <c r="B65" s="268" t="s">
        <v>108</v>
      </c>
      <c r="C65" s="268" t="s">
        <v>400</v>
      </c>
      <c r="D65" s="431" t="str">
        <f>GC!$B$12</f>
        <v>Set de ducha de mano con soporte de pared integrado</v>
      </c>
      <c r="E65" s="249" t="s">
        <v>220</v>
      </c>
      <c r="F65" s="268" t="s">
        <v>221</v>
      </c>
      <c r="G65" s="249" t="s">
        <v>700</v>
      </c>
      <c r="H65" s="249" t="s">
        <v>435</v>
      </c>
      <c r="I65" s="268" t="s">
        <v>410</v>
      </c>
      <c r="J65" s="249">
        <v>1</v>
      </c>
      <c r="K65" s="268" t="s">
        <v>153</v>
      </c>
      <c r="L65" s="432">
        <f>GC!$F$12</f>
        <v>325.25947400000001</v>
      </c>
      <c r="M65" s="433">
        <f t="shared" si="0"/>
        <v>325.25947400000001</v>
      </c>
      <c r="N65" s="249">
        <v>0</v>
      </c>
      <c r="O65" s="433">
        <f t="shared" si="1"/>
        <v>0</v>
      </c>
      <c r="P65" s="434">
        <v>0.16</v>
      </c>
      <c r="Q65" s="433">
        <f t="shared" si="2"/>
        <v>52.041515840000002</v>
      </c>
      <c r="R65" s="433">
        <f t="shared" si="3"/>
        <v>377.30098984</v>
      </c>
      <c r="S65" s="433">
        <f>INDEX('Glosario Partidas'!$M$8:$M$10,MATCH(K65,'Glosario Partidas'!$L$8:$L$10,0))</f>
        <v>17.5</v>
      </c>
      <c r="T65" s="433">
        <f t="shared" si="4"/>
        <v>6602.7673222000003</v>
      </c>
      <c r="U65" s="268"/>
      <c r="V65" s="249" t="s">
        <v>12</v>
      </c>
      <c r="W65" s="249" t="s">
        <v>491</v>
      </c>
      <c r="X65" s="249"/>
    </row>
    <row r="66" spans="1:24" ht="15" customHeight="1" x14ac:dyDescent="0.2">
      <c r="A66" s="268"/>
      <c r="B66" s="268" t="s">
        <v>108</v>
      </c>
      <c r="C66" s="268" t="s">
        <v>400</v>
      </c>
      <c r="D66" s="431" t="str">
        <f>GC!$B$13</f>
        <v>Ducha efecto lluvia con fijación a pared 400 mm</v>
      </c>
      <c r="E66" s="249" t="s">
        <v>220</v>
      </c>
      <c r="F66" s="268" t="s">
        <v>221</v>
      </c>
      <c r="G66" s="249" t="s">
        <v>700</v>
      </c>
      <c r="H66" s="249" t="s">
        <v>435</v>
      </c>
      <c r="I66" s="268" t="s">
        <v>410</v>
      </c>
      <c r="J66" s="249">
        <v>1</v>
      </c>
      <c r="K66" s="268" t="s">
        <v>153</v>
      </c>
      <c r="L66" s="432">
        <f>GC!$F$13</f>
        <v>1807.197105</v>
      </c>
      <c r="M66" s="433">
        <f t="shared" ref="M66:M129" si="5">J66*L66</f>
        <v>1807.197105</v>
      </c>
      <c r="N66" s="249">
        <v>0</v>
      </c>
      <c r="O66" s="433">
        <f t="shared" ref="O66:O129" si="6">M66*N66</f>
        <v>0</v>
      </c>
      <c r="P66" s="434">
        <v>0.16</v>
      </c>
      <c r="Q66" s="433">
        <f t="shared" ref="Q66:Q129" si="7">(M66+O66)*P66</f>
        <v>289.15153679999997</v>
      </c>
      <c r="R66" s="433">
        <f t="shared" ref="R66:R129" si="8">M66+O66+Q66</f>
        <v>2096.3486417999998</v>
      </c>
      <c r="S66" s="433">
        <f>INDEX('Glosario Partidas'!$M$8:$M$10,MATCH(K66,'Glosario Partidas'!$L$8:$L$10,0))</f>
        <v>17.5</v>
      </c>
      <c r="T66" s="433">
        <f t="shared" ref="T66:T129" si="9">R66*S66</f>
        <v>36686.101231499997</v>
      </c>
      <c r="U66" s="268"/>
      <c r="V66" s="249" t="s">
        <v>12</v>
      </c>
      <c r="W66" s="249" t="s">
        <v>491</v>
      </c>
      <c r="X66" s="249"/>
    </row>
    <row r="67" spans="1:24" ht="15" customHeight="1" x14ac:dyDescent="0.2">
      <c r="A67" s="268"/>
      <c r="B67" s="268" t="s">
        <v>108</v>
      </c>
      <c r="C67" s="268" t="s">
        <v>400</v>
      </c>
      <c r="D67" s="431" t="str">
        <f>GC!$B$22</f>
        <v>Canaleta de ducha para piedra natural TECE showerline (15201082)</v>
      </c>
      <c r="E67" s="249" t="s">
        <v>220</v>
      </c>
      <c r="F67" s="268" t="s">
        <v>221</v>
      </c>
      <c r="G67" s="249" t="s">
        <v>700</v>
      </c>
      <c r="H67" s="249" t="s">
        <v>435</v>
      </c>
      <c r="I67" s="268" t="s">
        <v>410</v>
      </c>
      <c r="J67" s="249">
        <v>1</v>
      </c>
      <c r="K67" s="268" t="s">
        <v>153</v>
      </c>
      <c r="L67" s="432">
        <f>GC!$F$22</f>
        <v>290.33763199999999</v>
      </c>
      <c r="M67" s="433">
        <f t="shared" si="5"/>
        <v>290.33763199999999</v>
      </c>
      <c r="N67" s="249">
        <v>0</v>
      </c>
      <c r="O67" s="433">
        <f t="shared" si="6"/>
        <v>0</v>
      </c>
      <c r="P67" s="434">
        <v>0.16</v>
      </c>
      <c r="Q67" s="433">
        <f t="shared" si="7"/>
        <v>46.45402112</v>
      </c>
      <c r="R67" s="433">
        <f t="shared" si="8"/>
        <v>336.79165311999998</v>
      </c>
      <c r="S67" s="433">
        <f>INDEX('Glosario Partidas'!$M$8:$M$10,MATCH(K67,'Glosario Partidas'!$L$8:$L$10,0))</f>
        <v>17.5</v>
      </c>
      <c r="T67" s="433">
        <f t="shared" si="9"/>
        <v>5893.8539295999999</v>
      </c>
      <c r="U67" s="268" t="s">
        <v>1085</v>
      </c>
      <c r="V67" s="249" t="s">
        <v>12</v>
      </c>
      <c r="W67" s="249" t="s">
        <v>491</v>
      </c>
      <c r="X67" s="249"/>
    </row>
    <row r="68" spans="1:24" ht="15" customHeight="1" x14ac:dyDescent="0.2">
      <c r="A68" s="268"/>
      <c r="B68" s="268" t="s">
        <v>108</v>
      </c>
      <c r="C68" s="268" t="s">
        <v>400</v>
      </c>
      <c r="D68" s="431" t="str">
        <f>GC!$B$14</f>
        <v>Termostato oculto con control de volumen bidireccional</v>
      </c>
      <c r="E68" s="249" t="s">
        <v>220</v>
      </c>
      <c r="F68" s="268" t="s">
        <v>221</v>
      </c>
      <c r="G68" s="249" t="s">
        <v>700</v>
      </c>
      <c r="H68" s="249" t="s">
        <v>435</v>
      </c>
      <c r="I68" s="268" t="s">
        <v>410</v>
      </c>
      <c r="J68" s="249">
        <v>1</v>
      </c>
      <c r="K68" s="268" t="s">
        <v>153</v>
      </c>
      <c r="L68" s="432">
        <f>GC!$F$14</f>
        <v>350.19605300000001</v>
      </c>
      <c r="M68" s="433">
        <f t="shared" si="5"/>
        <v>350.19605300000001</v>
      </c>
      <c r="N68" s="249">
        <v>0</v>
      </c>
      <c r="O68" s="433">
        <f t="shared" si="6"/>
        <v>0</v>
      </c>
      <c r="P68" s="434">
        <v>0.16</v>
      </c>
      <c r="Q68" s="433">
        <f t="shared" si="7"/>
        <v>56.031368480000005</v>
      </c>
      <c r="R68" s="433">
        <f t="shared" si="8"/>
        <v>406.22742148000003</v>
      </c>
      <c r="S68" s="433">
        <f>INDEX('Glosario Partidas'!$M$8:$M$10,MATCH(K68,'Glosario Partidas'!$L$8:$L$10,0))</f>
        <v>17.5</v>
      </c>
      <c r="T68" s="433">
        <f t="shared" si="9"/>
        <v>7108.9798759000005</v>
      </c>
      <c r="U68" s="268"/>
      <c r="V68" s="249" t="s">
        <v>12</v>
      </c>
      <c r="W68" s="249" t="s">
        <v>491</v>
      </c>
      <c r="X68" s="249"/>
    </row>
    <row r="69" spans="1:24" ht="15" customHeight="1" x14ac:dyDescent="0.2">
      <c r="A69" s="268"/>
      <c r="B69" s="268" t="s">
        <v>108</v>
      </c>
      <c r="C69" s="268" t="s">
        <v>400</v>
      </c>
      <c r="D69" s="431" t="str">
        <f>GC!$B$15</f>
        <v>Termostato empotrado (rough)</v>
      </c>
      <c r="E69" s="249" t="s">
        <v>220</v>
      </c>
      <c r="F69" s="268" t="s">
        <v>221</v>
      </c>
      <c r="G69" s="249" t="s">
        <v>700</v>
      </c>
      <c r="H69" s="249" t="s">
        <v>435</v>
      </c>
      <c r="I69" s="268" t="s">
        <v>410</v>
      </c>
      <c r="J69" s="249">
        <v>1</v>
      </c>
      <c r="K69" s="268" t="s">
        <v>153</v>
      </c>
      <c r="L69" s="432">
        <f>GC!$F$15</f>
        <v>313.33</v>
      </c>
      <c r="M69" s="433">
        <f t="shared" si="5"/>
        <v>313.33</v>
      </c>
      <c r="N69" s="249">
        <v>0</v>
      </c>
      <c r="O69" s="433">
        <f t="shared" si="6"/>
        <v>0</v>
      </c>
      <c r="P69" s="434">
        <v>0.16</v>
      </c>
      <c r="Q69" s="433">
        <f t="shared" si="7"/>
        <v>50.132799999999996</v>
      </c>
      <c r="R69" s="433">
        <f t="shared" si="8"/>
        <v>363.46279999999996</v>
      </c>
      <c r="S69" s="433">
        <f>INDEX('Glosario Partidas'!$M$8:$M$10,MATCH(K69,'Glosario Partidas'!$L$8:$L$10,0))</f>
        <v>17.5</v>
      </c>
      <c r="T69" s="433">
        <f t="shared" si="9"/>
        <v>6360.5989999999993</v>
      </c>
      <c r="U69" s="268"/>
      <c r="V69" s="249" t="s">
        <v>12</v>
      </c>
      <c r="W69" s="249" t="s">
        <v>491</v>
      </c>
      <c r="X69" s="249"/>
    </row>
    <row r="70" spans="1:24" ht="15" customHeight="1" x14ac:dyDescent="0.2">
      <c r="A70" s="268"/>
      <c r="B70" s="268" t="s">
        <v>108</v>
      </c>
      <c r="C70" s="268" t="s">
        <v>400</v>
      </c>
      <c r="D70" s="431" t="str">
        <f>GC!$B$10</f>
        <v>Soporte para papel higiénico sin cubierta</v>
      </c>
      <c r="E70" s="249" t="s">
        <v>220</v>
      </c>
      <c r="F70" s="268" t="s">
        <v>221</v>
      </c>
      <c r="G70" s="249" t="s">
        <v>700</v>
      </c>
      <c r="H70" s="249" t="s">
        <v>435</v>
      </c>
      <c r="I70" s="268" t="s">
        <v>410</v>
      </c>
      <c r="J70" s="249">
        <v>1</v>
      </c>
      <c r="K70" s="268" t="s">
        <v>153</v>
      </c>
      <c r="L70" s="432">
        <f>GC!$F$10</f>
        <v>238.874348</v>
      </c>
      <c r="M70" s="433">
        <f t="shared" si="5"/>
        <v>238.874348</v>
      </c>
      <c r="N70" s="249">
        <v>0</v>
      </c>
      <c r="O70" s="433">
        <f t="shared" si="6"/>
        <v>0</v>
      </c>
      <c r="P70" s="434">
        <v>0.16</v>
      </c>
      <c r="Q70" s="433">
        <f t="shared" si="7"/>
        <v>38.21989568</v>
      </c>
      <c r="R70" s="433">
        <f t="shared" si="8"/>
        <v>277.09424367999998</v>
      </c>
      <c r="S70" s="433">
        <f>INDEX('Glosario Partidas'!$M$8:$M$10,MATCH(K70,'Glosario Partidas'!$L$8:$L$10,0))</f>
        <v>17.5</v>
      </c>
      <c r="T70" s="433">
        <f t="shared" si="9"/>
        <v>4849.1492644</v>
      </c>
      <c r="U70" s="268"/>
      <c r="V70" s="249" t="s">
        <v>12</v>
      </c>
      <c r="W70" s="249" t="s">
        <v>491</v>
      </c>
      <c r="X70" s="249"/>
    </row>
    <row r="71" spans="1:24" ht="15" customHeight="1" x14ac:dyDescent="0.2">
      <c r="A71" s="268"/>
      <c r="B71" s="268" t="s">
        <v>108</v>
      </c>
      <c r="C71" s="268" t="s">
        <v>400</v>
      </c>
      <c r="D71" s="431" t="str">
        <f>GC!$B$9</f>
        <v>Barra de agarre / Toallero chico 45cm</v>
      </c>
      <c r="E71" s="249" t="s">
        <v>220</v>
      </c>
      <c r="F71" s="268" t="s">
        <v>221</v>
      </c>
      <c r="G71" s="249" t="s">
        <v>700</v>
      </c>
      <c r="H71" s="249" t="s">
        <v>435</v>
      </c>
      <c r="I71" s="268" t="s">
        <v>410</v>
      </c>
      <c r="J71" s="249">
        <v>2</v>
      </c>
      <c r="K71" s="268" t="s">
        <v>153</v>
      </c>
      <c r="L71" s="432">
        <f>GC!$F$9</f>
        <v>471.15</v>
      </c>
      <c r="M71" s="433">
        <f t="shared" si="5"/>
        <v>942.3</v>
      </c>
      <c r="N71" s="249">
        <v>0</v>
      </c>
      <c r="O71" s="433">
        <f t="shared" si="6"/>
        <v>0</v>
      </c>
      <c r="P71" s="434">
        <v>0.16</v>
      </c>
      <c r="Q71" s="433">
        <f t="shared" si="7"/>
        <v>150.768</v>
      </c>
      <c r="R71" s="433">
        <f t="shared" si="8"/>
        <v>1093.068</v>
      </c>
      <c r="S71" s="433">
        <f>INDEX('Glosario Partidas'!$M$8:$M$10,MATCH(K71,'Glosario Partidas'!$L$8:$L$10,0))</f>
        <v>17.5</v>
      </c>
      <c r="T71" s="433">
        <f t="shared" si="9"/>
        <v>19128.689999999999</v>
      </c>
      <c r="U71" s="268"/>
      <c r="V71" s="249" t="s">
        <v>12</v>
      </c>
      <c r="W71" s="249" t="s">
        <v>491</v>
      </c>
      <c r="X71" s="249"/>
    </row>
    <row r="72" spans="1:24" ht="15" customHeight="1" x14ac:dyDescent="0.2">
      <c r="A72" s="268"/>
      <c r="B72" s="268" t="s">
        <v>108</v>
      </c>
      <c r="C72" s="268" t="s">
        <v>400</v>
      </c>
      <c r="D72" s="431" t="str">
        <f>GC!$B$11</f>
        <v>Gancho</v>
      </c>
      <c r="E72" s="249" t="s">
        <v>220</v>
      </c>
      <c r="F72" s="268" t="s">
        <v>221</v>
      </c>
      <c r="G72" s="249" t="s">
        <v>700</v>
      </c>
      <c r="H72" s="249" t="s">
        <v>435</v>
      </c>
      <c r="I72" s="268" t="s">
        <v>410</v>
      </c>
      <c r="J72" s="249">
        <v>2</v>
      </c>
      <c r="K72" s="268" t="s">
        <v>153</v>
      </c>
      <c r="L72" s="432">
        <f>GC!$F$11</f>
        <v>61.111086999999998</v>
      </c>
      <c r="M72" s="433">
        <f t="shared" si="5"/>
        <v>122.222174</v>
      </c>
      <c r="N72" s="249">
        <v>0</v>
      </c>
      <c r="O72" s="433">
        <f t="shared" si="6"/>
        <v>0</v>
      </c>
      <c r="P72" s="434">
        <v>0.16</v>
      </c>
      <c r="Q72" s="433">
        <f t="shared" si="7"/>
        <v>19.555547839999999</v>
      </c>
      <c r="R72" s="433">
        <f t="shared" si="8"/>
        <v>141.77772184</v>
      </c>
      <c r="S72" s="433">
        <f>INDEX('Glosario Partidas'!$M$8:$M$10,MATCH(K72,'Glosario Partidas'!$L$8:$L$10,0))</f>
        <v>17.5</v>
      </c>
      <c r="T72" s="433">
        <f t="shared" si="9"/>
        <v>2481.1101322</v>
      </c>
      <c r="U72" s="268"/>
      <c r="V72" s="249" t="s">
        <v>12</v>
      </c>
      <c r="W72" s="249" t="s">
        <v>491</v>
      </c>
      <c r="X72" s="249"/>
    </row>
    <row r="73" spans="1:24" ht="15" customHeight="1" x14ac:dyDescent="0.2">
      <c r="A73" s="268"/>
      <c r="B73" s="268" t="s">
        <v>108</v>
      </c>
      <c r="C73" s="268" t="s">
        <v>400</v>
      </c>
      <c r="D73" s="431" t="str">
        <f>GC!$B$7</f>
        <v>Inodoro a piso de una pieza (Starck 3)</v>
      </c>
      <c r="E73" s="249" t="s">
        <v>220</v>
      </c>
      <c r="F73" s="268" t="s">
        <v>354</v>
      </c>
      <c r="G73" s="249" t="s">
        <v>706</v>
      </c>
      <c r="H73" s="249" t="s">
        <v>435</v>
      </c>
      <c r="I73" s="268" t="s">
        <v>410</v>
      </c>
      <c r="J73" s="249">
        <v>1</v>
      </c>
      <c r="K73" s="268" t="s">
        <v>153</v>
      </c>
      <c r="L73" s="432">
        <f>GC!$F$7</f>
        <v>667.07</v>
      </c>
      <c r="M73" s="433">
        <f t="shared" si="5"/>
        <v>667.07</v>
      </c>
      <c r="N73" s="249">
        <v>0</v>
      </c>
      <c r="O73" s="433">
        <f t="shared" si="6"/>
        <v>0</v>
      </c>
      <c r="P73" s="434">
        <v>0.16</v>
      </c>
      <c r="Q73" s="433">
        <f t="shared" si="7"/>
        <v>106.73120000000002</v>
      </c>
      <c r="R73" s="433">
        <f t="shared" si="8"/>
        <v>773.80120000000011</v>
      </c>
      <c r="S73" s="433">
        <f>INDEX('Glosario Partidas'!$M$8:$M$10,MATCH(K73,'Glosario Partidas'!$L$8:$L$10,0))</f>
        <v>17.5</v>
      </c>
      <c r="T73" s="433">
        <f t="shared" si="9"/>
        <v>13541.521000000002</v>
      </c>
      <c r="U73" s="268"/>
      <c r="V73" s="249" t="s">
        <v>12</v>
      </c>
      <c r="W73" s="249" t="s">
        <v>491</v>
      </c>
      <c r="X73" s="249"/>
    </row>
    <row r="74" spans="1:24" ht="15" customHeight="1" x14ac:dyDescent="0.2">
      <c r="A74" s="268"/>
      <c r="B74" s="268" t="s">
        <v>108</v>
      </c>
      <c r="C74" s="268" t="s">
        <v>400</v>
      </c>
      <c r="D74" s="431" t="str">
        <f>GC!$B$8</f>
        <v>Monomando de lavabo con válvula automática</v>
      </c>
      <c r="E74" s="249" t="s">
        <v>220</v>
      </c>
      <c r="F74" s="268" t="s">
        <v>354</v>
      </c>
      <c r="G74" s="249" t="s">
        <v>706</v>
      </c>
      <c r="H74" s="249" t="s">
        <v>435</v>
      </c>
      <c r="I74" s="268" t="s">
        <v>410</v>
      </c>
      <c r="J74" s="249">
        <v>2</v>
      </c>
      <c r="K74" s="268" t="s">
        <v>153</v>
      </c>
      <c r="L74" s="432">
        <f>GC!$F$8</f>
        <v>975.99151900000004</v>
      </c>
      <c r="M74" s="433">
        <f t="shared" si="5"/>
        <v>1951.9830380000001</v>
      </c>
      <c r="N74" s="249">
        <v>0</v>
      </c>
      <c r="O74" s="433">
        <f t="shared" si="6"/>
        <v>0</v>
      </c>
      <c r="P74" s="434">
        <v>0.16</v>
      </c>
      <c r="Q74" s="433">
        <f t="shared" si="7"/>
        <v>312.31728608000003</v>
      </c>
      <c r="R74" s="433">
        <f t="shared" si="8"/>
        <v>2264.3003240799999</v>
      </c>
      <c r="S74" s="433">
        <f>INDEX('Glosario Partidas'!$M$8:$M$10,MATCH(K74,'Glosario Partidas'!$L$8:$L$10,0))</f>
        <v>17.5</v>
      </c>
      <c r="T74" s="433">
        <f t="shared" si="9"/>
        <v>39625.255671399995</v>
      </c>
      <c r="U74" s="268"/>
      <c r="V74" s="249" t="s">
        <v>12</v>
      </c>
      <c r="W74" s="249" t="s">
        <v>491</v>
      </c>
      <c r="X74" s="249"/>
    </row>
    <row r="75" spans="1:24" ht="15" customHeight="1" x14ac:dyDescent="0.2">
      <c r="A75" s="268"/>
      <c r="B75" s="268" t="s">
        <v>108</v>
      </c>
      <c r="C75" s="268" t="s">
        <v>400</v>
      </c>
      <c r="D75" s="431" t="str">
        <f>GC!$B$21</f>
        <v>Soporte para vidrio (SERIES SPECIFIC, XS-081077, Brushed Dark Platinum)</v>
      </c>
      <c r="E75" s="249" t="s">
        <v>220</v>
      </c>
      <c r="F75" s="268" t="s">
        <v>354</v>
      </c>
      <c r="G75" s="249" t="s">
        <v>706</v>
      </c>
      <c r="H75" s="249" t="s">
        <v>435</v>
      </c>
      <c r="I75" s="268" t="s">
        <v>410</v>
      </c>
      <c r="J75" s="249">
        <v>2</v>
      </c>
      <c r="K75" s="268" t="s">
        <v>153</v>
      </c>
      <c r="L75" s="432">
        <f>GC!$F$21</f>
        <v>281.02</v>
      </c>
      <c r="M75" s="433">
        <f t="shared" si="5"/>
        <v>562.04</v>
      </c>
      <c r="N75" s="249">
        <v>0</v>
      </c>
      <c r="O75" s="433">
        <f t="shared" si="6"/>
        <v>0</v>
      </c>
      <c r="P75" s="434">
        <v>0.16</v>
      </c>
      <c r="Q75" s="433">
        <f t="shared" si="7"/>
        <v>89.926400000000001</v>
      </c>
      <c r="R75" s="433">
        <f t="shared" si="8"/>
        <v>651.96640000000002</v>
      </c>
      <c r="S75" s="433">
        <f>INDEX('Glosario Partidas'!$M$8:$M$10,MATCH(K75,'Glosario Partidas'!$L$8:$L$10,0))</f>
        <v>17.5</v>
      </c>
      <c r="T75" s="433">
        <f t="shared" si="9"/>
        <v>11409.412</v>
      </c>
      <c r="U75" s="268" t="s">
        <v>1084</v>
      </c>
      <c r="V75" s="249" t="s">
        <v>12</v>
      </c>
      <c r="W75" s="249" t="s">
        <v>491</v>
      </c>
      <c r="X75" s="249"/>
    </row>
    <row r="76" spans="1:24" ht="15" customHeight="1" x14ac:dyDescent="0.2">
      <c r="A76" s="268"/>
      <c r="B76" s="268" t="s">
        <v>108</v>
      </c>
      <c r="C76" s="268" t="s">
        <v>400</v>
      </c>
      <c r="D76" s="431" t="str">
        <f>GC!$B$12</f>
        <v>Set de ducha de mano con soporte de pared integrado</v>
      </c>
      <c r="E76" s="249" t="s">
        <v>220</v>
      </c>
      <c r="F76" s="268" t="s">
        <v>354</v>
      </c>
      <c r="G76" s="249" t="s">
        <v>706</v>
      </c>
      <c r="H76" s="249" t="s">
        <v>435</v>
      </c>
      <c r="I76" s="268" t="s">
        <v>410</v>
      </c>
      <c r="J76" s="249">
        <v>1</v>
      </c>
      <c r="K76" s="268" t="s">
        <v>153</v>
      </c>
      <c r="L76" s="432">
        <f>GC!$F$12</f>
        <v>325.25947400000001</v>
      </c>
      <c r="M76" s="433">
        <f t="shared" si="5"/>
        <v>325.25947400000001</v>
      </c>
      <c r="N76" s="249">
        <v>0</v>
      </c>
      <c r="O76" s="433">
        <f t="shared" si="6"/>
        <v>0</v>
      </c>
      <c r="P76" s="434">
        <v>0.16</v>
      </c>
      <c r="Q76" s="433">
        <f t="shared" si="7"/>
        <v>52.041515840000002</v>
      </c>
      <c r="R76" s="433">
        <f t="shared" si="8"/>
        <v>377.30098984</v>
      </c>
      <c r="S76" s="433">
        <f>INDEX('Glosario Partidas'!$M$8:$M$10,MATCH(K76,'Glosario Partidas'!$L$8:$L$10,0))</f>
        <v>17.5</v>
      </c>
      <c r="T76" s="433">
        <f t="shared" si="9"/>
        <v>6602.7673222000003</v>
      </c>
      <c r="U76" s="268"/>
      <c r="V76" s="249" t="s">
        <v>12</v>
      </c>
      <c r="W76" s="249" t="s">
        <v>491</v>
      </c>
      <c r="X76" s="249"/>
    </row>
    <row r="77" spans="1:24" ht="15" customHeight="1" x14ac:dyDescent="0.2">
      <c r="A77" s="268"/>
      <c r="B77" s="268" t="s">
        <v>108</v>
      </c>
      <c r="C77" s="268" t="s">
        <v>400</v>
      </c>
      <c r="D77" s="431" t="str">
        <f>GC!$B$13</f>
        <v>Ducha efecto lluvia con fijación a pared 400 mm</v>
      </c>
      <c r="E77" s="249" t="s">
        <v>220</v>
      </c>
      <c r="F77" s="268" t="s">
        <v>354</v>
      </c>
      <c r="G77" s="249" t="s">
        <v>706</v>
      </c>
      <c r="H77" s="249" t="s">
        <v>435</v>
      </c>
      <c r="I77" s="268" t="s">
        <v>410</v>
      </c>
      <c r="J77" s="249">
        <v>1</v>
      </c>
      <c r="K77" s="268" t="s">
        <v>153</v>
      </c>
      <c r="L77" s="432">
        <f>GC!$F$13</f>
        <v>1807.197105</v>
      </c>
      <c r="M77" s="433">
        <f t="shared" si="5"/>
        <v>1807.197105</v>
      </c>
      <c r="N77" s="249">
        <v>0</v>
      </c>
      <c r="O77" s="433">
        <f t="shared" si="6"/>
        <v>0</v>
      </c>
      <c r="P77" s="434">
        <v>0.16</v>
      </c>
      <c r="Q77" s="433">
        <f t="shared" si="7"/>
        <v>289.15153679999997</v>
      </c>
      <c r="R77" s="433">
        <f t="shared" si="8"/>
        <v>2096.3486417999998</v>
      </c>
      <c r="S77" s="433">
        <f>INDEX('Glosario Partidas'!$M$8:$M$10,MATCH(K77,'Glosario Partidas'!$L$8:$L$10,0))</f>
        <v>17.5</v>
      </c>
      <c r="T77" s="433">
        <f t="shared" si="9"/>
        <v>36686.101231499997</v>
      </c>
      <c r="U77" s="268"/>
      <c r="V77" s="249" t="s">
        <v>12</v>
      </c>
      <c r="W77" s="249" t="s">
        <v>491</v>
      </c>
      <c r="X77" s="249"/>
    </row>
    <row r="78" spans="1:24" ht="15" customHeight="1" x14ac:dyDescent="0.2">
      <c r="A78" s="268"/>
      <c r="B78" s="268" t="s">
        <v>108</v>
      </c>
      <c r="C78" s="268" t="s">
        <v>400</v>
      </c>
      <c r="D78" s="431" t="str">
        <f>GC!$B$22</f>
        <v>Canaleta de ducha para piedra natural TECE showerline (15201082)</v>
      </c>
      <c r="E78" s="249" t="s">
        <v>220</v>
      </c>
      <c r="F78" s="268" t="s">
        <v>354</v>
      </c>
      <c r="G78" s="249" t="s">
        <v>706</v>
      </c>
      <c r="H78" s="249" t="s">
        <v>435</v>
      </c>
      <c r="I78" s="268" t="s">
        <v>410</v>
      </c>
      <c r="J78" s="249">
        <v>1</v>
      </c>
      <c r="K78" s="268" t="s">
        <v>153</v>
      </c>
      <c r="L78" s="432">
        <f>GC!$F$22</f>
        <v>290.33763199999999</v>
      </c>
      <c r="M78" s="433">
        <f t="shared" si="5"/>
        <v>290.33763199999999</v>
      </c>
      <c r="N78" s="249">
        <v>0</v>
      </c>
      <c r="O78" s="433">
        <f t="shared" si="6"/>
        <v>0</v>
      </c>
      <c r="P78" s="434">
        <v>0.16</v>
      </c>
      <c r="Q78" s="433">
        <f t="shared" si="7"/>
        <v>46.45402112</v>
      </c>
      <c r="R78" s="433">
        <f t="shared" si="8"/>
        <v>336.79165311999998</v>
      </c>
      <c r="S78" s="433">
        <f>INDEX('Glosario Partidas'!$M$8:$M$10,MATCH(K78,'Glosario Partidas'!$L$8:$L$10,0))</f>
        <v>17.5</v>
      </c>
      <c r="T78" s="433">
        <f t="shared" si="9"/>
        <v>5893.8539295999999</v>
      </c>
      <c r="U78" s="268" t="s">
        <v>1085</v>
      </c>
      <c r="V78" s="249" t="s">
        <v>12</v>
      </c>
      <c r="W78" s="249" t="s">
        <v>491</v>
      </c>
      <c r="X78" s="249"/>
    </row>
    <row r="79" spans="1:24" ht="15" customHeight="1" x14ac:dyDescent="0.2">
      <c r="A79" s="268"/>
      <c r="B79" s="268" t="s">
        <v>108</v>
      </c>
      <c r="C79" s="268" t="s">
        <v>400</v>
      </c>
      <c r="D79" s="431" t="str">
        <f>GC!$B$14</f>
        <v>Termostato oculto con control de volumen bidireccional</v>
      </c>
      <c r="E79" s="249" t="s">
        <v>220</v>
      </c>
      <c r="F79" s="268" t="s">
        <v>354</v>
      </c>
      <c r="G79" s="249" t="s">
        <v>706</v>
      </c>
      <c r="H79" s="249" t="s">
        <v>435</v>
      </c>
      <c r="I79" s="268" t="s">
        <v>410</v>
      </c>
      <c r="J79" s="249">
        <v>1</v>
      </c>
      <c r="K79" s="268" t="s">
        <v>153</v>
      </c>
      <c r="L79" s="432">
        <f>GC!$F$14</f>
        <v>350.19605300000001</v>
      </c>
      <c r="M79" s="433">
        <f t="shared" si="5"/>
        <v>350.19605300000001</v>
      </c>
      <c r="N79" s="249">
        <v>0</v>
      </c>
      <c r="O79" s="433">
        <f t="shared" si="6"/>
        <v>0</v>
      </c>
      <c r="P79" s="434">
        <v>0.16</v>
      </c>
      <c r="Q79" s="433">
        <f t="shared" si="7"/>
        <v>56.031368480000005</v>
      </c>
      <c r="R79" s="433">
        <f t="shared" si="8"/>
        <v>406.22742148000003</v>
      </c>
      <c r="S79" s="433">
        <f>INDEX('Glosario Partidas'!$M$8:$M$10,MATCH(K79,'Glosario Partidas'!$L$8:$L$10,0))</f>
        <v>17.5</v>
      </c>
      <c r="T79" s="433">
        <f t="shared" si="9"/>
        <v>7108.9798759000005</v>
      </c>
      <c r="U79" s="268"/>
      <c r="V79" s="249" t="s">
        <v>12</v>
      </c>
      <c r="W79" s="249" t="s">
        <v>491</v>
      </c>
      <c r="X79" s="249"/>
    </row>
    <row r="80" spans="1:24" ht="15" customHeight="1" x14ac:dyDescent="0.2">
      <c r="A80" s="268"/>
      <c r="B80" s="268" t="s">
        <v>108</v>
      </c>
      <c r="C80" s="268" t="s">
        <v>400</v>
      </c>
      <c r="D80" s="431" t="str">
        <f>GC!$B$15</f>
        <v>Termostato empotrado (rough)</v>
      </c>
      <c r="E80" s="249" t="s">
        <v>220</v>
      </c>
      <c r="F80" s="268" t="s">
        <v>354</v>
      </c>
      <c r="G80" s="249" t="s">
        <v>706</v>
      </c>
      <c r="H80" s="249" t="s">
        <v>435</v>
      </c>
      <c r="I80" s="268" t="s">
        <v>410</v>
      </c>
      <c r="J80" s="249">
        <v>1</v>
      </c>
      <c r="K80" s="268" t="s">
        <v>153</v>
      </c>
      <c r="L80" s="432">
        <f>GC!$F$15</f>
        <v>313.33</v>
      </c>
      <c r="M80" s="433">
        <f t="shared" si="5"/>
        <v>313.33</v>
      </c>
      <c r="N80" s="249">
        <v>0</v>
      </c>
      <c r="O80" s="433">
        <f t="shared" si="6"/>
        <v>0</v>
      </c>
      <c r="P80" s="434">
        <v>0.16</v>
      </c>
      <c r="Q80" s="433">
        <f t="shared" si="7"/>
        <v>50.132799999999996</v>
      </c>
      <c r="R80" s="433">
        <f t="shared" si="8"/>
        <v>363.46279999999996</v>
      </c>
      <c r="S80" s="433">
        <f>INDEX('Glosario Partidas'!$M$8:$M$10,MATCH(K80,'Glosario Partidas'!$L$8:$L$10,0))</f>
        <v>17.5</v>
      </c>
      <c r="T80" s="433">
        <f t="shared" si="9"/>
        <v>6360.5989999999993</v>
      </c>
      <c r="U80" s="268"/>
      <c r="V80" s="249" t="s">
        <v>12</v>
      </c>
      <c r="W80" s="249" t="s">
        <v>491</v>
      </c>
      <c r="X80" s="249"/>
    </row>
    <row r="81" spans="1:24" ht="15" customHeight="1" x14ac:dyDescent="0.2">
      <c r="A81" s="268"/>
      <c r="B81" s="268" t="s">
        <v>108</v>
      </c>
      <c r="C81" s="268" t="s">
        <v>400</v>
      </c>
      <c r="D81" s="431" t="str">
        <f>GC!$B$10</f>
        <v>Soporte para papel higiénico sin cubierta</v>
      </c>
      <c r="E81" s="249" t="s">
        <v>220</v>
      </c>
      <c r="F81" s="268" t="s">
        <v>354</v>
      </c>
      <c r="G81" s="249" t="s">
        <v>706</v>
      </c>
      <c r="H81" s="249" t="s">
        <v>435</v>
      </c>
      <c r="I81" s="268" t="s">
        <v>410</v>
      </c>
      <c r="J81" s="249">
        <v>1</v>
      </c>
      <c r="K81" s="268" t="s">
        <v>153</v>
      </c>
      <c r="L81" s="432">
        <f>GC!$F$10</f>
        <v>238.874348</v>
      </c>
      <c r="M81" s="433">
        <f t="shared" si="5"/>
        <v>238.874348</v>
      </c>
      <c r="N81" s="249">
        <v>0</v>
      </c>
      <c r="O81" s="433">
        <f t="shared" si="6"/>
        <v>0</v>
      </c>
      <c r="P81" s="434">
        <v>0.16</v>
      </c>
      <c r="Q81" s="433">
        <f t="shared" si="7"/>
        <v>38.21989568</v>
      </c>
      <c r="R81" s="433">
        <f t="shared" si="8"/>
        <v>277.09424367999998</v>
      </c>
      <c r="S81" s="433">
        <f>INDEX('Glosario Partidas'!$M$8:$M$10,MATCH(K81,'Glosario Partidas'!$L$8:$L$10,0))</f>
        <v>17.5</v>
      </c>
      <c r="T81" s="433">
        <f t="shared" si="9"/>
        <v>4849.1492644</v>
      </c>
      <c r="U81" s="268"/>
      <c r="V81" s="249" t="s">
        <v>12</v>
      </c>
      <c r="W81" s="249" t="s">
        <v>491</v>
      </c>
      <c r="X81" s="249"/>
    </row>
    <row r="82" spans="1:24" ht="15" customHeight="1" x14ac:dyDescent="0.2">
      <c r="A82" s="268"/>
      <c r="B82" s="268" t="s">
        <v>108</v>
      </c>
      <c r="C82" s="268" t="s">
        <v>400</v>
      </c>
      <c r="D82" s="431" t="str">
        <f>GC!$B$9</f>
        <v>Barra de agarre / Toallero chico 45cm</v>
      </c>
      <c r="E82" s="249" t="s">
        <v>220</v>
      </c>
      <c r="F82" s="268" t="s">
        <v>354</v>
      </c>
      <c r="G82" s="249" t="s">
        <v>706</v>
      </c>
      <c r="H82" s="249" t="s">
        <v>435</v>
      </c>
      <c r="I82" s="268" t="s">
        <v>410</v>
      </c>
      <c r="J82" s="249">
        <v>2</v>
      </c>
      <c r="K82" s="268" t="s">
        <v>153</v>
      </c>
      <c r="L82" s="432">
        <f>GC!$F$9</f>
        <v>471.15</v>
      </c>
      <c r="M82" s="433">
        <f t="shared" si="5"/>
        <v>942.3</v>
      </c>
      <c r="N82" s="249">
        <v>0</v>
      </c>
      <c r="O82" s="433">
        <f t="shared" si="6"/>
        <v>0</v>
      </c>
      <c r="P82" s="434">
        <v>0.16</v>
      </c>
      <c r="Q82" s="433">
        <f t="shared" si="7"/>
        <v>150.768</v>
      </c>
      <c r="R82" s="433">
        <f t="shared" si="8"/>
        <v>1093.068</v>
      </c>
      <c r="S82" s="433">
        <f>INDEX('Glosario Partidas'!$M$8:$M$10,MATCH(K82,'Glosario Partidas'!$L$8:$L$10,0))</f>
        <v>17.5</v>
      </c>
      <c r="T82" s="433">
        <f t="shared" si="9"/>
        <v>19128.689999999999</v>
      </c>
      <c r="U82" s="268"/>
      <c r="V82" s="249" t="s">
        <v>12</v>
      </c>
      <c r="W82" s="249" t="s">
        <v>491</v>
      </c>
      <c r="X82" s="249"/>
    </row>
    <row r="83" spans="1:24" ht="15" customHeight="1" x14ac:dyDescent="0.2">
      <c r="A83" s="268"/>
      <c r="B83" s="268" t="s">
        <v>108</v>
      </c>
      <c r="C83" s="268" t="s">
        <v>400</v>
      </c>
      <c r="D83" s="431" t="str">
        <f>GC!$B$11</f>
        <v>Gancho</v>
      </c>
      <c r="E83" s="249" t="s">
        <v>220</v>
      </c>
      <c r="F83" s="268" t="s">
        <v>354</v>
      </c>
      <c r="G83" s="249" t="s">
        <v>706</v>
      </c>
      <c r="H83" s="249" t="s">
        <v>435</v>
      </c>
      <c r="I83" s="268" t="s">
        <v>410</v>
      </c>
      <c r="J83" s="249">
        <v>2</v>
      </c>
      <c r="K83" s="268" t="s">
        <v>153</v>
      </c>
      <c r="L83" s="432">
        <f>GC!$F$11</f>
        <v>61.111086999999998</v>
      </c>
      <c r="M83" s="433">
        <f t="shared" si="5"/>
        <v>122.222174</v>
      </c>
      <c r="N83" s="249">
        <v>0</v>
      </c>
      <c r="O83" s="433">
        <f t="shared" si="6"/>
        <v>0</v>
      </c>
      <c r="P83" s="434">
        <v>0.16</v>
      </c>
      <c r="Q83" s="433">
        <f t="shared" si="7"/>
        <v>19.555547839999999</v>
      </c>
      <c r="R83" s="433">
        <f t="shared" si="8"/>
        <v>141.77772184</v>
      </c>
      <c r="S83" s="433">
        <f>INDEX('Glosario Partidas'!$M$8:$M$10,MATCH(K83,'Glosario Partidas'!$L$8:$L$10,0))</f>
        <v>17.5</v>
      </c>
      <c r="T83" s="433">
        <f t="shared" si="9"/>
        <v>2481.1101322</v>
      </c>
      <c r="U83" s="268"/>
      <c r="V83" s="249" t="s">
        <v>12</v>
      </c>
      <c r="W83" s="249" t="s">
        <v>491</v>
      </c>
      <c r="X83" s="249"/>
    </row>
    <row r="84" spans="1:24" ht="15" customHeight="1" x14ac:dyDescent="0.2">
      <c r="A84" s="268"/>
      <c r="B84" s="268" t="s">
        <v>108</v>
      </c>
      <c r="C84" s="268" t="s">
        <v>400</v>
      </c>
      <c r="D84" s="431" t="str">
        <f>GC!$B$7</f>
        <v>Inodoro a piso de una pieza (Starck 3)</v>
      </c>
      <c r="E84" s="249" t="s">
        <v>220</v>
      </c>
      <c r="F84" s="268" t="s">
        <v>221</v>
      </c>
      <c r="G84" s="249" t="s">
        <v>703</v>
      </c>
      <c r="H84" s="249" t="s">
        <v>435</v>
      </c>
      <c r="I84" s="268" t="s">
        <v>410</v>
      </c>
      <c r="J84" s="249">
        <v>1</v>
      </c>
      <c r="K84" s="268" t="s">
        <v>153</v>
      </c>
      <c r="L84" s="432">
        <f>GC!$F$7</f>
        <v>667.07</v>
      </c>
      <c r="M84" s="433">
        <f t="shared" si="5"/>
        <v>667.07</v>
      </c>
      <c r="N84" s="249">
        <v>0</v>
      </c>
      <c r="O84" s="433">
        <f t="shared" si="6"/>
        <v>0</v>
      </c>
      <c r="P84" s="434">
        <v>0.16</v>
      </c>
      <c r="Q84" s="433">
        <f t="shared" si="7"/>
        <v>106.73120000000002</v>
      </c>
      <c r="R84" s="433">
        <f t="shared" si="8"/>
        <v>773.80120000000011</v>
      </c>
      <c r="S84" s="433">
        <f>INDEX('Glosario Partidas'!$M$8:$M$10,MATCH(K84,'Glosario Partidas'!$L$8:$L$10,0))</f>
        <v>17.5</v>
      </c>
      <c r="T84" s="433">
        <f t="shared" si="9"/>
        <v>13541.521000000002</v>
      </c>
      <c r="U84" s="268"/>
      <c r="V84" s="249" t="s">
        <v>12</v>
      </c>
      <c r="W84" s="249" t="s">
        <v>491</v>
      </c>
      <c r="X84" s="249"/>
    </row>
    <row r="85" spans="1:24" ht="15" customHeight="1" x14ac:dyDescent="0.2">
      <c r="A85" s="268"/>
      <c r="B85" s="268" t="s">
        <v>108</v>
      </c>
      <c r="C85" s="268" t="s">
        <v>400</v>
      </c>
      <c r="D85" s="431" t="str">
        <f>GC!$B$8</f>
        <v>Monomando de lavabo con válvula automática</v>
      </c>
      <c r="E85" s="249" t="s">
        <v>220</v>
      </c>
      <c r="F85" s="268" t="s">
        <v>221</v>
      </c>
      <c r="G85" s="249" t="s">
        <v>703</v>
      </c>
      <c r="H85" s="249" t="s">
        <v>435</v>
      </c>
      <c r="I85" s="268" t="s">
        <v>410</v>
      </c>
      <c r="J85" s="249">
        <v>2</v>
      </c>
      <c r="K85" s="268" t="s">
        <v>153</v>
      </c>
      <c r="L85" s="432">
        <f>GC!$F$8</f>
        <v>975.99151900000004</v>
      </c>
      <c r="M85" s="433">
        <f t="shared" si="5"/>
        <v>1951.9830380000001</v>
      </c>
      <c r="N85" s="249">
        <v>0</v>
      </c>
      <c r="O85" s="433">
        <f t="shared" si="6"/>
        <v>0</v>
      </c>
      <c r="P85" s="434">
        <v>0.16</v>
      </c>
      <c r="Q85" s="433">
        <f t="shared" si="7"/>
        <v>312.31728608000003</v>
      </c>
      <c r="R85" s="433">
        <f t="shared" si="8"/>
        <v>2264.3003240799999</v>
      </c>
      <c r="S85" s="433">
        <f>INDEX('Glosario Partidas'!$M$8:$M$10,MATCH(K85,'Glosario Partidas'!$L$8:$L$10,0))</f>
        <v>17.5</v>
      </c>
      <c r="T85" s="433">
        <f t="shared" si="9"/>
        <v>39625.255671399995</v>
      </c>
      <c r="U85" s="268"/>
      <c r="V85" s="249" t="s">
        <v>12</v>
      </c>
      <c r="W85" s="249" t="s">
        <v>491</v>
      </c>
      <c r="X85" s="249"/>
    </row>
    <row r="86" spans="1:24" ht="15" customHeight="1" x14ac:dyDescent="0.2">
      <c r="A86" s="268"/>
      <c r="B86" s="268" t="s">
        <v>108</v>
      </c>
      <c r="C86" s="268" t="s">
        <v>400</v>
      </c>
      <c r="D86" s="431" t="str">
        <f>GC!$B$21</f>
        <v>Soporte para vidrio (SERIES SPECIFIC, XS-081077, Brushed Dark Platinum)</v>
      </c>
      <c r="E86" s="249" t="s">
        <v>220</v>
      </c>
      <c r="F86" s="268" t="s">
        <v>221</v>
      </c>
      <c r="G86" s="249" t="s">
        <v>703</v>
      </c>
      <c r="H86" s="249" t="s">
        <v>435</v>
      </c>
      <c r="I86" s="268" t="s">
        <v>410</v>
      </c>
      <c r="J86" s="249">
        <v>2</v>
      </c>
      <c r="K86" s="268" t="s">
        <v>153</v>
      </c>
      <c r="L86" s="432">
        <f>GC!$F$21</f>
        <v>281.02</v>
      </c>
      <c r="M86" s="433">
        <f t="shared" si="5"/>
        <v>562.04</v>
      </c>
      <c r="N86" s="249">
        <v>0</v>
      </c>
      <c r="O86" s="433">
        <f t="shared" si="6"/>
        <v>0</v>
      </c>
      <c r="P86" s="434">
        <v>0.16</v>
      </c>
      <c r="Q86" s="433">
        <f t="shared" si="7"/>
        <v>89.926400000000001</v>
      </c>
      <c r="R86" s="433">
        <f t="shared" si="8"/>
        <v>651.96640000000002</v>
      </c>
      <c r="S86" s="433">
        <f>INDEX('Glosario Partidas'!$M$8:$M$10,MATCH(K86,'Glosario Partidas'!$L$8:$L$10,0))</f>
        <v>17.5</v>
      </c>
      <c r="T86" s="433">
        <f t="shared" si="9"/>
        <v>11409.412</v>
      </c>
      <c r="U86" s="268" t="s">
        <v>1084</v>
      </c>
      <c r="V86" s="249" t="s">
        <v>12</v>
      </c>
      <c r="W86" s="249" t="s">
        <v>491</v>
      </c>
      <c r="X86" s="249"/>
    </row>
    <row r="87" spans="1:24" ht="15" customHeight="1" x14ac:dyDescent="0.2">
      <c r="A87" s="268"/>
      <c r="B87" s="268" t="s">
        <v>108</v>
      </c>
      <c r="C87" s="268" t="s">
        <v>400</v>
      </c>
      <c r="D87" s="431" t="str">
        <f>GC!$B$12</f>
        <v>Set de ducha de mano con soporte de pared integrado</v>
      </c>
      <c r="E87" s="249" t="s">
        <v>220</v>
      </c>
      <c r="F87" s="268" t="s">
        <v>221</v>
      </c>
      <c r="G87" s="249" t="s">
        <v>703</v>
      </c>
      <c r="H87" s="249" t="s">
        <v>435</v>
      </c>
      <c r="I87" s="268" t="s">
        <v>410</v>
      </c>
      <c r="J87" s="249">
        <v>1</v>
      </c>
      <c r="K87" s="268" t="s">
        <v>153</v>
      </c>
      <c r="L87" s="432">
        <f>GC!$F$12</f>
        <v>325.25947400000001</v>
      </c>
      <c r="M87" s="433">
        <f t="shared" si="5"/>
        <v>325.25947400000001</v>
      </c>
      <c r="N87" s="249">
        <v>0</v>
      </c>
      <c r="O87" s="433">
        <f t="shared" si="6"/>
        <v>0</v>
      </c>
      <c r="P87" s="434">
        <v>0.16</v>
      </c>
      <c r="Q87" s="433">
        <f t="shared" si="7"/>
        <v>52.041515840000002</v>
      </c>
      <c r="R87" s="433">
        <f t="shared" si="8"/>
        <v>377.30098984</v>
      </c>
      <c r="S87" s="433">
        <f>INDEX('Glosario Partidas'!$M$8:$M$10,MATCH(K87,'Glosario Partidas'!$L$8:$L$10,0))</f>
        <v>17.5</v>
      </c>
      <c r="T87" s="433">
        <f t="shared" si="9"/>
        <v>6602.7673222000003</v>
      </c>
      <c r="U87" s="268"/>
      <c r="V87" s="249" t="s">
        <v>12</v>
      </c>
      <c r="W87" s="249" t="s">
        <v>491</v>
      </c>
      <c r="X87" s="249"/>
    </row>
    <row r="88" spans="1:24" ht="15" customHeight="1" x14ac:dyDescent="0.2">
      <c r="A88" s="268"/>
      <c r="B88" s="268" t="s">
        <v>108</v>
      </c>
      <c r="C88" s="268" t="s">
        <v>400</v>
      </c>
      <c r="D88" s="431" t="str">
        <f>GC!$B$13</f>
        <v>Ducha efecto lluvia con fijación a pared 400 mm</v>
      </c>
      <c r="E88" s="249" t="s">
        <v>220</v>
      </c>
      <c r="F88" s="268" t="s">
        <v>221</v>
      </c>
      <c r="G88" s="249" t="s">
        <v>703</v>
      </c>
      <c r="H88" s="249" t="s">
        <v>435</v>
      </c>
      <c r="I88" s="268" t="s">
        <v>410</v>
      </c>
      <c r="J88" s="249">
        <v>1</v>
      </c>
      <c r="K88" s="268" t="s">
        <v>153</v>
      </c>
      <c r="L88" s="432">
        <f>GC!$F$13</f>
        <v>1807.197105</v>
      </c>
      <c r="M88" s="433">
        <f t="shared" si="5"/>
        <v>1807.197105</v>
      </c>
      <c r="N88" s="249">
        <v>0</v>
      </c>
      <c r="O88" s="433">
        <f t="shared" si="6"/>
        <v>0</v>
      </c>
      <c r="P88" s="434">
        <v>0.16</v>
      </c>
      <c r="Q88" s="433">
        <f t="shared" si="7"/>
        <v>289.15153679999997</v>
      </c>
      <c r="R88" s="433">
        <f t="shared" si="8"/>
        <v>2096.3486417999998</v>
      </c>
      <c r="S88" s="433">
        <f>INDEX('Glosario Partidas'!$M$8:$M$10,MATCH(K88,'Glosario Partidas'!$L$8:$L$10,0))</f>
        <v>17.5</v>
      </c>
      <c r="T88" s="433">
        <f t="shared" si="9"/>
        <v>36686.101231499997</v>
      </c>
      <c r="U88" s="268"/>
      <c r="V88" s="249" t="s">
        <v>12</v>
      </c>
      <c r="W88" s="249" t="s">
        <v>491</v>
      </c>
      <c r="X88" s="249"/>
    </row>
    <row r="89" spans="1:24" ht="15" customHeight="1" x14ac:dyDescent="0.2">
      <c r="A89" s="268"/>
      <c r="B89" s="268" t="s">
        <v>108</v>
      </c>
      <c r="C89" s="268" t="s">
        <v>400</v>
      </c>
      <c r="D89" s="431" t="str">
        <f>GC!$B$22</f>
        <v>Canaleta de ducha para piedra natural TECE showerline (15201082)</v>
      </c>
      <c r="E89" s="249" t="s">
        <v>220</v>
      </c>
      <c r="F89" s="268" t="s">
        <v>221</v>
      </c>
      <c r="G89" s="249" t="s">
        <v>703</v>
      </c>
      <c r="H89" s="249" t="s">
        <v>435</v>
      </c>
      <c r="I89" s="268" t="s">
        <v>410</v>
      </c>
      <c r="J89" s="249">
        <v>1</v>
      </c>
      <c r="K89" s="268" t="s">
        <v>153</v>
      </c>
      <c r="L89" s="432">
        <f>GC!$F$22</f>
        <v>290.33763199999999</v>
      </c>
      <c r="M89" s="433">
        <f t="shared" si="5"/>
        <v>290.33763199999999</v>
      </c>
      <c r="N89" s="249">
        <v>0</v>
      </c>
      <c r="O89" s="433">
        <f t="shared" si="6"/>
        <v>0</v>
      </c>
      <c r="P89" s="434">
        <v>0.16</v>
      </c>
      <c r="Q89" s="433">
        <f t="shared" si="7"/>
        <v>46.45402112</v>
      </c>
      <c r="R89" s="433">
        <f t="shared" si="8"/>
        <v>336.79165311999998</v>
      </c>
      <c r="S89" s="433">
        <f>INDEX('Glosario Partidas'!$M$8:$M$10,MATCH(K89,'Glosario Partidas'!$L$8:$L$10,0))</f>
        <v>17.5</v>
      </c>
      <c r="T89" s="433">
        <f t="shared" si="9"/>
        <v>5893.8539295999999</v>
      </c>
      <c r="U89" s="268" t="s">
        <v>1085</v>
      </c>
      <c r="V89" s="249" t="s">
        <v>12</v>
      </c>
      <c r="W89" s="249" t="s">
        <v>491</v>
      </c>
      <c r="X89" s="249"/>
    </row>
    <row r="90" spans="1:24" ht="15" customHeight="1" x14ac:dyDescent="0.2">
      <c r="A90" s="268"/>
      <c r="B90" s="268" t="s">
        <v>108</v>
      </c>
      <c r="C90" s="268" t="s">
        <v>400</v>
      </c>
      <c r="D90" s="431" t="str">
        <f>GC!$B$14</f>
        <v>Termostato oculto con control de volumen bidireccional</v>
      </c>
      <c r="E90" s="249" t="s">
        <v>220</v>
      </c>
      <c r="F90" s="268" t="s">
        <v>221</v>
      </c>
      <c r="G90" s="249" t="s">
        <v>703</v>
      </c>
      <c r="H90" s="249" t="s">
        <v>435</v>
      </c>
      <c r="I90" s="268" t="s">
        <v>410</v>
      </c>
      <c r="J90" s="249">
        <v>1</v>
      </c>
      <c r="K90" s="268" t="s">
        <v>153</v>
      </c>
      <c r="L90" s="432">
        <f>GC!$F$14</f>
        <v>350.19605300000001</v>
      </c>
      <c r="M90" s="433">
        <f t="shared" si="5"/>
        <v>350.19605300000001</v>
      </c>
      <c r="N90" s="249">
        <v>0</v>
      </c>
      <c r="O90" s="433">
        <f t="shared" si="6"/>
        <v>0</v>
      </c>
      <c r="P90" s="434">
        <v>0.16</v>
      </c>
      <c r="Q90" s="433">
        <f t="shared" si="7"/>
        <v>56.031368480000005</v>
      </c>
      <c r="R90" s="433">
        <f t="shared" si="8"/>
        <v>406.22742148000003</v>
      </c>
      <c r="S90" s="433">
        <f>INDEX('Glosario Partidas'!$M$8:$M$10,MATCH(K90,'Glosario Partidas'!$L$8:$L$10,0))</f>
        <v>17.5</v>
      </c>
      <c r="T90" s="433">
        <f t="shared" si="9"/>
        <v>7108.9798759000005</v>
      </c>
      <c r="U90" s="268"/>
      <c r="V90" s="249" t="s">
        <v>12</v>
      </c>
      <c r="W90" s="249" t="s">
        <v>491</v>
      </c>
      <c r="X90" s="249"/>
    </row>
    <row r="91" spans="1:24" ht="15" customHeight="1" x14ac:dyDescent="0.2">
      <c r="A91" s="268"/>
      <c r="B91" s="268" t="s">
        <v>108</v>
      </c>
      <c r="C91" s="268" t="s">
        <v>400</v>
      </c>
      <c r="D91" s="431" t="str">
        <f>GC!$B$15</f>
        <v>Termostato empotrado (rough)</v>
      </c>
      <c r="E91" s="249" t="s">
        <v>220</v>
      </c>
      <c r="F91" s="268" t="s">
        <v>221</v>
      </c>
      <c r="G91" s="249" t="s">
        <v>703</v>
      </c>
      <c r="H91" s="249" t="s">
        <v>435</v>
      </c>
      <c r="I91" s="268" t="s">
        <v>410</v>
      </c>
      <c r="J91" s="249">
        <v>1</v>
      </c>
      <c r="K91" s="268" t="s">
        <v>153</v>
      </c>
      <c r="L91" s="432">
        <f>GC!$F$15</f>
        <v>313.33</v>
      </c>
      <c r="M91" s="433">
        <f t="shared" si="5"/>
        <v>313.33</v>
      </c>
      <c r="N91" s="249">
        <v>0</v>
      </c>
      <c r="O91" s="433">
        <f t="shared" si="6"/>
        <v>0</v>
      </c>
      <c r="P91" s="434">
        <v>0.16</v>
      </c>
      <c r="Q91" s="433">
        <f t="shared" si="7"/>
        <v>50.132799999999996</v>
      </c>
      <c r="R91" s="433">
        <f t="shared" si="8"/>
        <v>363.46279999999996</v>
      </c>
      <c r="S91" s="433">
        <f>INDEX('Glosario Partidas'!$M$8:$M$10,MATCH(K91,'Glosario Partidas'!$L$8:$L$10,0))</f>
        <v>17.5</v>
      </c>
      <c r="T91" s="433">
        <f t="shared" si="9"/>
        <v>6360.5989999999993</v>
      </c>
      <c r="U91" s="268"/>
      <c r="V91" s="249" t="s">
        <v>12</v>
      </c>
      <c r="W91" s="249" t="s">
        <v>491</v>
      </c>
      <c r="X91" s="249"/>
    </row>
    <row r="92" spans="1:24" ht="15" customHeight="1" x14ac:dyDescent="0.2">
      <c r="A92" s="268"/>
      <c r="B92" s="268" t="s">
        <v>108</v>
      </c>
      <c r="C92" s="268" t="s">
        <v>400</v>
      </c>
      <c r="D92" s="431" t="str">
        <f>GC!$B$10</f>
        <v>Soporte para papel higiénico sin cubierta</v>
      </c>
      <c r="E92" s="249" t="s">
        <v>220</v>
      </c>
      <c r="F92" s="268" t="s">
        <v>221</v>
      </c>
      <c r="G92" s="249" t="s">
        <v>703</v>
      </c>
      <c r="H92" s="249" t="s">
        <v>435</v>
      </c>
      <c r="I92" s="268" t="s">
        <v>410</v>
      </c>
      <c r="J92" s="249">
        <v>1</v>
      </c>
      <c r="K92" s="268" t="s">
        <v>153</v>
      </c>
      <c r="L92" s="432">
        <f>GC!$F$10</f>
        <v>238.874348</v>
      </c>
      <c r="M92" s="433">
        <f t="shared" si="5"/>
        <v>238.874348</v>
      </c>
      <c r="N92" s="249">
        <v>0</v>
      </c>
      <c r="O92" s="433">
        <f t="shared" si="6"/>
        <v>0</v>
      </c>
      <c r="P92" s="434">
        <v>0.16</v>
      </c>
      <c r="Q92" s="433">
        <f t="shared" si="7"/>
        <v>38.21989568</v>
      </c>
      <c r="R92" s="433">
        <f t="shared" si="8"/>
        <v>277.09424367999998</v>
      </c>
      <c r="S92" s="433">
        <f>INDEX('Glosario Partidas'!$M$8:$M$10,MATCH(K92,'Glosario Partidas'!$L$8:$L$10,0))</f>
        <v>17.5</v>
      </c>
      <c r="T92" s="433">
        <f t="shared" si="9"/>
        <v>4849.1492644</v>
      </c>
      <c r="U92" s="268"/>
      <c r="V92" s="249" t="s">
        <v>12</v>
      </c>
      <c r="W92" s="249" t="s">
        <v>491</v>
      </c>
      <c r="X92" s="249"/>
    </row>
    <row r="93" spans="1:24" ht="15" customHeight="1" x14ac:dyDescent="0.2">
      <c r="A93" s="268"/>
      <c r="B93" s="268" t="s">
        <v>108</v>
      </c>
      <c r="C93" s="268" t="s">
        <v>400</v>
      </c>
      <c r="D93" s="431" t="str">
        <f>GC!$B$9</f>
        <v>Barra de agarre / Toallero chico 45cm</v>
      </c>
      <c r="E93" s="249" t="s">
        <v>220</v>
      </c>
      <c r="F93" s="268" t="s">
        <v>221</v>
      </c>
      <c r="G93" s="249" t="s">
        <v>703</v>
      </c>
      <c r="H93" s="249" t="s">
        <v>435</v>
      </c>
      <c r="I93" s="268" t="s">
        <v>410</v>
      </c>
      <c r="J93" s="249">
        <v>2</v>
      </c>
      <c r="K93" s="268" t="s">
        <v>153</v>
      </c>
      <c r="L93" s="432">
        <f>GC!$F$9</f>
        <v>471.15</v>
      </c>
      <c r="M93" s="433">
        <f t="shared" si="5"/>
        <v>942.3</v>
      </c>
      <c r="N93" s="249">
        <v>0</v>
      </c>
      <c r="O93" s="433">
        <f t="shared" si="6"/>
        <v>0</v>
      </c>
      <c r="P93" s="434">
        <v>0.16</v>
      </c>
      <c r="Q93" s="433">
        <f t="shared" si="7"/>
        <v>150.768</v>
      </c>
      <c r="R93" s="433">
        <f t="shared" si="8"/>
        <v>1093.068</v>
      </c>
      <c r="S93" s="433">
        <f>INDEX('Glosario Partidas'!$M$8:$M$10,MATCH(K93,'Glosario Partidas'!$L$8:$L$10,0))</f>
        <v>17.5</v>
      </c>
      <c r="T93" s="433">
        <f t="shared" si="9"/>
        <v>19128.689999999999</v>
      </c>
      <c r="U93" s="268"/>
      <c r="V93" s="249" t="s">
        <v>12</v>
      </c>
      <c r="W93" s="249" t="s">
        <v>491</v>
      </c>
      <c r="X93" s="249"/>
    </row>
    <row r="94" spans="1:24" ht="15" customHeight="1" x14ac:dyDescent="0.2">
      <c r="A94" s="268"/>
      <c r="B94" s="268" t="s">
        <v>108</v>
      </c>
      <c r="C94" s="268" t="s">
        <v>400</v>
      </c>
      <c r="D94" s="431" t="str">
        <f>GC!$B$11</f>
        <v>Gancho</v>
      </c>
      <c r="E94" s="249" t="s">
        <v>220</v>
      </c>
      <c r="F94" s="268" t="s">
        <v>221</v>
      </c>
      <c r="G94" s="249" t="s">
        <v>703</v>
      </c>
      <c r="H94" s="249" t="s">
        <v>435</v>
      </c>
      <c r="I94" s="268" t="s">
        <v>410</v>
      </c>
      <c r="J94" s="249">
        <v>2</v>
      </c>
      <c r="K94" s="268" t="s">
        <v>153</v>
      </c>
      <c r="L94" s="432">
        <f>GC!$F$11</f>
        <v>61.111086999999998</v>
      </c>
      <c r="M94" s="433">
        <f t="shared" si="5"/>
        <v>122.222174</v>
      </c>
      <c r="N94" s="249">
        <v>0</v>
      </c>
      <c r="O94" s="433">
        <f t="shared" si="6"/>
        <v>0</v>
      </c>
      <c r="P94" s="434">
        <v>0.16</v>
      </c>
      <c r="Q94" s="433">
        <f t="shared" si="7"/>
        <v>19.555547839999999</v>
      </c>
      <c r="R94" s="433">
        <f t="shared" si="8"/>
        <v>141.77772184</v>
      </c>
      <c r="S94" s="433">
        <f>INDEX('Glosario Partidas'!$M$8:$M$10,MATCH(K94,'Glosario Partidas'!$L$8:$L$10,0))</f>
        <v>17.5</v>
      </c>
      <c r="T94" s="433">
        <f t="shared" si="9"/>
        <v>2481.1101322</v>
      </c>
      <c r="U94" s="268"/>
      <c r="V94" s="249" t="s">
        <v>12</v>
      </c>
      <c r="W94" s="249" t="s">
        <v>491</v>
      </c>
      <c r="X94" s="249"/>
    </row>
    <row r="95" spans="1:24" ht="15" customHeight="1" x14ac:dyDescent="0.2">
      <c r="A95" s="268"/>
      <c r="B95" s="268" t="s">
        <v>108</v>
      </c>
      <c r="C95" s="268" t="s">
        <v>400</v>
      </c>
      <c r="D95" s="431" t="str">
        <f>GC!$B$7</f>
        <v>Inodoro a piso de una pieza (Starck 3)</v>
      </c>
      <c r="E95" s="249" t="s">
        <v>220</v>
      </c>
      <c r="F95" s="268" t="s">
        <v>354</v>
      </c>
      <c r="G95" s="249" t="s">
        <v>707</v>
      </c>
      <c r="H95" s="249" t="s">
        <v>435</v>
      </c>
      <c r="I95" s="268" t="s">
        <v>410</v>
      </c>
      <c r="J95" s="249">
        <v>1</v>
      </c>
      <c r="K95" s="268" t="s">
        <v>153</v>
      </c>
      <c r="L95" s="432">
        <f>GC!$F$7</f>
        <v>667.07</v>
      </c>
      <c r="M95" s="433">
        <f t="shared" si="5"/>
        <v>667.07</v>
      </c>
      <c r="N95" s="249">
        <v>0</v>
      </c>
      <c r="O95" s="433">
        <f t="shared" si="6"/>
        <v>0</v>
      </c>
      <c r="P95" s="434">
        <v>0.16</v>
      </c>
      <c r="Q95" s="433">
        <f t="shared" si="7"/>
        <v>106.73120000000002</v>
      </c>
      <c r="R95" s="433">
        <f t="shared" si="8"/>
        <v>773.80120000000011</v>
      </c>
      <c r="S95" s="433">
        <f>INDEX('Glosario Partidas'!$M$8:$M$10,MATCH(K95,'Glosario Partidas'!$L$8:$L$10,0))</f>
        <v>17.5</v>
      </c>
      <c r="T95" s="433">
        <f t="shared" si="9"/>
        <v>13541.521000000002</v>
      </c>
      <c r="U95" s="268"/>
      <c r="V95" s="249" t="s">
        <v>12</v>
      </c>
      <c r="W95" s="249" t="s">
        <v>491</v>
      </c>
      <c r="X95" s="249"/>
    </row>
    <row r="96" spans="1:24" ht="15" customHeight="1" x14ac:dyDescent="0.2">
      <c r="A96" s="268"/>
      <c r="B96" s="268" t="s">
        <v>108</v>
      </c>
      <c r="C96" s="268" t="s">
        <v>400</v>
      </c>
      <c r="D96" s="431" t="str">
        <f>GC!$B$8</f>
        <v>Monomando de lavabo con válvula automática</v>
      </c>
      <c r="E96" s="249" t="s">
        <v>220</v>
      </c>
      <c r="F96" s="268" t="s">
        <v>354</v>
      </c>
      <c r="G96" s="249" t="s">
        <v>707</v>
      </c>
      <c r="H96" s="249" t="s">
        <v>435</v>
      </c>
      <c r="I96" s="268" t="s">
        <v>410</v>
      </c>
      <c r="J96" s="249">
        <v>2</v>
      </c>
      <c r="K96" s="268" t="s">
        <v>153</v>
      </c>
      <c r="L96" s="432">
        <f>GC!$F$8</f>
        <v>975.99151900000004</v>
      </c>
      <c r="M96" s="433">
        <f t="shared" si="5"/>
        <v>1951.9830380000001</v>
      </c>
      <c r="N96" s="249">
        <v>0</v>
      </c>
      <c r="O96" s="433">
        <f t="shared" si="6"/>
        <v>0</v>
      </c>
      <c r="P96" s="434">
        <v>0.16</v>
      </c>
      <c r="Q96" s="433">
        <f t="shared" si="7"/>
        <v>312.31728608000003</v>
      </c>
      <c r="R96" s="433">
        <f t="shared" si="8"/>
        <v>2264.3003240799999</v>
      </c>
      <c r="S96" s="433">
        <f>INDEX('Glosario Partidas'!$M$8:$M$10,MATCH(K96,'Glosario Partidas'!$L$8:$L$10,0))</f>
        <v>17.5</v>
      </c>
      <c r="T96" s="433">
        <f t="shared" si="9"/>
        <v>39625.255671399995</v>
      </c>
      <c r="U96" s="268"/>
      <c r="V96" s="249" t="s">
        <v>12</v>
      </c>
      <c r="W96" s="249" t="s">
        <v>491</v>
      </c>
      <c r="X96" s="249"/>
    </row>
    <row r="97" spans="1:24" ht="15" customHeight="1" x14ac:dyDescent="0.2">
      <c r="A97" s="268"/>
      <c r="B97" s="268" t="s">
        <v>108</v>
      </c>
      <c r="C97" s="268" t="s">
        <v>400</v>
      </c>
      <c r="D97" s="431" t="str">
        <f>GC!$B$21</f>
        <v>Soporte para vidrio (SERIES SPECIFIC, XS-081077, Brushed Dark Platinum)</v>
      </c>
      <c r="E97" s="249" t="s">
        <v>220</v>
      </c>
      <c r="F97" s="268" t="s">
        <v>354</v>
      </c>
      <c r="G97" s="249" t="s">
        <v>707</v>
      </c>
      <c r="H97" s="249" t="s">
        <v>435</v>
      </c>
      <c r="I97" s="268" t="s">
        <v>410</v>
      </c>
      <c r="J97" s="249">
        <v>2</v>
      </c>
      <c r="K97" s="268" t="s">
        <v>153</v>
      </c>
      <c r="L97" s="432">
        <f>GC!$F$21</f>
        <v>281.02</v>
      </c>
      <c r="M97" s="433">
        <f t="shared" si="5"/>
        <v>562.04</v>
      </c>
      <c r="N97" s="249">
        <v>0</v>
      </c>
      <c r="O97" s="433">
        <f t="shared" si="6"/>
        <v>0</v>
      </c>
      <c r="P97" s="434">
        <v>0.16</v>
      </c>
      <c r="Q97" s="433">
        <f t="shared" si="7"/>
        <v>89.926400000000001</v>
      </c>
      <c r="R97" s="433">
        <f t="shared" si="8"/>
        <v>651.96640000000002</v>
      </c>
      <c r="S97" s="433">
        <f>INDEX('Glosario Partidas'!$M$8:$M$10,MATCH(K97,'Glosario Partidas'!$L$8:$L$10,0))</f>
        <v>17.5</v>
      </c>
      <c r="T97" s="433">
        <f t="shared" si="9"/>
        <v>11409.412</v>
      </c>
      <c r="U97" s="268" t="s">
        <v>1084</v>
      </c>
      <c r="V97" s="249" t="s">
        <v>12</v>
      </c>
      <c r="W97" s="249" t="s">
        <v>491</v>
      </c>
      <c r="X97" s="249"/>
    </row>
    <row r="98" spans="1:24" ht="15" customHeight="1" x14ac:dyDescent="0.2">
      <c r="A98" s="268"/>
      <c r="B98" s="268" t="s">
        <v>108</v>
      </c>
      <c r="C98" s="268" t="s">
        <v>400</v>
      </c>
      <c r="D98" s="431" t="str">
        <f>GC!$B$12</f>
        <v>Set de ducha de mano con soporte de pared integrado</v>
      </c>
      <c r="E98" s="249" t="s">
        <v>220</v>
      </c>
      <c r="F98" s="268" t="s">
        <v>354</v>
      </c>
      <c r="G98" s="249" t="s">
        <v>707</v>
      </c>
      <c r="H98" s="249" t="s">
        <v>435</v>
      </c>
      <c r="I98" s="268" t="s">
        <v>410</v>
      </c>
      <c r="J98" s="249">
        <v>1</v>
      </c>
      <c r="K98" s="268" t="s">
        <v>153</v>
      </c>
      <c r="L98" s="432">
        <f>GC!$F$12</f>
        <v>325.25947400000001</v>
      </c>
      <c r="M98" s="433">
        <f t="shared" si="5"/>
        <v>325.25947400000001</v>
      </c>
      <c r="N98" s="249">
        <v>0</v>
      </c>
      <c r="O98" s="433">
        <f t="shared" si="6"/>
        <v>0</v>
      </c>
      <c r="P98" s="434">
        <v>0.16</v>
      </c>
      <c r="Q98" s="433">
        <f t="shared" si="7"/>
        <v>52.041515840000002</v>
      </c>
      <c r="R98" s="433">
        <f t="shared" si="8"/>
        <v>377.30098984</v>
      </c>
      <c r="S98" s="433">
        <f>INDEX('Glosario Partidas'!$M$8:$M$10,MATCH(K98,'Glosario Partidas'!$L$8:$L$10,0))</f>
        <v>17.5</v>
      </c>
      <c r="T98" s="433">
        <f t="shared" si="9"/>
        <v>6602.7673222000003</v>
      </c>
      <c r="U98" s="268"/>
      <c r="V98" s="249" t="s">
        <v>12</v>
      </c>
      <c r="W98" s="249" t="s">
        <v>491</v>
      </c>
      <c r="X98" s="249"/>
    </row>
    <row r="99" spans="1:24" ht="15" customHeight="1" x14ac:dyDescent="0.2">
      <c r="A99" s="268"/>
      <c r="B99" s="268" t="s">
        <v>108</v>
      </c>
      <c r="C99" s="268" t="s">
        <v>400</v>
      </c>
      <c r="D99" s="431" t="str">
        <f>GC!$B$13</f>
        <v>Ducha efecto lluvia con fijación a pared 400 mm</v>
      </c>
      <c r="E99" s="249" t="s">
        <v>220</v>
      </c>
      <c r="F99" s="268" t="s">
        <v>354</v>
      </c>
      <c r="G99" s="249" t="s">
        <v>707</v>
      </c>
      <c r="H99" s="249" t="s">
        <v>435</v>
      </c>
      <c r="I99" s="268" t="s">
        <v>410</v>
      </c>
      <c r="J99" s="249">
        <v>1</v>
      </c>
      <c r="K99" s="268" t="s">
        <v>153</v>
      </c>
      <c r="L99" s="432">
        <f>GC!$F$13</f>
        <v>1807.197105</v>
      </c>
      <c r="M99" s="433">
        <f t="shared" si="5"/>
        <v>1807.197105</v>
      </c>
      <c r="N99" s="249">
        <v>0</v>
      </c>
      <c r="O99" s="433">
        <f t="shared" si="6"/>
        <v>0</v>
      </c>
      <c r="P99" s="434">
        <v>0.16</v>
      </c>
      <c r="Q99" s="433">
        <f t="shared" si="7"/>
        <v>289.15153679999997</v>
      </c>
      <c r="R99" s="433">
        <f t="shared" si="8"/>
        <v>2096.3486417999998</v>
      </c>
      <c r="S99" s="433">
        <f>INDEX('Glosario Partidas'!$M$8:$M$10,MATCH(K99,'Glosario Partidas'!$L$8:$L$10,0))</f>
        <v>17.5</v>
      </c>
      <c r="T99" s="433">
        <f t="shared" si="9"/>
        <v>36686.101231499997</v>
      </c>
      <c r="U99" s="268"/>
      <c r="V99" s="249" t="s">
        <v>12</v>
      </c>
      <c r="W99" s="249" t="s">
        <v>491</v>
      </c>
      <c r="X99" s="249"/>
    </row>
    <row r="100" spans="1:24" ht="15" customHeight="1" x14ac:dyDescent="0.2">
      <c r="A100" s="268"/>
      <c r="B100" s="268" t="s">
        <v>108</v>
      </c>
      <c r="C100" s="268" t="s">
        <v>400</v>
      </c>
      <c r="D100" s="431" t="str">
        <f>GC!$B$22</f>
        <v>Canaleta de ducha para piedra natural TECE showerline (15201082)</v>
      </c>
      <c r="E100" s="249" t="s">
        <v>220</v>
      </c>
      <c r="F100" s="268" t="s">
        <v>354</v>
      </c>
      <c r="G100" s="249" t="s">
        <v>707</v>
      </c>
      <c r="H100" s="249" t="s">
        <v>435</v>
      </c>
      <c r="I100" s="268" t="s">
        <v>410</v>
      </c>
      <c r="J100" s="249">
        <v>1</v>
      </c>
      <c r="K100" s="268" t="s">
        <v>153</v>
      </c>
      <c r="L100" s="432">
        <f>GC!$F$22</f>
        <v>290.33763199999999</v>
      </c>
      <c r="M100" s="433">
        <f t="shared" si="5"/>
        <v>290.33763199999999</v>
      </c>
      <c r="N100" s="249">
        <v>0</v>
      </c>
      <c r="O100" s="433">
        <f t="shared" si="6"/>
        <v>0</v>
      </c>
      <c r="P100" s="434">
        <v>0.16</v>
      </c>
      <c r="Q100" s="433">
        <f t="shared" si="7"/>
        <v>46.45402112</v>
      </c>
      <c r="R100" s="433">
        <f t="shared" si="8"/>
        <v>336.79165311999998</v>
      </c>
      <c r="S100" s="433">
        <f>INDEX('Glosario Partidas'!$M$8:$M$10,MATCH(K100,'Glosario Partidas'!$L$8:$L$10,0))</f>
        <v>17.5</v>
      </c>
      <c r="T100" s="433">
        <f t="shared" si="9"/>
        <v>5893.8539295999999</v>
      </c>
      <c r="U100" s="268" t="s">
        <v>1085</v>
      </c>
      <c r="V100" s="249" t="s">
        <v>12</v>
      </c>
      <c r="W100" s="249" t="s">
        <v>491</v>
      </c>
      <c r="X100" s="249"/>
    </row>
    <row r="101" spans="1:24" ht="15" customHeight="1" x14ac:dyDescent="0.2">
      <c r="A101" s="268"/>
      <c r="B101" s="268" t="s">
        <v>108</v>
      </c>
      <c r="C101" s="268" t="s">
        <v>400</v>
      </c>
      <c r="D101" s="431" t="str">
        <f>GC!$B$14</f>
        <v>Termostato oculto con control de volumen bidireccional</v>
      </c>
      <c r="E101" s="249" t="s">
        <v>220</v>
      </c>
      <c r="F101" s="268" t="s">
        <v>354</v>
      </c>
      <c r="G101" s="249" t="s">
        <v>707</v>
      </c>
      <c r="H101" s="249" t="s">
        <v>435</v>
      </c>
      <c r="I101" s="268" t="s">
        <v>410</v>
      </c>
      <c r="J101" s="249">
        <v>1</v>
      </c>
      <c r="K101" s="268" t="s">
        <v>153</v>
      </c>
      <c r="L101" s="432">
        <f>GC!$F$14</f>
        <v>350.19605300000001</v>
      </c>
      <c r="M101" s="433">
        <f t="shared" si="5"/>
        <v>350.19605300000001</v>
      </c>
      <c r="N101" s="249">
        <v>0</v>
      </c>
      <c r="O101" s="433">
        <f t="shared" si="6"/>
        <v>0</v>
      </c>
      <c r="P101" s="434">
        <v>0.16</v>
      </c>
      <c r="Q101" s="433">
        <f t="shared" si="7"/>
        <v>56.031368480000005</v>
      </c>
      <c r="R101" s="433">
        <f t="shared" si="8"/>
        <v>406.22742148000003</v>
      </c>
      <c r="S101" s="433">
        <f>INDEX('Glosario Partidas'!$M$8:$M$10,MATCH(K101,'Glosario Partidas'!$L$8:$L$10,0))</f>
        <v>17.5</v>
      </c>
      <c r="T101" s="433">
        <f t="shared" si="9"/>
        <v>7108.9798759000005</v>
      </c>
      <c r="U101" s="268"/>
      <c r="V101" s="249" t="s">
        <v>12</v>
      </c>
      <c r="W101" s="249" t="s">
        <v>491</v>
      </c>
      <c r="X101" s="249"/>
    </row>
    <row r="102" spans="1:24" ht="15" customHeight="1" x14ac:dyDescent="0.2">
      <c r="A102" s="268"/>
      <c r="B102" s="268" t="s">
        <v>108</v>
      </c>
      <c r="C102" s="268" t="s">
        <v>400</v>
      </c>
      <c r="D102" s="431" t="str">
        <f>GC!$B$15</f>
        <v>Termostato empotrado (rough)</v>
      </c>
      <c r="E102" s="249" t="s">
        <v>220</v>
      </c>
      <c r="F102" s="268" t="s">
        <v>354</v>
      </c>
      <c r="G102" s="249" t="s">
        <v>707</v>
      </c>
      <c r="H102" s="249" t="s">
        <v>435</v>
      </c>
      <c r="I102" s="268" t="s">
        <v>410</v>
      </c>
      <c r="J102" s="249">
        <v>1</v>
      </c>
      <c r="K102" s="268" t="s">
        <v>153</v>
      </c>
      <c r="L102" s="432">
        <f>GC!$F$15</f>
        <v>313.33</v>
      </c>
      <c r="M102" s="433">
        <f t="shared" si="5"/>
        <v>313.33</v>
      </c>
      <c r="N102" s="249">
        <v>0</v>
      </c>
      <c r="O102" s="433">
        <f t="shared" si="6"/>
        <v>0</v>
      </c>
      <c r="P102" s="434">
        <v>0.16</v>
      </c>
      <c r="Q102" s="433">
        <f t="shared" si="7"/>
        <v>50.132799999999996</v>
      </c>
      <c r="R102" s="433">
        <f t="shared" si="8"/>
        <v>363.46279999999996</v>
      </c>
      <c r="S102" s="433">
        <f>INDEX('Glosario Partidas'!$M$8:$M$10,MATCH(K102,'Glosario Partidas'!$L$8:$L$10,0))</f>
        <v>17.5</v>
      </c>
      <c r="T102" s="433">
        <f t="shared" si="9"/>
        <v>6360.5989999999993</v>
      </c>
      <c r="U102" s="268"/>
      <c r="V102" s="249" t="s">
        <v>12</v>
      </c>
      <c r="W102" s="249" t="s">
        <v>491</v>
      </c>
      <c r="X102" s="249"/>
    </row>
    <row r="103" spans="1:24" ht="15" customHeight="1" x14ac:dyDescent="0.2">
      <c r="A103" s="268"/>
      <c r="B103" s="268" t="s">
        <v>108</v>
      </c>
      <c r="C103" s="268" t="s">
        <v>400</v>
      </c>
      <c r="D103" s="431" t="str">
        <f>GC!$B$10</f>
        <v>Soporte para papel higiénico sin cubierta</v>
      </c>
      <c r="E103" s="249" t="s">
        <v>220</v>
      </c>
      <c r="F103" s="268" t="s">
        <v>354</v>
      </c>
      <c r="G103" s="249" t="s">
        <v>707</v>
      </c>
      <c r="H103" s="249" t="s">
        <v>435</v>
      </c>
      <c r="I103" s="268" t="s">
        <v>410</v>
      </c>
      <c r="J103" s="249">
        <v>1</v>
      </c>
      <c r="K103" s="268" t="s">
        <v>153</v>
      </c>
      <c r="L103" s="432">
        <f>GC!$F$10</f>
        <v>238.874348</v>
      </c>
      <c r="M103" s="433">
        <f t="shared" si="5"/>
        <v>238.874348</v>
      </c>
      <c r="N103" s="249">
        <v>0</v>
      </c>
      <c r="O103" s="433">
        <f t="shared" si="6"/>
        <v>0</v>
      </c>
      <c r="P103" s="434">
        <v>0.16</v>
      </c>
      <c r="Q103" s="433">
        <f t="shared" si="7"/>
        <v>38.21989568</v>
      </c>
      <c r="R103" s="433">
        <f t="shared" si="8"/>
        <v>277.09424367999998</v>
      </c>
      <c r="S103" s="433">
        <f>INDEX('Glosario Partidas'!$M$8:$M$10,MATCH(K103,'Glosario Partidas'!$L$8:$L$10,0))</f>
        <v>17.5</v>
      </c>
      <c r="T103" s="433">
        <f t="shared" si="9"/>
        <v>4849.1492644</v>
      </c>
      <c r="U103" s="268"/>
      <c r="V103" s="249" t="s">
        <v>12</v>
      </c>
      <c r="W103" s="249" t="s">
        <v>491</v>
      </c>
      <c r="X103" s="249"/>
    </row>
    <row r="104" spans="1:24" ht="15" customHeight="1" x14ac:dyDescent="0.2">
      <c r="A104" s="268"/>
      <c r="B104" s="268" t="s">
        <v>108</v>
      </c>
      <c r="C104" s="268" t="s">
        <v>400</v>
      </c>
      <c r="D104" s="431" t="str">
        <f>GC!$B$9</f>
        <v>Barra de agarre / Toallero chico 45cm</v>
      </c>
      <c r="E104" s="249" t="s">
        <v>220</v>
      </c>
      <c r="F104" s="268" t="s">
        <v>354</v>
      </c>
      <c r="G104" s="249" t="s">
        <v>707</v>
      </c>
      <c r="H104" s="249" t="s">
        <v>435</v>
      </c>
      <c r="I104" s="268" t="s">
        <v>410</v>
      </c>
      <c r="J104" s="249">
        <v>2</v>
      </c>
      <c r="K104" s="268" t="s">
        <v>153</v>
      </c>
      <c r="L104" s="432">
        <f>GC!$F$9</f>
        <v>471.15</v>
      </c>
      <c r="M104" s="433">
        <f t="shared" si="5"/>
        <v>942.3</v>
      </c>
      <c r="N104" s="249">
        <v>0</v>
      </c>
      <c r="O104" s="433">
        <f t="shared" si="6"/>
        <v>0</v>
      </c>
      <c r="P104" s="434">
        <v>0.16</v>
      </c>
      <c r="Q104" s="433">
        <f t="shared" si="7"/>
        <v>150.768</v>
      </c>
      <c r="R104" s="433">
        <f t="shared" si="8"/>
        <v>1093.068</v>
      </c>
      <c r="S104" s="433">
        <f>INDEX('Glosario Partidas'!$M$8:$M$10,MATCH(K104,'Glosario Partidas'!$L$8:$L$10,0))</f>
        <v>17.5</v>
      </c>
      <c r="T104" s="433">
        <f t="shared" si="9"/>
        <v>19128.689999999999</v>
      </c>
      <c r="U104" s="268"/>
      <c r="V104" s="249" t="s">
        <v>12</v>
      </c>
      <c r="W104" s="249" t="s">
        <v>491</v>
      </c>
      <c r="X104" s="249"/>
    </row>
    <row r="105" spans="1:24" ht="15" customHeight="1" x14ac:dyDescent="0.2">
      <c r="A105" s="268"/>
      <c r="B105" s="268" t="s">
        <v>108</v>
      </c>
      <c r="C105" s="268" t="s">
        <v>400</v>
      </c>
      <c r="D105" s="431" t="str">
        <f>GC!$B$11</f>
        <v>Gancho</v>
      </c>
      <c r="E105" s="249" t="s">
        <v>220</v>
      </c>
      <c r="F105" s="268" t="s">
        <v>354</v>
      </c>
      <c r="G105" s="249" t="s">
        <v>707</v>
      </c>
      <c r="H105" s="249" t="s">
        <v>435</v>
      </c>
      <c r="I105" s="268" t="s">
        <v>410</v>
      </c>
      <c r="J105" s="249">
        <v>2</v>
      </c>
      <c r="K105" s="268" t="s">
        <v>153</v>
      </c>
      <c r="L105" s="432">
        <f>GC!$F$11</f>
        <v>61.111086999999998</v>
      </c>
      <c r="M105" s="433">
        <f t="shared" si="5"/>
        <v>122.222174</v>
      </c>
      <c r="N105" s="249">
        <v>0</v>
      </c>
      <c r="O105" s="433">
        <f t="shared" si="6"/>
        <v>0</v>
      </c>
      <c r="P105" s="434">
        <v>0.16</v>
      </c>
      <c r="Q105" s="433">
        <f t="shared" si="7"/>
        <v>19.555547839999999</v>
      </c>
      <c r="R105" s="433">
        <f t="shared" si="8"/>
        <v>141.77772184</v>
      </c>
      <c r="S105" s="433">
        <f>INDEX('Glosario Partidas'!$M$8:$M$10,MATCH(K105,'Glosario Partidas'!$L$8:$L$10,0))</f>
        <v>17.5</v>
      </c>
      <c r="T105" s="433">
        <f t="shared" si="9"/>
        <v>2481.1101322</v>
      </c>
      <c r="U105" s="268"/>
      <c r="V105" s="249" t="s">
        <v>12</v>
      </c>
      <c r="W105" s="249" t="s">
        <v>491</v>
      </c>
      <c r="X105" s="249"/>
    </row>
    <row r="106" spans="1:24" ht="15" customHeight="1" x14ac:dyDescent="0.2">
      <c r="A106" s="268"/>
      <c r="B106" s="268" t="s">
        <v>108</v>
      </c>
      <c r="C106" s="268" t="s">
        <v>401</v>
      </c>
      <c r="D106" s="431" t="str">
        <f>GC!$B$7</f>
        <v>Inodoro a piso de una pieza (Starck 3)</v>
      </c>
      <c r="E106" s="249" t="s">
        <v>220</v>
      </c>
      <c r="F106" s="268" t="s">
        <v>221</v>
      </c>
      <c r="G106" s="249" t="s">
        <v>700</v>
      </c>
      <c r="H106" s="249" t="s">
        <v>435</v>
      </c>
      <c r="I106" s="268" t="s">
        <v>410</v>
      </c>
      <c r="J106" s="249">
        <v>1</v>
      </c>
      <c r="K106" s="268" t="s">
        <v>153</v>
      </c>
      <c r="L106" s="432">
        <f>GC!$F$7</f>
        <v>667.07</v>
      </c>
      <c r="M106" s="433">
        <f t="shared" si="5"/>
        <v>667.07</v>
      </c>
      <c r="N106" s="249">
        <v>0</v>
      </c>
      <c r="O106" s="433">
        <f t="shared" si="6"/>
        <v>0</v>
      </c>
      <c r="P106" s="434">
        <v>0.16</v>
      </c>
      <c r="Q106" s="433">
        <f t="shared" si="7"/>
        <v>106.73120000000002</v>
      </c>
      <c r="R106" s="433">
        <f t="shared" si="8"/>
        <v>773.80120000000011</v>
      </c>
      <c r="S106" s="433">
        <f>INDEX('Glosario Partidas'!$M$8:$M$10,MATCH(K106,'Glosario Partidas'!$L$8:$L$10,0))</f>
        <v>17.5</v>
      </c>
      <c r="T106" s="433">
        <f t="shared" si="9"/>
        <v>13541.521000000002</v>
      </c>
      <c r="U106" s="268"/>
      <c r="V106" s="249" t="s">
        <v>12</v>
      </c>
      <c r="W106" s="249" t="s">
        <v>491</v>
      </c>
      <c r="X106" s="249"/>
    </row>
    <row r="107" spans="1:24" ht="15" customHeight="1" x14ac:dyDescent="0.2">
      <c r="A107" s="268"/>
      <c r="B107" s="268" t="s">
        <v>108</v>
      </c>
      <c r="C107" s="268" t="s">
        <v>401</v>
      </c>
      <c r="D107" s="431" t="str">
        <f>GC!$B$8</f>
        <v>Monomando de lavabo con válvula automática</v>
      </c>
      <c r="E107" s="249" t="s">
        <v>220</v>
      </c>
      <c r="F107" s="268" t="s">
        <v>221</v>
      </c>
      <c r="G107" s="249" t="s">
        <v>700</v>
      </c>
      <c r="H107" s="249" t="s">
        <v>435</v>
      </c>
      <c r="I107" s="268" t="s">
        <v>410</v>
      </c>
      <c r="J107" s="249">
        <v>2</v>
      </c>
      <c r="K107" s="268" t="s">
        <v>153</v>
      </c>
      <c r="L107" s="432">
        <f>GC!$F$8</f>
        <v>975.99151900000004</v>
      </c>
      <c r="M107" s="433">
        <f t="shared" si="5"/>
        <v>1951.9830380000001</v>
      </c>
      <c r="N107" s="249">
        <v>0</v>
      </c>
      <c r="O107" s="433">
        <f t="shared" si="6"/>
        <v>0</v>
      </c>
      <c r="P107" s="434">
        <v>0.16</v>
      </c>
      <c r="Q107" s="433">
        <f t="shared" si="7"/>
        <v>312.31728608000003</v>
      </c>
      <c r="R107" s="433">
        <f t="shared" si="8"/>
        <v>2264.3003240799999</v>
      </c>
      <c r="S107" s="433">
        <f>INDEX('Glosario Partidas'!$M$8:$M$10,MATCH(K107,'Glosario Partidas'!$L$8:$L$10,0))</f>
        <v>17.5</v>
      </c>
      <c r="T107" s="433">
        <f t="shared" si="9"/>
        <v>39625.255671399995</v>
      </c>
      <c r="U107" s="268"/>
      <c r="V107" s="249" t="s">
        <v>12</v>
      </c>
      <c r="W107" s="249" t="s">
        <v>491</v>
      </c>
      <c r="X107" s="249"/>
    </row>
    <row r="108" spans="1:24" ht="15" customHeight="1" x14ac:dyDescent="0.2">
      <c r="A108" s="268"/>
      <c r="B108" s="268" t="s">
        <v>108</v>
      </c>
      <c r="C108" s="268" t="s">
        <v>401</v>
      </c>
      <c r="D108" s="431" t="str">
        <f>GC!$B$21</f>
        <v>Soporte para vidrio (SERIES SPECIFIC, XS-081077, Brushed Dark Platinum)</v>
      </c>
      <c r="E108" s="249" t="s">
        <v>220</v>
      </c>
      <c r="F108" s="268" t="s">
        <v>221</v>
      </c>
      <c r="G108" s="249" t="s">
        <v>700</v>
      </c>
      <c r="H108" s="249" t="s">
        <v>435</v>
      </c>
      <c r="I108" s="268" t="s">
        <v>410</v>
      </c>
      <c r="J108" s="249">
        <v>2</v>
      </c>
      <c r="K108" s="268" t="s">
        <v>153</v>
      </c>
      <c r="L108" s="432">
        <f>GC!$F$21</f>
        <v>281.02</v>
      </c>
      <c r="M108" s="433">
        <f t="shared" si="5"/>
        <v>562.04</v>
      </c>
      <c r="N108" s="249">
        <v>0</v>
      </c>
      <c r="O108" s="433">
        <f t="shared" si="6"/>
        <v>0</v>
      </c>
      <c r="P108" s="434">
        <v>0.16</v>
      </c>
      <c r="Q108" s="433">
        <f t="shared" si="7"/>
        <v>89.926400000000001</v>
      </c>
      <c r="R108" s="433">
        <f t="shared" si="8"/>
        <v>651.96640000000002</v>
      </c>
      <c r="S108" s="433">
        <f>INDEX('Glosario Partidas'!$M$8:$M$10,MATCH(K108,'Glosario Partidas'!$L$8:$L$10,0))</f>
        <v>17.5</v>
      </c>
      <c r="T108" s="433">
        <f t="shared" si="9"/>
        <v>11409.412</v>
      </c>
      <c r="U108" s="268" t="s">
        <v>1084</v>
      </c>
      <c r="V108" s="249" t="s">
        <v>12</v>
      </c>
      <c r="W108" s="249" t="s">
        <v>491</v>
      </c>
      <c r="X108" s="249"/>
    </row>
    <row r="109" spans="1:24" ht="15" customHeight="1" x14ac:dyDescent="0.2">
      <c r="A109" s="268"/>
      <c r="B109" s="268" t="s">
        <v>108</v>
      </c>
      <c r="C109" s="268" t="s">
        <v>401</v>
      </c>
      <c r="D109" s="431" t="str">
        <f>GC!$B$12</f>
        <v>Set de ducha de mano con soporte de pared integrado</v>
      </c>
      <c r="E109" s="249" t="s">
        <v>220</v>
      </c>
      <c r="F109" s="268" t="s">
        <v>221</v>
      </c>
      <c r="G109" s="249" t="s">
        <v>700</v>
      </c>
      <c r="H109" s="249" t="s">
        <v>435</v>
      </c>
      <c r="I109" s="268" t="s">
        <v>410</v>
      </c>
      <c r="J109" s="249">
        <v>1</v>
      </c>
      <c r="K109" s="268" t="s">
        <v>153</v>
      </c>
      <c r="L109" s="432">
        <f>GC!$F$12</f>
        <v>325.25947400000001</v>
      </c>
      <c r="M109" s="433">
        <f t="shared" si="5"/>
        <v>325.25947400000001</v>
      </c>
      <c r="N109" s="249">
        <v>0</v>
      </c>
      <c r="O109" s="433">
        <f t="shared" si="6"/>
        <v>0</v>
      </c>
      <c r="P109" s="434">
        <v>0.16</v>
      </c>
      <c r="Q109" s="433">
        <f t="shared" si="7"/>
        <v>52.041515840000002</v>
      </c>
      <c r="R109" s="433">
        <f t="shared" si="8"/>
        <v>377.30098984</v>
      </c>
      <c r="S109" s="433">
        <f>INDEX('Glosario Partidas'!$M$8:$M$10,MATCH(K109,'Glosario Partidas'!$L$8:$L$10,0))</f>
        <v>17.5</v>
      </c>
      <c r="T109" s="433">
        <f t="shared" si="9"/>
        <v>6602.7673222000003</v>
      </c>
      <c r="U109" s="268"/>
      <c r="V109" s="249" t="s">
        <v>12</v>
      </c>
      <c r="W109" s="249" t="s">
        <v>491</v>
      </c>
      <c r="X109" s="249"/>
    </row>
    <row r="110" spans="1:24" ht="15" customHeight="1" x14ac:dyDescent="0.2">
      <c r="A110" s="268"/>
      <c r="B110" s="268" t="s">
        <v>108</v>
      </c>
      <c r="C110" s="268" t="s">
        <v>401</v>
      </c>
      <c r="D110" s="431" t="str">
        <f>GC!$B$13</f>
        <v>Ducha efecto lluvia con fijación a pared 400 mm</v>
      </c>
      <c r="E110" s="249" t="s">
        <v>220</v>
      </c>
      <c r="F110" s="268" t="s">
        <v>221</v>
      </c>
      <c r="G110" s="249" t="s">
        <v>700</v>
      </c>
      <c r="H110" s="249" t="s">
        <v>435</v>
      </c>
      <c r="I110" s="268" t="s">
        <v>410</v>
      </c>
      <c r="J110" s="249">
        <v>1</v>
      </c>
      <c r="K110" s="268" t="s">
        <v>153</v>
      </c>
      <c r="L110" s="432">
        <f>GC!$F$13</f>
        <v>1807.197105</v>
      </c>
      <c r="M110" s="433">
        <f t="shared" si="5"/>
        <v>1807.197105</v>
      </c>
      <c r="N110" s="249">
        <v>0</v>
      </c>
      <c r="O110" s="433">
        <f t="shared" si="6"/>
        <v>0</v>
      </c>
      <c r="P110" s="434">
        <v>0.16</v>
      </c>
      <c r="Q110" s="433">
        <f t="shared" si="7"/>
        <v>289.15153679999997</v>
      </c>
      <c r="R110" s="433">
        <f t="shared" si="8"/>
        <v>2096.3486417999998</v>
      </c>
      <c r="S110" s="433">
        <f>INDEX('Glosario Partidas'!$M$8:$M$10,MATCH(K110,'Glosario Partidas'!$L$8:$L$10,0))</f>
        <v>17.5</v>
      </c>
      <c r="T110" s="433">
        <f t="shared" si="9"/>
        <v>36686.101231499997</v>
      </c>
      <c r="U110" s="268"/>
      <c r="V110" s="249" t="s">
        <v>12</v>
      </c>
      <c r="W110" s="249" t="s">
        <v>491</v>
      </c>
      <c r="X110" s="249"/>
    </row>
    <row r="111" spans="1:24" ht="15" customHeight="1" x14ac:dyDescent="0.2">
      <c r="A111" s="268"/>
      <c r="B111" s="268" t="s">
        <v>108</v>
      </c>
      <c r="C111" s="268" t="s">
        <v>401</v>
      </c>
      <c r="D111" s="431" t="str">
        <f>GC!$B$22</f>
        <v>Canaleta de ducha para piedra natural TECE showerline (15201082)</v>
      </c>
      <c r="E111" s="249" t="s">
        <v>220</v>
      </c>
      <c r="F111" s="268" t="s">
        <v>221</v>
      </c>
      <c r="G111" s="249" t="s">
        <v>700</v>
      </c>
      <c r="H111" s="249" t="s">
        <v>435</v>
      </c>
      <c r="I111" s="268" t="s">
        <v>410</v>
      </c>
      <c r="J111" s="249">
        <v>1</v>
      </c>
      <c r="K111" s="268" t="s">
        <v>153</v>
      </c>
      <c r="L111" s="432">
        <f>GC!$F$22</f>
        <v>290.33763199999999</v>
      </c>
      <c r="M111" s="433">
        <f t="shared" si="5"/>
        <v>290.33763199999999</v>
      </c>
      <c r="N111" s="249">
        <v>0</v>
      </c>
      <c r="O111" s="433">
        <f t="shared" si="6"/>
        <v>0</v>
      </c>
      <c r="P111" s="434">
        <v>0.16</v>
      </c>
      <c r="Q111" s="433">
        <f t="shared" si="7"/>
        <v>46.45402112</v>
      </c>
      <c r="R111" s="433">
        <f t="shared" si="8"/>
        <v>336.79165311999998</v>
      </c>
      <c r="S111" s="433">
        <f>INDEX('Glosario Partidas'!$M$8:$M$10,MATCH(K111,'Glosario Partidas'!$L$8:$L$10,0))</f>
        <v>17.5</v>
      </c>
      <c r="T111" s="433">
        <f t="shared" si="9"/>
        <v>5893.8539295999999</v>
      </c>
      <c r="U111" s="268" t="s">
        <v>1085</v>
      </c>
      <c r="V111" s="249" t="s">
        <v>12</v>
      </c>
      <c r="W111" s="249" t="s">
        <v>491</v>
      </c>
      <c r="X111" s="249"/>
    </row>
    <row r="112" spans="1:24" ht="15" customHeight="1" x14ac:dyDescent="0.2">
      <c r="A112" s="268"/>
      <c r="B112" s="268" t="s">
        <v>108</v>
      </c>
      <c r="C112" s="268" t="s">
        <v>401</v>
      </c>
      <c r="D112" s="431" t="str">
        <f>GC!$B$14</f>
        <v>Termostato oculto con control de volumen bidireccional</v>
      </c>
      <c r="E112" s="249" t="s">
        <v>220</v>
      </c>
      <c r="F112" s="268" t="s">
        <v>221</v>
      </c>
      <c r="G112" s="249" t="s">
        <v>700</v>
      </c>
      <c r="H112" s="249" t="s">
        <v>435</v>
      </c>
      <c r="I112" s="268" t="s">
        <v>410</v>
      </c>
      <c r="J112" s="249">
        <v>1</v>
      </c>
      <c r="K112" s="268" t="s">
        <v>153</v>
      </c>
      <c r="L112" s="432">
        <f>GC!$F$14</f>
        <v>350.19605300000001</v>
      </c>
      <c r="M112" s="433">
        <f t="shared" si="5"/>
        <v>350.19605300000001</v>
      </c>
      <c r="N112" s="249">
        <v>0</v>
      </c>
      <c r="O112" s="433">
        <f t="shared" si="6"/>
        <v>0</v>
      </c>
      <c r="P112" s="434">
        <v>0.16</v>
      </c>
      <c r="Q112" s="433">
        <f t="shared" si="7"/>
        <v>56.031368480000005</v>
      </c>
      <c r="R112" s="433">
        <f t="shared" si="8"/>
        <v>406.22742148000003</v>
      </c>
      <c r="S112" s="433">
        <f>INDEX('Glosario Partidas'!$M$8:$M$10,MATCH(K112,'Glosario Partidas'!$L$8:$L$10,0))</f>
        <v>17.5</v>
      </c>
      <c r="T112" s="433">
        <f t="shared" si="9"/>
        <v>7108.9798759000005</v>
      </c>
      <c r="U112" s="268"/>
      <c r="V112" s="249" t="s">
        <v>12</v>
      </c>
      <c r="W112" s="249" t="s">
        <v>491</v>
      </c>
      <c r="X112" s="249"/>
    </row>
    <row r="113" spans="1:24" ht="15" customHeight="1" x14ac:dyDescent="0.2">
      <c r="A113" s="268"/>
      <c r="B113" s="268" t="s">
        <v>108</v>
      </c>
      <c r="C113" s="268" t="s">
        <v>401</v>
      </c>
      <c r="D113" s="431" t="str">
        <f>GC!$B$15</f>
        <v>Termostato empotrado (rough)</v>
      </c>
      <c r="E113" s="249" t="s">
        <v>220</v>
      </c>
      <c r="F113" s="268" t="s">
        <v>221</v>
      </c>
      <c r="G113" s="249" t="s">
        <v>700</v>
      </c>
      <c r="H113" s="249" t="s">
        <v>435</v>
      </c>
      <c r="I113" s="268" t="s">
        <v>410</v>
      </c>
      <c r="J113" s="249">
        <v>1</v>
      </c>
      <c r="K113" s="268" t="s">
        <v>153</v>
      </c>
      <c r="L113" s="432">
        <f>GC!$F$15</f>
        <v>313.33</v>
      </c>
      <c r="M113" s="433">
        <f t="shared" si="5"/>
        <v>313.33</v>
      </c>
      <c r="N113" s="249">
        <v>0</v>
      </c>
      <c r="O113" s="433">
        <f t="shared" si="6"/>
        <v>0</v>
      </c>
      <c r="P113" s="434">
        <v>0.16</v>
      </c>
      <c r="Q113" s="433">
        <f t="shared" si="7"/>
        <v>50.132799999999996</v>
      </c>
      <c r="R113" s="433">
        <f t="shared" si="8"/>
        <v>363.46279999999996</v>
      </c>
      <c r="S113" s="433">
        <f>INDEX('Glosario Partidas'!$M$8:$M$10,MATCH(K113,'Glosario Partidas'!$L$8:$L$10,0))</f>
        <v>17.5</v>
      </c>
      <c r="T113" s="433">
        <f t="shared" si="9"/>
        <v>6360.5989999999993</v>
      </c>
      <c r="U113" s="268"/>
      <c r="V113" s="249" t="s">
        <v>12</v>
      </c>
      <c r="W113" s="249" t="s">
        <v>491</v>
      </c>
      <c r="X113" s="249"/>
    </row>
    <row r="114" spans="1:24" ht="15" customHeight="1" x14ac:dyDescent="0.2">
      <c r="A114" s="268"/>
      <c r="B114" s="268" t="s">
        <v>108</v>
      </c>
      <c r="C114" s="268" t="s">
        <v>401</v>
      </c>
      <c r="D114" s="431" t="str">
        <f>GC!$B$10</f>
        <v>Soporte para papel higiénico sin cubierta</v>
      </c>
      <c r="E114" s="249" t="s">
        <v>220</v>
      </c>
      <c r="F114" s="268" t="s">
        <v>221</v>
      </c>
      <c r="G114" s="249" t="s">
        <v>700</v>
      </c>
      <c r="H114" s="249" t="s">
        <v>435</v>
      </c>
      <c r="I114" s="268" t="s">
        <v>410</v>
      </c>
      <c r="J114" s="249">
        <v>1</v>
      </c>
      <c r="K114" s="268" t="s">
        <v>153</v>
      </c>
      <c r="L114" s="432">
        <f>GC!$F$10</f>
        <v>238.874348</v>
      </c>
      <c r="M114" s="433">
        <f t="shared" si="5"/>
        <v>238.874348</v>
      </c>
      <c r="N114" s="249">
        <v>0</v>
      </c>
      <c r="O114" s="433">
        <f t="shared" si="6"/>
        <v>0</v>
      </c>
      <c r="P114" s="434">
        <v>0.16</v>
      </c>
      <c r="Q114" s="433">
        <f t="shared" si="7"/>
        <v>38.21989568</v>
      </c>
      <c r="R114" s="433">
        <f t="shared" si="8"/>
        <v>277.09424367999998</v>
      </c>
      <c r="S114" s="433">
        <f>INDEX('Glosario Partidas'!$M$8:$M$10,MATCH(K114,'Glosario Partidas'!$L$8:$L$10,0))</f>
        <v>17.5</v>
      </c>
      <c r="T114" s="433">
        <f t="shared" si="9"/>
        <v>4849.1492644</v>
      </c>
      <c r="U114" s="268"/>
      <c r="V114" s="249" t="s">
        <v>12</v>
      </c>
      <c r="W114" s="249" t="s">
        <v>491</v>
      </c>
      <c r="X114" s="249"/>
    </row>
    <row r="115" spans="1:24" ht="15" customHeight="1" x14ac:dyDescent="0.2">
      <c r="A115" s="268"/>
      <c r="B115" s="268" t="s">
        <v>108</v>
      </c>
      <c r="C115" s="268" t="s">
        <v>401</v>
      </c>
      <c r="D115" s="431" t="str">
        <f>GC!$B$9</f>
        <v>Barra de agarre / Toallero chico 45cm</v>
      </c>
      <c r="E115" s="249" t="s">
        <v>220</v>
      </c>
      <c r="F115" s="268" t="s">
        <v>221</v>
      </c>
      <c r="G115" s="249" t="s">
        <v>700</v>
      </c>
      <c r="H115" s="249" t="s">
        <v>435</v>
      </c>
      <c r="I115" s="268" t="s">
        <v>410</v>
      </c>
      <c r="J115" s="249">
        <v>2</v>
      </c>
      <c r="K115" s="268" t="s">
        <v>153</v>
      </c>
      <c r="L115" s="432">
        <f>GC!$F$9</f>
        <v>471.15</v>
      </c>
      <c r="M115" s="433">
        <f t="shared" si="5"/>
        <v>942.3</v>
      </c>
      <c r="N115" s="249">
        <v>0</v>
      </c>
      <c r="O115" s="433">
        <f t="shared" si="6"/>
        <v>0</v>
      </c>
      <c r="P115" s="434">
        <v>0.16</v>
      </c>
      <c r="Q115" s="433">
        <f t="shared" si="7"/>
        <v>150.768</v>
      </c>
      <c r="R115" s="433">
        <f t="shared" si="8"/>
        <v>1093.068</v>
      </c>
      <c r="S115" s="433">
        <f>INDEX('Glosario Partidas'!$M$8:$M$10,MATCH(K115,'Glosario Partidas'!$L$8:$L$10,0))</f>
        <v>17.5</v>
      </c>
      <c r="T115" s="433">
        <f t="shared" si="9"/>
        <v>19128.689999999999</v>
      </c>
      <c r="U115" s="268"/>
      <c r="V115" s="249" t="s">
        <v>12</v>
      </c>
      <c r="W115" s="249" t="s">
        <v>491</v>
      </c>
      <c r="X115" s="249"/>
    </row>
    <row r="116" spans="1:24" ht="15" customHeight="1" x14ac:dyDescent="0.2">
      <c r="A116" s="268"/>
      <c r="B116" s="268" t="s">
        <v>108</v>
      </c>
      <c r="C116" s="268" t="s">
        <v>401</v>
      </c>
      <c r="D116" s="431" t="str">
        <f>GC!$B$11</f>
        <v>Gancho</v>
      </c>
      <c r="E116" s="249" t="s">
        <v>220</v>
      </c>
      <c r="F116" s="268" t="s">
        <v>221</v>
      </c>
      <c r="G116" s="249" t="s">
        <v>700</v>
      </c>
      <c r="H116" s="249" t="s">
        <v>435</v>
      </c>
      <c r="I116" s="268" t="s">
        <v>410</v>
      </c>
      <c r="J116" s="249">
        <v>4</v>
      </c>
      <c r="K116" s="268" t="s">
        <v>153</v>
      </c>
      <c r="L116" s="432">
        <f>GC!$F$11</f>
        <v>61.111086999999998</v>
      </c>
      <c r="M116" s="433">
        <f t="shared" si="5"/>
        <v>244.44434799999999</v>
      </c>
      <c r="N116" s="249">
        <v>0</v>
      </c>
      <c r="O116" s="433">
        <f t="shared" si="6"/>
        <v>0</v>
      </c>
      <c r="P116" s="434">
        <v>0.16</v>
      </c>
      <c r="Q116" s="433">
        <f t="shared" si="7"/>
        <v>39.111095679999998</v>
      </c>
      <c r="R116" s="433">
        <f t="shared" si="8"/>
        <v>283.55544368</v>
      </c>
      <c r="S116" s="433">
        <f>INDEX('Glosario Partidas'!$M$8:$M$10,MATCH(K116,'Glosario Partidas'!$L$8:$L$10,0))</f>
        <v>17.5</v>
      </c>
      <c r="T116" s="433">
        <f t="shared" si="9"/>
        <v>4962.2202643999999</v>
      </c>
      <c r="U116" s="268"/>
      <c r="V116" s="249" t="s">
        <v>12</v>
      </c>
      <c r="W116" s="249" t="s">
        <v>491</v>
      </c>
      <c r="X116" s="249"/>
    </row>
    <row r="117" spans="1:24" ht="15" customHeight="1" x14ac:dyDescent="0.2">
      <c r="A117" s="268"/>
      <c r="B117" s="268" t="s">
        <v>108</v>
      </c>
      <c r="C117" s="268" t="s">
        <v>401</v>
      </c>
      <c r="D117" s="431" t="str">
        <f>GC!$B$7</f>
        <v>Inodoro a piso de una pieza (Starck 3)</v>
      </c>
      <c r="E117" s="249" t="s">
        <v>220</v>
      </c>
      <c r="F117" s="268" t="s">
        <v>354</v>
      </c>
      <c r="G117" s="249" t="s">
        <v>706</v>
      </c>
      <c r="H117" s="249" t="s">
        <v>435</v>
      </c>
      <c r="I117" s="268" t="s">
        <v>410</v>
      </c>
      <c r="J117" s="249">
        <v>1</v>
      </c>
      <c r="K117" s="268" t="s">
        <v>153</v>
      </c>
      <c r="L117" s="432">
        <f>GC!$F$7</f>
        <v>667.07</v>
      </c>
      <c r="M117" s="433">
        <f t="shared" si="5"/>
        <v>667.07</v>
      </c>
      <c r="N117" s="249">
        <v>0</v>
      </c>
      <c r="O117" s="433">
        <f t="shared" si="6"/>
        <v>0</v>
      </c>
      <c r="P117" s="434">
        <v>0.16</v>
      </c>
      <c r="Q117" s="433">
        <f t="shared" si="7"/>
        <v>106.73120000000002</v>
      </c>
      <c r="R117" s="433">
        <f t="shared" si="8"/>
        <v>773.80120000000011</v>
      </c>
      <c r="S117" s="433">
        <f>INDEX('Glosario Partidas'!$M$8:$M$10,MATCH(K117,'Glosario Partidas'!$L$8:$L$10,0))</f>
        <v>17.5</v>
      </c>
      <c r="T117" s="433">
        <f t="shared" si="9"/>
        <v>13541.521000000002</v>
      </c>
      <c r="U117" s="268"/>
      <c r="V117" s="249" t="s">
        <v>12</v>
      </c>
      <c r="W117" s="249" t="s">
        <v>491</v>
      </c>
      <c r="X117" s="249"/>
    </row>
    <row r="118" spans="1:24" ht="15" customHeight="1" x14ac:dyDescent="0.2">
      <c r="A118" s="268"/>
      <c r="B118" s="268" t="s">
        <v>108</v>
      </c>
      <c r="C118" s="268" t="s">
        <v>401</v>
      </c>
      <c r="D118" s="431" t="str">
        <f>GC!$B$8</f>
        <v>Monomando de lavabo con válvula automática</v>
      </c>
      <c r="E118" s="249" t="s">
        <v>220</v>
      </c>
      <c r="F118" s="268" t="s">
        <v>354</v>
      </c>
      <c r="G118" s="249" t="s">
        <v>706</v>
      </c>
      <c r="H118" s="249" t="s">
        <v>435</v>
      </c>
      <c r="I118" s="268" t="s">
        <v>410</v>
      </c>
      <c r="J118" s="249">
        <v>2</v>
      </c>
      <c r="K118" s="268" t="s">
        <v>153</v>
      </c>
      <c r="L118" s="432">
        <f>GC!$F$8</f>
        <v>975.99151900000004</v>
      </c>
      <c r="M118" s="433">
        <f t="shared" si="5"/>
        <v>1951.9830380000001</v>
      </c>
      <c r="N118" s="249">
        <v>0</v>
      </c>
      <c r="O118" s="433">
        <f t="shared" si="6"/>
        <v>0</v>
      </c>
      <c r="P118" s="434">
        <v>0.16</v>
      </c>
      <c r="Q118" s="433">
        <f t="shared" si="7"/>
        <v>312.31728608000003</v>
      </c>
      <c r="R118" s="433">
        <f t="shared" si="8"/>
        <v>2264.3003240799999</v>
      </c>
      <c r="S118" s="433">
        <f>INDEX('Glosario Partidas'!$M$8:$M$10,MATCH(K118,'Glosario Partidas'!$L$8:$L$10,0))</f>
        <v>17.5</v>
      </c>
      <c r="T118" s="433">
        <f t="shared" si="9"/>
        <v>39625.255671399995</v>
      </c>
      <c r="U118" s="268"/>
      <c r="V118" s="249" t="s">
        <v>12</v>
      </c>
      <c r="W118" s="249" t="s">
        <v>491</v>
      </c>
      <c r="X118" s="249"/>
    </row>
    <row r="119" spans="1:24" ht="15" customHeight="1" x14ac:dyDescent="0.2">
      <c r="A119" s="268"/>
      <c r="B119" s="268" t="s">
        <v>108</v>
      </c>
      <c r="C119" s="268" t="s">
        <v>401</v>
      </c>
      <c r="D119" s="431" t="str">
        <f>GC!$B$21</f>
        <v>Soporte para vidrio (SERIES SPECIFIC, XS-081077, Brushed Dark Platinum)</v>
      </c>
      <c r="E119" s="249" t="s">
        <v>220</v>
      </c>
      <c r="F119" s="268" t="s">
        <v>354</v>
      </c>
      <c r="G119" s="249" t="s">
        <v>706</v>
      </c>
      <c r="H119" s="249" t="s">
        <v>435</v>
      </c>
      <c r="I119" s="268" t="s">
        <v>410</v>
      </c>
      <c r="J119" s="249">
        <v>2</v>
      </c>
      <c r="K119" s="268" t="s">
        <v>153</v>
      </c>
      <c r="L119" s="432">
        <f>GC!$F$21</f>
        <v>281.02</v>
      </c>
      <c r="M119" s="433">
        <f t="shared" si="5"/>
        <v>562.04</v>
      </c>
      <c r="N119" s="249">
        <v>0</v>
      </c>
      <c r="O119" s="433">
        <f t="shared" si="6"/>
        <v>0</v>
      </c>
      <c r="P119" s="434">
        <v>0.16</v>
      </c>
      <c r="Q119" s="433">
        <f t="shared" si="7"/>
        <v>89.926400000000001</v>
      </c>
      <c r="R119" s="433">
        <f t="shared" si="8"/>
        <v>651.96640000000002</v>
      </c>
      <c r="S119" s="433">
        <f>INDEX('Glosario Partidas'!$M$8:$M$10,MATCH(K119,'Glosario Partidas'!$L$8:$L$10,0))</f>
        <v>17.5</v>
      </c>
      <c r="T119" s="433">
        <f t="shared" si="9"/>
        <v>11409.412</v>
      </c>
      <c r="U119" s="268" t="s">
        <v>1084</v>
      </c>
      <c r="V119" s="249" t="s">
        <v>12</v>
      </c>
      <c r="W119" s="249" t="s">
        <v>491</v>
      </c>
      <c r="X119" s="249"/>
    </row>
    <row r="120" spans="1:24" ht="15" customHeight="1" x14ac:dyDescent="0.2">
      <c r="A120" s="268"/>
      <c r="B120" s="268" t="s">
        <v>108</v>
      </c>
      <c r="C120" s="268" t="s">
        <v>401</v>
      </c>
      <c r="D120" s="431" t="str">
        <f>GC!$B$12</f>
        <v>Set de ducha de mano con soporte de pared integrado</v>
      </c>
      <c r="E120" s="249" t="s">
        <v>220</v>
      </c>
      <c r="F120" s="268" t="s">
        <v>354</v>
      </c>
      <c r="G120" s="249" t="s">
        <v>706</v>
      </c>
      <c r="H120" s="249" t="s">
        <v>435</v>
      </c>
      <c r="I120" s="268" t="s">
        <v>410</v>
      </c>
      <c r="J120" s="249">
        <v>1</v>
      </c>
      <c r="K120" s="268" t="s">
        <v>153</v>
      </c>
      <c r="L120" s="432">
        <f>GC!$F$12</f>
        <v>325.25947400000001</v>
      </c>
      <c r="M120" s="433">
        <f t="shared" si="5"/>
        <v>325.25947400000001</v>
      </c>
      <c r="N120" s="249">
        <v>0</v>
      </c>
      <c r="O120" s="433">
        <f t="shared" si="6"/>
        <v>0</v>
      </c>
      <c r="P120" s="434">
        <v>0.16</v>
      </c>
      <c r="Q120" s="433">
        <f t="shared" si="7"/>
        <v>52.041515840000002</v>
      </c>
      <c r="R120" s="433">
        <f t="shared" si="8"/>
        <v>377.30098984</v>
      </c>
      <c r="S120" s="433">
        <f>INDEX('Glosario Partidas'!$M$8:$M$10,MATCH(K120,'Glosario Partidas'!$L$8:$L$10,0))</f>
        <v>17.5</v>
      </c>
      <c r="T120" s="433">
        <f t="shared" si="9"/>
        <v>6602.7673222000003</v>
      </c>
      <c r="U120" s="268"/>
      <c r="V120" s="249" t="s">
        <v>12</v>
      </c>
      <c r="W120" s="249" t="s">
        <v>491</v>
      </c>
      <c r="X120" s="249"/>
    </row>
    <row r="121" spans="1:24" ht="15" customHeight="1" x14ac:dyDescent="0.2">
      <c r="A121" s="268"/>
      <c r="B121" s="268" t="s">
        <v>108</v>
      </c>
      <c r="C121" s="268" t="s">
        <v>401</v>
      </c>
      <c r="D121" s="431" t="str">
        <f>GC!$B$13</f>
        <v>Ducha efecto lluvia con fijación a pared 400 mm</v>
      </c>
      <c r="E121" s="249" t="s">
        <v>220</v>
      </c>
      <c r="F121" s="268" t="s">
        <v>354</v>
      </c>
      <c r="G121" s="249" t="s">
        <v>706</v>
      </c>
      <c r="H121" s="249" t="s">
        <v>435</v>
      </c>
      <c r="I121" s="268" t="s">
        <v>410</v>
      </c>
      <c r="J121" s="249">
        <v>1</v>
      </c>
      <c r="K121" s="268" t="s">
        <v>153</v>
      </c>
      <c r="L121" s="432">
        <f>GC!$F$13</f>
        <v>1807.197105</v>
      </c>
      <c r="M121" s="433">
        <f t="shared" si="5"/>
        <v>1807.197105</v>
      </c>
      <c r="N121" s="249">
        <v>0</v>
      </c>
      <c r="O121" s="433">
        <f t="shared" si="6"/>
        <v>0</v>
      </c>
      <c r="P121" s="434">
        <v>0.16</v>
      </c>
      <c r="Q121" s="433">
        <f t="shared" si="7"/>
        <v>289.15153679999997</v>
      </c>
      <c r="R121" s="433">
        <f t="shared" si="8"/>
        <v>2096.3486417999998</v>
      </c>
      <c r="S121" s="433">
        <f>INDEX('Glosario Partidas'!$M$8:$M$10,MATCH(K121,'Glosario Partidas'!$L$8:$L$10,0))</f>
        <v>17.5</v>
      </c>
      <c r="T121" s="433">
        <f t="shared" si="9"/>
        <v>36686.101231499997</v>
      </c>
      <c r="U121" s="268"/>
      <c r="V121" s="249" t="s">
        <v>12</v>
      </c>
      <c r="W121" s="249" t="s">
        <v>491</v>
      </c>
      <c r="X121" s="249"/>
    </row>
    <row r="122" spans="1:24" ht="15" customHeight="1" x14ac:dyDescent="0.2">
      <c r="A122" s="268"/>
      <c r="B122" s="268" t="s">
        <v>108</v>
      </c>
      <c r="C122" s="268" t="s">
        <v>401</v>
      </c>
      <c r="D122" s="431" t="str">
        <f>GC!$B$22</f>
        <v>Canaleta de ducha para piedra natural TECE showerline (15201082)</v>
      </c>
      <c r="E122" s="249" t="s">
        <v>220</v>
      </c>
      <c r="F122" s="268" t="s">
        <v>354</v>
      </c>
      <c r="G122" s="249" t="s">
        <v>706</v>
      </c>
      <c r="H122" s="249" t="s">
        <v>435</v>
      </c>
      <c r="I122" s="268" t="s">
        <v>410</v>
      </c>
      <c r="J122" s="249">
        <v>1</v>
      </c>
      <c r="K122" s="268" t="s">
        <v>153</v>
      </c>
      <c r="L122" s="432">
        <f>GC!$F$22</f>
        <v>290.33763199999999</v>
      </c>
      <c r="M122" s="433">
        <f t="shared" si="5"/>
        <v>290.33763199999999</v>
      </c>
      <c r="N122" s="249">
        <v>0</v>
      </c>
      <c r="O122" s="433">
        <f t="shared" si="6"/>
        <v>0</v>
      </c>
      <c r="P122" s="434">
        <v>0.16</v>
      </c>
      <c r="Q122" s="433">
        <f t="shared" si="7"/>
        <v>46.45402112</v>
      </c>
      <c r="R122" s="433">
        <f t="shared" si="8"/>
        <v>336.79165311999998</v>
      </c>
      <c r="S122" s="433">
        <f>INDEX('Glosario Partidas'!$M$8:$M$10,MATCH(K122,'Glosario Partidas'!$L$8:$L$10,0))</f>
        <v>17.5</v>
      </c>
      <c r="T122" s="433">
        <f t="shared" si="9"/>
        <v>5893.8539295999999</v>
      </c>
      <c r="U122" s="268" t="s">
        <v>1085</v>
      </c>
      <c r="V122" s="249" t="s">
        <v>12</v>
      </c>
      <c r="W122" s="249" t="s">
        <v>491</v>
      </c>
      <c r="X122" s="249"/>
    </row>
    <row r="123" spans="1:24" ht="15" customHeight="1" x14ac:dyDescent="0.2">
      <c r="A123" s="268"/>
      <c r="B123" s="268" t="s">
        <v>108</v>
      </c>
      <c r="C123" s="268" t="s">
        <v>401</v>
      </c>
      <c r="D123" s="431" t="str">
        <f>GC!$B$14</f>
        <v>Termostato oculto con control de volumen bidireccional</v>
      </c>
      <c r="E123" s="249" t="s">
        <v>220</v>
      </c>
      <c r="F123" s="268" t="s">
        <v>354</v>
      </c>
      <c r="G123" s="249" t="s">
        <v>706</v>
      </c>
      <c r="H123" s="249" t="s">
        <v>435</v>
      </c>
      <c r="I123" s="268" t="s">
        <v>410</v>
      </c>
      <c r="J123" s="249">
        <v>1</v>
      </c>
      <c r="K123" s="268" t="s">
        <v>153</v>
      </c>
      <c r="L123" s="432">
        <f>GC!$F$14</f>
        <v>350.19605300000001</v>
      </c>
      <c r="M123" s="433">
        <f t="shared" si="5"/>
        <v>350.19605300000001</v>
      </c>
      <c r="N123" s="249">
        <v>0</v>
      </c>
      <c r="O123" s="433">
        <f t="shared" si="6"/>
        <v>0</v>
      </c>
      <c r="P123" s="434">
        <v>0.16</v>
      </c>
      <c r="Q123" s="433">
        <f t="shared" si="7"/>
        <v>56.031368480000005</v>
      </c>
      <c r="R123" s="433">
        <f t="shared" si="8"/>
        <v>406.22742148000003</v>
      </c>
      <c r="S123" s="433">
        <f>INDEX('Glosario Partidas'!$M$8:$M$10,MATCH(K123,'Glosario Partidas'!$L$8:$L$10,0))</f>
        <v>17.5</v>
      </c>
      <c r="T123" s="433">
        <f t="shared" si="9"/>
        <v>7108.9798759000005</v>
      </c>
      <c r="U123" s="268"/>
      <c r="V123" s="249" t="s">
        <v>12</v>
      </c>
      <c r="W123" s="249" t="s">
        <v>491</v>
      </c>
      <c r="X123" s="249"/>
    </row>
    <row r="124" spans="1:24" ht="15" customHeight="1" x14ac:dyDescent="0.2">
      <c r="A124" s="268"/>
      <c r="B124" s="268" t="s">
        <v>108</v>
      </c>
      <c r="C124" s="268" t="s">
        <v>401</v>
      </c>
      <c r="D124" s="431" t="str">
        <f>GC!$B$15</f>
        <v>Termostato empotrado (rough)</v>
      </c>
      <c r="E124" s="249" t="s">
        <v>220</v>
      </c>
      <c r="F124" s="268" t="s">
        <v>354</v>
      </c>
      <c r="G124" s="249" t="s">
        <v>706</v>
      </c>
      <c r="H124" s="249" t="s">
        <v>435</v>
      </c>
      <c r="I124" s="268" t="s">
        <v>410</v>
      </c>
      <c r="J124" s="249">
        <v>1</v>
      </c>
      <c r="K124" s="268" t="s">
        <v>153</v>
      </c>
      <c r="L124" s="432">
        <f>GC!$F$15</f>
        <v>313.33</v>
      </c>
      <c r="M124" s="433">
        <f t="shared" si="5"/>
        <v>313.33</v>
      </c>
      <c r="N124" s="249">
        <v>0</v>
      </c>
      <c r="O124" s="433">
        <f t="shared" si="6"/>
        <v>0</v>
      </c>
      <c r="P124" s="434">
        <v>0.16</v>
      </c>
      <c r="Q124" s="433">
        <f t="shared" si="7"/>
        <v>50.132799999999996</v>
      </c>
      <c r="R124" s="433">
        <f t="shared" si="8"/>
        <v>363.46279999999996</v>
      </c>
      <c r="S124" s="433">
        <f>INDEX('Glosario Partidas'!$M$8:$M$10,MATCH(K124,'Glosario Partidas'!$L$8:$L$10,0))</f>
        <v>17.5</v>
      </c>
      <c r="T124" s="433">
        <f t="shared" si="9"/>
        <v>6360.5989999999993</v>
      </c>
      <c r="U124" s="268"/>
      <c r="V124" s="249" t="s">
        <v>12</v>
      </c>
      <c r="W124" s="249" t="s">
        <v>491</v>
      </c>
      <c r="X124" s="249"/>
    </row>
    <row r="125" spans="1:24" ht="15" customHeight="1" x14ac:dyDescent="0.2">
      <c r="A125" s="268"/>
      <c r="B125" s="268" t="s">
        <v>108</v>
      </c>
      <c r="C125" s="268" t="s">
        <v>401</v>
      </c>
      <c r="D125" s="431" t="str">
        <f>GC!$B$10</f>
        <v>Soporte para papel higiénico sin cubierta</v>
      </c>
      <c r="E125" s="249" t="s">
        <v>220</v>
      </c>
      <c r="F125" s="268" t="s">
        <v>354</v>
      </c>
      <c r="G125" s="249" t="s">
        <v>706</v>
      </c>
      <c r="H125" s="249" t="s">
        <v>435</v>
      </c>
      <c r="I125" s="268" t="s">
        <v>410</v>
      </c>
      <c r="J125" s="249">
        <v>1</v>
      </c>
      <c r="K125" s="268" t="s">
        <v>153</v>
      </c>
      <c r="L125" s="432">
        <f>GC!$F$10</f>
        <v>238.874348</v>
      </c>
      <c r="M125" s="433">
        <f t="shared" si="5"/>
        <v>238.874348</v>
      </c>
      <c r="N125" s="249">
        <v>0</v>
      </c>
      <c r="O125" s="433">
        <f t="shared" si="6"/>
        <v>0</v>
      </c>
      <c r="P125" s="434">
        <v>0.16</v>
      </c>
      <c r="Q125" s="433">
        <f t="shared" si="7"/>
        <v>38.21989568</v>
      </c>
      <c r="R125" s="433">
        <f t="shared" si="8"/>
        <v>277.09424367999998</v>
      </c>
      <c r="S125" s="433">
        <f>INDEX('Glosario Partidas'!$M$8:$M$10,MATCH(K125,'Glosario Partidas'!$L$8:$L$10,0))</f>
        <v>17.5</v>
      </c>
      <c r="T125" s="433">
        <f t="shared" si="9"/>
        <v>4849.1492644</v>
      </c>
      <c r="U125" s="268"/>
      <c r="V125" s="249" t="s">
        <v>12</v>
      </c>
      <c r="W125" s="249" t="s">
        <v>491</v>
      </c>
      <c r="X125" s="249"/>
    </row>
    <row r="126" spans="1:24" ht="15" customHeight="1" x14ac:dyDescent="0.2">
      <c r="A126" s="268"/>
      <c r="B126" s="268" t="s">
        <v>108</v>
      </c>
      <c r="C126" s="268" t="s">
        <v>401</v>
      </c>
      <c r="D126" s="431" t="str">
        <f>GC!$B$9</f>
        <v>Barra de agarre / Toallero chico 45cm</v>
      </c>
      <c r="E126" s="249" t="s">
        <v>220</v>
      </c>
      <c r="F126" s="268" t="s">
        <v>354</v>
      </c>
      <c r="G126" s="249" t="s">
        <v>706</v>
      </c>
      <c r="H126" s="249" t="s">
        <v>435</v>
      </c>
      <c r="I126" s="268" t="s">
        <v>410</v>
      </c>
      <c r="J126" s="249">
        <v>2</v>
      </c>
      <c r="K126" s="268" t="s">
        <v>153</v>
      </c>
      <c r="L126" s="432">
        <f>GC!$F$9</f>
        <v>471.15</v>
      </c>
      <c r="M126" s="433">
        <f t="shared" si="5"/>
        <v>942.3</v>
      </c>
      <c r="N126" s="249">
        <v>0</v>
      </c>
      <c r="O126" s="433">
        <f t="shared" si="6"/>
        <v>0</v>
      </c>
      <c r="P126" s="434">
        <v>0.16</v>
      </c>
      <c r="Q126" s="433">
        <f t="shared" si="7"/>
        <v>150.768</v>
      </c>
      <c r="R126" s="433">
        <f t="shared" si="8"/>
        <v>1093.068</v>
      </c>
      <c r="S126" s="433">
        <f>INDEX('Glosario Partidas'!$M$8:$M$10,MATCH(K126,'Glosario Partidas'!$L$8:$L$10,0))</f>
        <v>17.5</v>
      </c>
      <c r="T126" s="433">
        <f t="shared" si="9"/>
        <v>19128.689999999999</v>
      </c>
      <c r="U126" s="268"/>
      <c r="V126" s="249" t="s">
        <v>12</v>
      </c>
      <c r="W126" s="249" t="s">
        <v>491</v>
      </c>
      <c r="X126" s="249"/>
    </row>
    <row r="127" spans="1:24" ht="15" customHeight="1" x14ac:dyDescent="0.2">
      <c r="A127" s="268"/>
      <c r="B127" s="268" t="s">
        <v>108</v>
      </c>
      <c r="C127" s="268" t="s">
        <v>401</v>
      </c>
      <c r="D127" s="431" t="str">
        <f>GC!$B$11</f>
        <v>Gancho</v>
      </c>
      <c r="E127" s="249" t="s">
        <v>220</v>
      </c>
      <c r="F127" s="268" t="s">
        <v>354</v>
      </c>
      <c r="G127" s="249" t="s">
        <v>706</v>
      </c>
      <c r="H127" s="249" t="s">
        <v>435</v>
      </c>
      <c r="I127" s="268" t="s">
        <v>410</v>
      </c>
      <c r="J127" s="249">
        <v>4</v>
      </c>
      <c r="K127" s="268" t="s">
        <v>153</v>
      </c>
      <c r="L127" s="432">
        <f>GC!$F$11</f>
        <v>61.111086999999998</v>
      </c>
      <c r="M127" s="433">
        <f t="shared" si="5"/>
        <v>244.44434799999999</v>
      </c>
      <c r="N127" s="249">
        <v>0</v>
      </c>
      <c r="O127" s="433">
        <f t="shared" si="6"/>
        <v>0</v>
      </c>
      <c r="P127" s="434">
        <v>0.16</v>
      </c>
      <c r="Q127" s="433">
        <f t="shared" si="7"/>
        <v>39.111095679999998</v>
      </c>
      <c r="R127" s="433">
        <f t="shared" si="8"/>
        <v>283.55544368</v>
      </c>
      <c r="S127" s="433">
        <f>INDEX('Glosario Partidas'!$M$8:$M$10,MATCH(K127,'Glosario Partidas'!$L$8:$L$10,0))</f>
        <v>17.5</v>
      </c>
      <c r="T127" s="433">
        <f t="shared" si="9"/>
        <v>4962.2202643999999</v>
      </c>
      <c r="U127" s="268"/>
      <c r="V127" s="249" t="s">
        <v>12</v>
      </c>
      <c r="W127" s="249" t="s">
        <v>491</v>
      </c>
      <c r="X127" s="249"/>
    </row>
    <row r="128" spans="1:24" ht="15" customHeight="1" x14ac:dyDescent="0.2">
      <c r="A128" s="268"/>
      <c r="B128" s="268" t="s">
        <v>108</v>
      </c>
      <c r="C128" s="268" t="s">
        <v>401</v>
      </c>
      <c r="D128" s="431" t="str">
        <f>GC!$B$7</f>
        <v>Inodoro a piso de una pieza (Starck 3)</v>
      </c>
      <c r="E128" s="249" t="s">
        <v>220</v>
      </c>
      <c r="F128" s="268" t="s">
        <v>221</v>
      </c>
      <c r="G128" s="249" t="s">
        <v>703</v>
      </c>
      <c r="H128" s="249" t="s">
        <v>435</v>
      </c>
      <c r="I128" s="268" t="s">
        <v>410</v>
      </c>
      <c r="J128" s="249">
        <v>1</v>
      </c>
      <c r="K128" s="268" t="s">
        <v>153</v>
      </c>
      <c r="L128" s="432">
        <f>GC!$F$7</f>
        <v>667.07</v>
      </c>
      <c r="M128" s="433">
        <f t="shared" si="5"/>
        <v>667.07</v>
      </c>
      <c r="N128" s="249">
        <v>0</v>
      </c>
      <c r="O128" s="433">
        <f t="shared" si="6"/>
        <v>0</v>
      </c>
      <c r="P128" s="434">
        <v>0.16</v>
      </c>
      <c r="Q128" s="433">
        <f t="shared" si="7"/>
        <v>106.73120000000002</v>
      </c>
      <c r="R128" s="433">
        <f t="shared" si="8"/>
        <v>773.80120000000011</v>
      </c>
      <c r="S128" s="433">
        <f>INDEX('Glosario Partidas'!$M$8:$M$10,MATCH(K128,'Glosario Partidas'!$L$8:$L$10,0))</f>
        <v>17.5</v>
      </c>
      <c r="T128" s="433">
        <f t="shared" si="9"/>
        <v>13541.521000000002</v>
      </c>
      <c r="U128" s="268"/>
      <c r="V128" s="249" t="s">
        <v>12</v>
      </c>
      <c r="W128" s="249" t="s">
        <v>491</v>
      </c>
      <c r="X128" s="249"/>
    </row>
    <row r="129" spans="1:24" ht="15" customHeight="1" x14ac:dyDescent="0.2">
      <c r="A129" s="268"/>
      <c r="B129" s="268" t="s">
        <v>108</v>
      </c>
      <c r="C129" s="268" t="s">
        <v>401</v>
      </c>
      <c r="D129" s="431" t="str">
        <f>GC!$B$8</f>
        <v>Monomando de lavabo con válvula automática</v>
      </c>
      <c r="E129" s="249" t="s">
        <v>220</v>
      </c>
      <c r="F129" s="268" t="s">
        <v>221</v>
      </c>
      <c r="G129" s="249" t="s">
        <v>703</v>
      </c>
      <c r="H129" s="249" t="s">
        <v>435</v>
      </c>
      <c r="I129" s="268" t="s">
        <v>410</v>
      </c>
      <c r="J129" s="249">
        <v>2</v>
      </c>
      <c r="K129" s="268" t="s">
        <v>153</v>
      </c>
      <c r="L129" s="432">
        <f>GC!$F$8</f>
        <v>975.99151900000004</v>
      </c>
      <c r="M129" s="433">
        <f t="shared" si="5"/>
        <v>1951.9830380000001</v>
      </c>
      <c r="N129" s="249">
        <v>0</v>
      </c>
      <c r="O129" s="433">
        <f t="shared" si="6"/>
        <v>0</v>
      </c>
      <c r="P129" s="434">
        <v>0.16</v>
      </c>
      <c r="Q129" s="433">
        <f t="shared" si="7"/>
        <v>312.31728608000003</v>
      </c>
      <c r="R129" s="433">
        <f t="shared" si="8"/>
        <v>2264.3003240799999</v>
      </c>
      <c r="S129" s="433">
        <f>INDEX('Glosario Partidas'!$M$8:$M$10,MATCH(K129,'Glosario Partidas'!$L$8:$L$10,0))</f>
        <v>17.5</v>
      </c>
      <c r="T129" s="433">
        <f t="shared" si="9"/>
        <v>39625.255671399995</v>
      </c>
      <c r="U129" s="268"/>
      <c r="V129" s="249" t="s">
        <v>12</v>
      </c>
      <c r="W129" s="249" t="s">
        <v>491</v>
      </c>
      <c r="X129" s="249"/>
    </row>
    <row r="130" spans="1:24" ht="15" customHeight="1" x14ac:dyDescent="0.2">
      <c r="A130" s="268"/>
      <c r="B130" s="268" t="s">
        <v>108</v>
      </c>
      <c r="C130" s="268" t="s">
        <v>401</v>
      </c>
      <c r="D130" s="431" t="str">
        <f>GC!$B$21</f>
        <v>Soporte para vidrio (SERIES SPECIFIC, XS-081077, Brushed Dark Platinum)</v>
      </c>
      <c r="E130" s="249" t="s">
        <v>220</v>
      </c>
      <c r="F130" s="268" t="s">
        <v>221</v>
      </c>
      <c r="G130" s="249" t="s">
        <v>703</v>
      </c>
      <c r="H130" s="249" t="s">
        <v>435</v>
      </c>
      <c r="I130" s="268" t="s">
        <v>410</v>
      </c>
      <c r="J130" s="249">
        <v>2</v>
      </c>
      <c r="K130" s="268" t="s">
        <v>153</v>
      </c>
      <c r="L130" s="432">
        <f>GC!$F$21</f>
        <v>281.02</v>
      </c>
      <c r="M130" s="433">
        <f t="shared" ref="M130:M193" si="10">J130*L130</f>
        <v>562.04</v>
      </c>
      <c r="N130" s="249">
        <v>0</v>
      </c>
      <c r="O130" s="433">
        <f t="shared" ref="O130:O193" si="11">M130*N130</f>
        <v>0</v>
      </c>
      <c r="P130" s="434">
        <v>0.16</v>
      </c>
      <c r="Q130" s="433">
        <f t="shared" ref="Q130:Q193" si="12">(M130+O130)*P130</f>
        <v>89.926400000000001</v>
      </c>
      <c r="R130" s="433">
        <f t="shared" ref="R130:R193" si="13">M130+O130+Q130</f>
        <v>651.96640000000002</v>
      </c>
      <c r="S130" s="433">
        <f>INDEX('Glosario Partidas'!$M$8:$M$10,MATCH(K130,'Glosario Partidas'!$L$8:$L$10,0))</f>
        <v>17.5</v>
      </c>
      <c r="T130" s="433">
        <f t="shared" ref="T130:T193" si="14">R130*S130</f>
        <v>11409.412</v>
      </c>
      <c r="U130" s="268" t="s">
        <v>1084</v>
      </c>
      <c r="V130" s="249" t="s">
        <v>12</v>
      </c>
      <c r="W130" s="249" t="s">
        <v>491</v>
      </c>
      <c r="X130" s="249"/>
    </row>
    <row r="131" spans="1:24" ht="15" customHeight="1" x14ac:dyDescent="0.2">
      <c r="A131" s="268"/>
      <c r="B131" s="268" t="s">
        <v>108</v>
      </c>
      <c r="C131" s="268" t="s">
        <v>401</v>
      </c>
      <c r="D131" s="431" t="str">
        <f>GC!$B$12</f>
        <v>Set de ducha de mano con soporte de pared integrado</v>
      </c>
      <c r="E131" s="249" t="s">
        <v>220</v>
      </c>
      <c r="F131" s="268" t="s">
        <v>221</v>
      </c>
      <c r="G131" s="249" t="s">
        <v>703</v>
      </c>
      <c r="H131" s="249" t="s">
        <v>435</v>
      </c>
      <c r="I131" s="268" t="s">
        <v>410</v>
      </c>
      <c r="J131" s="249">
        <v>1</v>
      </c>
      <c r="K131" s="268" t="s">
        <v>153</v>
      </c>
      <c r="L131" s="432">
        <f>GC!$F$12</f>
        <v>325.25947400000001</v>
      </c>
      <c r="M131" s="433">
        <f t="shared" si="10"/>
        <v>325.25947400000001</v>
      </c>
      <c r="N131" s="249">
        <v>0</v>
      </c>
      <c r="O131" s="433">
        <f t="shared" si="11"/>
        <v>0</v>
      </c>
      <c r="P131" s="434">
        <v>0.16</v>
      </c>
      <c r="Q131" s="433">
        <f t="shared" si="12"/>
        <v>52.041515840000002</v>
      </c>
      <c r="R131" s="433">
        <f t="shared" si="13"/>
        <v>377.30098984</v>
      </c>
      <c r="S131" s="433">
        <f>INDEX('Glosario Partidas'!$M$8:$M$10,MATCH(K131,'Glosario Partidas'!$L$8:$L$10,0))</f>
        <v>17.5</v>
      </c>
      <c r="T131" s="433">
        <f t="shared" si="14"/>
        <v>6602.7673222000003</v>
      </c>
      <c r="U131" s="268"/>
      <c r="V131" s="249" t="s">
        <v>12</v>
      </c>
      <c r="W131" s="249" t="s">
        <v>491</v>
      </c>
      <c r="X131" s="249"/>
    </row>
    <row r="132" spans="1:24" ht="15" customHeight="1" x14ac:dyDescent="0.2">
      <c r="A132" s="268"/>
      <c r="B132" s="268" t="s">
        <v>108</v>
      </c>
      <c r="C132" s="268" t="s">
        <v>401</v>
      </c>
      <c r="D132" s="431" t="str">
        <f>GC!$B$13</f>
        <v>Ducha efecto lluvia con fijación a pared 400 mm</v>
      </c>
      <c r="E132" s="249" t="s">
        <v>220</v>
      </c>
      <c r="F132" s="268" t="s">
        <v>221</v>
      </c>
      <c r="G132" s="249" t="s">
        <v>703</v>
      </c>
      <c r="H132" s="249" t="s">
        <v>435</v>
      </c>
      <c r="I132" s="268" t="s">
        <v>410</v>
      </c>
      <c r="J132" s="249">
        <v>1</v>
      </c>
      <c r="K132" s="268" t="s">
        <v>153</v>
      </c>
      <c r="L132" s="432">
        <f>GC!$F$13</f>
        <v>1807.197105</v>
      </c>
      <c r="M132" s="433">
        <f t="shared" si="10"/>
        <v>1807.197105</v>
      </c>
      <c r="N132" s="249">
        <v>0</v>
      </c>
      <c r="O132" s="433">
        <f t="shared" si="11"/>
        <v>0</v>
      </c>
      <c r="P132" s="434">
        <v>0.16</v>
      </c>
      <c r="Q132" s="433">
        <f t="shared" si="12"/>
        <v>289.15153679999997</v>
      </c>
      <c r="R132" s="433">
        <f t="shared" si="13"/>
        <v>2096.3486417999998</v>
      </c>
      <c r="S132" s="433">
        <f>INDEX('Glosario Partidas'!$M$8:$M$10,MATCH(K132,'Glosario Partidas'!$L$8:$L$10,0))</f>
        <v>17.5</v>
      </c>
      <c r="T132" s="433">
        <f t="shared" si="14"/>
        <v>36686.101231499997</v>
      </c>
      <c r="U132" s="268"/>
      <c r="V132" s="249" t="s">
        <v>12</v>
      </c>
      <c r="W132" s="249" t="s">
        <v>491</v>
      </c>
      <c r="X132" s="249"/>
    </row>
    <row r="133" spans="1:24" ht="15" customHeight="1" x14ac:dyDescent="0.2">
      <c r="A133" s="268"/>
      <c r="B133" s="268" t="s">
        <v>108</v>
      </c>
      <c r="C133" s="268" t="s">
        <v>401</v>
      </c>
      <c r="D133" s="431" t="str">
        <f>GC!$B$22</f>
        <v>Canaleta de ducha para piedra natural TECE showerline (15201082)</v>
      </c>
      <c r="E133" s="249" t="s">
        <v>220</v>
      </c>
      <c r="F133" s="268" t="s">
        <v>221</v>
      </c>
      <c r="G133" s="249" t="s">
        <v>703</v>
      </c>
      <c r="H133" s="249" t="s">
        <v>435</v>
      </c>
      <c r="I133" s="268" t="s">
        <v>410</v>
      </c>
      <c r="J133" s="249">
        <v>1</v>
      </c>
      <c r="K133" s="268" t="s">
        <v>153</v>
      </c>
      <c r="L133" s="432">
        <f>GC!$F$22</f>
        <v>290.33763199999999</v>
      </c>
      <c r="M133" s="433">
        <f t="shared" si="10"/>
        <v>290.33763199999999</v>
      </c>
      <c r="N133" s="249">
        <v>0</v>
      </c>
      <c r="O133" s="433">
        <f t="shared" si="11"/>
        <v>0</v>
      </c>
      <c r="P133" s="434">
        <v>0.16</v>
      </c>
      <c r="Q133" s="433">
        <f t="shared" si="12"/>
        <v>46.45402112</v>
      </c>
      <c r="R133" s="433">
        <f t="shared" si="13"/>
        <v>336.79165311999998</v>
      </c>
      <c r="S133" s="433">
        <f>INDEX('Glosario Partidas'!$M$8:$M$10,MATCH(K133,'Glosario Partidas'!$L$8:$L$10,0))</f>
        <v>17.5</v>
      </c>
      <c r="T133" s="433">
        <f t="shared" si="14"/>
        <v>5893.8539295999999</v>
      </c>
      <c r="U133" s="268" t="s">
        <v>1085</v>
      </c>
      <c r="V133" s="249" t="s">
        <v>12</v>
      </c>
      <c r="W133" s="249" t="s">
        <v>491</v>
      </c>
      <c r="X133" s="249"/>
    </row>
    <row r="134" spans="1:24" ht="15" customHeight="1" x14ac:dyDescent="0.2">
      <c r="A134" s="268"/>
      <c r="B134" s="268" t="s">
        <v>108</v>
      </c>
      <c r="C134" s="268" t="s">
        <v>401</v>
      </c>
      <c r="D134" s="431" t="str">
        <f>GC!$B$14</f>
        <v>Termostato oculto con control de volumen bidireccional</v>
      </c>
      <c r="E134" s="249" t="s">
        <v>220</v>
      </c>
      <c r="F134" s="268" t="s">
        <v>221</v>
      </c>
      <c r="G134" s="249" t="s">
        <v>703</v>
      </c>
      <c r="H134" s="249" t="s">
        <v>435</v>
      </c>
      <c r="I134" s="268" t="s">
        <v>410</v>
      </c>
      <c r="J134" s="249">
        <v>1</v>
      </c>
      <c r="K134" s="268" t="s">
        <v>153</v>
      </c>
      <c r="L134" s="432">
        <f>GC!$F$14</f>
        <v>350.19605300000001</v>
      </c>
      <c r="M134" s="433">
        <f t="shared" si="10"/>
        <v>350.19605300000001</v>
      </c>
      <c r="N134" s="249">
        <v>0</v>
      </c>
      <c r="O134" s="433">
        <f t="shared" si="11"/>
        <v>0</v>
      </c>
      <c r="P134" s="434">
        <v>0.16</v>
      </c>
      <c r="Q134" s="433">
        <f t="shared" si="12"/>
        <v>56.031368480000005</v>
      </c>
      <c r="R134" s="433">
        <f t="shared" si="13"/>
        <v>406.22742148000003</v>
      </c>
      <c r="S134" s="433">
        <f>INDEX('Glosario Partidas'!$M$8:$M$10,MATCH(K134,'Glosario Partidas'!$L$8:$L$10,0))</f>
        <v>17.5</v>
      </c>
      <c r="T134" s="433">
        <f t="shared" si="14"/>
        <v>7108.9798759000005</v>
      </c>
      <c r="U134" s="268"/>
      <c r="V134" s="249" t="s">
        <v>12</v>
      </c>
      <c r="W134" s="249" t="s">
        <v>491</v>
      </c>
      <c r="X134" s="249"/>
    </row>
    <row r="135" spans="1:24" ht="15" customHeight="1" x14ac:dyDescent="0.2">
      <c r="A135" s="268"/>
      <c r="B135" s="268" t="s">
        <v>108</v>
      </c>
      <c r="C135" s="268" t="s">
        <v>401</v>
      </c>
      <c r="D135" s="431" t="str">
        <f>GC!$B$15</f>
        <v>Termostato empotrado (rough)</v>
      </c>
      <c r="E135" s="249" t="s">
        <v>220</v>
      </c>
      <c r="F135" s="268" t="s">
        <v>221</v>
      </c>
      <c r="G135" s="249" t="s">
        <v>703</v>
      </c>
      <c r="H135" s="249" t="s">
        <v>435</v>
      </c>
      <c r="I135" s="268" t="s">
        <v>410</v>
      </c>
      <c r="J135" s="249">
        <v>1</v>
      </c>
      <c r="K135" s="268" t="s">
        <v>153</v>
      </c>
      <c r="L135" s="432">
        <f>GC!$F$15</f>
        <v>313.33</v>
      </c>
      <c r="M135" s="433">
        <f t="shared" si="10"/>
        <v>313.33</v>
      </c>
      <c r="N135" s="249">
        <v>0</v>
      </c>
      <c r="O135" s="433">
        <f t="shared" si="11"/>
        <v>0</v>
      </c>
      <c r="P135" s="434">
        <v>0.16</v>
      </c>
      <c r="Q135" s="433">
        <f t="shared" si="12"/>
        <v>50.132799999999996</v>
      </c>
      <c r="R135" s="433">
        <f t="shared" si="13"/>
        <v>363.46279999999996</v>
      </c>
      <c r="S135" s="433">
        <f>INDEX('Glosario Partidas'!$M$8:$M$10,MATCH(K135,'Glosario Partidas'!$L$8:$L$10,0))</f>
        <v>17.5</v>
      </c>
      <c r="T135" s="433">
        <f t="shared" si="14"/>
        <v>6360.5989999999993</v>
      </c>
      <c r="U135" s="268"/>
      <c r="V135" s="249" t="s">
        <v>12</v>
      </c>
      <c r="W135" s="249" t="s">
        <v>491</v>
      </c>
      <c r="X135" s="249"/>
    </row>
    <row r="136" spans="1:24" ht="15" customHeight="1" x14ac:dyDescent="0.2">
      <c r="A136" s="268"/>
      <c r="B136" s="268" t="s">
        <v>108</v>
      </c>
      <c r="C136" s="268" t="s">
        <v>401</v>
      </c>
      <c r="D136" s="431" t="str">
        <f>GC!$B$10</f>
        <v>Soporte para papel higiénico sin cubierta</v>
      </c>
      <c r="E136" s="249" t="s">
        <v>220</v>
      </c>
      <c r="F136" s="268" t="s">
        <v>221</v>
      </c>
      <c r="G136" s="249" t="s">
        <v>703</v>
      </c>
      <c r="H136" s="249" t="s">
        <v>435</v>
      </c>
      <c r="I136" s="268" t="s">
        <v>410</v>
      </c>
      <c r="J136" s="249">
        <v>1</v>
      </c>
      <c r="K136" s="268" t="s">
        <v>153</v>
      </c>
      <c r="L136" s="432">
        <f>GC!$F$10</f>
        <v>238.874348</v>
      </c>
      <c r="M136" s="433">
        <f t="shared" si="10"/>
        <v>238.874348</v>
      </c>
      <c r="N136" s="249">
        <v>0</v>
      </c>
      <c r="O136" s="433">
        <f t="shared" si="11"/>
        <v>0</v>
      </c>
      <c r="P136" s="434">
        <v>0.16</v>
      </c>
      <c r="Q136" s="433">
        <f t="shared" si="12"/>
        <v>38.21989568</v>
      </c>
      <c r="R136" s="433">
        <f t="shared" si="13"/>
        <v>277.09424367999998</v>
      </c>
      <c r="S136" s="433">
        <f>INDEX('Glosario Partidas'!$M$8:$M$10,MATCH(K136,'Glosario Partidas'!$L$8:$L$10,0))</f>
        <v>17.5</v>
      </c>
      <c r="T136" s="433">
        <f t="shared" si="14"/>
        <v>4849.1492644</v>
      </c>
      <c r="U136" s="268"/>
      <c r="V136" s="249" t="s">
        <v>12</v>
      </c>
      <c r="W136" s="249" t="s">
        <v>491</v>
      </c>
      <c r="X136" s="249"/>
    </row>
    <row r="137" spans="1:24" ht="15" customHeight="1" x14ac:dyDescent="0.2">
      <c r="A137" s="268"/>
      <c r="B137" s="268" t="s">
        <v>108</v>
      </c>
      <c r="C137" s="268" t="s">
        <v>401</v>
      </c>
      <c r="D137" s="431" t="str">
        <f>GC!$B$9</f>
        <v>Barra de agarre / Toallero chico 45cm</v>
      </c>
      <c r="E137" s="249" t="s">
        <v>220</v>
      </c>
      <c r="F137" s="268" t="s">
        <v>221</v>
      </c>
      <c r="G137" s="249" t="s">
        <v>703</v>
      </c>
      <c r="H137" s="249" t="s">
        <v>435</v>
      </c>
      <c r="I137" s="268" t="s">
        <v>410</v>
      </c>
      <c r="J137" s="249">
        <v>2</v>
      </c>
      <c r="K137" s="268" t="s">
        <v>153</v>
      </c>
      <c r="L137" s="432">
        <f>GC!$F$9</f>
        <v>471.15</v>
      </c>
      <c r="M137" s="433">
        <f t="shared" si="10"/>
        <v>942.3</v>
      </c>
      <c r="N137" s="249">
        <v>0</v>
      </c>
      <c r="O137" s="433">
        <f t="shared" si="11"/>
        <v>0</v>
      </c>
      <c r="P137" s="434">
        <v>0.16</v>
      </c>
      <c r="Q137" s="433">
        <f t="shared" si="12"/>
        <v>150.768</v>
      </c>
      <c r="R137" s="433">
        <f t="shared" si="13"/>
        <v>1093.068</v>
      </c>
      <c r="S137" s="433">
        <f>INDEX('Glosario Partidas'!$M$8:$M$10,MATCH(K137,'Glosario Partidas'!$L$8:$L$10,0))</f>
        <v>17.5</v>
      </c>
      <c r="T137" s="433">
        <f t="shared" si="14"/>
        <v>19128.689999999999</v>
      </c>
      <c r="U137" s="268"/>
      <c r="V137" s="249" t="s">
        <v>12</v>
      </c>
      <c r="W137" s="249" t="s">
        <v>491</v>
      </c>
      <c r="X137" s="249"/>
    </row>
    <row r="138" spans="1:24" ht="15" customHeight="1" x14ac:dyDescent="0.2">
      <c r="A138" s="268"/>
      <c r="B138" s="268" t="s">
        <v>108</v>
      </c>
      <c r="C138" s="268" t="s">
        <v>401</v>
      </c>
      <c r="D138" s="431" t="str">
        <f>GC!$B$11</f>
        <v>Gancho</v>
      </c>
      <c r="E138" s="249" t="s">
        <v>220</v>
      </c>
      <c r="F138" s="268" t="s">
        <v>221</v>
      </c>
      <c r="G138" s="249" t="s">
        <v>703</v>
      </c>
      <c r="H138" s="249" t="s">
        <v>435</v>
      </c>
      <c r="I138" s="268" t="s">
        <v>410</v>
      </c>
      <c r="J138" s="249">
        <v>4</v>
      </c>
      <c r="K138" s="268" t="s">
        <v>153</v>
      </c>
      <c r="L138" s="432">
        <f>GC!$F$11</f>
        <v>61.111086999999998</v>
      </c>
      <c r="M138" s="433">
        <f t="shared" si="10"/>
        <v>244.44434799999999</v>
      </c>
      <c r="N138" s="249">
        <v>0</v>
      </c>
      <c r="O138" s="433">
        <f t="shared" si="11"/>
        <v>0</v>
      </c>
      <c r="P138" s="434">
        <v>0.16</v>
      </c>
      <c r="Q138" s="433">
        <f t="shared" si="12"/>
        <v>39.111095679999998</v>
      </c>
      <c r="R138" s="433">
        <f t="shared" si="13"/>
        <v>283.55544368</v>
      </c>
      <c r="S138" s="433">
        <f>INDEX('Glosario Partidas'!$M$8:$M$10,MATCH(K138,'Glosario Partidas'!$L$8:$L$10,0))</f>
        <v>17.5</v>
      </c>
      <c r="T138" s="433">
        <f t="shared" si="14"/>
        <v>4962.2202643999999</v>
      </c>
      <c r="U138" s="268"/>
      <c r="V138" s="249" t="s">
        <v>12</v>
      </c>
      <c r="W138" s="249" t="s">
        <v>491</v>
      </c>
      <c r="X138" s="249"/>
    </row>
    <row r="139" spans="1:24" ht="15" customHeight="1" x14ac:dyDescent="0.2">
      <c r="A139" s="268"/>
      <c r="B139" s="268" t="s">
        <v>108</v>
      </c>
      <c r="C139" s="268" t="s">
        <v>401</v>
      </c>
      <c r="D139" s="431" t="str">
        <f>GC!$B$7</f>
        <v>Inodoro a piso de una pieza (Starck 3)</v>
      </c>
      <c r="E139" s="249" t="s">
        <v>220</v>
      </c>
      <c r="F139" s="268" t="s">
        <v>354</v>
      </c>
      <c r="G139" s="249" t="s">
        <v>707</v>
      </c>
      <c r="H139" s="249" t="s">
        <v>435</v>
      </c>
      <c r="I139" s="268" t="s">
        <v>410</v>
      </c>
      <c r="J139" s="249">
        <v>1</v>
      </c>
      <c r="K139" s="268" t="s">
        <v>153</v>
      </c>
      <c r="L139" s="432">
        <f>GC!$F$7</f>
        <v>667.07</v>
      </c>
      <c r="M139" s="433">
        <f t="shared" si="10"/>
        <v>667.07</v>
      </c>
      <c r="N139" s="249">
        <v>0</v>
      </c>
      <c r="O139" s="433">
        <f t="shared" si="11"/>
        <v>0</v>
      </c>
      <c r="P139" s="434">
        <v>0.16</v>
      </c>
      <c r="Q139" s="433">
        <f t="shared" si="12"/>
        <v>106.73120000000002</v>
      </c>
      <c r="R139" s="433">
        <f t="shared" si="13"/>
        <v>773.80120000000011</v>
      </c>
      <c r="S139" s="433">
        <f>INDEX('Glosario Partidas'!$M$8:$M$10,MATCH(K139,'Glosario Partidas'!$L$8:$L$10,0))</f>
        <v>17.5</v>
      </c>
      <c r="T139" s="433">
        <f t="shared" si="14"/>
        <v>13541.521000000002</v>
      </c>
      <c r="U139" s="268"/>
      <c r="V139" s="249" t="s">
        <v>12</v>
      </c>
      <c r="W139" s="249" t="s">
        <v>491</v>
      </c>
      <c r="X139" s="249"/>
    </row>
    <row r="140" spans="1:24" ht="15" customHeight="1" x14ac:dyDescent="0.2">
      <c r="A140" s="268"/>
      <c r="B140" s="268" t="s">
        <v>108</v>
      </c>
      <c r="C140" s="268" t="s">
        <v>401</v>
      </c>
      <c r="D140" s="431" t="str">
        <f>GC!$B$8</f>
        <v>Monomando de lavabo con válvula automática</v>
      </c>
      <c r="E140" s="249" t="s">
        <v>220</v>
      </c>
      <c r="F140" s="268" t="s">
        <v>354</v>
      </c>
      <c r="G140" s="249" t="s">
        <v>707</v>
      </c>
      <c r="H140" s="249" t="s">
        <v>435</v>
      </c>
      <c r="I140" s="268" t="s">
        <v>410</v>
      </c>
      <c r="J140" s="249">
        <v>2</v>
      </c>
      <c r="K140" s="268" t="s">
        <v>153</v>
      </c>
      <c r="L140" s="432">
        <f>GC!$F$8</f>
        <v>975.99151900000004</v>
      </c>
      <c r="M140" s="433">
        <f t="shared" si="10"/>
        <v>1951.9830380000001</v>
      </c>
      <c r="N140" s="249">
        <v>0</v>
      </c>
      <c r="O140" s="433">
        <f t="shared" si="11"/>
        <v>0</v>
      </c>
      <c r="P140" s="434">
        <v>0.16</v>
      </c>
      <c r="Q140" s="433">
        <f t="shared" si="12"/>
        <v>312.31728608000003</v>
      </c>
      <c r="R140" s="433">
        <f t="shared" si="13"/>
        <v>2264.3003240799999</v>
      </c>
      <c r="S140" s="433">
        <f>INDEX('Glosario Partidas'!$M$8:$M$10,MATCH(K140,'Glosario Partidas'!$L$8:$L$10,0))</f>
        <v>17.5</v>
      </c>
      <c r="T140" s="433">
        <f t="shared" si="14"/>
        <v>39625.255671399995</v>
      </c>
      <c r="U140" s="268"/>
      <c r="V140" s="249" t="s">
        <v>12</v>
      </c>
      <c r="W140" s="249" t="s">
        <v>491</v>
      </c>
      <c r="X140" s="249"/>
    </row>
    <row r="141" spans="1:24" ht="15" customHeight="1" x14ac:dyDescent="0.2">
      <c r="A141" s="268"/>
      <c r="B141" s="268" t="s">
        <v>108</v>
      </c>
      <c r="C141" s="268" t="s">
        <v>401</v>
      </c>
      <c r="D141" s="431" t="str">
        <f>GC!$B$21</f>
        <v>Soporte para vidrio (SERIES SPECIFIC, XS-081077, Brushed Dark Platinum)</v>
      </c>
      <c r="E141" s="249" t="s">
        <v>220</v>
      </c>
      <c r="F141" s="268" t="s">
        <v>354</v>
      </c>
      <c r="G141" s="249" t="s">
        <v>707</v>
      </c>
      <c r="H141" s="249" t="s">
        <v>435</v>
      </c>
      <c r="I141" s="268" t="s">
        <v>410</v>
      </c>
      <c r="J141" s="249">
        <v>2</v>
      </c>
      <c r="K141" s="268" t="s">
        <v>153</v>
      </c>
      <c r="L141" s="432">
        <f>GC!$F$21</f>
        <v>281.02</v>
      </c>
      <c r="M141" s="433">
        <f t="shared" si="10"/>
        <v>562.04</v>
      </c>
      <c r="N141" s="249">
        <v>0</v>
      </c>
      <c r="O141" s="433">
        <f t="shared" si="11"/>
        <v>0</v>
      </c>
      <c r="P141" s="434">
        <v>0.16</v>
      </c>
      <c r="Q141" s="433">
        <f t="shared" si="12"/>
        <v>89.926400000000001</v>
      </c>
      <c r="R141" s="433">
        <f t="shared" si="13"/>
        <v>651.96640000000002</v>
      </c>
      <c r="S141" s="433">
        <f>INDEX('Glosario Partidas'!$M$8:$M$10,MATCH(K141,'Glosario Partidas'!$L$8:$L$10,0))</f>
        <v>17.5</v>
      </c>
      <c r="T141" s="433">
        <f t="shared" si="14"/>
        <v>11409.412</v>
      </c>
      <c r="U141" s="268" t="s">
        <v>1084</v>
      </c>
      <c r="V141" s="249" t="s">
        <v>12</v>
      </c>
      <c r="W141" s="249" t="s">
        <v>491</v>
      </c>
      <c r="X141" s="249"/>
    </row>
    <row r="142" spans="1:24" ht="15" customHeight="1" x14ac:dyDescent="0.2">
      <c r="A142" s="268"/>
      <c r="B142" s="268" t="s">
        <v>108</v>
      </c>
      <c r="C142" s="268" t="s">
        <v>401</v>
      </c>
      <c r="D142" s="431" t="str">
        <f>GC!$B$12</f>
        <v>Set de ducha de mano con soporte de pared integrado</v>
      </c>
      <c r="E142" s="249" t="s">
        <v>220</v>
      </c>
      <c r="F142" s="268" t="s">
        <v>354</v>
      </c>
      <c r="G142" s="249" t="s">
        <v>707</v>
      </c>
      <c r="H142" s="249" t="s">
        <v>435</v>
      </c>
      <c r="I142" s="268" t="s">
        <v>410</v>
      </c>
      <c r="J142" s="249">
        <v>1</v>
      </c>
      <c r="K142" s="268" t="s">
        <v>153</v>
      </c>
      <c r="L142" s="432">
        <f>GC!$F$12</f>
        <v>325.25947400000001</v>
      </c>
      <c r="M142" s="433">
        <f t="shared" si="10"/>
        <v>325.25947400000001</v>
      </c>
      <c r="N142" s="249">
        <v>0</v>
      </c>
      <c r="O142" s="433">
        <f t="shared" si="11"/>
        <v>0</v>
      </c>
      <c r="P142" s="434">
        <v>0.16</v>
      </c>
      <c r="Q142" s="433">
        <f t="shared" si="12"/>
        <v>52.041515840000002</v>
      </c>
      <c r="R142" s="433">
        <f t="shared" si="13"/>
        <v>377.30098984</v>
      </c>
      <c r="S142" s="433">
        <f>INDEX('Glosario Partidas'!$M$8:$M$10,MATCH(K142,'Glosario Partidas'!$L$8:$L$10,0))</f>
        <v>17.5</v>
      </c>
      <c r="T142" s="433">
        <f t="shared" si="14"/>
        <v>6602.7673222000003</v>
      </c>
      <c r="U142" s="268"/>
      <c r="V142" s="249" t="s">
        <v>12</v>
      </c>
      <c r="W142" s="249" t="s">
        <v>491</v>
      </c>
      <c r="X142" s="249"/>
    </row>
    <row r="143" spans="1:24" ht="15" customHeight="1" x14ac:dyDescent="0.2">
      <c r="A143" s="268"/>
      <c r="B143" s="268" t="s">
        <v>108</v>
      </c>
      <c r="C143" s="268" t="s">
        <v>401</v>
      </c>
      <c r="D143" s="431" t="str">
        <f>GC!$B$13</f>
        <v>Ducha efecto lluvia con fijación a pared 400 mm</v>
      </c>
      <c r="E143" s="249" t="s">
        <v>220</v>
      </c>
      <c r="F143" s="268" t="s">
        <v>354</v>
      </c>
      <c r="G143" s="249" t="s">
        <v>707</v>
      </c>
      <c r="H143" s="249" t="s">
        <v>435</v>
      </c>
      <c r="I143" s="268" t="s">
        <v>410</v>
      </c>
      <c r="J143" s="249">
        <v>1</v>
      </c>
      <c r="K143" s="268" t="s">
        <v>153</v>
      </c>
      <c r="L143" s="432">
        <f>GC!$F$13</f>
        <v>1807.197105</v>
      </c>
      <c r="M143" s="433">
        <f t="shared" si="10"/>
        <v>1807.197105</v>
      </c>
      <c r="N143" s="249">
        <v>0</v>
      </c>
      <c r="O143" s="433">
        <f t="shared" si="11"/>
        <v>0</v>
      </c>
      <c r="P143" s="434">
        <v>0.16</v>
      </c>
      <c r="Q143" s="433">
        <f t="shared" si="12"/>
        <v>289.15153679999997</v>
      </c>
      <c r="R143" s="433">
        <f t="shared" si="13"/>
        <v>2096.3486417999998</v>
      </c>
      <c r="S143" s="433">
        <f>INDEX('Glosario Partidas'!$M$8:$M$10,MATCH(K143,'Glosario Partidas'!$L$8:$L$10,0))</f>
        <v>17.5</v>
      </c>
      <c r="T143" s="433">
        <f t="shared" si="14"/>
        <v>36686.101231499997</v>
      </c>
      <c r="U143" s="268"/>
      <c r="V143" s="249" t="s">
        <v>12</v>
      </c>
      <c r="W143" s="249" t="s">
        <v>491</v>
      </c>
      <c r="X143" s="249"/>
    </row>
    <row r="144" spans="1:24" ht="15" customHeight="1" x14ac:dyDescent="0.2">
      <c r="A144" s="268"/>
      <c r="B144" s="268" t="s">
        <v>108</v>
      </c>
      <c r="C144" s="268" t="s">
        <v>401</v>
      </c>
      <c r="D144" s="431" t="str">
        <f>GC!$B$22</f>
        <v>Canaleta de ducha para piedra natural TECE showerline (15201082)</v>
      </c>
      <c r="E144" s="249" t="s">
        <v>220</v>
      </c>
      <c r="F144" s="268" t="s">
        <v>354</v>
      </c>
      <c r="G144" s="249" t="s">
        <v>707</v>
      </c>
      <c r="H144" s="249" t="s">
        <v>435</v>
      </c>
      <c r="I144" s="268" t="s">
        <v>410</v>
      </c>
      <c r="J144" s="249">
        <v>1</v>
      </c>
      <c r="K144" s="268" t="s">
        <v>153</v>
      </c>
      <c r="L144" s="432">
        <f>GC!$F$22</f>
        <v>290.33763199999999</v>
      </c>
      <c r="M144" s="433">
        <f t="shared" si="10"/>
        <v>290.33763199999999</v>
      </c>
      <c r="N144" s="249">
        <v>0</v>
      </c>
      <c r="O144" s="433">
        <f t="shared" si="11"/>
        <v>0</v>
      </c>
      <c r="P144" s="434">
        <v>0.16</v>
      </c>
      <c r="Q144" s="433">
        <f t="shared" si="12"/>
        <v>46.45402112</v>
      </c>
      <c r="R144" s="433">
        <f t="shared" si="13"/>
        <v>336.79165311999998</v>
      </c>
      <c r="S144" s="433">
        <f>INDEX('Glosario Partidas'!$M$8:$M$10,MATCH(K144,'Glosario Partidas'!$L$8:$L$10,0))</f>
        <v>17.5</v>
      </c>
      <c r="T144" s="433">
        <f t="shared" si="14"/>
        <v>5893.8539295999999</v>
      </c>
      <c r="U144" s="268" t="s">
        <v>1085</v>
      </c>
      <c r="V144" s="249" t="s">
        <v>12</v>
      </c>
      <c r="W144" s="249" t="s">
        <v>491</v>
      </c>
      <c r="X144" s="249"/>
    </row>
    <row r="145" spans="1:24" ht="15" customHeight="1" x14ac:dyDescent="0.2">
      <c r="A145" s="268"/>
      <c r="B145" s="268" t="s">
        <v>108</v>
      </c>
      <c r="C145" s="268" t="s">
        <v>401</v>
      </c>
      <c r="D145" s="431" t="str">
        <f>GC!$B$14</f>
        <v>Termostato oculto con control de volumen bidireccional</v>
      </c>
      <c r="E145" s="249" t="s">
        <v>220</v>
      </c>
      <c r="F145" s="268" t="s">
        <v>354</v>
      </c>
      <c r="G145" s="249" t="s">
        <v>707</v>
      </c>
      <c r="H145" s="249" t="s">
        <v>435</v>
      </c>
      <c r="I145" s="268" t="s">
        <v>410</v>
      </c>
      <c r="J145" s="249">
        <v>1</v>
      </c>
      <c r="K145" s="268" t="s">
        <v>153</v>
      </c>
      <c r="L145" s="432">
        <f>GC!$F$14</f>
        <v>350.19605300000001</v>
      </c>
      <c r="M145" s="433">
        <f t="shared" si="10"/>
        <v>350.19605300000001</v>
      </c>
      <c r="N145" s="249">
        <v>0</v>
      </c>
      <c r="O145" s="433">
        <f t="shared" si="11"/>
        <v>0</v>
      </c>
      <c r="P145" s="434">
        <v>0.16</v>
      </c>
      <c r="Q145" s="433">
        <f t="shared" si="12"/>
        <v>56.031368480000005</v>
      </c>
      <c r="R145" s="433">
        <f t="shared" si="13"/>
        <v>406.22742148000003</v>
      </c>
      <c r="S145" s="433">
        <f>INDEX('Glosario Partidas'!$M$8:$M$10,MATCH(K145,'Glosario Partidas'!$L$8:$L$10,0))</f>
        <v>17.5</v>
      </c>
      <c r="T145" s="433">
        <f t="shared" si="14"/>
        <v>7108.9798759000005</v>
      </c>
      <c r="U145" s="268"/>
      <c r="V145" s="249" t="s">
        <v>12</v>
      </c>
      <c r="W145" s="249" t="s">
        <v>491</v>
      </c>
      <c r="X145" s="249"/>
    </row>
    <row r="146" spans="1:24" ht="15" customHeight="1" x14ac:dyDescent="0.2">
      <c r="A146" s="268"/>
      <c r="B146" s="268" t="s">
        <v>108</v>
      </c>
      <c r="C146" s="268" t="s">
        <v>401</v>
      </c>
      <c r="D146" s="431" t="str">
        <f>GC!$B$15</f>
        <v>Termostato empotrado (rough)</v>
      </c>
      <c r="E146" s="249" t="s">
        <v>220</v>
      </c>
      <c r="F146" s="268" t="s">
        <v>354</v>
      </c>
      <c r="G146" s="249" t="s">
        <v>707</v>
      </c>
      <c r="H146" s="249" t="s">
        <v>435</v>
      </c>
      <c r="I146" s="268" t="s">
        <v>410</v>
      </c>
      <c r="J146" s="249">
        <v>1</v>
      </c>
      <c r="K146" s="268" t="s">
        <v>153</v>
      </c>
      <c r="L146" s="432">
        <f>GC!$F$15</f>
        <v>313.33</v>
      </c>
      <c r="M146" s="433">
        <f t="shared" si="10"/>
        <v>313.33</v>
      </c>
      <c r="N146" s="249">
        <v>0</v>
      </c>
      <c r="O146" s="433">
        <f t="shared" si="11"/>
        <v>0</v>
      </c>
      <c r="P146" s="434">
        <v>0.16</v>
      </c>
      <c r="Q146" s="433">
        <f t="shared" si="12"/>
        <v>50.132799999999996</v>
      </c>
      <c r="R146" s="433">
        <f t="shared" si="13"/>
        <v>363.46279999999996</v>
      </c>
      <c r="S146" s="433">
        <f>INDEX('Glosario Partidas'!$M$8:$M$10,MATCH(K146,'Glosario Partidas'!$L$8:$L$10,0))</f>
        <v>17.5</v>
      </c>
      <c r="T146" s="433">
        <f t="shared" si="14"/>
        <v>6360.5989999999993</v>
      </c>
      <c r="U146" s="268"/>
      <c r="V146" s="249" t="s">
        <v>12</v>
      </c>
      <c r="W146" s="249" t="s">
        <v>491</v>
      </c>
      <c r="X146" s="249"/>
    </row>
    <row r="147" spans="1:24" ht="15" customHeight="1" x14ac:dyDescent="0.2">
      <c r="A147" s="268"/>
      <c r="B147" s="268" t="s">
        <v>108</v>
      </c>
      <c r="C147" s="268" t="s">
        <v>401</v>
      </c>
      <c r="D147" s="431" t="str">
        <f>GC!$B$10</f>
        <v>Soporte para papel higiénico sin cubierta</v>
      </c>
      <c r="E147" s="249" t="s">
        <v>220</v>
      </c>
      <c r="F147" s="268" t="s">
        <v>354</v>
      </c>
      <c r="G147" s="249" t="s">
        <v>707</v>
      </c>
      <c r="H147" s="249" t="s">
        <v>435</v>
      </c>
      <c r="I147" s="268" t="s">
        <v>410</v>
      </c>
      <c r="J147" s="249">
        <v>1</v>
      </c>
      <c r="K147" s="268" t="s">
        <v>153</v>
      </c>
      <c r="L147" s="432">
        <f>GC!$F$10</f>
        <v>238.874348</v>
      </c>
      <c r="M147" s="433">
        <f t="shared" si="10"/>
        <v>238.874348</v>
      </c>
      <c r="N147" s="249">
        <v>0</v>
      </c>
      <c r="O147" s="433">
        <f t="shared" si="11"/>
        <v>0</v>
      </c>
      <c r="P147" s="434">
        <v>0.16</v>
      </c>
      <c r="Q147" s="433">
        <f t="shared" si="12"/>
        <v>38.21989568</v>
      </c>
      <c r="R147" s="433">
        <f t="shared" si="13"/>
        <v>277.09424367999998</v>
      </c>
      <c r="S147" s="433">
        <f>INDEX('Glosario Partidas'!$M$8:$M$10,MATCH(K147,'Glosario Partidas'!$L$8:$L$10,0))</f>
        <v>17.5</v>
      </c>
      <c r="T147" s="433">
        <f t="shared" si="14"/>
        <v>4849.1492644</v>
      </c>
      <c r="U147" s="268"/>
      <c r="V147" s="249" t="s">
        <v>12</v>
      </c>
      <c r="W147" s="249" t="s">
        <v>491</v>
      </c>
      <c r="X147" s="249"/>
    </row>
    <row r="148" spans="1:24" ht="15" customHeight="1" x14ac:dyDescent="0.2">
      <c r="A148" s="268"/>
      <c r="B148" s="268" t="s">
        <v>108</v>
      </c>
      <c r="C148" s="268" t="s">
        <v>401</v>
      </c>
      <c r="D148" s="431" t="str">
        <f>GC!$B$9</f>
        <v>Barra de agarre / Toallero chico 45cm</v>
      </c>
      <c r="E148" s="249" t="s">
        <v>220</v>
      </c>
      <c r="F148" s="268" t="s">
        <v>354</v>
      </c>
      <c r="G148" s="249" t="s">
        <v>707</v>
      </c>
      <c r="H148" s="249" t="s">
        <v>435</v>
      </c>
      <c r="I148" s="268" t="s">
        <v>410</v>
      </c>
      <c r="J148" s="249">
        <v>2</v>
      </c>
      <c r="K148" s="268" t="s">
        <v>153</v>
      </c>
      <c r="L148" s="432">
        <f>GC!$F$9</f>
        <v>471.15</v>
      </c>
      <c r="M148" s="433">
        <f t="shared" si="10"/>
        <v>942.3</v>
      </c>
      <c r="N148" s="249">
        <v>0</v>
      </c>
      <c r="O148" s="433">
        <f t="shared" si="11"/>
        <v>0</v>
      </c>
      <c r="P148" s="434">
        <v>0.16</v>
      </c>
      <c r="Q148" s="433">
        <f t="shared" si="12"/>
        <v>150.768</v>
      </c>
      <c r="R148" s="433">
        <f t="shared" si="13"/>
        <v>1093.068</v>
      </c>
      <c r="S148" s="433">
        <f>INDEX('Glosario Partidas'!$M$8:$M$10,MATCH(K148,'Glosario Partidas'!$L$8:$L$10,0))</f>
        <v>17.5</v>
      </c>
      <c r="T148" s="433">
        <f t="shared" si="14"/>
        <v>19128.689999999999</v>
      </c>
      <c r="U148" s="268"/>
      <c r="V148" s="249" t="s">
        <v>12</v>
      </c>
      <c r="W148" s="249" t="s">
        <v>491</v>
      </c>
      <c r="X148" s="249"/>
    </row>
    <row r="149" spans="1:24" ht="15" customHeight="1" x14ac:dyDescent="0.2">
      <c r="A149" s="268"/>
      <c r="B149" s="268" t="s">
        <v>108</v>
      </c>
      <c r="C149" s="268" t="s">
        <v>401</v>
      </c>
      <c r="D149" s="431" t="str">
        <f>GC!$B$11</f>
        <v>Gancho</v>
      </c>
      <c r="E149" s="249" t="s">
        <v>220</v>
      </c>
      <c r="F149" s="268" t="s">
        <v>354</v>
      </c>
      <c r="G149" s="249" t="s">
        <v>707</v>
      </c>
      <c r="H149" s="249" t="s">
        <v>435</v>
      </c>
      <c r="I149" s="268" t="s">
        <v>410</v>
      </c>
      <c r="J149" s="249">
        <v>4</v>
      </c>
      <c r="K149" s="268" t="s">
        <v>153</v>
      </c>
      <c r="L149" s="432">
        <f>GC!$F$11</f>
        <v>61.111086999999998</v>
      </c>
      <c r="M149" s="433">
        <f t="shared" si="10"/>
        <v>244.44434799999999</v>
      </c>
      <c r="N149" s="249">
        <v>0</v>
      </c>
      <c r="O149" s="433">
        <f t="shared" si="11"/>
        <v>0</v>
      </c>
      <c r="P149" s="434">
        <v>0.16</v>
      </c>
      <c r="Q149" s="433">
        <f t="shared" si="12"/>
        <v>39.111095679999998</v>
      </c>
      <c r="R149" s="433">
        <f t="shared" si="13"/>
        <v>283.55544368</v>
      </c>
      <c r="S149" s="433">
        <f>INDEX('Glosario Partidas'!$M$8:$M$10,MATCH(K149,'Glosario Partidas'!$L$8:$L$10,0))</f>
        <v>17.5</v>
      </c>
      <c r="T149" s="433">
        <f t="shared" si="14"/>
        <v>4962.2202643999999</v>
      </c>
      <c r="U149" s="268"/>
      <c r="V149" s="249" t="s">
        <v>12</v>
      </c>
      <c r="W149" s="249" t="s">
        <v>491</v>
      </c>
      <c r="X149" s="249"/>
    </row>
    <row r="150" spans="1:24" ht="15" customHeight="1" x14ac:dyDescent="0.2">
      <c r="A150" s="268"/>
      <c r="B150" s="268" t="s">
        <v>108</v>
      </c>
      <c r="C150" s="268" t="s">
        <v>402</v>
      </c>
      <c r="D150" s="431" t="str">
        <f>GC!$B$7</f>
        <v>Inodoro a piso de una pieza (Starck 3)</v>
      </c>
      <c r="E150" s="249" t="s">
        <v>220</v>
      </c>
      <c r="F150" s="268" t="s">
        <v>221</v>
      </c>
      <c r="G150" s="249" t="s">
        <v>700</v>
      </c>
      <c r="H150" s="249" t="s">
        <v>435</v>
      </c>
      <c r="I150" s="268" t="s">
        <v>410</v>
      </c>
      <c r="J150" s="249">
        <v>1</v>
      </c>
      <c r="K150" s="268" t="s">
        <v>153</v>
      </c>
      <c r="L150" s="432">
        <f>GC!$F$7</f>
        <v>667.07</v>
      </c>
      <c r="M150" s="433">
        <f t="shared" si="10"/>
        <v>667.07</v>
      </c>
      <c r="N150" s="249">
        <v>0</v>
      </c>
      <c r="O150" s="433">
        <f t="shared" si="11"/>
        <v>0</v>
      </c>
      <c r="P150" s="434">
        <v>0.16</v>
      </c>
      <c r="Q150" s="433">
        <f t="shared" si="12"/>
        <v>106.73120000000002</v>
      </c>
      <c r="R150" s="433">
        <f t="shared" si="13"/>
        <v>773.80120000000011</v>
      </c>
      <c r="S150" s="433">
        <f>INDEX('Glosario Partidas'!$M$8:$M$10,MATCH(K150,'Glosario Partidas'!$L$8:$L$10,0))</f>
        <v>17.5</v>
      </c>
      <c r="T150" s="433">
        <f t="shared" si="14"/>
        <v>13541.521000000002</v>
      </c>
      <c r="U150" s="268"/>
      <c r="V150" s="249" t="s">
        <v>12</v>
      </c>
      <c r="W150" s="249" t="s">
        <v>491</v>
      </c>
      <c r="X150" s="249"/>
    </row>
    <row r="151" spans="1:24" ht="15" customHeight="1" x14ac:dyDescent="0.2">
      <c r="A151" s="268"/>
      <c r="B151" s="268" t="s">
        <v>108</v>
      </c>
      <c r="C151" s="268" t="s">
        <v>402</v>
      </c>
      <c r="D151" s="431" t="str">
        <f>GC!$B$8</f>
        <v>Monomando de lavabo con válvula automática</v>
      </c>
      <c r="E151" s="249" t="s">
        <v>220</v>
      </c>
      <c r="F151" s="268" t="s">
        <v>221</v>
      </c>
      <c r="G151" s="249" t="s">
        <v>700</v>
      </c>
      <c r="H151" s="249" t="s">
        <v>435</v>
      </c>
      <c r="I151" s="268" t="s">
        <v>410</v>
      </c>
      <c r="J151" s="249">
        <v>2</v>
      </c>
      <c r="K151" s="268" t="s">
        <v>153</v>
      </c>
      <c r="L151" s="432">
        <f>GC!$F$8</f>
        <v>975.99151900000004</v>
      </c>
      <c r="M151" s="433">
        <f t="shared" si="10"/>
        <v>1951.9830380000001</v>
      </c>
      <c r="N151" s="249">
        <v>0</v>
      </c>
      <c r="O151" s="433">
        <f t="shared" si="11"/>
        <v>0</v>
      </c>
      <c r="P151" s="434">
        <v>0.16</v>
      </c>
      <c r="Q151" s="433">
        <f t="shared" si="12"/>
        <v>312.31728608000003</v>
      </c>
      <c r="R151" s="433">
        <f t="shared" si="13"/>
        <v>2264.3003240799999</v>
      </c>
      <c r="S151" s="433">
        <f>INDEX('Glosario Partidas'!$M$8:$M$10,MATCH(K151,'Glosario Partidas'!$L$8:$L$10,0))</f>
        <v>17.5</v>
      </c>
      <c r="T151" s="433">
        <f t="shared" si="14"/>
        <v>39625.255671399995</v>
      </c>
      <c r="U151" s="268"/>
      <c r="V151" s="249" t="s">
        <v>12</v>
      </c>
      <c r="W151" s="249" t="s">
        <v>491</v>
      </c>
      <c r="X151" s="249"/>
    </row>
    <row r="152" spans="1:24" ht="15" customHeight="1" x14ac:dyDescent="0.2">
      <c r="A152" s="268"/>
      <c r="B152" s="268" t="s">
        <v>108</v>
      </c>
      <c r="C152" s="268" t="s">
        <v>402</v>
      </c>
      <c r="D152" s="431" t="str">
        <f>GC!$B$21</f>
        <v>Soporte para vidrio (SERIES SPECIFIC, XS-081077, Brushed Dark Platinum)</v>
      </c>
      <c r="E152" s="249" t="s">
        <v>220</v>
      </c>
      <c r="F152" s="268" t="s">
        <v>221</v>
      </c>
      <c r="G152" s="249" t="s">
        <v>700</v>
      </c>
      <c r="H152" s="249" t="s">
        <v>435</v>
      </c>
      <c r="I152" s="268" t="s">
        <v>410</v>
      </c>
      <c r="J152" s="249">
        <v>2</v>
      </c>
      <c r="K152" s="268" t="s">
        <v>153</v>
      </c>
      <c r="L152" s="432">
        <f>GC!$F$21</f>
        <v>281.02</v>
      </c>
      <c r="M152" s="433">
        <f t="shared" si="10"/>
        <v>562.04</v>
      </c>
      <c r="N152" s="249">
        <v>0</v>
      </c>
      <c r="O152" s="433">
        <f t="shared" si="11"/>
        <v>0</v>
      </c>
      <c r="P152" s="434">
        <v>0.16</v>
      </c>
      <c r="Q152" s="433">
        <f t="shared" si="12"/>
        <v>89.926400000000001</v>
      </c>
      <c r="R152" s="433">
        <f t="shared" si="13"/>
        <v>651.96640000000002</v>
      </c>
      <c r="S152" s="433">
        <f>INDEX('Glosario Partidas'!$M$8:$M$10,MATCH(K152,'Glosario Partidas'!$L$8:$L$10,0))</f>
        <v>17.5</v>
      </c>
      <c r="T152" s="433">
        <f t="shared" si="14"/>
        <v>11409.412</v>
      </c>
      <c r="U152" s="268" t="s">
        <v>1084</v>
      </c>
      <c r="V152" s="249" t="s">
        <v>12</v>
      </c>
      <c r="W152" s="249" t="s">
        <v>491</v>
      </c>
      <c r="X152" s="249"/>
    </row>
    <row r="153" spans="1:24" ht="15" customHeight="1" x14ac:dyDescent="0.2">
      <c r="A153" s="268"/>
      <c r="B153" s="268" t="s">
        <v>108</v>
      </c>
      <c r="C153" s="268" t="s">
        <v>402</v>
      </c>
      <c r="D153" s="431" t="str">
        <f>GC!$B$12</f>
        <v>Set de ducha de mano con soporte de pared integrado</v>
      </c>
      <c r="E153" s="249" t="s">
        <v>220</v>
      </c>
      <c r="F153" s="268" t="s">
        <v>221</v>
      </c>
      <c r="G153" s="249" t="s">
        <v>700</v>
      </c>
      <c r="H153" s="249" t="s">
        <v>435</v>
      </c>
      <c r="I153" s="268" t="s">
        <v>410</v>
      </c>
      <c r="J153" s="249">
        <v>1</v>
      </c>
      <c r="K153" s="268" t="s">
        <v>153</v>
      </c>
      <c r="L153" s="432">
        <f>GC!$F$12</f>
        <v>325.25947400000001</v>
      </c>
      <c r="M153" s="433">
        <f t="shared" si="10"/>
        <v>325.25947400000001</v>
      </c>
      <c r="N153" s="249">
        <v>0</v>
      </c>
      <c r="O153" s="433">
        <f t="shared" si="11"/>
        <v>0</v>
      </c>
      <c r="P153" s="434">
        <v>0.16</v>
      </c>
      <c r="Q153" s="433">
        <f t="shared" si="12"/>
        <v>52.041515840000002</v>
      </c>
      <c r="R153" s="433">
        <f t="shared" si="13"/>
        <v>377.30098984</v>
      </c>
      <c r="S153" s="433">
        <f>INDEX('Glosario Partidas'!$M$8:$M$10,MATCH(K153,'Glosario Partidas'!$L$8:$L$10,0))</f>
        <v>17.5</v>
      </c>
      <c r="T153" s="433">
        <f t="shared" si="14"/>
        <v>6602.7673222000003</v>
      </c>
      <c r="U153" s="268"/>
      <c r="V153" s="249" t="s">
        <v>12</v>
      </c>
      <c r="W153" s="249" t="s">
        <v>491</v>
      </c>
      <c r="X153" s="249"/>
    </row>
    <row r="154" spans="1:24" ht="15" customHeight="1" x14ac:dyDescent="0.2">
      <c r="A154" s="268"/>
      <c r="B154" s="268" t="s">
        <v>108</v>
      </c>
      <c r="C154" s="268" t="s">
        <v>402</v>
      </c>
      <c r="D154" s="431" t="str">
        <f>GC!$B$13</f>
        <v>Ducha efecto lluvia con fijación a pared 400 mm</v>
      </c>
      <c r="E154" s="249" t="s">
        <v>220</v>
      </c>
      <c r="F154" s="268" t="s">
        <v>221</v>
      </c>
      <c r="G154" s="249" t="s">
        <v>700</v>
      </c>
      <c r="H154" s="249" t="s">
        <v>435</v>
      </c>
      <c r="I154" s="268" t="s">
        <v>410</v>
      </c>
      <c r="J154" s="249">
        <v>1</v>
      </c>
      <c r="K154" s="268" t="s">
        <v>153</v>
      </c>
      <c r="L154" s="432">
        <f>GC!$F$13</f>
        <v>1807.197105</v>
      </c>
      <c r="M154" s="433">
        <f t="shared" si="10"/>
        <v>1807.197105</v>
      </c>
      <c r="N154" s="249">
        <v>0</v>
      </c>
      <c r="O154" s="433">
        <f t="shared" si="11"/>
        <v>0</v>
      </c>
      <c r="P154" s="434">
        <v>0.16</v>
      </c>
      <c r="Q154" s="433">
        <f t="shared" si="12"/>
        <v>289.15153679999997</v>
      </c>
      <c r="R154" s="433">
        <f t="shared" si="13"/>
        <v>2096.3486417999998</v>
      </c>
      <c r="S154" s="433">
        <f>INDEX('Glosario Partidas'!$M$8:$M$10,MATCH(K154,'Glosario Partidas'!$L$8:$L$10,0))</f>
        <v>17.5</v>
      </c>
      <c r="T154" s="433">
        <f t="shared" si="14"/>
        <v>36686.101231499997</v>
      </c>
      <c r="U154" s="268"/>
      <c r="V154" s="249" t="s">
        <v>12</v>
      </c>
      <c r="W154" s="249" t="s">
        <v>491</v>
      </c>
      <c r="X154" s="249"/>
    </row>
    <row r="155" spans="1:24" ht="15" customHeight="1" x14ac:dyDescent="0.2">
      <c r="A155" s="268"/>
      <c r="B155" s="268" t="s">
        <v>108</v>
      </c>
      <c r="C155" s="268" t="s">
        <v>402</v>
      </c>
      <c r="D155" s="431" t="str">
        <f>GC!$B$22</f>
        <v>Canaleta de ducha para piedra natural TECE showerline (15201082)</v>
      </c>
      <c r="E155" s="249" t="s">
        <v>220</v>
      </c>
      <c r="F155" s="268" t="s">
        <v>221</v>
      </c>
      <c r="G155" s="249" t="s">
        <v>700</v>
      </c>
      <c r="H155" s="249" t="s">
        <v>435</v>
      </c>
      <c r="I155" s="268" t="s">
        <v>410</v>
      </c>
      <c r="J155" s="249">
        <v>1</v>
      </c>
      <c r="K155" s="268" t="s">
        <v>153</v>
      </c>
      <c r="L155" s="432">
        <f>GC!$F$22</f>
        <v>290.33763199999999</v>
      </c>
      <c r="M155" s="433">
        <f t="shared" si="10"/>
        <v>290.33763199999999</v>
      </c>
      <c r="N155" s="249">
        <v>0</v>
      </c>
      <c r="O155" s="433">
        <f t="shared" si="11"/>
        <v>0</v>
      </c>
      <c r="P155" s="434">
        <v>0.16</v>
      </c>
      <c r="Q155" s="433">
        <f t="shared" si="12"/>
        <v>46.45402112</v>
      </c>
      <c r="R155" s="433">
        <f t="shared" si="13"/>
        <v>336.79165311999998</v>
      </c>
      <c r="S155" s="433">
        <f>INDEX('Glosario Partidas'!$M$8:$M$10,MATCH(K155,'Glosario Partidas'!$L$8:$L$10,0))</f>
        <v>17.5</v>
      </c>
      <c r="T155" s="433">
        <f t="shared" si="14"/>
        <v>5893.8539295999999</v>
      </c>
      <c r="U155" s="268" t="s">
        <v>1085</v>
      </c>
      <c r="V155" s="249" t="s">
        <v>12</v>
      </c>
      <c r="W155" s="249" t="s">
        <v>491</v>
      </c>
      <c r="X155" s="249"/>
    </row>
    <row r="156" spans="1:24" ht="15" customHeight="1" x14ac:dyDescent="0.2">
      <c r="A156" s="268"/>
      <c r="B156" s="268" t="s">
        <v>108</v>
      </c>
      <c r="C156" s="268" t="s">
        <v>402</v>
      </c>
      <c r="D156" s="431" t="str">
        <f>GC!$B$14</f>
        <v>Termostato oculto con control de volumen bidireccional</v>
      </c>
      <c r="E156" s="249" t="s">
        <v>220</v>
      </c>
      <c r="F156" s="268" t="s">
        <v>221</v>
      </c>
      <c r="G156" s="249" t="s">
        <v>700</v>
      </c>
      <c r="H156" s="249" t="s">
        <v>435</v>
      </c>
      <c r="I156" s="268" t="s">
        <v>410</v>
      </c>
      <c r="J156" s="249">
        <v>1</v>
      </c>
      <c r="K156" s="268" t="s">
        <v>153</v>
      </c>
      <c r="L156" s="432">
        <f>GC!$F$14</f>
        <v>350.19605300000001</v>
      </c>
      <c r="M156" s="433">
        <f t="shared" si="10"/>
        <v>350.19605300000001</v>
      </c>
      <c r="N156" s="249">
        <v>0</v>
      </c>
      <c r="O156" s="433">
        <f t="shared" si="11"/>
        <v>0</v>
      </c>
      <c r="P156" s="434">
        <v>0.16</v>
      </c>
      <c r="Q156" s="433">
        <f t="shared" si="12"/>
        <v>56.031368480000005</v>
      </c>
      <c r="R156" s="433">
        <f t="shared" si="13"/>
        <v>406.22742148000003</v>
      </c>
      <c r="S156" s="433">
        <f>INDEX('Glosario Partidas'!$M$8:$M$10,MATCH(K156,'Glosario Partidas'!$L$8:$L$10,0))</f>
        <v>17.5</v>
      </c>
      <c r="T156" s="433">
        <f t="shared" si="14"/>
        <v>7108.9798759000005</v>
      </c>
      <c r="U156" s="268"/>
      <c r="V156" s="249" t="s">
        <v>12</v>
      </c>
      <c r="W156" s="249" t="s">
        <v>491</v>
      </c>
      <c r="X156" s="249"/>
    </row>
    <row r="157" spans="1:24" ht="15" customHeight="1" x14ac:dyDescent="0.2">
      <c r="A157" s="268"/>
      <c r="B157" s="268" t="s">
        <v>108</v>
      </c>
      <c r="C157" s="268" t="s">
        <v>402</v>
      </c>
      <c r="D157" s="431" t="str">
        <f>GC!$B$15</f>
        <v>Termostato empotrado (rough)</v>
      </c>
      <c r="E157" s="249" t="s">
        <v>220</v>
      </c>
      <c r="F157" s="268" t="s">
        <v>221</v>
      </c>
      <c r="G157" s="249" t="s">
        <v>700</v>
      </c>
      <c r="H157" s="249" t="s">
        <v>435</v>
      </c>
      <c r="I157" s="268" t="s">
        <v>410</v>
      </c>
      <c r="J157" s="249">
        <v>1</v>
      </c>
      <c r="K157" s="268" t="s">
        <v>153</v>
      </c>
      <c r="L157" s="432">
        <f>GC!$F$15</f>
        <v>313.33</v>
      </c>
      <c r="M157" s="433">
        <f t="shared" si="10"/>
        <v>313.33</v>
      </c>
      <c r="N157" s="249">
        <v>0</v>
      </c>
      <c r="O157" s="433">
        <f t="shared" si="11"/>
        <v>0</v>
      </c>
      <c r="P157" s="434">
        <v>0.16</v>
      </c>
      <c r="Q157" s="433">
        <f t="shared" si="12"/>
        <v>50.132799999999996</v>
      </c>
      <c r="R157" s="433">
        <f t="shared" si="13"/>
        <v>363.46279999999996</v>
      </c>
      <c r="S157" s="433">
        <f>INDEX('Glosario Partidas'!$M$8:$M$10,MATCH(K157,'Glosario Partidas'!$L$8:$L$10,0))</f>
        <v>17.5</v>
      </c>
      <c r="T157" s="433">
        <f t="shared" si="14"/>
        <v>6360.5989999999993</v>
      </c>
      <c r="U157" s="268"/>
      <c r="V157" s="249" t="s">
        <v>12</v>
      </c>
      <c r="W157" s="249" t="s">
        <v>491</v>
      </c>
      <c r="X157" s="249"/>
    </row>
    <row r="158" spans="1:24" ht="15" customHeight="1" x14ac:dyDescent="0.2">
      <c r="A158" s="268"/>
      <c r="B158" s="268" t="s">
        <v>108</v>
      </c>
      <c r="C158" s="268" t="s">
        <v>402</v>
      </c>
      <c r="D158" s="431" t="str">
        <f>GC!$B$10</f>
        <v>Soporte para papel higiénico sin cubierta</v>
      </c>
      <c r="E158" s="249" t="s">
        <v>220</v>
      </c>
      <c r="F158" s="268" t="s">
        <v>221</v>
      </c>
      <c r="G158" s="249" t="s">
        <v>700</v>
      </c>
      <c r="H158" s="249" t="s">
        <v>435</v>
      </c>
      <c r="I158" s="268" t="s">
        <v>410</v>
      </c>
      <c r="J158" s="249">
        <v>1</v>
      </c>
      <c r="K158" s="268" t="s">
        <v>153</v>
      </c>
      <c r="L158" s="432">
        <f>GC!$F$10</f>
        <v>238.874348</v>
      </c>
      <c r="M158" s="433">
        <f t="shared" si="10"/>
        <v>238.874348</v>
      </c>
      <c r="N158" s="249">
        <v>0</v>
      </c>
      <c r="O158" s="433">
        <f t="shared" si="11"/>
        <v>0</v>
      </c>
      <c r="P158" s="434">
        <v>0.16</v>
      </c>
      <c r="Q158" s="433">
        <f t="shared" si="12"/>
        <v>38.21989568</v>
      </c>
      <c r="R158" s="433">
        <f t="shared" si="13"/>
        <v>277.09424367999998</v>
      </c>
      <c r="S158" s="433">
        <f>INDEX('Glosario Partidas'!$M$8:$M$10,MATCH(K158,'Glosario Partidas'!$L$8:$L$10,0))</f>
        <v>17.5</v>
      </c>
      <c r="T158" s="433">
        <f t="shared" si="14"/>
        <v>4849.1492644</v>
      </c>
      <c r="U158" s="268"/>
      <c r="V158" s="249" t="s">
        <v>12</v>
      </c>
      <c r="W158" s="249" t="s">
        <v>491</v>
      </c>
      <c r="X158" s="249"/>
    </row>
    <row r="159" spans="1:24" ht="15" customHeight="1" x14ac:dyDescent="0.2">
      <c r="A159" s="268"/>
      <c r="B159" s="268" t="s">
        <v>108</v>
      </c>
      <c r="C159" s="268" t="s">
        <v>402</v>
      </c>
      <c r="D159" s="431" t="str">
        <f>GC!$B$9</f>
        <v>Barra de agarre / Toallero chico 45cm</v>
      </c>
      <c r="E159" s="249" t="s">
        <v>220</v>
      </c>
      <c r="F159" s="268" t="s">
        <v>221</v>
      </c>
      <c r="G159" s="249" t="s">
        <v>700</v>
      </c>
      <c r="H159" s="249" t="s">
        <v>435</v>
      </c>
      <c r="I159" s="268" t="s">
        <v>410</v>
      </c>
      <c r="J159" s="249">
        <v>2</v>
      </c>
      <c r="K159" s="268" t="s">
        <v>153</v>
      </c>
      <c r="L159" s="432">
        <f>GC!$F$9</f>
        <v>471.15</v>
      </c>
      <c r="M159" s="433">
        <f t="shared" si="10"/>
        <v>942.3</v>
      </c>
      <c r="N159" s="249">
        <v>0</v>
      </c>
      <c r="O159" s="433">
        <f t="shared" si="11"/>
        <v>0</v>
      </c>
      <c r="P159" s="434">
        <v>0.16</v>
      </c>
      <c r="Q159" s="433">
        <f t="shared" si="12"/>
        <v>150.768</v>
      </c>
      <c r="R159" s="433">
        <f t="shared" si="13"/>
        <v>1093.068</v>
      </c>
      <c r="S159" s="433">
        <f>INDEX('Glosario Partidas'!$M$8:$M$10,MATCH(K159,'Glosario Partidas'!$L$8:$L$10,0))</f>
        <v>17.5</v>
      </c>
      <c r="T159" s="433">
        <f t="shared" si="14"/>
        <v>19128.689999999999</v>
      </c>
      <c r="U159" s="268"/>
      <c r="V159" s="249" t="s">
        <v>12</v>
      </c>
      <c r="W159" s="249" t="s">
        <v>491</v>
      </c>
      <c r="X159" s="249"/>
    </row>
    <row r="160" spans="1:24" ht="15" customHeight="1" x14ac:dyDescent="0.2">
      <c r="A160" s="268"/>
      <c r="B160" s="268" t="s">
        <v>108</v>
      </c>
      <c r="C160" s="268" t="s">
        <v>402</v>
      </c>
      <c r="D160" s="431" t="str">
        <f>GC!$B$11</f>
        <v>Gancho</v>
      </c>
      <c r="E160" s="249" t="s">
        <v>220</v>
      </c>
      <c r="F160" s="268" t="s">
        <v>221</v>
      </c>
      <c r="G160" s="249" t="s">
        <v>700</v>
      </c>
      <c r="H160" s="249" t="s">
        <v>435</v>
      </c>
      <c r="I160" s="268" t="s">
        <v>410</v>
      </c>
      <c r="J160" s="249">
        <v>2</v>
      </c>
      <c r="K160" s="268" t="s">
        <v>153</v>
      </c>
      <c r="L160" s="432">
        <f>GC!$F$11</f>
        <v>61.111086999999998</v>
      </c>
      <c r="M160" s="433">
        <f t="shared" si="10"/>
        <v>122.222174</v>
      </c>
      <c r="N160" s="249">
        <v>0</v>
      </c>
      <c r="O160" s="433">
        <f t="shared" si="11"/>
        <v>0</v>
      </c>
      <c r="P160" s="434">
        <v>0.16</v>
      </c>
      <c r="Q160" s="433">
        <f t="shared" si="12"/>
        <v>19.555547839999999</v>
      </c>
      <c r="R160" s="433">
        <f t="shared" si="13"/>
        <v>141.77772184</v>
      </c>
      <c r="S160" s="433">
        <f>INDEX('Glosario Partidas'!$M$8:$M$10,MATCH(K160,'Glosario Partidas'!$L$8:$L$10,0))</f>
        <v>17.5</v>
      </c>
      <c r="T160" s="433">
        <f t="shared" si="14"/>
        <v>2481.1101322</v>
      </c>
      <c r="U160" s="268"/>
      <c r="V160" s="249" t="s">
        <v>12</v>
      </c>
      <c r="W160" s="249" t="s">
        <v>491</v>
      </c>
      <c r="X160" s="249"/>
    </row>
    <row r="161" spans="1:24" ht="15" customHeight="1" x14ac:dyDescent="0.2">
      <c r="A161" s="268"/>
      <c r="B161" s="268" t="s">
        <v>108</v>
      </c>
      <c r="C161" s="268" t="s">
        <v>402</v>
      </c>
      <c r="D161" s="431" t="str">
        <f>GC!$B$7</f>
        <v>Inodoro a piso de una pieza (Starck 3)</v>
      </c>
      <c r="E161" s="249" t="s">
        <v>220</v>
      </c>
      <c r="F161" s="268" t="s">
        <v>354</v>
      </c>
      <c r="G161" s="249" t="s">
        <v>706</v>
      </c>
      <c r="H161" s="249" t="s">
        <v>435</v>
      </c>
      <c r="I161" s="268" t="s">
        <v>410</v>
      </c>
      <c r="J161" s="249">
        <v>1</v>
      </c>
      <c r="K161" s="268" t="s">
        <v>153</v>
      </c>
      <c r="L161" s="432">
        <f>GC!$F$7</f>
        <v>667.07</v>
      </c>
      <c r="M161" s="433">
        <f t="shared" si="10"/>
        <v>667.07</v>
      </c>
      <c r="N161" s="249">
        <v>0</v>
      </c>
      <c r="O161" s="433">
        <f t="shared" si="11"/>
        <v>0</v>
      </c>
      <c r="P161" s="434">
        <v>0.16</v>
      </c>
      <c r="Q161" s="433">
        <f t="shared" si="12"/>
        <v>106.73120000000002</v>
      </c>
      <c r="R161" s="433">
        <f t="shared" si="13"/>
        <v>773.80120000000011</v>
      </c>
      <c r="S161" s="433">
        <f>INDEX('Glosario Partidas'!$M$8:$M$10,MATCH(K161,'Glosario Partidas'!$L$8:$L$10,0))</f>
        <v>17.5</v>
      </c>
      <c r="T161" s="433">
        <f t="shared" si="14"/>
        <v>13541.521000000002</v>
      </c>
      <c r="U161" s="268"/>
      <c r="V161" s="249" t="s">
        <v>12</v>
      </c>
      <c r="W161" s="249" t="s">
        <v>491</v>
      </c>
      <c r="X161" s="249"/>
    </row>
    <row r="162" spans="1:24" ht="15" customHeight="1" x14ac:dyDescent="0.2">
      <c r="A162" s="268"/>
      <c r="B162" s="268" t="s">
        <v>108</v>
      </c>
      <c r="C162" s="268" t="s">
        <v>402</v>
      </c>
      <c r="D162" s="431" t="str">
        <f>GC!$B$8</f>
        <v>Monomando de lavabo con válvula automática</v>
      </c>
      <c r="E162" s="249" t="s">
        <v>220</v>
      </c>
      <c r="F162" s="268" t="s">
        <v>354</v>
      </c>
      <c r="G162" s="249" t="s">
        <v>706</v>
      </c>
      <c r="H162" s="249" t="s">
        <v>435</v>
      </c>
      <c r="I162" s="268" t="s">
        <v>410</v>
      </c>
      <c r="J162" s="249">
        <v>2</v>
      </c>
      <c r="K162" s="268" t="s">
        <v>153</v>
      </c>
      <c r="L162" s="432">
        <f>GC!$F$8</f>
        <v>975.99151900000004</v>
      </c>
      <c r="M162" s="433">
        <f t="shared" si="10"/>
        <v>1951.9830380000001</v>
      </c>
      <c r="N162" s="249">
        <v>0</v>
      </c>
      <c r="O162" s="433">
        <f t="shared" si="11"/>
        <v>0</v>
      </c>
      <c r="P162" s="434">
        <v>0.16</v>
      </c>
      <c r="Q162" s="433">
        <f t="shared" si="12"/>
        <v>312.31728608000003</v>
      </c>
      <c r="R162" s="433">
        <f t="shared" si="13"/>
        <v>2264.3003240799999</v>
      </c>
      <c r="S162" s="433">
        <f>INDEX('Glosario Partidas'!$M$8:$M$10,MATCH(K162,'Glosario Partidas'!$L$8:$L$10,0))</f>
        <v>17.5</v>
      </c>
      <c r="T162" s="433">
        <f t="shared" si="14"/>
        <v>39625.255671399995</v>
      </c>
      <c r="U162" s="268"/>
      <c r="V162" s="249" t="s">
        <v>12</v>
      </c>
      <c r="W162" s="249" t="s">
        <v>491</v>
      </c>
      <c r="X162" s="249"/>
    </row>
    <row r="163" spans="1:24" ht="15" customHeight="1" x14ac:dyDescent="0.2">
      <c r="A163" s="268"/>
      <c r="B163" s="268" t="s">
        <v>108</v>
      </c>
      <c r="C163" s="268" t="s">
        <v>402</v>
      </c>
      <c r="D163" s="431" t="str">
        <f>GC!$B$21</f>
        <v>Soporte para vidrio (SERIES SPECIFIC, XS-081077, Brushed Dark Platinum)</v>
      </c>
      <c r="E163" s="249" t="s">
        <v>220</v>
      </c>
      <c r="F163" s="268" t="s">
        <v>354</v>
      </c>
      <c r="G163" s="249" t="s">
        <v>706</v>
      </c>
      <c r="H163" s="249" t="s">
        <v>435</v>
      </c>
      <c r="I163" s="268" t="s">
        <v>410</v>
      </c>
      <c r="J163" s="249">
        <v>2</v>
      </c>
      <c r="K163" s="268" t="s">
        <v>153</v>
      </c>
      <c r="L163" s="432">
        <f>GC!$F$21</f>
        <v>281.02</v>
      </c>
      <c r="M163" s="433">
        <f t="shared" si="10"/>
        <v>562.04</v>
      </c>
      <c r="N163" s="249">
        <v>0</v>
      </c>
      <c r="O163" s="433">
        <f t="shared" si="11"/>
        <v>0</v>
      </c>
      <c r="P163" s="434">
        <v>0.16</v>
      </c>
      <c r="Q163" s="433">
        <f t="shared" si="12"/>
        <v>89.926400000000001</v>
      </c>
      <c r="R163" s="433">
        <f t="shared" si="13"/>
        <v>651.96640000000002</v>
      </c>
      <c r="S163" s="433">
        <f>INDEX('Glosario Partidas'!$M$8:$M$10,MATCH(K163,'Glosario Partidas'!$L$8:$L$10,0))</f>
        <v>17.5</v>
      </c>
      <c r="T163" s="433">
        <f t="shared" si="14"/>
        <v>11409.412</v>
      </c>
      <c r="U163" s="268" t="s">
        <v>1084</v>
      </c>
      <c r="V163" s="249" t="s">
        <v>12</v>
      </c>
      <c r="W163" s="249" t="s">
        <v>491</v>
      </c>
      <c r="X163" s="249"/>
    </row>
    <row r="164" spans="1:24" ht="15" customHeight="1" x14ac:dyDescent="0.2">
      <c r="A164" s="268"/>
      <c r="B164" s="268" t="s">
        <v>108</v>
      </c>
      <c r="C164" s="268" t="s">
        <v>402</v>
      </c>
      <c r="D164" s="431" t="str">
        <f>GC!$B$12</f>
        <v>Set de ducha de mano con soporte de pared integrado</v>
      </c>
      <c r="E164" s="249" t="s">
        <v>220</v>
      </c>
      <c r="F164" s="268" t="s">
        <v>354</v>
      </c>
      <c r="G164" s="249" t="s">
        <v>706</v>
      </c>
      <c r="H164" s="249" t="s">
        <v>435</v>
      </c>
      <c r="I164" s="268" t="s">
        <v>410</v>
      </c>
      <c r="J164" s="249">
        <v>1</v>
      </c>
      <c r="K164" s="268" t="s">
        <v>153</v>
      </c>
      <c r="L164" s="432">
        <f>GC!$F$12</f>
        <v>325.25947400000001</v>
      </c>
      <c r="M164" s="433">
        <f t="shared" si="10"/>
        <v>325.25947400000001</v>
      </c>
      <c r="N164" s="249">
        <v>0</v>
      </c>
      <c r="O164" s="433">
        <f t="shared" si="11"/>
        <v>0</v>
      </c>
      <c r="P164" s="434">
        <v>0.16</v>
      </c>
      <c r="Q164" s="433">
        <f t="shared" si="12"/>
        <v>52.041515840000002</v>
      </c>
      <c r="R164" s="433">
        <f t="shared" si="13"/>
        <v>377.30098984</v>
      </c>
      <c r="S164" s="433">
        <f>INDEX('Glosario Partidas'!$M$8:$M$10,MATCH(K164,'Glosario Partidas'!$L$8:$L$10,0))</f>
        <v>17.5</v>
      </c>
      <c r="T164" s="433">
        <f t="shared" si="14"/>
        <v>6602.7673222000003</v>
      </c>
      <c r="U164" s="268"/>
      <c r="V164" s="249" t="s">
        <v>12</v>
      </c>
      <c r="W164" s="249" t="s">
        <v>491</v>
      </c>
      <c r="X164" s="249"/>
    </row>
    <row r="165" spans="1:24" ht="15" customHeight="1" x14ac:dyDescent="0.2">
      <c r="A165" s="268"/>
      <c r="B165" s="268" t="s">
        <v>108</v>
      </c>
      <c r="C165" s="268" t="s">
        <v>402</v>
      </c>
      <c r="D165" s="431" t="str">
        <f>GC!$B$13</f>
        <v>Ducha efecto lluvia con fijación a pared 400 mm</v>
      </c>
      <c r="E165" s="249" t="s">
        <v>220</v>
      </c>
      <c r="F165" s="268" t="s">
        <v>354</v>
      </c>
      <c r="G165" s="249" t="s">
        <v>706</v>
      </c>
      <c r="H165" s="249" t="s">
        <v>435</v>
      </c>
      <c r="I165" s="268" t="s">
        <v>410</v>
      </c>
      <c r="J165" s="249">
        <v>1</v>
      </c>
      <c r="K165" s="268" t="s">
        <v>153</v>
      </c>
      <c r="L165" s="432">
        <f>GC!$F$13</f>
        <v>1807.197105</v>
      </c>
      <c r="M165" s="433">
        <f t="shared" si="10"/>
        <v>1807.197105</v>
      </c>
      <c r="N165" s="249">
        <v>0</v>
      </c>
      <c r="O165" s="433">
        <f t="shared" si="11"/>
        <v>0</v>
      </c>
      <c r="P165" s="434">
        <v>0.16</v>
      </c>
      <c r="Q165" s="433">
        <f t="shared" si="12"/>
        <v>289.15153679999997</v>
      </c>
      <c r="R165" s="433">
        <f t="shared" si="13"/>
        <v>2096.3486417999998</v>
      </c>
      <c r="S165" s="433">
        <f>INDEX('Glosario Partidas'!$M$8:$M$10,MATCH(K165,'Glosario Partidas'!$L$8:$L$10,0))</f>
        <v>17.5</v>
      </c>
      <c r="T165" s="433">
        <f t="shared" si="14"/>
        <v>36686.101231499997</v>
      </c>
      <c r="U165" s="268"/>
      <c r="V165" s="249" t="s">
        <v>12</v>
      </c>
      <c r="W165" s="249" t="s">
        <v>491</v>
      </c>
      <c r="X165" s="249"/>
    </row>
    <row r="166" spans="1:24" ht="15" customHeight="1" x14ac:dyDescent="0.2">
      <c r="A166" s="268"/>
      <c r="B166" s="268" t="s">
        <v>108</v>
      </c>
      <c r="C166" s="268" t="s">
        <v>402</v>
      </c>
      <c r="D166" s="431" t="str">
        <f>GC!$B$22</f>
        <v>Canaleta de ducha para piedra natural TECE showerline (15201082)</v>
      </c>
      <c r="E166" s="249" t="s">
        <v>220</v>
      </c>
      <c r="F166" s="268" t="s">
        <v>354</v>
      </c>
      <c r="G166" s="249" t="s">
        <v>706</v>
      </c>
      <c r="H166" s="249" t="s">
        <v>435</v>
      </c>
      <c r="I166" s="268" t="s">
        <v>410</v>
      </c>
      <c r="J166" s="249">
        <v>1</v>
      </c>
      <c r="K166" s="268" t="s">
        <v>153</v>
      </c>
      <c r="L166" s="432">
        <f>GC!$F$22</f>
        <v>290.33763199999999</v>
      </c>
      <c r="M166" s="433">
        <f t="shared" si="10"/>
        <v>290.33763199999999</v>
      </c>
      <c r="N166" s="249">
        <v>0</v>
      </c>
      <c r="O166" s="433">
        <f t="shared" si="11"/>
        <v>0</v>
      </c>
      <c r="P166" s="434">
        <v>0.16</v>
      </c>
      <c r="Q166" s="433">
        <f t="shared" si="12"/>
        <v>46.45402112</v>
      </c>
      <c r="R166" s="433">
        <f t="shared" si="13"/>
        <v>336.79165311999998</v>
      </c>
      <c r="S166" s="433">
        <f>INDEX('Glosario Partidas'!$M$8:$M$10,MATCH(K166,'Glosario Partidas'!$L$8:$L$10,0))</f>
        <v>17.5</v>
      </c>
      <c r="T166" s="433">
        <f t="shared" si="14"/>
        <v>5893.8539295999999</v>
      </c>
      <c r="U166" s="268" t="s">
        <v>1085</v>
      </c>
      <c r="V166" s="249" t="s">
        <v>12</v>
      </c>
      <c r="W166" s="249" t="s">
        <v>491</v>
      </c>
      <c r="X166" s="249"/>
    </row>
    <row r="167" spans="1:24" ht="15" customHeight="1" x14ac:dyDescent="0.2">
      <c r="A167" s="268"/>
      <c r="B167" s="268" t="s">
        <v>108</v>
      </c>
      <c r="C167" s="268" t="s">
        <v>402</v>
      </c>
      <c r="D167" s="431" t="str">
        <f>GC!$B$14</f>
        <v>Termostato oculto con control de volumen bidireccional</v>
      </c>
      <c r="E167" s="249" t="s">
        <v>220</v>
      </c>
      <c r="F167" s="268" t="s">
        <v>354</v>
      </c>
      <c r="G167" s="249" t="s">
        <v>706</v>
      </c>
      <c r="H167" s="249" t="s">
        <v>435</v>
      </c>
      <c r="I167" s="268" t="s">
        <v>410</v>
      </c>
      <c r="J167" s="249">
        <v>1</v>
      </c>
      <c r="K167" s="268" t="s">
        <v>153</v>
      </c>
      <c r="L167" s="432">
        <f>GC!$F$14</f>
        <v>350.19605300000001</v>
      </c>
      <c r="M167" s="433">
        <f t="shared" si="10"/>
        <v>350.19605300000001</v>
      </c>
      <c r="N167" s="249">
        <v>0</v>
      </c>
      <c r="O167" s="433">
        <f t="shared" si="11"/>
        <v>0</v>
      </c>
      <c r="P167" s="434">
        <v>0.16</v>
      </c>
      <c r="Q167" s="433">
        <f t="shared" si="12"/>
        <v>56.031368480000005</v>
      </c>
      <c r="R167" s="433">
        <f t="shared" si="13"/>
        <v>406.22742148000003</v>
      </c>
      <c r="S167" s="433">
        <f>INDEX('Glosario Partidas'!$M$8:$M$10,MATCH(K167,'Glosario Partidas'!$L$8:$L$10,0))</f>
        <v>17.5</v>
      </c>
      <c r="T167" s="433">
        <f t="shared" si="14"/>
        <v>7108.9798759000005</v>
      </c>
      <c r="U167" s="268"/>
      <c r="V167" s="249" t="s">
        <v>12</v>
      </c>
      <c r="W167" s="249" t="s">
        <v>491</v>
      </c>
      <c r="X167" s="249"/>
    </row>
    <row r="168" spans="1:24" ht="15" customHeight="1" x14ac:dyDescent="0.2">
      <c r="A168" s="268"/>
      <c r="B168" s="268" t="s">
        <v>108</v>
      </c>
      <c r="C168" s="268" t="s">
        <v>402</v>
      </c>
      <c r="D168" s="431" t="str">
        <f>GC!$B$15</f>
        <v>Termostato empotrado (rough)</v>
      </c>
      <c r="E168" s="249" t="s">
        <v>220</v>
      </c>
      <c r="F168" s="268" t="s">
        <v>354</v>
      </c>
      <c r="G168" s="249" t="s">
        <v>706</v>
      </c>
      <c r="H168" s="249" t="s">
        <v>435</v>
      </c>
      <c r="I168" s="268" t="s">
        <v>410</v>
      </c>
      <c r="J168" s="249">
        <v>1</v>
      </c>
      <c r="K168" s="268" t="s">
        <v>153</v>
      </c>
      <c r="L168" s="432">
        <f>GC!$F$15</f>
        <v>313.33</v>
      </c>
      <c r="M168" s="433">
        <f t="shared" si="10"/>
        <v>313.33</v>
      </c>
      <c r="N168" s="249">
        <v>0</v>
      </c>
      <c r="O168" s="433">
        <f t="shared" si="11"/>
        <v>0</v>
      </c>
      <c r="P168" s="434">
        <v>0.16</v>
      </c>
      <c r="Q168" s="433">
        <f t="shared" si="12"/>
        <v>50.132799999999996</v>
      </c>
      <c r="R168" s="433">
        <f t="shared" si="13"/>
        <v>363.46279999999996</v>
      </c>
      <c r="S168" s="433">
        <f>INDEX('Glosario Partidas'!$M$8:$M$10,MATCH(K168,'Glosario Partidas'!$L$8:$L$10,0))</f>
        <v>17.5</v>
      </c>
      <c r="T168" s="433">
        <f t="shared" si="14"/>
        <v>6360.5989999999993</v>
      </c>
      <c r="U168" s="268"/>
      <c r="V168" s="249" t="s">
        <v>12</v>
      </c>
      <c r="W168" s="249" t="s">
        <v>491</v>
      </c>
      <c r="X168" s="249"/>
    </row>
    <row r="169" spans="1:24" ht="15" customHeight="1" x14ac:dyDescent="0.2">
      <c r="A169" s="268"/>
      <c r="B169" s="268" t="s">
        <v>108</v>
      </c>
      <c r="C169" s="268" t="s">
        <v>402</v>
      </c>
      <c r="D169" s="431" t="str">
        <f>GC!$B$10</f>
        <v>Soporte para papel higiénico sin cubierta</v>
      </c>
      <c r="E169" s="249" t="s">
        <v>220</v>
      </c>
      <c r="F169" s="268" t="s">
        <v>354</v>
      </c>
      <c r="G169" s="249" t="s">
        <v>706</v>
      </c>
      <c r="H169" s="249" t="s">
        <v>435</v>
      </c>
      <c r="I169" s="268" t="s">
        <v>410</v>
      </c>
      <c r="J169" s="249">
        <v>1</v>
      </c>
      <c r="K169" s="268" t="s">
        <v>153</v>
      </c>
      <c r="L169" s="432">
        <f>GC!$F$10</f>
        <v>238.874348</v>
      </c>
      <c r="M169" s="433">
        <f t="shared" si="10"/>
        <v>238.874348</v>
      </c>
      <c r="N169" s="249">
        <v>0</v>
      </c>
      <c r="O169" s="433">
        <f t="shared" si="11"/>
        <v>0</v>
      </c>
      <c r="P169" s="434">
        <v>0.16</v>
      </c>
      <c r="Q169" s="433">
        <f t="shared" si="12"/>
        <v>38.21989568</v>
      </c>
      <c r="R169" s="433">
        <f t="shared" si="13"/>
        <v>277.09424367999998</v>
      </c>
      <c r="S169" s="433">
        <f>INDEX('Glosario Partidas'!$M$8:$M$10,MATCH(K169,'Glosario Partidas'!$L$8:$L$10,0))</f>
        <v>17.5</v>
      </c>
      <c r="T169" s="433">
        <f t="shared" si="14"/>
        <v>4849.1492644</v>
      </c>
      <c r="U169" s="268"/>
      <c r="V169" s="249" t="s">
        <v>12</v>
      </c>
      <c r="W169" s="249" t="s">
        <v>491</v>
      </c>
      <c r="X169" s="249"/>
    </row>
    <row r="170" spans="1:24" ht="15" customHeight="1" x14ac:dyDescent="0.2">
      <c r="A170" s="268"/>
      <c r="B170" s="268" t="s">
        <v>108</v>
      </c>
      <c r="C170" s="268" t="s">
        <v>402</v>
      </c>
      <c r="D170" s="431" t="str">
        <f>GC!$B$9</f>
        <v>Barra de agarre / Toallero chico 45cm</v>
      </c>
      <c r="E170" s="249" t="s">
        <v>220</v>
      </c>
      <c r="F170" s="268" t="s">
        <v>354</v>
      </c>
      <c r="G170" s="249" t="s">
        <v>706</v>
      </c>
      <c r="H170" s="249" t="s">
        <v>435</v>
      </c>
      <c r="I170" s="268" t="s">
        <v>410</v>
      </c>
      <c r="J170" s="249">
        <v>2</v>
      </c>
      <c r="K170" s="268" t="s">
        <v>153</v>
      </c>
      <c r="L170" s="432">
        <f>GC!$F$9</f>
        <v>471.15</v>
      </c>
      <c r="M170" s="433">
        <f t="shared" si="10"/>
        <v>942.3</v>
      </c>
      <c r="N170" s="249">
        <v>0</v>
      </c>
      <c r="O170" s="433">
        <f t="shared" si="11"/>
        <v>0</v>
      </c>
      <c r="P170" s="434">
        <v>0.16</v>
      </c>
      <c r="Q170" s="433">
        <f t="shared" si="12"/>
        <v>150.768</v>
      </c>
      <c r="R170" s="433">
        <f t="shared" si="13"/>
        <v>1093.068</v>
      </c>
      <c r="S170" s="433">
        <f>INDEX('Glosario Partidas'!$M$8:$M$10,MATCH(K170,'Glosario Partidas'!$L$8:$L$10,0))</f>
        <v>17.5</v>
      </c>
      <c r="T170" s="433">
        <f t="shared" si="14"/>
        <v>19128.689999999999</v>
      </c>
      <c r="U170" s="268"/>
      <c r="V170" s="249" t="s">
        <v>12</v>
      </c>
      <c r="W170" s="249" t="s">
        <v>491</v>
      </c>
      <c r="X170" s="249"/>
    </row>
    <row r="171" spans="1:24" ht="15" customHeight="1" x14ac:dyDescent="0.2">
      <c r="A171" s="268"/>
      <c r="B171" s="268" t="s">
        <v>108</v>
      </c>
      <c r="C171" s="268" t="s">
        <v>402</v>
      </c>
      <c r="D171" s="431" t="str">
        <f>GC!$B$11</f>
        <v>Gancho</v>
      </c>
      <c r="E171" s="249" t="s">
        <v>220</v>
      </c>
      <c r="F171" s="268" t="s">
        <v>354</v>
      </c>
      <c r="G171" s="249" t="s">
        <v>706</v>
      </c>
      <c r="H171" s="249" t="s">
        <v>435</v>
      </c>
      <c r="I171" s="268" t="s">
        <v>410</v>
      </c>
      <c r="J171" s="249">
        <v>2</v>
      </c>
      <c r="K171" s="268" t="s">
        <v>153</v>
      </c>
      <c r="L171" s="432">
        <f>GC!$F$11</f>
        <v>61.111086999999998</v>
      </c>
      <c r="M171" s="433">
        <f t="shared" si="10"/>
        <v>122.222174</v>
      </c>
      <c r="N171" s="249">
        <v>0</v>
      </c>
      <c r="O171" s="433">
        <f t="shared" si="11"/>
        <v>0</v>
      </c>
      <c r="P171" s="434">
        <v>0.16</v>
      </c>
      <c r="Q171" s="433">
        <f t="shared" si="12"/>
        <v>19.555547839999999</v>
      </c>
      <c r="R171" s="433">
        <f t="shared" si="13"/>
        <v>141.77772184</v>
      </c>
      <c r="S171" s="433">
        <f>INDEX('Glosario Partidas'!$M$8:$M$10,MATCH(K171,'Glosario Partidas'!$L$8:$L$10,0))</f>
        <v>17.5</v>
      </c>
      <c r="T171" s="433">
        <f t="shared" si="14"/>
        <v>2481.1101322</v>
      </c>
      <c r="U171" s="268"/>
      <c r="V171" s="249" t="s">
        <v>12</v>
      </c>
      <c r="W171" s="249" t="s">
        <v>491</v>
      </c>
      <c r="X171" s="249"/>
    </row>
    <row r="172" spans="1:24" ht="15" customHeight="1" x14ac:dyDescent="0.2">
      <c r="A172" s="268"/>
      <c r="B172" s="268" t="s">
        <v>108</v>
      </c>
      <c r="C172" s="268" t="s">
        <v>402</v>
      </c>
      <c r="D172" s="431" t="str">
        <f>GC!$B$7</f>
        <v>Inodoro a piso de una pieza (Starck 3)</v>
      </c>
      <c r="E172" s="249" t="s">
        <v>220</v>
      </c>
      <c r="F172" s="268" t="s">
        <v>221</v>
      </c>
      <c r="G172" s="249" t="s">
        <v>703</v>
      </c>
      <c r="H172" s="249" t="s">
        <v>435</v>
      </c>
      <c r="I172" s="268" t="s">
        <v>410</v>
      </c>
      <c r="J172" s="249">
        <v>1</v>
      </c>
      <c r="K172" s="268" t="s">
        <v>153</v>
      </c>
      <c r="L172" s="432">
        <f>GC!$F$7</f>
        <v>667.07</v>
      </c>
      <c r="M172" s="433">
        <f t="shared" si="10"/>
        <v>667.07</v>
      </c>
      <c r="N172" s="249">
        <v>0</v>
      </c>
      <c r="O172" s="433">
        <f t="shared" si="11"/>
        <v>0</v>
      </c>
      <c r="P172" s="434">
        <v>0.16</v>
      </c>
      <c r="Q172" s="433">
        <f t="shared" si="12"/>
        <v>106.73120000000002</v>
      </c>
      <c r="R172" s="433">
        <f t="shared" si="13"/>
        <v>773.80120000000011</v>
      </c>
      <c r="S172" s="433">
        <f>INDEX('Glosario Partidas'!$M$8:$M$10,MATCH(K172,'Glosario Partidas'!$L$8:$L$10,0))</f>
        <v>17.5</v>
      </c>
      <c r="T172" s="433">
        <f t="shared" si="14"/>
        <v>13541.521000000002</v>
      </c>
      <c r="U172" s="268"/>
      <c r="V172" s="249" t="s">
        <v>12</v>
      </c>
      <c r="W172" s="249" t="s">
        <v>491</v>
      </c>
      <c r="X172" s="249"/>
    </row>
    <row r="173" spans="1:24" ht="15" customHeight="1" x14ac:dyDescent="0.2">
      <c r="A173" s="268"/>
      <c r="B173" s="268" t="s">
        <v>108</v>
      </c>
      <c r="C173" s="268" t="s">
        <v>402</v>
      </c>
      <c r="D173" s="431" t="str">
        <f>GC!$B$8</f>
        <v>Monomando de lavabo con válvula automática</v>
      </c>
      <c r="E173" s="249" t="s">
        <v>220</v>
      </c>
      <c r="F173" s="268" t="s">
        <v>221</v>
      </c>
      <c r="G173" s="249" t="s">
        <v>703</v>
      </c>
      <c r="H173" s="249" t="s">
        <v>435</v>
      </c>
      <c r="I173" s="268" t="s">
        <v>410</v>
      </c>
      <c r="J173" s="249">
        <v>2</v>
      </c>
      <c r="K173" s="268" t="s">
        <v>153</v>
      </c>
      <c r="L173" s="432">
        <f>GC!$F$8</f>
        <v>975.99151900000004</v>
      </c>
      <c r="M173" s="433">
        <f t="shared" si="10"/>
        <v>1951.9830380000001</v>
      </c>
      <c r="N173" s="249">
        <v>0</v>
      </c>
      <c r="O173" s="433">
        <f t="shared" si="11"/>
        <v>0</v>
      </c>
      <c r="P173" s="434">
        <v>0.16</v>
      </c>
      <c r="Q173" s="433">
        <f t="shared" si="12"/>
        <v>312.31728608000003</v>
      </c>
      <c r="R173" s="433">
        <f t="shared" si="13"/>
        <v>2264.3003240799999</v>
      </c>
      <c r="S173" s="433">
        <f>INDEX('Glosario Partidas'!$M$8:$M$10,MATCH(K173,'Glosario Partidas'!$L$8:$L$10,0))</f>
        <v>17.5</v>
      </c>
      <c r="T173" s="433">
        <f t="shared" si="14"/>
        <v>39625.255671399995</v>
      </c>
      <c r="U173" s="268"/>
      <c r="V173" s="249" t="s">
        <v>12</v>
      </c>
      <c r="W173" s="249" t="s">
        <v>491</v>
      </c>
      <c r="X173" s="249"/>
    </row>
    <row r="174" spans="1:24" ht="15" customHeight="1" x14ac:dyDescent="0.2">
      <c r="A174" s="268"/>
      <c r="B174" s="268" t="s">
        <v>108</v>
      </c>
      <c r="C174" s="268" t="s">
        <v>402</v>
      </c>
      <c r="D174" s="431" t="str">
        <f>GC!$B$21</f>
        <v>Soporte para vidrio (SERIES SPECIFIC, XS-081077, Brushed Dark Platinum)</v>
      </c>
      <c r="E174" s="249" t="s">
        <v>220</v>
      </c>
      <c r="F174" s="268" t="s">
        <v>221</v>
      </c>
      <c r="G174" s="249" t="s">
        <v>703</v>
      </c>
      <c r="H174" s="249" t="s">
        <v>435</v>
      </c>
      <c r="I174" s="268" t="s">
        <v>410</v>
      </c>
      <c r="J174" s="249">
        <v>2</v>
      </c>
      <c r="K174" s="268" t="s">
        <v>153</v>
      </c>
      <c r="L174" s="432">
        <f>GC!$F$21</f>
        <v>281.02</v>
      </c>
      <c r="M174" s="433">
        <f t="shared" si="10"/>
        <v>562.04</v>
      </c>
      <c r="N174" s="249">
        <v>0</v>
      </c>
      <c r="O174" s="433">
        <f t="shared" si="11"/>
        <v>0</v>
      </c>
      <c r="P174" s="434">
        <v>0.16</v>
      </c>
      <c r="Q174" s="433">
        <f t="shared" si="12"/>
        <v>89.926400000000001</v>
      </c>
      <c r="R174" s="433">
        <f t="shared" si="13"/>
        <v>651.96640000000002</v>
      </c>
      <c r="S174" s="433">
        <f>INDEX('Glosario Partidas'!$M$8:$M$10,MATCH(K174,'Glosario Partidas'!$L$8:$L$10,0))</f>
        <v>17.5</v>
      </c>
      <c r="T174" s="433">
        <f t="shared" si="14"/>
        <v>11409.412</v>
      </c>
      <c r="U174" s="268" t="s">
        <v>1084</v>
      </c>
      <c r="V174" s="249" t="s">
        <v>12</v>
      </c>
      <c r="W174" s="249" t="s">
        <v>491</v>
      </c>
      <c r="X174" s="249"/>
    </row>
    <row r="175" spans="1:24" ht="15" customHeight="1" x14ac:dyDescent="0.2">
      <c r="A175" s="268"/>
      <c r="B175" s="268" t="s">
        <v>108</v>
      </c>
      <c r="C175" s="268" t="s">
        <v>402</v>
      </c>
      <c r="D175" s="431" t="str">
        <f>GC!$B$12</f>
        <v>Set de ducha de mano con soporte de pared integrado</v>
      </c>
      <c r="E175" s="249" t="s">
        <v>220</v>
      </c>
      <c r="F175" s="268" t="s">
        <v>221</v>
      </c>
      <c r="G175" s="249" t="s">
        <v>703</v>
      </c>
      <c r="H175" s="249" t="s">
        <v>435</v>
      </c>
      <c r="I175" s="268" t="s">
        <v>410</v>
      </c>
      <c r="J175" s="249">
        <v>1</v>
      </c>
      <c r="K175" s="268" t="s">
        <v>153</v>
      </c>
      <c r="L175" s="432">
        <f>GC!$F$12</f>
        <v>325.25947400000001</v>
      </c>
      <c r="M175" s="433">
        <f t="shared" si="10"/>
        <v>325.25947400000001</v>
      </c>
      <c r="N175" s="249">
        <v>0</v>
      </c>
      <c r="O175" s="433">
        <f t="shared" si="11"/>
        <v>0</v>
      </c>
      <c r="P175" s="434">
        <v>0.16</v>
      </c>
      <c r="Q175" s="433">
        <f t="shared" si="12"/>
        <v>52.041515840000002</v>
      </c>
      <c r="R175" s="433">
        <f t="shared" si="13"/>
        <v>377.30098984</v>
      </c>
      <c r="S175" s="433">
        <f>INDEX('Glosario Partidas'!$M$8:$M$10,MATCH(K175,'Glosario Partidas'!$L$8:$L$10,0))</f>
        <v>17.5</v>
      </c>
      <c r="T175" s="433">
        <f t="shared" si="14"/>
        <v>6602.7673222000003</v>
      </c>
      <c r="U175" s="268"/>
      <c r="V175" s="249" t="s">
        <v>12</v>
      </c>
      <c r="W175" s="249" t="s">
        <v>491</v>
      </c>
      <c r="X175" s="249"/>
    </row>
    <row r="176" spans="1:24" ht="15" customHeight="1" x14ac:dyDescent="0.2">
      <c r="A176" s="268"/>
      <c r="B176" s="268" t="s">
        <v>108</v>
      </c>
      <c r="C176" s="268" t="s">
        <v>402</v>
      </c>
      <c r="D176" s="431" t="str">
        <f>GC!$B$13</f>
        <v>Ducha efecto lluvia con fijación a pared 400 mm</v>
      </c>
      <c r="E176" s="249" t="s">
        <v>220</v>
      </c>
      <c r="F176" s="268" t="s">
        <v>221</v>
      </c>
      <c r="G176" s="249" t="s">
        <v>703</v>
      </c>
      <c r="H176" s="249" t="s">
        <v>435</v>
      </c>
      <c r="I176" s="268" t="s">
        <v>410</v>
      </c>
      <c r="J176" s="249">
        <v>1</v>
      </c>
      <c r="K176" s="268" t="s">
        <v>153</v>
      </c>
      <c r="L176" s="432">
        <f>GC!$F$13</f>
        <v>1807.197105</v>
      </c>
      <c r="M176" s="433">
        <f t="shared" si="10"/>
        <v>1807.197105</v>
      </c>
      <c r="N176" s="249">
        <v>0</v>
      </c>
      <c r="O176" s="433">
        <f t="shared" si="11"/>
        <v>0</v>
      </c>
      <c r="P176" s="434">
        <v>0.16</v>
      </c>
      <c r="Q176" s="433">
        <f t="shared" si="12"/>
        <v>289.15153679999997</v>
      </c>
      <c r="R176" s="433">
        <f t="shared" si="13"/>
        <v>2096.3486417999998</v>
      </c>
      <c r="S176" s="433">
        <f>INDEX('Glosario Partidas'!$M$8:$M$10,MATCH(K176,'Glosario Partidas'!$L$8:$L$10,0))</f>
        <v>17.5</v>
      </c>
      <c r="T176" s="433">
        <f t="shared" si="14"/>
        <v>36686.101231499997</v>
      </c>
      <c r="U176" s="268"/>
      <c r="V176" s="249" t="s">
        <v>12</v>
      </c>
      <c r="W176" s="249" t="s">
        <v>491</v>
      </c>
      <c r="X176" s="249"/>
    </row>
    <row r="177" spans="1:24" ht="15" customHeight="1" x14ac:dyDescent="0.2">
      <c r="A177" s="268"/>
      <c r="B177" s="268" t="s">
        <v>108</v>
      </c>
      <c r="C177" s="268" t="s">
        <v>402</v>
      </c>
      <c r="D177" s="431" t="str">
        <f>GC!$B$22</f>
        <v>Canaleta de ducha para piedra natural TECE showerline (15201082)</v>
      </c>
      <c r="E177" s="249" t="s">
        <v>220</v>
      </c>
      <c r="F177" s="268" t="s">
        <v>221</v>
      </c>
      <c r="G177" s="249" t="s">
        <v>703</v>
      </c>
      <c r="H177" s="249" t="s">
        <v>435</v>
      </c>
      <c r="I177" s="268" t="s">
        <v>410</v>
      </c>
      <c r="J177" s="249">
        <v>1</v>
      </c>
      <c r="K177" s="268" t="s">
        <v>153</v>
      </c>
      <c r="L177" s="432">
        <f>GC!$F$22</f>
        <v>290.33763199999999</v>
      </c>
      <c r="M177" s="433">
        <f t="shared" si="10"/>
        <v>290.33763199999999</v>
      </c>
      <c r="N177" s="249">
        <v>0</v>
      </c>
      <c r="O177" s="433">
        <f t="shared" si="11"/>
        <v>0</v>
      </c>
      <c r="P177" s="434">
        <v>0.16</v>
      </c>
      <c r="Q177" s="433">
        <f t="shared" si="12"/>
        <v>46.45402112</v>
      </c>
      <c r="R177" s="433">
        <f t="shared" si="13"/>
        <v>336.79165311999998</v>
      </c>
      <c r="S177" s="433">
        <f>INDEX('Glosario Partidas'!$M$8:$M$10,MATCH(K177,'Glosario Partidas'!$L$8:$L$10,0))</f>
        <v>17.5</v>
      </c>
      <c r="T177" s="433">
        <f t="shared" si="14"/>
        <v>5893.8539295999999</v>
      </c>
      <c r="U177" s="268" t="s">
        <v>1085</v>
      </c>
      <c r="V177" s="249" t="s">
        <v>12</v>
      </c>
      <c r="W177" s="249" t="s">
        <v>491</v>
      </c>
      <c r="X177" s="249"/>
    </row>
    <row r="178" spans="1:24" ht="15" customHeight="1" x14ac:dyDescent="0.2">
      <c r="A178" s="268"/>
      <c r="B178" s="268" t="s">
        <v>108</v>
      </c>
      <c r="C178" s="268" t="s">
        <v>402</v>
      </c>
      <c r="D178" s="431" t="str">
        <f>GC!$B$14</f>
        <v>Termostato oculto con control de volumen bidireccional</v>
      </c>
      <c r="E178" s="249" t="s">
        <v>220</v>
      </c>
      <c r="F178" s="268" t="s">
        <v>221</v>
      </c>
      <c r="G178" s="249" t="s">
        <v>703</v>
      </c>
      <c r="H178" s="249" t="s">
        <v>435</v>
      </c>
      <c r="I178" s="268" t="s">
        <v>410</v>
      </c>
      <c r="J178" s="249">
        <v>1</v>
      </c>
      <c r="K178" s="268" t="s">
        <v>153</v>
      </c>
      <c r="L178" s="432">
        <f>GC!$F$14</f>
        <v>350.19605300000001</v>
      </c>
      <c r="M178" s="433">
        <f t="shared" si="10"/>
        <v>350.19605300000001</v>
      </c>
      <c r="N178" s="249">
        <v>0</v>
      </c>
      <c r="O178" s="433">
        <f t="shared" si="11"/>
        <v>0</v>
      </c>
      <c r="P178" s="434">
        <v>0.16</v>
      </c>
      <c r="Q178" s="433">
        <f t="shared" si="12"/>
        <v>56.031368480000005</v>
      </c>
      <c r="R178" s="433">
        <f t="shared" si="13"/>
        <v>406.22742148000003</v>
      </c>
      <c r="S178" s="433">
        <f>INDEX('Glosario Partidas'!$M$8:$M$10,MATCH(K178,'Glosario Partidas'!$L$8:$L$10,0))</f>
        <v>17.5</v>
      </c>
      <c r="T178" s="433">
        <f t="shared" si="14"/>
        <v>7108.9798759000005</v>
      </c>
      <c r="U178" s="268"/>
      <c r="V178" s="249" t="s">
        <v>12</v>
      </c>
      <c r="W178" s="249" t="s">
        <v>491</v>
      </c>
      <c r="X178" s="249"/>
    </row>
    <row r="179" spans="1:24" ht="15" customHeight="1" x14ac:dyDescent="0.2">
      <c r="A179" s="268"/>
      <c r="B179" s="268" t="s">
        <v>108</v>
      </c>
      <c r="C179" s="268" t="s">
        <v>402</v>
      </c>
      <c r="D179" s="431" t="str">
        <f>GC!$B$15</f>
        <v>Termostato empotrado (rough)</v>
      </c>
      <c r="E179" s="249" t="s">
        <v>220</v>
      </c>
      <c r="F179" s="268" t="s">
        <v>221</v>
      </c>
      <c r="G179" s="249" t="s">
        <v>703</v>
      </c>
      <c r="H179" s="249" t="s">
        <v>435</v>
      </c>
      <c r="I179" s="268" t="s">
        <v>410</v>
      </c>
      <c r="J179" s="249">
        <v>1</v>
      </c>
      <c r="K179" s="268" t="s">
        <v>153</v>
      </c>
      <c r="L179" s="432">
        <f>GC!$F$15</f>
        <v>313.33</v>
      </c>
      <c r="M179" s="433">
        <f t="shared" si="10"/>
        <v>313.33</v>
      </c>
      <c r="N179" s="249">
        <v>0</v>
      </c>
      <c r="O179" s="433">
        <f t="shared" si="11"/>
        <v>0</v>
      </c>
      <c r="P179" s="434">
        <v>0.16</v>
      </c>
      <c r="Q179" s="433">
        <f t="shared" si="12"/>
        <v>50.132799999999996</v>
      </c>
      <c r="R179" s="433">
        <f t="shared" si="13"/>
        <v>363.46279999999996</v>
      </c>
      <c r="S179" s="433">
        <f>INDEX('Glosario Partidas'!$M$8:$M$10,MATCH(K179,'Glosario Partidas'!$L$8:$L$10,0))</f>
        <v>17.5</v>
      </c>
      <c r="T179" s="433">
        <f t="shared" si="14"/>
        <v>6360.5989999999993</v>
      </c>
      <c r="U179" s="268"/>
      <c r="V179" s="249" t="s">
        <v>12</v>
      </c>
      <c r="W179" s="249" t="s">
        <v>491</v>
      </c>
      <c r="X179" s="249"/>
    </row>
    <row r="180" spans="1:24" ht="15" customHeight="1" x14ac:dyDescent="0.2">
      <c r="A180" s="268"/>
      <c r="B180" s="268" t="s">
        <v>108</v>
      </c>
      <c r="C180" s="268" t="s">
        <v>402</v>
      </c>
      <c r="D180" s="431" t="str">
        <f>GC!$B$10</f>
        <v>Soporte para papel higiénico sin cubierta</v>
      </c>
      <c r="E180" s="249" t="s">
        <v>220</v>
      </c>
      <c r="F180" s="268" t="s">
        <v>221</v>
      </c>
      <c r="G180" s="249" t="s">
        <v>703</v>
      </c>
      <c r="H180" s="249" t="s">
        <v>435</v>
      </c>
      <c r="I180" s="268" t="s">
        <v>410</v>
      </c>
      <c r="J180" s="249">
        <v>1</v>
      </c>
      <c r="K180" s="268" t="s">
        <v>153</v>
      </c>
      <c r="L180" s="432">
        <f>GC!$F$10</f>
        <v>238.874348</v>
      </c>
      <c r="M180" s="433">
        <f t="shared" si="10"/>
        <v>238.874348</v>
      </c>
      <c r="N180" s="249">
        <v>0</v>
      </c>
      <c r="O180" s="433">
        <f t="shared" si="11"/>
        <v>0</v>
      </c>
      <c r="P180" s="434">
        <v>0.16</v>
      </c>
      <c r="Q180" s="433">
        <f t="shared" si="12"/>
        <v>38.21989568</v>
      </c>
      <c r="R180" s="433">
        <f t="shared" si="13"/>
        <v>277.09424367999998</v>
      </c>
      <c r="S180" s="433">
        <f>INDEX('Glosario Partidas'!$M$8:$M$10,MATCH(K180,'Glosario Partidas'!$L$8:$L$10,0))</f>
        <v>17.5</v>
      </c>
      <c r="T180" s="433">
        <f t="shared" si="14"/>
        <v>4849.1492644</v>
      </c>
      <c r="U180" s="268"/>
      <c r="V180" s="249" t="s">
        <v>12</v>
      </c>
      <c r="W180" s="249" t="s">
        <v>491</v>
      </c>
      <c r="X180" s="249"/>
    </row>
    <row r="181" spans="1:24" ht="15" customHeight="1" x14ac:dyDescent="0.2">
      <c r="A181" s="268"/>
      <c r="B181" s="268" t="s">
        <v>108</v>
      </c>
      <c r="C181" s="268" t="s">
        <v>402</v>
      </c>
      <c r="D181" s="431" t="str">
        <f>GC!$B$9</f>
        <v>Barra de agarre / Toallero chico 45cm</v>
      </c>
      <c r="E181" s="249" t="s">
        <v>220</v>
      </c>
      <c r="F181" s="268" t="s">
        <v>221</v>
      </c>
      <c r="G181" s="249" t="s">
        <v>703</v>
      </c>
      <c r="H181" s="249" t="s">
        <v>435</v>
      </c>
      <c r="I181" s="268" t="s">
        <v>410</v>
      </c>
      <c r="J181" s="249">
        <v>2</v>
      </c>
      <c r="K181" s="268" t="s">
        <v>153</v>
      </c>
      <c r="L181" s="432">
        <f>GC!$F$9</f>
        <v>471.15</v>
      </c>
      <c r="M181" s="433">
        <f t="shared" si="10"/>
        <v>942.3</v>
      </c>
      <c r="N181" s="249">
        <v>0</v>
      </c>
      <c r="O181" s="433">
        <f t="shared" si="11"/>
        <v>0</v>
      </c>
      <c r="P181" s="434">
        <v>0.16</v>
      </c>
      <c r="Q181" s="433">
        <f t="shared" si="12"/>
        <v>150.768</v>
      </c>
      <c r="R181" s="433">
        <f t="shared" si="13"/>
        <v>1093.068</v>
      </c>
      <c r="S181" s="433">
        <f>INDEX('Glosario Partidas'!$M$8:$M$10,MATCH(K181,'Glosario Partidas'!$L$8:$L$10,0))</f>
        <v>17.5</v>
      </c>
      <c r="T181" s="433">
        <f t="shared" si="14"/>
        <v>19128.689999999999</v>
      </c>
      <c r="U181" s="268"/>
      <c r="V181" s="249" t="s">
        <v>12</v>
      </c>
      <c r="W181" s="249" t="s">
        <v>491</v>
      </c>
      <c r="X181" s="249"/>
    </row>
    <row r="182" spans="1:24" ht="15" customHeight="1" x14ac:dyDescent="0.2">
      <c r="A182" s="268"/>
      <c r="B182" s="268" t="s">
        <v>108</v>
      </c>
      <c r="C182" s="268" t="s">
        <v>402</v>
      </c>
      <c r="D182" s="431" t="str">
        <f>GC!$B$11</f>
        <v>Gancho</v>
      </c>
      <c r="E182" s="249" t="s">
        <v>220</v>
      </c>
      <c r="F182" s="268" t="s">
        <v>221</v>
      </c>
      <c r="G182" s="249" t="s">
        <v>703</v>
      </c>
      <c r="H182" s="249" t="s">
        <v>435</v>
      </c>
      <c r="I182" s="268" t="s">
        <v>410</v>
      </c>
      <c r="J182" s="249">
        <v>2</v>
      </c>
      <c r="K182" s="268" t="s">
        <v>153</v>
      </c>
      <c r="L182" s="432">
        <f>GC!$F$11</f>
        <v>61.111086999999998</v>
      </c>
      <c r="M182" s="433">
        <f t="shared" si="10"/>
        <v>122.222174</v>
      </c>
      <c r="N182" s="249">
        <v>0</v>
      </c>
      <c r="O182" s="433">
        <f t="shared" si="11"/>
        <v>0</v>
      </c>
      <c r="P182" s="434">
        <v>0.16</v>
      </c>
      <c r="Q182" s="433">
        <f t="shared" si="12"/>
        <v>19.555547839999999</v>
      </c>
      <c r="R182" s="433">
        <f t="shared" si="13"/>
        <v>141.77772184</v>
      </c>
      <c r="S182" s="433">
        <f>INDEX('Glosario Partidas'!$M$8:$M$10,MATCH(K182,'Glosario Partidas'!$L$8:$L$10,0))</f>
        <v>17.5</v>
      </c>
      <c r="T182" s="433">
        <f t="shared" si="14"/>
        <v>2481.1101322</v>
      </c>
      <c r="U182" s="268"/>
      <c r="V182" s="249" t="s">
        <v>12</v>
      </c>
      <c r="W182" s="249" t="s">
        <v>491</v>
      </c>
      <c r="X182" s="249"/>
    </row>
    <row r="183" spans="1:24" ht="15" customHeight="1" x14ac:dyDescent="0.2">
      <c r="A183" s="268"/>
      <c r="B183" s="268" t="s">
        <v>108</v>
      </c>
      <c r="C183" s="268" t="s">
        <v>402</v>
      </c>
      <c r="D183" s="431" t="str">
        <f>GC!$B$7</f>
        <v>Inodoro a piso de una pieza (Starck 3)</v>
      </c>
      <c r="E183" s="249" t="s">
        <v>220</v>
      </c>
      <c r="F183" s="268" t="s">
        <v>354</v>
      </c>
      <c r="G183" s="249" t="s">
        <v>707</v>
      </c>
      <c r="H183" s="249" t="s">
        <v>435</v>
      </c>
      <c r="I183" s="268" t="s">
        <v>410</v>
      </c>
      <c r="J183" s="249">
        <v>1</v>
      </c>
      <c r="K183" s="268" t="s">
        <v>153</v>
      </c>
      <c r="L183" s="432">
        <f>GC!$F$7</f>
        <v>667.07</v>
      </c>
      <c r="M183" s="433">
        <f t="shared" si="10"/>
        <v>667.07</v>
      </c>
      <c r="N183" s="249">
        <v>0</v>
      </c>
      <c r="O183" s="433">
        <f t="shared" si="11"/>
        <v>0</v>
      </c>
      <c r="P183" s="434">
        <v>0.16</v>
      </c>
      <c r="Q183" s="433">
        <f t="shared" si="12"/>
        <v>106.73120000000002</v>
      </c>
      <c r="R183" s="433">
        <f t="shared" si="13"/>
        <v>773.80120000000011</v>
      </c>
      <c r="S183" s="433">
        <f>INDEX('Glosario Partidas'!$M$8:$M$10,MATCH(K183,'Glosario Partidas'!$L$8:$L$10,0))</f>
        <v>17.5</v>
      </c>
      <c r="T183" s="433">
        <f t="shared" si="14"/>
        <v>13541.521000000002</v>
      </c>
      <c r="U183" s="268"/>
      <c r="V183" s="249" t="s">
        <v>12</v>
      </c>
      <c r="W183" s="249" t="s">
        <v>491</v>
      </c>
      <c r="X183" s="249"/>
    </row>
    <row r="184" spans="1:24" ht="15" customHeight="1" x14ac:dyDescent="0.2">
      <c r="A184" s="268"/>
      <c r="B184" s="268" t="s">
        <v>108</v>
      </c>
      <c r="C184" s="268" t="s">
        <v>402</v>
      </c>
      <c r="D184" s="431" t="str">
        <f>GC!$B$8</f>
        <v>Monomando de lavabo con válvula automática</v>
      </c>
      <c r="E184" s="249" t="s">
        <v>220</v>
      </c>
      <c r="F184" s="268" t="s">
        <v>354</v>
      </c>
      <c r="G184" s="249" t="s">
        <v>707</v>
      </c>
      <c r="H184" s="249" t="s">
        <v>435</v>
      </c>
      <c r="I184" s="268" t="s">
        <v>410</v>
      </c>
      <c r="J184" s="249">
        <v>2</v>
      </c>
      <c r="K184" s="268" t="s">
        <v>153</v>
      </c>
      <c r="L184" s="432">
        <f>GC!$F$8</f>
        <v>975.99151900000004</v>
      </c>
      <c r="M184" s="433">
        <f t="shared" si="10"/>
        <v>1951.9830380000001</v>
      </c>
      <c r="N184" s="249">
        <v>0</v>
      </c>
      <c r="O184" s="433">
        <f t="shared" si="11"/>
        <v>0</v>
      </c>
      <c r="P184" s="434">
        <v>0.16</v>
      </c>
      <c r="Q184" s="433">
        <f t="shared" si="12"/>
        <v>312.31728608000003</v>
      </c>
      <c r="R184" s="433">
        <f t="shared" si="13"/>
        <v>2264.3003240799999</v>
      </c>
      <c r="S184" s="433">
        <f>INDEX('Glosario Partidas'!$M$8:$M$10,MATCH(K184,'Glosario Partidas'!$L$8:$L$10,0))</f>
        <v>17.5</v>
      </c>
      <c r="T184" s="433">
        <f t="shared" si="14"/>
        <v>39625.255671399995</v>
      </c>
      <c r="U184" s="268"/>
      <c r="V184" s="249" t="s">
        <v>12</v>
      </c>
      <c r="W184" s="249" t="s">
        <v>491</v>
      </c>
      <c r="X184" s="249"/>
    </row>
    <row r="185" spans="1:24" ht="15" customHeight="1" x14ac:dyDescent="0.2">
      <c r="A185" s="268"/>
      <c r="B185" s="268" t="s">
        <v>108</v>
      </c>
      <c r="C185" s="268" t="s">
        <v>402</v>
      </c>
      <c r="D185" s="431" t="str">
        <f>GC!$B$21</f>
        <v>Soporte para vidrio (SERIES SPECIFIC, XS-081077, Brushed Dark Platinum)</v>
      </c>
      <c r="E185" s="249" t="s">
        <v>220</v>
      </c>
      <c r="F185" s="268" t="s">
        <v>354</v>
      </c>
      <c r="G185" s="249" t="s">
        <v>707</v>
      </c>
      <c r="H185" s="249" t="s">
        <v>435</v>
      </c>
      <c r="I185" s="268" t="s">
        <v>410</v>
      </c>
      <c r="J185" s="249">
        <v>2</v>
      </c>
      <c r="K185" s="268" t="s">
        <v>153</v>
      </c>
      <c r="L185" s="432">
        <f>GC!$F$21</f>
        <v>281.02</v>
      </c>
      <c r="M185" s="433">
        <f t="shared" si="10"/>
        <v>562.04</v>
      </c>
      <c r="N185" s="249">
        <v>0</v>
      </c>
      <c r="O185" s="433">
        <f t="shared" si="11"/>
        <v>0</v>
      </c>
      <c r="P185" s="434">
        <v>0.16</v>
      </c>
      <c r="Q185" s="433">
        <f t="shared" si="12"/>
        <v>89.926400000000001</v>
      </c>
      <c r="R185" s="433">
        <f t="shared" si="13"/>
        <v>651.96640000000002</v>
      </c>
      <c r="S185" s="433">
        <f>INDEX('Glosario Partidas'!$M$8:$M$10,MATCH(K185,'Glosario Partidas'!$L$8:$L$10,0))</f>
        <v>17.5</v>
      </c>
      <c r="T185" s="433">
        <f t="shared" si="14"/>
        <v>11409.412</v>
      </c>
      <c r="U185" s="268" t="s">
        <v>1084</v>
      </c>
      <c r="V185" s="249" t="s">
        <v>12</v>
      </c>
      <c r="W185" s="249" t="s">
        <v>491</v>
      </c>
      <c r="X185" s="249"/>
    </row>
    <row r="186" spans="1:24" ht="15" customHeight="1" x14ac:dyDescent="0.2">
      <c r="A186" s="268"/>
      <c r="B186" s="268" t="s">
        <v>108</v>
      </c>
      <c r="C186" s="268" t="s">
        <v>402</v>
      </c>
      <c r="D186" s="431" t="str">
        <f>GC!$B$12</f>
        <v>Set de ducha de mano con soporte de pared integrado</v>
      </c>
      <c r="E186" s="249" t="s">
        <v>220</v>
      </c>
      <c r="F186" s="268" t="s">
        <v>354</v>
      </c>
      <c r="G186" s="249" t="s">
        <v>707</v>
      </c>
      <c r="H186" s="249" t="s">
        <v>435</v>
      </c>
      <c r="I186" s="268" t="s">
        <v>410</v>
      </c>
      <c r="J186" s="249">
        <v>1</v>
      </c>
      <c r="K186" s="268" t="s">
        <v>153</v>
      </c>
      <c r="L186" s="432">
        <f>GC!$F$12</f>
        <v>325.25947400000001</v>
      </c>
      <c r="M186" s="433">
        <f t="shared" si="10"/>
        <v>325.25947400000001</v>
      </c>
      <c r="N186" s="249">
        <v>0</v>
      </c>
      <c r="O186" s="433">
        <f t="shared" si="11"/>
        <v>0</v>
      </c>
      <c r="P186" s="434">
        <v>0.16</v>
      </c>
      <c r="Q186" s="433">
        <f t="shared" si="12"/>
        <v>52.041515840000002</v>
      </c>
      <c r="R186" s="433">
        <f t="shared" si="13"/>
        <v>377.30098984</v>
      </c>
      <c r="S186" s="433">
        <f>INDEX('Glosario Partidas'!$M$8:$M$10,MATCH(K186,'Glosario Partidas'!$L$8:$L$10,0))</f>
        <v>17.5</v>
      </c>
      <c r="T186" s="433">
        <f t="shared" si="14"/>
        <v>6602.7673222000003</v>
      </c>
      <c r="U186" s="268"/>
      <c r="V186" s="249" t="s">
        <v>12</v>
      </c>
      <c r="W186" s="249" t="s">
        <v>491</v>
      </c>
      <c r="X186" s="249"/>
    </row>
    <row r="187" spans="1:24" ht="15" customHeight="1" x14ac:dyDescent="0.2">
      <c r="A187" s="268"/>
      <c r="B187" s="268" t="s">
        <v>108</v>
      </c>
      <c r="C187" s="268" t="s">
        <v>402</v>
      </c>
      <c r="D187" s="431" t="str">
        <f>GC!$B$13</f>
        <v>Ducha efecto lluvia con fijación a pared 400 mm</v>
      </c>
      <c r="E187" s="249" t="s">
        <v>220</v>
      </c>
      <c r="F187" s="268" t="s">
        <v>354</v>
      </c>
      <c r="G187" s="249" t="s">
        <v>707</v>
      </c>
      <c r="H187" s="249" t="s">
        <v>435</v>
      </c>
      <c r="I187" s="268" t="s">
        <v>410</v>
      </c>
      <c r="J187" s="249">
        <v>1</v>
      </c>
      <c r="K187" s="268" t="s">
        <v>153</v>
      </c>
      <c r="L187" s="432">
        <f>GC!$F$13</f>
        <v>1807.197105</v>
      </c>
      <c r="M187" s="433">
        <f t="shared" si="10"/>
        <v>1807.197105</v>
      </c>
      <c r="N187" s="249">
        <v>0</v>
      </c>
      <c r="O187" s="433">
        <f t="shared" si="11"/>
        <v>0</v>
      </c>
      <c r="P187" s="434">
        <v>0.16</v>
      </c>
      <c r="Q187" s="433">
        <f t="shared" si="12"/>
        <v>289.15153679999997</v>
      </c>
      <c r="R187" s="433">
        <f t="shared" si="13"/>
        <v>2096.3486417999998</v>
      </c>
      <c r="S187" s="433">
        <f>INDEX('Glosario Partidas'!$M$8:$M$10,MATCH(K187,'Glosario Partidas'!$L$8:$L$10,0))</f>
        <v>17.5</v>
      </c>
      <c r="T187" s="433">
        <f t="shared" si="14"/>
        <v>36686.101231499997</v>
      </c>
      <c r="U187" s="268"/>
      <c r="V187" s="249" t="s">
        <v>12</v>
      </c>
      <c r="W187" s="249" t="s">
        <v>491</v>
      </c>
      <c r="X187" s="249"/>
    </row>
    <row r="188" spans="1:24" ht="15" customHeight="1" x14ac:dyDescent="0.2">
      <c r="A188" s="268"/>
      <c r="B188" s="268" t="s">
        <v>108</v>
      </c>
      <c r="C188" s="268" t="s">
        <v>402</v>
      </c>
      <c r="D188" s="431" t="str">
        <f>GC!$B$22</f>
        <v>Canaleta de ducha para piedra natural TECE showerline (15201082)</v>
      </c>
      <c r="E188" s="249" t="s">
        <v>220</v>
      </c>
      <c r="F188" s="268" t="s">
        <v>354</v>
      </c>
      <c r="G188" s="249" t="s">
        <v>707</v>
      </c>
      <c r="H188" s="249" t="s">
        <v>435</v>
      </c>
      <c r="I188" s="268" t="s">
        <v>410</v>
      </c>
      <c r="J188" s="249">
        <v>1</v>
      </c>
      <c r="K188" s="268" t="s">
        <v>153</v>
      </c>
      <c r="L188" s="432">
        <f>GC!$F$22</f>
        <v>290.33763199999999</v>
      </c>
      <c r="M188" s="433">
        <f t="shared" si="10"/>
        <v>290.33763199999999</v>
      </c>
      <c r="N188" s="249">
        <v>0</v>
      </c>
      <c r="O188" s="433">
        <f t="shared" si="11"/>
        <v>0</v>
      </c>
      <c r="P188" s="434">
        <v>0.16</v>
      </c>
      <c r="Q188" s="433">
        <f t="shared" si="12"/>
        <v>46.45402112</v>
      </c>
      <c r="R188" s="433">
        <f t="shared" si="13"/>
        <v>336.79165311999998</v>
      </c>
      <c r="S188" s="433">
        <f>INDEX('Glosario Partidas'!$M$8:$M$10,MATCH(K188,'Glosario Partidas'!$L$8:$L$10,0))</f>
        <v>17.5</v>
      </c>
      <c r="T188" s="433">
        <f t="shared" si="14"/>
        <v>5893.8539295999999</v>
      </c>
      <c r="U188" s="268" t="s">
        <v>1085</v>
      </c>
      <c r="V188" s="249" t="s">
        <v>12</v>
      </c>
      <c r="W188" s="249" t="s">
        <v>491</v>
      </c>
      <c r="X188" s="249"/>
    </row>
    <row r="189" spans="1:24" ht="15" customHeight="1" x14ac:dyDescent="0.2">
      <c r="A189" s="268"/>
      <c r="B189" s="268" t="s">
        <v>108</v>
      </c>
      <c r="C189" s="268" t="s">
        <v>402</v>
      </c>
      <c r="D189" s="431" t="str">
        <f>GC!$B$14</f>
        <v>Termostato oculto con control de volumen bidireccional</v>
      </c>
      <c r="E189" s="249" t="s">
        <v>220</v>
      </c>
      <c r="F189" s="268" t="s">
        <v>354</v>
      </c>
      <c r="G189" s="249" t="s">
        <v>707</v>
      </c>
      <c r="H189" s="249" t="s">
        <v>435</v>
      </c>
      <c r="I189" s="268" t="s">
        <v>410</v>
      </c>
      <c r="J189" s="249">
        <v>1</v>
      </c>
      <c r="K189" s="268" t="s">
        <v>153</v>
      </c>
      <c r="L189" s="432">
        <f>GC!$F$14</f>
        <v>350.19605300000001</v>
      </c>
      <c r="M189" s="433">
        <f t="shared" si="10"/>
        <v>350.19605300000001</v>
      </c>
      <c r="N189" s="249">
        <v>0</v>
      </c>
      <c r="O189" s="433">
        <f t="shared" si="11"/>
        <v>0</v>
      </c>
      <c r="P189" s="434">
        <v>0.16</v>
      </c>
      <c r="Q189" s="433">
        <f t="shared" si="12"/>
        <v>56.031368480000005</v>
      </c>
      <c r="R189" s="433">
        <f t="shared" si="13"/>
        <v>406.22742148000003</v>
      </c>
      <c r="S189" s="433">
        <f>INDEX('Glosario Partidas'!$M$8:$M$10,MATCH(K189,'Glosario Partidas'!$L$8:$L$10,0))</f>
        <v>17.5</v>
      </c>
      <c r="T189" s="433">
        <f t="shared" si="14"/>
        <v>7108.9798759000005</v>
      </c>
      <c r="U189" s="268"/>
      <c r="V189" s="249" t="s">
        <v>12</v>
      </c>
      <c r="W189" s="249" t="s">
        <v>491</v>
      </c>
      <c r="X189" s="249"/>
    </row>
    <row r="190" spans="1:24" ht="15" customHeight="1" x14ac:dyDescent="0.2">
      <c r="A190" s="268"/>
      <c r="B190" s="268" t="s">
        <v>108</v>
      </c>
      <c r="C190" s="268" t="s">
        <v>402</v>
      </c>
      <c r="D190" s="431" t="str">
        <f>GC!$B$15</f>
        <v>Termostato empotrado (rough)</v>
      </c>
      <c r="E190" s="249" t="s">
        <v>220</v>
      </c>
      <c r="F190" s="268" t="s">
        <v>354</v>
      </c>
      <c r="G190" s="249" t="s">
        <v>707</v>
      </c>
      <c r="H190" s="249" t="s">
        <v>435</v>
      </c>
      <c r="I190" s="268" t="s">
        <v>410</v>
      </c>
      <c r="J190" s="249">
        <v>1</v>
      </c>
      <c r="K190" s="268" t="s">
        <v>153</v>
      </c>
      <c r="L190" s="432">
        <f>GC!$F$15</f>
        <v>313.33</v>
      </c>
      <c r="M190" s="433">
        <f t="shared" si="10"/>
        <v>313.33</v>
      </c>
      <c r="N190" s="249">
        <v>0</v>
      </c>
      <c r="O190" s="433">
        <f t="shared" si="11"/>
        <v>0</v>
      </c>
      <c r="P190" s="434">
        <v>0.16</v>
      </c>
      <c r="Q190" s="433">
        <f t="shared" si="12"/>
        <v>50.132799999999996</v>
      </c>
      <c r="R190" s="433">
        <f t="shared" si="13"/>
        <v>363.46279999999996</v>
      </c>
      <c r="S190" s="433">
        <f>INDEX('Glosario Partidas'!$M$8:$M$10,MATCH(K190,'Glosario Partidas'!$L$8:$L$10,0))</f>
        <v>17.5</v>
      </c>
      <c r="T190" s="433">
        <f t="shared" si="14"/>
        <v>6360.5989999999993</v>
      </c>
      <c r="U190" s="268"/>
      <c r="V190" s="249" t="s">
        <v>12</v>
      </c>
      <c r="W190" s="249" t="s">
        <v>491</v>
      </c>
      <c r="X190" s="249"/>
    </row>
    <row r="191" spans="1:24" ht="15" customHeight="1" x14ac:dyDescent="0.2">
      <c r="A191" s="268"/>
      <c r="B191" s="268" t="s">
        <v>108</v>
      </c>
      <c r="C191" s="268" t="s">
        <v>402</v>
      </c>
      <c r="D191" s="431" t="str">
        <f>GC!$B$10</f>
        <v>Soporte para papel higiénico sin cubierta</v>
      </c>
      <c r="E191" s="249" t="s">
        <v>220</v>
      </c>
      <c r="F191" s="268" t="s">
        <v>354</v>
      </c>
      <c r="G191" s="249" t="s">
        <v>707</v>
      </c>
      <c r="H191" s="249" t="s">
        <v>435</v>
      </c>
      <c r="I191" s="268" t="s">
        <v>410</v>
      </c>
      <c r="J191" s="249">
        <v>1</v>
      </c>
      <c r="K191" s="268" t="s">
        <v>153</v>
      </c>
      <c r="L191" s="432">
        <f>GC!$F$10</f>
        <v>238.874348</v>
      </c>
      <c r="M191" s="433">
        <f t="shared" si="10"/>
        <v>238.874348</v>
      </c>
      <c r="N191" s="249">
        <v>0</v>
      </c>
      <c r="O191" s="433">
        <f t="shared" si="11"/>
        <v>0</v>
      </c>
      <c r="P191" s="434">
        <v>0.16</v>
      </c>
      <c r="Q191" s="433">
        <f t="shared" si="12"/>
        <v>38.21989568</v>
      </c>
      <c r="R191" s="433">
        <f t="shared" si="13"/>
        <v>277.09424367999998</v>
      </c>
      <c r="S191" s="433">
        <f>INDEX('Glosario Partidas'!$M$8:$M$10,MATCH(K191,'Glosario Partidas'!$L$8:$L$10,0))</f>
        <v>17.5</v>
      </c>
      <c r="T191" s="433">
        <f t="shared" si="14"/>
        <v>4849.1492644</v>
      </c>
      <c r="U191" s="268"/>
      <c r="V191" s="249" t="s">
        <v>12</v>
      </c>
      <c r="W191" s="249" t="s">
        <v>491</v>
      </c>
      <c r="X191" s="249"/>
    </row>
    <row r="192" spans="1:24" ht="15" customHeight="1" x14ac:dyDescent="0.2">
      <c r="A192" s="268"/>
      <c r="B192" s="268" t="s">
        <v>108</v>
      </c>
      <c r="C192" s="268" t="s">
        <v>402</v>
      </c>
      <c r="D192" s="431" t="str">
        <f>GC!$B$9</f>
        <v>Barra de agarre / Toallero chico 45cm</v>
      </c>
      <c r="E192" s="249" t="s">
        <v>220</v>
      </c>
      <c r="F192" s="268" t="s">
        <v>354</v>
      </c>
      <c r="G192" s="249" t="s">
        <v>707</v>
      </c>
      <c r="H192" s="249" t="s">
        <v>435</v>
      </c>
      <c r="I192" s="268" t="s">
        <v>410</v>
      </c>
      <c r="J192" s="249">
        <v>2</v>
      </c>
      <c r="K192" s="268" t="s">
        <v>153</v>
      </c>
      <c r="L192" s="432">
        <f>GC!$F$9</f>
        <v>471.15</v>
      </c>
      <c r="M192" s="433">
        <f t="shared" si="10"/>
        <v>942.3</v>
      </c>
      <c r="N192" s="249">
        <v>0</v>
      </c>
      <c r="O192" s="433">
        <f t="shared" si="11"/>
        <v>0</v>
      </c>
      <c r="P192" s="434">
        <v>0.16</v>
      </c>
      <c r="Q192" s="433">
        <f t="shared" si="12"/>
        <v>150.768</v>
      </c>
      <c r="R192" s="433">
        <f t="shared" si="13"/>
        <v>1093.068</v>
      </c>
      <c r="S192" s="433">
        <f>INDEX('Glosario Partidas'!$M$8:$M$10,MATCH(K192,'Glosario Partidas'!$L$8:$L$10,0))</f>
        <v>17.5</v>
      </c>
      <c r="T192" s="433">
        <f t="shared" si="14"/>
        <v>19128.689999999999</v>
      </c>
      <c r="U192" s="268"/>
      <c r="V192" s="249" t="s">
        <v>12</v>
      </c>
      <c r="W192" s="249" t="s">
        <v>491</v>
      </c>
      <c r="X192" s="249"/>
    </row>
    <row r="193" spans="1:24" ht="15" customHeight="1" x14ac:dyDescent="0.2">
      <c r="A193" s="268"/>
      <c r="B193" s="268" t="s">
        <v>108</v>
      </c>
      <c r="C193" s="268" t="s">
        <v>402</v>
      </c>
      <c r="D193" s="431" t="str">
        <f>GC!$B$11</f>
        <v>Gancho</v>
      </c>
      <c r="E193" s="249" t="s">
        <v>220</v>
      </c>
      <c r="F193" s="268" t="s">
        <v>354</v>
      </c>
      <c r="G193" s="249" t="s">
        <v>707</v>
      </c>
      <c r="H193" s="249" t="s">
        <v>435</v>
      </c>
      <c r="I193" s="268" t="s">
        <v>410</v>
      </c>
      <c r="J193" s="249">
        <v>2</v>
      </c>
      <c r="K193" s="268" t="s">
        <v>153</v>
      </c>
      <c r="L193" s="432">
        <f>GC!$F$11</f>
        <v>61.111086999999998</v>
      </c>
      <c r="M193" s="433">
        <f t="shared" si="10"/>
        <v>122.222174</v>
      </c>
      <c r="N193" s="249">
        <v>0</v>
      </c>
      <c r="O193" s="433">
        <f t="shared" si="11"/>
        <v>0</v>
      </c>
      <c r="P193" s="434">
        <v>0.16</v>
      </c>
      <c r="Q193" s="433">
        <f t="shared" si="12"/>
        <v>19.555547839999999</v>
      </c>
      <c r="R193" s="433">
        <f t="shared" si="13"/>
        <v>141.77772184</v>
      </c>
      <c r="S193" s="433">
        <f>INDEX('Glosario Partidas'!$M$8:$M$10,MATCH(K193,'Glosario Partidas'!$L$8:$L$10,0))</f>
        <v>17.5</v>
      </c>
      <c r="T193" s="433">
        <f t="shared" si="14"/>
        <v>2481.1101322</v>
      </c>
      <c r="U193" s="268"/>
      <c r="V193" s="249" t="s">
        <v>12</v>
      </c>
      <c r="W193" s="249" t="s">
        <v>491</v>
      </c>
      <c r="X193" s="249"/>
    </row>
    <row r="194" spans="1:24" ht="15" customHeight="1" x14ac:dyDescent="0.2">
      <c r="A194" s="268"/>
      <c r="B194" s="268" t="s">
        <v>108</v>
      </c>
      <c r="C194" s="268" t="s">
        <v>1088</v>
      </c>
      <c r="D194" s="431" t="str">
        <f>GC!$B$7</f>
        <v>Inodoro a piso de una pieza (Starck 3)</v>
      </c>
      <c r="E194" s="249" t="s">
        <v>220</v>
      </c>
      <c r="F194" s="268" t="s">
        <v>355</v>
      </c>
      <c r="G194" s="249" t="s">
        <v>757</v>
      </c>
      <c r="H194" s="249" t="s">
        <v>435</v>
      </c>
      <c r="I194" s="268" t="s">
        <v>410</v>
      </c>
      <c r="J194" s="249">
        <v>1</v>
      </c>
      <c r="K194" s="268" t="s">
        <v>153</v>
      </c>
      <c r="L194" s="432">
        <f>GC!$F$7</f>
        <v>667.07</v>
      </c>
      <c r="M194" s="433">
        <f t="shared" ref="M194:M257" si="15">J194*L194</f>
        <v>667.07</v>
      </c>
      <c r="N194" s="249">
        <v>0</v>
      </c>
      <c r="O194" s="433">
        <f t="shared" ref="O194:O257" si="16">M194*N194</f>
        <v>0</v>
      </c>
      <c r="P194" s="434">
        <v>0.16</v>
      </c>
      <c r="Q194" s="433">
        <f t="shared" ref="Q194:Q257" si="17">(M194+O194)*P194</f>
        <v>106.73120000000002</v>
      </c>
      <c r="R194" s="433">
        <f t="shared" ref="R194:R257" si="18">M194+O194+Q194</f>
        <v>773.80120000000011</v>
      </c>
      <c r="S194" s="433">
        <f>INDEX('Glosario Partidas'!$M$8:$M$10,MATCH(K194,'Glosario Partidas'!$L$8:$L$10,0))</f>
        <v>17.5</v>
      </c>
      <c r="T194" s="433">
        <f t="shared" ref="T194:T257" si="19">R194*S194</f>
        <v>13541.521000000002</v>
      </c>
      <c r="U194" s="268"/>
      <c r="V194" s="249" t="s">
        <v>12</v>
      </c>
      <c r="W194" s="249" t="s">
        <v>491</v>
      </c>
      <c r="X194" s="249"/>
    </row>
    <row r="195" spans="1:24" ht="15" customHeight="1" x14ac:dyDescent="0.2">
      <c r="A195" s="268"/>
      <c r="B195" s="268" t="s">
        <v>108</v>
      </c>
      <c r="C195" s="268" t="s">
        <v>1088</v>
      </c>
      <c r="D195" s="431" t="str">
        <f>GC!$B$8</f>
        <v>Monomando de lavabo con válvula automática</v>
      </c>
      <c r="E195" s="249" t="s">
        <v>220</v>
      </c>
      <c r="F195" s="268" t="s">
        <v>355</v>
      </c>
      <c r="G195" s="249" t="s">
        <v>757</v>
      </c>
      <c r="H195" s="249" t="s">
        <v>435</v>
      </c>
      <c r="I195" s="268" t="s">
        <v>410</v>
      </c>
      <c r="J195" s="249">
        <v>1</v>
      </c>
      <c r="K195" s="268" t="s">
        <v>153</v>
      </c>
      <c r="L195" s="432">
        <f>GC!$F$8</f>
        <v>975.99151900000004</v>
      </c>
      <c r="M195" s="433">
        <f t="shared" si="15"/>
        <v>975.99151900000004</v>
      </c>
      <c r="N195" s="249">
        <v>0</v>
      </c>
      <c r="O195" s="433">
        <f t="shared" si="16"/>
        <v>0</v>
      </c>
      <c r="P195" s="434">
        <v>0.16</v>
      </c>
      <c r="Q195" s="433">
        <f t="shared" si="17"/>
        <v>156.15864304000002</v>
      </c>
      <c r="R195" s="433">
        <f t="shared" si="18"/>
        <v>1132.1501620399999</v>
      </c>
      <c r="S195" s="433">
        <f>INDEX('Glosario Partidas'!$M$8:$M$10,MATCH(K195,'Glosario Partidas'!$L$8:$L$10,0))</f>
        <v>17.5</v>
      </c>
      <c r="T195" s="433">
        <f t="shared" si="19"/>
        <v>19812.627835699997</v>
      </c>
      <c r="U195" s="268"/>
      <c r="V195" s="249" t="s">
        <v>12</v>
      </c>
      <c r="W195" s="249" t="s">
        <v>491</v>
      </c>
      <c r="X195" s="249"/>
    </row>
    <row r="196" spans="1:24" ht="15" customHeight="1" x14ac:dyDescent="0.2">
      <c r="A196" s="268"/>
      <c r="B196" s="268" t="s">
        <v>108</v>
      </c>
      <c r="C196" s="268" t="s">
        <v>1088</v>
      </c>
      <c r="D196" s="431" t="str">
        <f>GC!$B$21</f>
        <v>Soporte para vidrio (SERIES SPECIFIC, XS-081077, Brushed Dark Platinum)</v>
      </c>
      <c r="E196" s="249" t="s">
        <v>220</v>
      </c>
      <c r="F196" s="268" t="s">
        <v>355</v>
      </c>
      <c r="G196" s="249" t="s">
        <v>757</v>
      </c>
      <c r="H196" s="249" t="s">
        <v>435</v>
      </c>
      <c r="I196" s="268" t="s">
        <v>410</v>
      </c>
      <c r="J196" s="249">
        <v>1</v>
      </c>
      <c r="K196" s="268" t="s">
        <v>153</v>
      </c>
      <c r="L196" s="432">
        <f>GC!$F$21</f>
        <v>281.02</v>
      </c>
      <c r="M196" s="433">
        <f t="shared" si="15"/>
        <v>281.02</v>
      </c>
      <c r="N196" s="249">
        <v>0</v>
      </c>
      <c r="O196" s="433">
        <f t="shared" si="16"/>
        <v>0</v>
      </c>
      <c r="P196" s="434">
        <v>0.16</v>
      </c>
      <c r="Q196" s="433">
        <f t="shared" si="17"/>
        <v>44.963200000000001</v>
      </c>
      <c r="R196" s="433">
        <f t="shared" si="18"/>
        <v>325.98320000000001</v>
      </c>
      <c r="S196" s="433">
        <f>INDEX('Glosario Partidas'!$M$8:$M$10,MATCH(K196,'Glosario Partidas'!$L$8:$L$10,0))</f>
        <v>17.5</v>
      </c>
      <c r="T196" s="433">
        <f t="shared" si="19"/>
        <v>5704.7060000000001</v>
      </c>
      <c r="U196" s="268" t="s">
        <v>1084</v>
      </c>
      <c r="V196" s="249" t="s">
        <v>12</v>
      </c>
      <c r="W196" s="249" t="s">
        <v>491</v>
      </c>
      <c r="X196" s="249"/>
    </row>
    <row r="197" spans="1:24" ht="15" customHeight="1" x14ac:dyDescent="0.2">
      <c r="A197" s="268"/>
      <c r="B197" s="268" t="s">
        <v>108</v>
      </c>
      <c r="C197" s="268" t="s">
        <v>1088</v>
      </c>
      <c r="D197" s="431" t="str">
        <f>GC!$B$12</f>
        <v>Set de ducha de mano con soporte de pared integrado</v>
      </c>
      <c r="E197" s="249" t="s">
        <v>220</v>
      </c>
      <c r="F197" s="268" t="s">
        <v>355</v>
      </c>
      <c r="G197" s="249" t="s">
        <v>757</v>
      </c>
      <c r="H197" s="249" t="s">
        <v>435</v>
      </c>
      <c r="I197" s="268" t="s">
        <v>410</v>
      </c>
      <c r="J197" s="249">
        <v>1</v>
      </c>
      <c r="K197" s="268" t="s">
        <v>153</v>
      </c>
      <c r="L197" s="432">
        <f>GC!$F$12</f>
        <v>325.25947400000001</v>
      </c>
      <c r="M197" s="433">
        <f t="shared" si="15"/>
        <v>325.25947400000001</v>
      </c>
      <c r="N197" s="249">
        <v>0</v>
      </c>
      <c r="O197" s="433">
        <f t="shared" si="16"/>
        <v>0</v>
      </c>
      <c r="P197" s="434">
        <v>0.16</v>
      </c>
      <c r="Q197" s="433">
        <f t="shared" si="17"/>
        <v>52.041515840000002</v>
      </c>
      <c r="R197" s="433">
        <f t="shared" si="18"/>
        <v>377.30098984</v>
      </c>
      <c r="S197" s="433">
        <f>INDEX('Glosario Partidas'!$M$8:$M$10,MATCH(K197,'Glosario Partidas'!$L$8:$L$10,0))</f>
        <v>17.5</v>
      </c>
      <c r="T197" s="433">
        <f t="shared" si="19"/>
        <v>6602.7673222000003</v>
      </c>
      <c r="U197" s="268"/>
      <c r="V197" s="249" t="s">
        <v>12</v>
      </c>
      <c r="W197" s="249" t="s">
        <v>491</v>
      </c>
      <c r="X197" s="249"/>
    </row>
    <row r="198" spans="1:24" ht="15" customHeight="1" x14ac:dyDescent="0.2">
      <c r="A198" s="268"/>
      <c r="B198" s="268" t="s">
        <v>108</v>
      </c>
      <c r="C198" s="268" t="s">
        <v>1088</v>
      </c>
      <c r="D198" s="431" t="str">
        <f>GC!$B$13</f>
        <v>Ducha efecto lluvia con fijación a pared 400 mm</v>
      </c>
      <c r="E198" s="249" t="s">
        <v>220</v>
      </c>
      <c r="F198" s="268" t="s">
        <v>355</v>
      </c>
      <c r="G198" s="249" t="s">
        <v>757</v>
      </c>
      <c r="H198" s="249" t="s">
        <v>435</v>
      </c>
      <c r="I198" s="268" t="s">
        <v>410</v>
      </c>
      <c r="J198" s="249">
        <v>1</v>
      </c>
      <c r="K198" s="268" t="s">
        <v>153</v>
      </c>
      <c r="L198" s="432">
        <f>GC!$F$13</f>
        <v>1807.197105</v>
      </c>
      <c r="M198" s="433">
        <f t="shared" si="15"/>
        <v>1807.197105</v>
      </c>
      <c r="N198" s="249">
        <v>0</v>
      </c>
      <c r="O198" s="433">
        <f t="shared" si="16"/>
        <v>0</v>
      </c>
      <c r="P198" s="434">
        <v>0.16</v>
      </c>
      <c r="Q198" s="433">
        <f t="shared" si="17"/>
        <v>289.15153679999997</v>
      </c>
      <c r="R198" s="433">
        <f t="shared" si="18"/>
        <v>2096.3486417999998</v>
      </c>
      <c r="S198" s="433">
        <f>INDEX('Glosario Partidas'!$M$8:$M$10,MATCH(K198,'Glosario Partidas'!$L$8:$L$10,0))</f>
        <v>17.5</v>
      </c>
      <c r="T198" s="433">
        <f t="shared" si="19"/>
        <v>36686.101231499997</v>
      </c>
      <c r="U198" s="268"/>
      <c r="V198" s="249" t="s">
        <v>12</v>
      </c>
      <c r="W198" s="249" t="s">
        <v>491</v>
      </c>
      <c r="X198" s="249"/>
    </row>
    <row r="199" spans="1:24" ht="15" customHeight="1" x14ac:dyDescent="0.2">
      <c r="A199" s="268"/>
      <c r="B199" s="268" t="s">
        <v>108</v>
      </c>
      <c r="C199" s="268" t="s">
        <v>1088</v>
      </c>
      <c r="D199" s="431" t="str">
        <f>GC!$B$22</f>
        <v>Canaleta de ducha para piedra natural TECE showerline (15201082)</v>
      </c>
      <c r="E199" s="249" t="s">
        <v>220</v>
      </c>
      <c r="F199" s="268" t="s">
        <v>355</v>
      </c>
      <c r="G199" s="249" t="s">
        <v>757</v>
      </c>
      <c r="H199" s="249" t="s">
        <v>435</v>
      </c>
      <c r="I199" s="268" t="s">
        <v>410</v>
      </c>
      <c r="J199" s="249">
        <v>1</v>
      </c>
      <c r="K199" s="268" t="s">
        <v>153</v>
      </c>
      <c r="L199" s="432">
        <f>GC!$F$22</f>
        <v>290.33763199999999</v>
      </c>
      <c r="M199" s="433">
        <f t="shared" si="15"/>
        <v>290.33763199999999</v>
      </c>
      <c r="N199" s="249">
        <v>0</v>
      </c>
      <c r="O199" s="433">
        <f t="shared" si="16"/>
        <v>0</v>
      </c>
      <c r="P199" s="434">
        <v>0.16</v>
      </c>
      <c r="Q199" s="433">
        <f t="shared" si="17"/>
        <v>46.45402112</v>
      </c>
      <c r="R199" s="433">
        <f t="shared" si="18"/>
        <v>336.79165311999998</v>
      </c>
      <c r="S199" s="433">
        <f>INDEX('Glosario Partidas'!$M$8:$M$10,MATCH(K199,'Glosario Partidas'!$L$8:$L$10,0))</f>
        <v>17.5</v>
      </c>
      <c r="T199" s="433">
        <f t="shared" si="19"/>
        <v>5893.8539295999999</v>
      </c>
      <c r="U199" s="268" t="s">
        <v>1085</v>
      </c>
      <c r="V199" s="249" t="s">
        <v>12</v>
      </c>
      <c r="W199" s="249" t="s">
        <v>491</v>
      </c>
      <c r="X199" s="249"/>
    </row>
    <row r="200" spans="1:24" ht="15" customHeight="1" x14ac:dyDescent="0.2">
      <c r="A200" s="268"/>
      <c r="B200" s="268" t="s">
        <v>108</v>
      </c>
      <c r="C200" s="268" t="s">
        <v>1088</v>
      </c>
      <c r="D200" s="431" t="str">
        <f>GC!$B$14</f>
        <v>Termostato oculto con control de volumen bidireccional</v>
      </c>
      <c r="E200" s="249" t="s">
        <v>220</v>
      </c>
      <c r="F200" s="268" t="s">
        <v>355</v>
      </c>
      <c r="G200" s="249" t="s">
        <v>757</v>
      </c>
      <c r="H200" s="249" t="s">
        <v>435</v>
      </c>
      <c r="I200" s="268" t="s">
        <v>410</v>
      </c>
      <c r="J200" s="249">
        <v>1</v>
      </c>
      <c r="K200" s="268" t="s">
        <v>153</v>
      </c>
      <c r="L200" s="432">
        <f>GC!$F$14</f>
        <v>350.19605300000001</v>
      </c>
      <c r="M200" s="433">
        <f t="shared" si="15"/>
        <v>350.19605300000001</v>
      </c>
      <c r="N200" s="249">
        <v>0</v>
      </c>
      <c r="O200" s="433">
        <f t="shared" si="16"/>
        <v>0</v>
      </c>
      <c r="P200" s="434">
        <v>0.16</v>
      </c>
      <c r="Q200" s="433">
        <f t="shared" si="17"/>
        <v>56.031368480000005</v>
      </c>
      <c r="R200" s="433">
        <f t="shared" si="18"/>
        <v>406.22742148000003</v>
      </c>
      <c r="S200" s="433">
        <f>INDEX('Glosario Partidas'!$M$8:$M$10,MATCH(K200,'Glosario Partidas'!$L$8:$L$10,0))</f>
        <v>17.5</v>
      </c>
      <c r="T200" s="433">
        <f t="shared" si="19"/>
        <v>7108.9798759000005</v>
      </c>
      <c r="U200" s="268"/>
      <c r="V200" s="249" t="s">
        <v>12</v>
      </c>
      <c r="W200" s="249" t="s">
        <v>491</v>
      </c>
      <c r="X200" s="249"/>
    </row>
    <row r="201" spans="1:24" ht="15" customHeight="1" x14ac:dyDescent="0.2">
      <c r="A201" s="268"/>
      <c r="B201" s="268" t="s">
        <v>108</v>
      </c>
      <c r="C201" s="268" t="s">
        <v>1088</v>
      </c>
      <c r="D201" s="431" t="str">
        <f>GC!$B$15</f>
        <v>Termostato empotrado (rough)</v>
      </c>
      <c r="E201" s="249" t="s">
        <v>220</v>
      </c>
      <c r="F201" s="268" t="s">
        <v>355</v>
      </c>
      <c r="G201" s="249" t="s">
        <v>757</v>
      </c>
      <c r="H201" s="249" t="s">
        <v>435</v>
      </c>
      <c r="I201" s="268" t="s">
        <v>410</v>
      </c>
      <c r="J201" s="249">
        <v>1</v>
      </c>
      <c r="K201" s="268" t="s">
        <v>153</v>
      </c>
      <c r="L201" s="432">
        <f>GC!$F$15</f>
        <v>313.33</v>
      </c>
      <c r="M201" s="433">
        <f t="shared" si="15"/>
        <v>313.33</v>
      </c>
      <c r="N201" s="249">
        <v>0</v>
      </c>
      <c r="O201" s="433">
        <f t="shared" si="16"/>
        <v>0</v>
      </c>
      <c r="P201" s="434">
        <v>0.16</v>
      </c>
      <c r="Q201" s="433">
        <f t="shared" si="17"/>
        <v>50.132799999999996</v>
      </c>
      <c r="R201" s="433">
        <f t="shared" si="18"/>
        <v>363.46279999999996</v>
      </c>
      <c r="S201" s="433">
        <f>INDEX('Glosario Partidas'!$M$8:$M$10,MATCH(K201,'Glosario Partidas'!$L$8:$L$10,0))</f>
        <v>17.5</v>
      </c>
      <c r="T201" s="433">
        <f t="shared" si="19"/>
        <v>6360.5989999999993</v>
      </c>
      <c r="U201" s="268"/>
      <c r="V201" s="249" t="s">
        <v>12</v>
      </c>
      <c r="W201" s="249" t="s">
        <v>491</v>
      </c>
      <c r="X201" s="249"/>
    </row>
    <row r="202" spans="1:24" ht="15" customHeight="1" x14ac:dyDescent="0.2">
      <c r="A202" s="268"/>
      <c r="B202" s="268" t="s">
        <v>108</v>
      </c>
      <c r="C202" s="268" t="s">
        <v>1088</v>
      </c>
      <c r="D202" s="431" t="str">
        <f>GC!$B$10</f>
        <v>Soporte para papel higiénico sin cubierta</v>
      </c>
      <c r="E202" s="249" t="s">
        <v>220</v>
      </c>
      <c r="F202" s="268" t="s">
        <v>355</v>
      </c>
      <c r="G202" s="249" t="s">
        <v>757</v>
      </c>
      <c r="H202" s="249" t="s">
        <v>435</v>
      </c>
      <c r="I202" s="268" t="s">
        <v>410</v>
      </c>
      <c r="J202" s="249">
        <v>1</v>
      </c>
      <c r="K202" s="268" t="s">
        <v>153</v>
      </c>
      <c r="L202" s="432">
        <f>GC!$F$10</f>
        <v>238.874348</v>
      </c>
      <c r="M202" s="433">
        <f t="shared" si="15"/>
        <v>238.874348</v>
      </c>
      <c r="N202" s="249">
        <v>0</v>
      </c>
      <c r="O202" s="433">
        <f t="shared" si="16"/>
        <v>0</v>
      </c>
      <c r="P202" s="434">
        <v>0.16</v>
      </c>
      <c r="Q202" s="433">
        <f t="shared" si="17"/>
        <v>38.21989568</v>
      </c>
      <c r="R202" s="433">
        <f t="shared" si="18"/>
        <v>277.09424367999998</v>
      </c>
      <c r="S202" s="433">
        <f>INDEX('Glosario Partidas'!$M$8:$M$10,MATCH(K202,'Glosario Partidas'!$L$8:$L$10,0))</f>
        <v>17.5</v>
      </c>
      <c r="T202" s="433">
        <f t="shared" si="19"/>
        <v>4849.1492644</v>
      </c>
      <c r="U202" s="268"/>
      <c r="V202" s="249" t="s">
        <v>12</v>
      </c>
      <c r="W202" s="249" t="s">
        <v>491</v>
      </c>
      <c r="X202" s="249"/>
    </row>
    <row r="203" spans="1:24" ht="15" customHeight="1" x14ac:dyDescent="0.2">
      <c r="A203" s="268"/>
      <c r="B203" s="268" t="s">
        <v>108</v>
      </c>
      <c r="C203" s="268" t="s">
        <v>1088</v>
      </c>
      <c r="D203" s="431" t="str">
        <f>GC!$B$9</f>
        <v>Barra de agarre / Toallero chico 45cm</v>
      </c>
      <c r="E203" s="249" t="s">
        <v>220</v>
      </c>
      <c r="F203" s="268" t="s">
        <v>355</v>
      </c>
      <c r="G203" s="249" t="s">
        <v>757</v>
      </c>
      <c r="H203" s="249" t="s">
        <v>435</v>
      </c>
      <c r="I203" s="268" t="s">
        <v>410</v>
      </c>
      <c r="J203" s="249">
        <v>1</v>
      </c>
      <c r="K203" s="268" t="s">
        <v>153</v>
      </c>
      <c r="L203" s="432">
        <f>GC!$F$9</f>
        <v>471.15</v>
      </c>
      <c r="M203" s="433">
        <f t="shared" si="15"/>
        <v>471.15</v>
      </c>
      <c r="N203" s="249">
        <v>0</v>
      </c>
      <c r="O203" s="433">
        <f t="shared" si="16"/>
        <v>0</v>
      </c>
      <c r="P203" s="434">
        <v>0.16</v>
      </c>
      <c r="Q203" s="433">
        <f t="shared" si="17"/>
        <v>75.384</v>
      </c>
      <c r="R203" s="433">
        <f t="shared" si="18"/>
        <v>546.53399999999999</v>
      </c>
      <c r="S203" s="433">
        <f>INDEX('Glosario Partidas'!$M$8:$M$10,MATCH(K203,'Glosario Partidas'!$L$8:$L$10,0))</f>
        <v>17.5</v>
      </c>
      <c r="T203" s="433">
        <f t="shared" si="19"/>
        <v>9564.3449999999993</v>
      </c>
      <c r="U203" s="268"/>
      <c r="V203" s="249" t="s">
        <v>12</v>
      </c>
      <c r="W203" s="249" t="s">
        <v>491</v>
      </c>
      <c r="X203" s="249"/>
    </row>
    <row r="204" spans="1:24" ht="15" customHeight="1" x14ac:dyDescent="0.2">
      <c r="A204" s="268"/>
      <c r="B204" s="268" t="s">
        <v>108</v>
      </c>
      <c r="C204" s="268" t="s">
        <v>1088</v>
      </c>
      <c r="D204" s="431" t="str">
        <f>GC!$B$11</f>
        <v>Gancho</v>
      </c>
      <c r="E204" s="249" t="s">
        <v>220</v>
      </c>
      <c r="F204" s="268" t="s">
        <v>355</v>
      </c>
      <c r="G204" s="249" t="s">
        <v>757</v>
      </c>
      <c r="H204" s="249" t="s">
        <v>435</v>
      </c>
      <c r="I204" s="268" t="s">
        <v>410</v>
      </c>
      <c r="J204" s="249">
        <v>2</v>
      </c>
      <c r="K204" s="268" t="s">
        <v>153</v>
      </c>
      <c r="L204" s="432">
        <f>GC!$F$11</f>
        <v>61.111086999999998</v>
      </c>
      <c r="M204" s="433">
        <f t="shared" si="15"/>
        <v>122.222174</v>
      </c>
      <c r="N204" s="249">
        <v>0</v>
      </c>
      <c r="O204" s="433">
        <f t="shared" si="16"/>
        <v>0</v>
      </c>
      <c r="P204" s="434">
        <v>0.16</v>
      </c>
      <c r="Q204" s="433">
        <f t="shared" si="17"/>
        <v>19.555547839999999</v>
      </c>
      <c r="R204" s="433">
        <f t="shared" si="18"/>
        <v>141.77772184</v>
      </c>
      <c r="S204" s="433">
        <f>INDEX('Glosario Partidas'!$M$8:$M$10,MATCH(K204,'Glosario Partidas'!$L$8:$L$10,0))</f>
        <v>17.5</v>
      </c>
      <c r="T204" s="433">
        <f t="shared" si="19"/>
        <v>2481.1101322</v>
      </c>
      <c r="U204" s="268"/>
      <c r="V204" s="249" t="s">
        <v>12</v>
      </c>
      <c r="W204" s="249" t="s">
        <v>491</v>
      </c>
      <c r="X204" s="249"/>
    </row>
    <row r="205" spans="1:24" ht="15" customHeight="1" x14ac:dyDescent="0.2">
      <c r="A205" s="268"/>
      <c r="B205" s="268" t="s">
        <v>108</v>
      </c>
      <c r="C205" s="268" t="s">
        <v>1088</v>
      </c>
      <c r="D205" s="431" t="str">
        <f>GC!$B$7</f>
        <v>Inodoro a piso de una pieza (Starck 3)</v>
      </c>
      <c r="E205" s="249" t="s">
        <v>220</v>
      </c>
      <c r="F205" s="268" t="s">
        <v>355</v>
      </c>
      <c r="G205" s="249" t="s">
        <v>765</v>
      </c>
      <c r="H205" s="249" t="s">
        <v>435</v>
      </c>
      <c r="I205" s="268" t="s">
        <v>410</v>
      </c>
      <c r="J205" s="249">
        <v>1</v>
      </c>
      <c r="K205" s="268" t="s">
        <v>153</v>
      </c>
      <c r="L205" s="432">
        <f>GC!$F$7</f>
        <v>667.07</v>
      </c>
      <c r="M205" s="433">
        <f t="shared" si="15"/>
        <v>667.07</v>
      </c>
      <c r="N205" s="249">
        <v>0</v>
      </c>
      <c r="O205" s="433">
        <f t="shared" si="16"/>
        <v>0</v>
      </c>
      <c r="P205" s="434">
        <v>0.16</v>
      </c>
      <c r="Q205" s="433">
        <f t="shared" si="17"/>
        <v>106.73120000000002</v>
      </c>
      <c r="R205" s="433">
        <f t="shared" si="18"/>
        <v>773.80120000000011</v>
      </c>
      <c r="S205" s="433">
        <f>INDEX('Glosario Partidas'!$M$8:$M$10,MATCH(K205,'Glosario Partidas'!$L$8:$L$10,0))</f>
        <v>17.5</v>
      </c>
      <c r="T205" s="433">
        <f t="shared" si="19"/>
        <v>13541.521000000002</v>
      </c>
      <c r="U205" s="268"/>
      <c r="V205" s="249" t="s">
        <v>12</v>
      </c>
      <c r="W205" s="249" t="s">
        <v>491</v>
      </c>
      <c r="X205" s="249"/>
    </row>
    <row r="206" spans="1:24" ht="15" customHeight="1" x14ac:dyDescent="0.2">
      <c r="A206" s="268"/>
      <c r="B206" s="268" t="s">
        <v>108</v>
      </c>
      <c r="C206" s="268" t="s">
        <v>1088</v>
      </c>
      <c r="D206" s="431" t="str">
        <f>GC!$B$8</f>
        <v>Monomando de lavabo con válvula automática</v>
      </c>
      <c r="E206" s="249" t="s">
        <v>220</v>
      </c>
      <c r="F206" s="268" t="s">
        <v>355</v>
      </c>
      <c r="G206" s="249" t="s">
        <v>765</v>
      </c>
      <c r="H206" s="249" t="s">
        <v>435</v>
      </c>
      <c r="I206" s="268" t="s">
        <v>410</v>
      </c>
      <c r="J206" s="249">
        <v>1</v>
      </c>
      <c r="K206" s="268" t="s">
        <v>153</v>
      </c>
      <c r="L206" s="432">
        <f>GC!$F$8</f>
        <v>975.99151900000004</v>
      </c>
      <c r="M206" s="433">
        <f t="shared" si="15"/>
        <v>975.99151900000004</v>
      </c>
      <c r="N206" s="249">
        <v>0</v>
      </c>
      <c r="O206" s="433">
        <f t="shared" si="16"/>
        <v>0</v>
      </c>
      <c r="P206" s="434">
        <v>0.16</v>
      </c>
      <c r="Q206" s="433">
        <f t="shared" si="17"/>
        <v>156.15864304000002</v>
      </c>
      <c r="R206" s="433">
        <f t="shared" si="18"/>
        <v>1132.1501620399999</v>
      </c>
      <c r="S206" s="433">
        <f>INDEX('Glosario Partidas'!$M$8:$M$10,MATCH(K206,'Glosario Partidas'!$L$8:$L$10,0))</f>
        <v>17.5</v>
      </c>
      <c r="T206" s="433">
        <f t="shared" si="19"/>
        <v>19812.627835699997</v>
      </c>
      <c r="U206" s="268"/>
      <c r="V206" s="249" t="s">
        <v>12</v>
      </c>
      <c r="W206" s="249" t="s">
        <v>491</v>
      </c>
      <c r="X206" s="249"/>
    </row>
    <row r="207" spans="1:24" ht="15" customHeight="1" x14ac:dyDescent="0.2">
      <c r="A207" s="268"/>
      <c r="B207" s="268" t="s">
        <v>108</v>
      </c>
      <c r="C207" s="268" t="s">
        <v>1088</v>
      </c>
      <c r="D207" s="431" t="str">
        <f>GC!$B$21</f>
        <v>Soporte para vidrio (SERIES SPECIFIC, XS-081077, Brushed Dark Platinum)</v>
      </c>
      <c r="E207" s="249" t="s">
        <v>220</v>
      </c>
      <c r="F207" s="268" t="s">
        <v>355</v>
      </c>
      <c r="G207" s="249" t="s">
        <v>765</v>
      </c>
      <c r="H207" s="249" t="s">
        <v>435</v>
      </c>
      <c r="I207" s="268" t="s">
        <v>410</v>
      </c>
      <c r="J207" s="249">
        <v>1</v>
      </c>
      <c r="K207" s="268" t="s">
        <v>153</v>
      </c>
      <c r="L207" s="432">
        <f>GC!$F$21</f>
        <v>281.02</v>
      </c>
      <c r="M207" s="433">
        <f t="shared" si="15"/>
        <v>281.02</v>
      </c>
      <c r="N207" s="249">
        <v>0</v>
      </c>
      <c r="O207" s="433">
        <f t="shared" si="16"/>
        <v>0</v>
      </c>
      <c r="P207" s="434">
        <v>0.16</v>
      </c>
      <c r="Q207" s="433">
        <f t="shared" si="17"/>
        <v>44.963200000000001</v>
      </c>
      <c r="R207" s="433">
        <f t="shared" si="18"/>
        <v>325.98320000000001</v>
      </c>
      <c r="S207" s="433">
        <f>INDEX('Glosario Partidas'!$M$8:$M$10,MATCH(K207,'Glosario Partidas'!$L$8:$L$10,0))</f>
        <v>17.5</v>
      </c>
      <c r="T207" s="433">
        <f t="shared" si="19"/>
        <v>5704.7060000000001</v>
      </c>
      <c r="U207" s="268" t="s">
        <v>1084</v>
      </c>
      <c r="V207" s="249" t="s">
        <v>12</v>
      </c>
      <c r="W207" s="249" t="s">
        <v>491</v>
      </c>
      <c r="X207" s="249"/>
    </row>
    <row r="208" spans="1:24" ht="15" customHeight="1" x14ac:dyDescent="0.2">
      <c r="A208" s="268"/>
      <c r="B208" s="268" t="s">
        <v>108</v>
      </c>
      <c r="C208" s="268" t="s">
        <v>1088</v>
      </c>
      <c r="D208" s="431" t="str">
        <f>GC!$B$12</f>
        <v>Set de ducha de mano con soporte de pared integrado</v>
      </c>
      <c r="E208" s="249" t="s">
        <v>220</v>
      </c>
      <c r="F208" s="268" t="s">
        <v>355</v>
      </c>
      <c r="G208" s="249" t="s">
        <v>765</v>
      </c>
      <c r="H208" s="249" t="s">
        <v>435</v>
      </c>
      <c r="I208" s="268" t="s">
        <v>410</v>
      </c>
      <c r="J208" s="249">
        <v>1</v>
      </c>
      <c r="K208" s="268" t="s">
        <v>153</v>
      </c>
      <c r="L208" s="432">
        <f>GC!$F$12</f>
        <v>325.25947400000001</v>
      </c>
      <c r="M208" s="433">
        <f t="shared" si="15"/>
        <v>325.25947400000001</v>
      </c>
      <c r="N208" s="249">
        <v>0</v>
      </c>
      <c r="O208" s="433">
        <f t="shared" si="16"/>
        <v>0</v>
      </c>
      <c r="P208" s="434">
        <v>0.16</v>
      </c>
      <c r="Q208" s="433">
        <f t="shared" si="17"/>
        <v>52.041515840000002</v>
      </c>
      <c r="R208" s="433">
        <f t="shared" si="18"/>
        <v>377.30098984</v>
      </c>
      <c r="S208" s="433">
        <f>INDEX('Glosario Partidas'!$M$8:$M$10,MATCH(K208,'Glosario Partidas'!$L$8:$L$10,0))</f>
        <v>17.5</v>
      </c>
      <c r="T208" s="433">
        <f t="shared" si="19"/>
        <v>6602.7673222000003</v>
      </c>
      <c r="U208" s="268"/>
      <c r="V208" s="249" t="s">
        <v>12</v>
      </c>
      <c r="W208" s="249" t="s">
        <v>491</v>
      </c>
      <c r="X208" s="249"/>
    </row>
    <row r="209" spans="1:24" ht="15" customHeight="1" x14ac:dyDescent="0.2">
      <c r="A209" s="268"/>
      <c r="B209" s="268" t="s">
        <v>108</v>
      </c>
      <c r="C209" s="268" t="s">
        <v>1088</v>
      </c>
      <c r="D209" s="431" t="str">
        <f>GC!$B$13</f>
        <v>Ducha efecto lluvia con fijación a pared 400 mm</v>
      </c>
      <c r="E209" s="249" t="s">
        <v>220</v>
      </c>
      <c r="F209" s="268" t="s">
        <v>355</v>
      </c>
      <c r="G209" s="249" t="s">
        <v>765</v>
      </c>
      <c r="H209" s="249" t="s">
        <v>435</v>
      </c>
      <c r="I209" s="268" t="s">
        <v>410</v>
      </c>
      <c r="J209" s="249">
        <v>1</v>
      </c>
      <c r="K209" s="268" t="s">
        <v>153</v>
      </c>
      <c r="L209" s="432">
        <f>GC!$F$13</f>
        <v>1807.197105</v>
      </c>
      <c r="M209" s="433">
        <f t="shared" si="15"/>
        <v>1807.197105</v>
      </c>
      <c r="N209" s="249">
        <v>0</v>
      </c>
      <c r="O209" s="433">
        <f t="shared" si="16"/>
        <v>0</v>
      </c>
      <c r="P209" s="434">
        <v>0.16</v>
      </c>
      <c r="Q209" s="433">
        <f t="shared" si="17"/>
        <v>289.15153679999997</v>
      </c>
      <c r="R209" s="433">
        <f t="shared" si="18"/>
        <v>2096.3486417999998</v>
      </c>
      <c r="S209" s="433">
        <f>INDEX('Glosario Partidas'!$M$8:$M$10,MATCH(K209,'Glosario Partidas'!$L$8:$L$10,0))</f>
        <v>17.5</v>
      </c>
      <c r="T209" s="433">
        <f t="shared" si="19"/>
        <v>36686.101231499997</v>
      </c>
      <c r="U209" s="268"/>
      <c r="V209" s="249" t="s">
        <v>12</v>
      </c>
      <c r="W209" s="249" t="s">
        <v>491</v>
      </c>
      <c r="X209" s="249"/>
    </row>
    <row r="210" spans="1:24" ht="15" customHeight="1" x14ac:dyDescent="0.2">
      <c r="A210" s="268"/>
      <c r="B210" s="268" t="s">
        <v>108</v>
      </c>
      <c r="C210" s="268" t="s">
        <v>1088</v>
      </c>
      <c r="D210" s="431" t="str">
        <f>GC!$B$22</f>
        <v>Canaleta de ducha para piedra natural TECE showerline (15201082)</v>
      </c>
      <c r="E210" s="249" t="s">
        <v>220</v>
      </c>
      <c r="F210" s="268" t="s">
        <v>355</v>
      </c>
      <c r="G210" s="249" t="s">
        <v>765</v>
      </c>
      <c r="H210" s="249" t="s">
        <v>435</v>
      </c>
      <c r="I210" s="268" t="s">
        <v>410</v>
      </c>
      <c r="J210" s="249">
        <v>1</v>
      </c>
      <c r="K210" s="268" t="s">
        <v>153</v>
      </c>
      <c r="L210" s="432">
        <f>GC!$F$22</f>
        <v>290.33763199999999</v>
      </c>
      <c r="M210" s="433">
        <f t="shared" si="15"/>
        <v>290.33763199999999</v>
      </c>
      <c r="N210" s="249">
        <v>0</v>
      </c>
      <c r="O210" s="433">
        <f t="shared" si="16"/>
        <v>0</v>
      </c>
      <c r="P210" s="434">
        <v>0.16</v>
      </c>
      <c r="Q210" s="433">
        <f t="shared" si="17"/>
        <v>46.45402112</v>
      </c>
      <c r="R210" s="433">
        <f t="shared" si="18"/>
        <v>336.79165311999998</v>
      </c>
      <c r="S210" s="433">
        <f>INDEX('Glosario Partidas'!$M$8:$M$10,MATCH(K210,'Glosario Partidas'!$L$8:$L$10,0))</f>
        <v>17.5</v>
      </c>
      <c r="T210" s="433">
        <f t="shared" si="19"/>
        <v>5893.8539295999999</v>
      </c>
      <c r="U210" s="268" t="s">
        <v>1085</v>
      </c>
      <c r="V210" s="249" t="s">
        <v>12</v>
      </c>
      <c r="W210" s="249" t="s">
        <v>491</v>
      </c>
      <c r="X210" s="249"/>
    </row>
    <row r="211" spans="1:24" ht="15" customHeight="1" x14ac:dyDescent="0.2">
      <c r="A211" s="268"/>
      <c r="B211" s="268" t="s">
        <v>108</v>
      </c>
      <c r="C211" s="268" t="s">
        <v>1088</v>
      </c>
      <c r="D211" s="431" t="str">
        <f>GC!$B$14</f>
        <v>Termostato oculto con control de volumen bidireccional</v>
      </c>
      <c r="E211" s="249" t="s">
        <v>220</v>
      </c>
      <c r="F211" s="268" t="s">
        <v>355</v>
      </c>
      <c r="G211" s="249" t="s">
        <v>765</v>
      </c>
      <c r="H211" s="249" t="s">
        <v>435</v>
      </c>
      <c r="I211" s="268" t="s">
        <v>410</v>
      </c>
      <c r="J211" s="249">
        <v>1</v>
      </c>
      <c r="K211" s="268" t="s">
        <v>153</v>
      </c>
      <c r="L211" s="432">
        <f>GC!$F$14</f>
        <v>350.19605300000001</v>
      </c>
      <c r="M211" s="433">
        <f t="shared" si="15"/>
        <v>350.19605300000001</v>
      </c>
      <c r="N211" s="249">
        <v>0</v>
      </c>
      <c r="O211" s="433">
        <f t="shared" si="16"/>
        <v>0</v>
      </c>
      <c r="P211" s="434">
        <v>0.16</v>
      </c>
      <c r="Q211" s="433">
        <f t="shared" si="17"/>
        <v>56.031368480000005</v>
      </c>
      <c r="R211" s="433">
        <f t="shared" si="18"/>
        <v>406.22742148000003</v>
      </c>
      <c r="S211" s="433">
        <f>INDEX('Glosario Partidas'!$M$8:$M$10,MATCH(K211,'Glosario Partidas'!$L$8:$L$10,0))</f>
        <v>17.5</v>
      </c>
      <c r="T211" s="433">
        <f t="shared" si="19"/>
        <v>7108.9798759000005</v>
      </c>
      <c r="U211" s="268"/>
      <c r="V211" s="249" t="s">
        <v>12</v>
      </c>
      <c r="W211" s="249" t="s">
        <v>491</v>
      </c>
      <c r="X211" s="249"/>
    </row>
    <row r="212" spans="1:24" ht="15" customHeight="1" x14ac:dyDescent="0.2">
      <c r="A212" s="268"/>
      <c r="B212" s="268" t="s">
        <v>108</v>
      </c>
      <c r="C212" s="268" t="s">
        <v>1088</v>
      </c>
      <c r="D212" s="431" t="str">
        <f>GC!$B$15</f>
        <v>Termostato empotrado (rough)</v>
      </c>
      <c r="E212" s="249" t="s">
        <v>220</v>
      </c>
      <c r="F212" s="268" t="s">
        <v>355</v>
      </c>
      <c r="G212" s="249" t="s">
        <v>765</v>
      </c>
      <c r="H212" s="249" t="s">
        <v>435</v>
      </c>
      <c r="I212" s="268" t="s">
        <v>410</v>
      </c>
      <c r="J212" s="249">
        <v>1</v>
      </c>
      <c r="K212" s="268" t="s">
        <v>153</v>
      </c>
      <c r="L212" s="432">
        <f>GC!$F$15</f>
        <v>313.33</v>
      </c>
      <c r="M212" s="433">
        <f t="shared" si="15"/>
        <v>313.33</v>
      </c>
      <c r="N212" s="249">
        <v>0</v>
      </c>
      <c r="O212" s="433">
        <f t="shared" si="16"/>
        <v>0</v>
      </c>
      <c r="P212" s="434">
        <v>0.16</v>
      </c>
      <c r="Q212" s="433">
        <f t="shared" si="17"/>
        <v>50.132799999999996</v>
      </c>
      <c r="R212" s="433">
        <f t="shared" si="18"/>
        <v>363.46279999999996</v>
      </c>
      <c r="S212" s="433">
        <f>INDEX('Glosario Partidas'!$M$8:$M$10,MATCH(K212,'Glosario Partidas'!$L$8:$L$10,0))</f>
        <v>17.5</v>
      </c>
      <c r="T212" s="433">
        <f t="shared" si="19"/>
        <v>6360.5989999999993</v>
      </c>
      <c r="U212" s="268"/>
      <c r="V212" s="249" t="s">
        <v>12</v>
      </c>
      <c r="W212" s="249" t="s">
        <v>491</v>
      </c>
      <c r="X212" s="249"/>
    </row>
    <row r="213" spans="1:24" ht="15" customHeight="1" x14ac:dyDescent="0.2">
      <c r="A213" s="268"/>
      <c r="B213" s="268" t="s">
        <v>108</v>
      </c>
      <c r="C213" s="268" t="s">
        <v>1088</v>
      </c>
      <c r="D213" s="431" t="str">
        <f>GC!$B$10</f>
        <v>Soporte para papel higiénico sin cubierta</v>
      </c>
      <c r="E213" s="249" t="s">
        <v>220</v>
      </c>
      <c r="F213" s="268" t="s">
        <v>355</v>
      </c>
      <c r="G213" s="249" t="s">
        <v>765</v>
      </c>
      <c r="H213" s="249" t="s">
        <v>435</v>
      </c>
      <c r="I213" s="268" t="s">
        <v>410</v>
      </c>
      <c r="J213" s="249">
        <v>1</v>
      </c>
      <c r="K213" s="268" t="s">
        <v>153</v>
      </c>
      <c r="L213" s="432">
        <f>GC!$F$10</f>
        <v>238.874348</v>
      </c>
      <c r="M213" s="433">
        <f t="shared" si="15"/>
        <v>238.874348</v>
      </c>
      <c r="N213" s="249">
        <v>0</v>
      </c>
      <c r="O213" s="433">
        <f t="shared" si="16"/>
        <v>0</v>
      </c>
      <c r="P213" s="434">
        <v>0.16</v>
      </c>
      <c r="Q213" s="433">
        <f t="shared" si="17"/>
        <v>38.21989568</v>
      </c>
      <c r="R213" s="433">
        <f t="shared" si="18"/>
        <v>277.09424367999998</v>
      </c>
      <c r="S213" s="433">
        <f>INDEX('Glosario Partidas'!$M$8:$M$10,MATCH(K213,'Glosario Partidas'!$L$8:$L$10,0))</f>
        <v>17.5</v>
      </c>
      <c r="T213" s="433">
        <f t="shared" si="19"/>
        <v>4849.1492644</v>
      </c>
      <c r="U213" s="268"/>
      <c r="V213" s="249" t="s">
        <v>12</v>
      </c>
      <c r="W213" s="249" t="s">
        <v>491</v>
      </c>
      <c r="X213" s="249"/>
    </row>
    <row r="214" spans="1:24" ht="15" customHeight="1" x14ac:dyDescent="0.2">
      <c r="A214" s="268"/>
      <c r="B214" s="268" t="s">
        <v>108</v>
      </c>
      <c r="C214" s="268" t="s">
        <v>1088</v>
      </c>
      <c r="D214" s="431" t="str">
        <f>GC!$B$9</f>
        <v>Barra de agarre / Toallero chico 45cm</v>
      </c>
      <c r="E214" s="249" t="s">
        <v>220</v>
      </c>
      <c r="F214" s="268" t="s">
        <v>355</v>
      </c>
      <c r="G214" s="249" t="s">
        <v>765</v>
      </c>
      <c r="H214" s="249" t="s">
        <v>435</v>
      </c>
      <c r="I214" s="268" t="s">
        <v>410</v>
      </c>
      <c r="J214" s="249">
        <v>1</v>
      </c>
      <c r="K214" s="268" t="s">
        <v>153</v>
      </c>
      <c r="L214" s="432">
        <f>GC!$F$9</f>
        <v>471.15</v>
      </c>
      <c r="M214" s="433">
        <f t="shared" si="15"/>
        <v>471.15</v>
      </c>
      <c r="N214" s="249">
        <v>0</v>
      </c>
      <c r="O214" s="433">
        <f t="shared" si="16"/>
        <v>0</v>
      </c>
      <c r="P214" s="434">
        <v>0.16</v>
      </c>
      <c r="Q214" s="433">
        <f t="shared" si="17"/>
        <v>75.384</v>
      </c>
      <c r="R214" s="433">
        <f t="shared" si="18"/>
        <v>546.53399999999999</v>
      </c>
      <c r="S214" s="433">
        <f>INDEX('Glosario Partidas'!$M$8:$M$10,MATCH(K214,'Glosario Partidas'!$L$8:$L$10,0))</f>
        <v>17.5</v>
      </c>
      <c r="T214" s="433">
        <f t="shared" si="19"/>
        <v>9564.3449999999993</v>
      </c>
      <c r="U214" s="268"/>
      <c r="V214" s="249" t="s">
        <v>12</v>
      </c>
      <c r="W214" s="249" t="s">
        <v>491</v>
      </c>
      <c r="X214" s="249"/>
    </row>
    <row r="215" spans="1:24" ht="15" customHeight="1" x14ac:dyDescent="0.2">
      <c r="A215" s="268"/>
      <c r="B215" s="268" t="s">
        <v>108</v>
      </c>
      <c r="C215" s="268" t="s">
        <v>1088</v>
      </c>
      <c r="D215" s="431" t="str">
        <f>GC!$B$11</f>
        <v>Gancho</v>
      </c>
      <c r="E215" s="249" t="s">
        <v>220</v>
      </c>
      <c r="F215" s="268" t="s">
        <v>355</v>
      </c>
      <c r="G215" s="249" t="s">
        <v>765</v>
      </c>
      <c r="H215" s="249" t="s">
        <v>435</v>
      </c>
      <c r="I215" s="268" t="s">
        <v>410</v>
      </c>
      <c r="J215" s="249">
        <v>2</v>
      </c>
      <c r="K215" s="268" t="s">
        <v>153</v>
      </c>
      <c r="L215" s="432">
        <f>GC!$F$11</f>
        <v>61.111086999999998</v>
      </c>
      <c r="M215" s="433">
        <f t="shared" si="15"/>
        <v>122.222174</v>
      </c>
      <c r="N215" s="249">
        <v>0</v>
      </c>
      <c r="O215" s="433">
        <f t="shared" si="16"/>
        <v>0</v>
      </c>
      <c r="P215" s="434">
        <v>0.16</v>
      </c>
      <c r="Q215" s="433">
        <f t="shared" si="17"/>
        <v>19.555547839999999</v>
      </c>
      <c r="R215" s="433">
        <f t="shared" si="18"/>
        <v>141.77772184</v>
      </c>
      <c r="S215" s="433">
        <f>INDEX('Glosario Partidas'!$M$8:$M$10,MATCH(K215,'Glosario Partidas'!$L$8:$L$10,0))</f>
        <v>17.5</v>
      </c>
      <c r="T215" s="433">
        <f t="shared" si="19"/>
        <v>2481.1101322</v>
      </c>
      <c r="U215" s="268"/>
      <c r="V215" s="249" t="s">
        <v>12</v>
      </c>
      <c r="W215" s="249" t="s">
        <v>491</v>
      </c>
      <c r="X215" s="249"/>
    </row>
    <row r="216" spans="1:24" ht="15" customHeight="1" x14ac:dyDescent="0.2">
      <c r="A216" s="268"/>
      <c r="B216" s="268" t="s">
        <v>108</v>
      </c>
      <c r="C216" s="268" t="s">
        <v>470</v>
      </c>
      <c r="D216" s="431" t="str">
        <f>GC!$B$7</f>
        <v>Inodoro a piso de una pieza (Starck 3)</v>
      </c>
      <c r="E216" s="249" t="s">
        <v>220</v>
      </c>
      <c r="F216" s="268" t="s">
        <v>221</v>
      </c>
      <c r="G216" s="249" t="s">
        <v>700</v>
      </c>
      <c r="H216" s="249" t="s">
        <v>435</v>
      </c>
      <c r="I216" s="268" t="s">
        <v>410</v>
      </c>
      <c r="J216" s="249">
        <v>1</v>
      </c>
      <c r="K216" s="268" t="s">
        <v>153</v>
      </c>
      <c r="L216" s="432">
        <f>GC!$F$7</f>
        <v>667.07</v>
      </c>
      <c r="M216" s="433">
        <f t="shared" si="15"/>
        <v>667.07</v>
      </c>
      <c r="N216" s="249">
        <v>0</v>
      </c>
      <c r="O216" s="433">
        <f t="shared" si="16"/>
        <v>0</v>
      </c>
      <c r="P216" s="434">
        <v>0.16</v>
      </c>
      <c r="Q216" s="433">
        <f t="shared" si="17"/>
        <v>106.73120000000002</v>
      </c>
      <c r="R216" s="433">
        <f t="shared" si="18"/>
        <v>773.80120000000011</v>
      </c>
      <c r="S216" s="433">
        <f>INDEX('Glosario Partidas'!$M$8:$M$10,MATCH(K216,'Glosario Partidas'!$L$8:$L$10,0))</f>
        <v>17.5</v>
      </c>
      <c r="T216" s="433">
        <f t="shared" si="19"/>
        <v>13541.521000000002</v>
      </c>
      <c r="U216" s="268"/>
      <c r="V216" s="249" t="s">
        <v>12</v>
      </c>
      <c r="W216" s="249" t="s">
        <v>491</v>
      </c>
      <c r="X216" s="249"/>
    </row>
    <row r="217" spans="1:24" ht="15" customHeight="1" x14ac:dyDescent="0.2">
      <c r="A217" s="268"/>
      <c r="B217" s="268" t="s">
        <v>108</v>
      </c>
      <c r="C217" s="268" t="s">
        <v>470</v>
      </c>
      <c r="D217" s="431" t="str">
        <f>GC!$B$8</f>
        <v>Monomando de lavabo con válvula automática</v>
      </c>
      <c r="E217" s="249" t="s">
        <v>220</v>
      </c>
      <c r="F217" s="268" t="s">
        <v>221</v>
      </c>
      <c r="G217" s="249" t="s">
        <v>700</v>
      </c>
      <c r="H217" s="249" t="s">
        <v>435</v>
      </c>
      <c r="I217" s="268" t="s">
        <v>410</v>
      </c>
      <c r="J217" s="249">
        <v>1</v>
      </c>
      <c r="K217" s="268" t="s">
        <v>153</v>
      </c>
      <c r="L217" s="432">
        <f>GC!$F$8</f>
        <v>975.99151900000004</v>
      </c>
      <c r="M217" s="433">
        <f t="shared" si="15"/>
        <v>975.99151900000004</v>
      </c>
      <c r="N217" s="249">
        <v>0</v>
      </c>
      <c r="O217" s="433">
        <f t="shared" si="16"/>
        <v>0</v>
      </c>
      <c r="P217" s="434">
        <v>0.16</v>
      </c>
      <c r="Q217" s="433">
        <f t="shared" si="17"/>
        <v>156.15864304000002</v>
      </c>
      <c r="R217" s="433">
        <f t="shared" si="18"/>
        <v>1132.1501620399999</v>
      </c>
      <c r="S217" s="433">
        <f>INDEX('Glosario Partidas'!$M$8:$M$10,MATCH(K217,'Glosario Partidas'!$L$8:$L$10,0))</f>
        <v>17.5</v>
      </c>
      <c r="T217" s="433">
        <f t="shared" si="19"/>
        <v>19812.627835699997</v>
      </c>
      <c r="U217" s="268"/>
      <c r="V217" s="249" t="s">
        <v>12</v>
      </c>
      <c r="W217" s="249" t="s">
        <v>491</v>
      </c>
      <c r="X217" s="249"/>
    </row>
    <row r="218" spans="1:24" ht="15" customHeight="1" x14ac:dyDescent="0.2">
      <c r="A218" s="268"/>
      <c r="B218" s="268" t="s">
        <v>108</v>
      </c>
      <c r="C218" s="268" t="s">
        <v>470</v>
      </c>
      <c r="D218" s="431" t="str">
        <f>GC!$B$21</f>
        <v>Soporte para vidrio (SERIES SPECIFIC, XS-081077, Brushed Dark Platinum)</v>
      </c>
      <c r="E218" s="249" t="s">
        <v>220</v>
      </c>
      <c r="F218" s="268" t="s">
        <v>221</v>
      </c>
      <c r="G218" s="249" t="s">
        <v>700</v>
      </c>
      <c r="H218" s="249" t="s">
        <v>435</v>
      </c>
      <c r="I218" s="268" t="s">
        <v>410</v>
      </c>
      <c r="J218" s="249">
        <v>1</v>
      </c>
      <c r="K218" s="268" t="s">
        <v>153</v>
      </c>
      <c r="L218" s="432">
        <f>GC!$F$21</f>
        <v>281.02</v>
      </c>
      <c r="M218" s="433">
        <f t="shared" si="15"/>
        <v>281.02</v>
      </c>
      <c r="N218" s="249">
        <v>0</v>
      </c>
      <c r="O218" s="433">
        <f t="shared" si="16"/>
        <v>0</v>
      </c>
      <c r="P218" s="434">
        <v>0.16</v>
      </c>
      <c r="Q218" s="433">
        <f t="shared" si="17"/>
        <v>44.963200000000001</v>
      </c>
      <c r="R218" s="433">
        <f t="shared" si="18"/>
        <v>325.98320000000001</v>
      </c>
      <c r="S218" s="433">
        <f>INDEX('Glosario Partidas'!$M$8:$M$10,MATCH(K218,'Glosario Partidas'!$L$8:$L$10,0))</f>
        <v>17.5</v>
      </c>
      <c r="T218" s="433">
        <f t="shared" si="19"/>
        <v>5704.7060000000001</v>
      </c>
      <c r="U218" s="268" t="s">
        <v>1084</v>
      </c>
      <c r="V218" s="249" t="s">
        <v>12</v>
      </c>
      <c r="W218" s="249" t="s">
        <v>491</v>
      </c>
      <c r="X218" s="249"/>
    </row>
    <row r="219" spans="1:24" ht="15" customHeight="1" x14ac:dyDescent="0.2">
      <c r="A219" s="268"/>
      <c r="B219" s="268" t="s">
        <v>108</v>
      </c>
      <c r="C219" s="268" t="s">
        <v>470</v>
      </c>
      <c r="D219" s="431" t="str">
        <f>GC!$B$10</f>
        <v>Soporte para papel higiénico sin cubierta</v>
      </c>
      <c r="E219" s="249" t="s">
        <v>220</v>
      </c>
      <c r="F219" s="268" t="s">
        <v>221</v>
      </c>
      <c r="G219" s="249" t="s">
        <v>700</v>
      </c>
      <c r="H219" s="249" t="s">
        <v>435</v>
      </c>
      <c r="I219" s="268" t="s">
        <v>410</v>
      </c>
      <c r="J219" s="249">
        <v>1</v>
      </c>
      <c r="K219" s="268" t="s">
        <v>153</v>
      </c>
      <c r="L219" s="432">
        <f>GC!$F$10</f>
        <v>238.874348</v>
      </c>
      <c r="M219" s="433">
        <f t="shared" si="15"/>
        <v>238.874348</v>
      </c>
      <c r="N219" s="249">
        <v>0</v>
      </c>
      <c r="O219" s="433">
        <f t="shared" si="16"/>
        <v>0</v>
      </c>
      <c r="P219" s="434">
        <v>0.16</v>
      </c>
      <c r="Q219" s="433">
        <f t="shared" si="17"/>
        <v>38.21989568</v>
      </c>
      <c r="R219" s="433">
        <f t="shared" si="18"/>
        <v>277.09424367999998</v>
      </c>
      <c r="S219" s="433">
        <f>INDEX('Glosario Partidas'!$M$8:$M$10,MATCH(K219,'Glosario Partidas'!$L$8:$L$10,0))</f>
        <v>17.5</v>
      </c>
      <c r="T219" s="433">
        <f t="shared" si="19"/>
        <v>4849.1492644</v>
      </c>
      <c r="U219" s="268"/>
      <c r="V219" s="249" t="s">
        <v>12</v>
      </c>
      <c r="W219" s="249" t="s">
        <v>491</v>
      </c>
      <c r="X219" s="249"/>
    </row>
    <row r="220" spans="1:24" ht="15" customHeight="1" x14ac:dyDescent="0.2">
      <c r="A220" s="268"/>
      <c r="B220" s="268" t="s">
        <v>108</v>
      </c>
      <c r="C220" s="268" t="s">
        <v>470</v>
      </c>
      <c r="D220" s="431" t="str">
        <f>GC!$B$9</f>
        <v>Barra de agarre / Toallero chico 45cm</v>
      </c>
      <c r="E220" s="249" t="s">
        <v>220</v>
      </c>
      <c r="F220" s="268" t="s">
        <v>221</v>
      </c>
      <c r="G220" s="249" t="s">
        <v>700</v>
      </c>
      <c r="H220" s="249" t="s">
        <v>435</v>
      </c>
      <c r="I220" s="268" t="s">
        <v>410</v>
      </c>
      <c r="J220" s="249">
        <v>1</v>
      </c>
      <c r="K220" s="268" t="s">
        <v>153</v>
      </c>
      <c r="L220" s="432">
        <f>GC!$F$9</f>
        <v>471.15</v>
      </c>
      <c r="M220" s="433">
        <f t="shared" si="15"/>
        <v>471.15</v>
      </c>
      <c r="N220" s="249">
        <v>0</v>
      </c>
      <c r="O220" s="433">
        <f t="shared" si="16"/>
        <v>0</v>
      </c>
      <c r="P220" s="434">
        <v>0.16</v>
      </c>
      <c r="Q220" s="433">
        <f t="shared" si="17"/>
        <v>75.384</v>
      </c>
      <c r="R220" s="433">
        <f t="shared" si="18"/>
        <v>546.53399999999999</v>
      </c>
      <c r="S220" s="433">
        <f>INDEX('Glosario Partidas'!$M$8:$M$10,MATCH(K220,'Glosario Partidas'!$L$8:$L$10,0))</f>
        <v>17.5</v>
      </c>
      <c r="T220" s="433">
        <f t="shared" si="19"/>
        <v>9564.3449999999993</v>
      </c>
      <c r="U220" s="268"/>
      <c r="V220" s="249" t="s">
        <v>12</v>
      </c>
      <c r="W220" s="249" t="s">
        <v>491</v>
      </c>
      <c r="X220" s="249"/>
    </row>
    <row r="221" spans="1:24" ht="15" customHeight="1" x14ac:dyDescent="0.2">
      <c r="A221" s="268"/>
      <c r="B221" s="268" t="s">
        <v>108</v>
      </c>
      <c r="C221" s="268" t="s">
        <v>470</v>
      </c>
      <c r="D221" s="431" t="str">
        <f>GC!$B$7</f>
        <v>Inodoro a piso de una pieza (Starck 3)</v>
      </c>
      <c r="E221" s="249" t="s">
        <v>220</v>
      </c>
      <c r="F221" s="268" t="s">
        <v>354</v>
      </c>
      <c r="G221" s="249" t="s">
        <v>706</v>
      </c>
      <c r="H221" s="249" t="s">
        <v>435</v>
      </c>
      <c r="I221" s="268" t="s">
        <v>410</v>
      </c>
      <c r="J221" s="249">
        <v>1</v>
      </c>
      <c r="K221" s="268" t="s">
        <v>153</v>
      </c>
      <c r="L221" s="432">
        <f>GC!$F$7</f>
        <v>667.07</v>
      </c>
      <c r="M221" s="433">
        <f t="shared" si="15"/>
        <v>667.07</v>
      </c>
      <c r="N221" s="249">
        <v>0</v>
      </c>
      <c r="O221" s="433">
        <f t="shared" si="16"/>
        <v>0</v>
      </c>
      <c r="P221" s="434">
        <v>0.16</v>
      </c>
      <c r="Q221" s="433">
        <f t="shared" si="17"/>
        <v>106.73120000000002</v>
      </c>
      <c r="R221" s="433">
        <f t="shared" si="18"/>
        <v>773.80120000000011</v>
      </c>
      <c r="S221" s="433">
        <f>INDEX('Glosario Partidas'!$M$8:$M$10,MATCH(K221,'Glosario Partidas'!$L$8:$L$10,0))</f>
        <v>17.5</v>
      </c>
      <c r="T221" s="433">
        <f t="shared" si="19"/>
        <v>13541.521000000002</v>
      </c>
      <c r="U221" s="268"/>
      <c r="V221" s="249" t="s">
        <v>12</v>
      </c>
      <c r="W221" s="249" t="s">
        <v>491</v>
      </c>
      <c r="X221" s="249"/>
    </row>
    <row r="222" spans="1:24" ht="15" customHeight="1" x14ac:dyDescent="0.2">
      <c r="A222" s="268"/>
      <c r="B222" s="268" t="s">
        <v>108</v>
      </c>
      <c r="C222" s="268" t="s">
        <v>470</v>
      </c>
      <c r="D222" s="431" t="str">
        <f>GC!$B$8</f>
        <v>Monomando de lavabo con válvula automática</v>
      </c>
      <c r="E222" s="249" t="s">
        <v>220</v>
      </c>
      <c r="F222" s="268" t="s">
        <v>354</v>
      </c>
      <c r="G222" s="249" t="s">
        <v>706</v>
      </c>
      <c r="H222" s="249" t="s">
        <v>435</v>
      </c>
      <c r="I222" s="268" t="s">
        <v>410</v>
      </c>
      <c r="J222" s="249">
        <v>1</v>
      </c>
      <c r="K222" s="268" t="s">
        <v>153</v>
      </c>
      <c r="L222" s="432">
        <f>GC!$F$8</f>
        <v>975.99151900000004</v>
      </c>
      <c r="M222" s="433">
        <f t="shared" si="15"/>
        <v>975.99151900000004</v>
      </c>
      <c r="N222" s="249">
        <v>0</v>
      </c>
      <c r="O222" s="433">
        <f t="shared" si="16"/>
        <v>0</v>
      </c>
      <c r="P222" s="434">
        <v>0.16</v>
      </c>
      <c r="Q222" s="433">
        <f t="shared" si="17"/>
        <v>156.15864304000002</v>
      </c>
      <c r="R222" s="433">
        <f t="shared" si="18"/>
        <v>1132.1501620399999</v>
      </c>
      <c r="S222" s="433">
        <f>INDEX('Glosario Partidas'!$M$8:$M$10,MATCH(K222,'Glosario Partidas'!$L$8:$L$10,0))</f>
        <v>17.5</v>
      </c>
      <c r="T222" s="433">
        <f t="shared" si="19"/>
        <v>19812.627835699997</v>
      </c>
      <c r="U222" s="268"/>
      <c r="V222" s="249" t="s">
        <v>12</v>
      </c>
      <c r="W222" s="249" t="s">
        <v>491</v>
      </c>
      <c r="X222" s="249"/>
    </row>
    <row r="223" spans="1:24" ht="15" customHeight="1" x14ac:dyDescent="0.2">
      <c r="A223" s="268"/>
      <c r="B223" s="268" t="s">
        <v>108</v>
      </c>
      <c r="C223" s="268" t="s">
        <v>470</v>
      </c>
      <c r="D223" s="431" t="str">
        <f>GC!$B$21</f>
        <v>Soporte para vidrio (SERIES SPECIFIC, XS-081077, Brushed Dark Platinum)</v>
      </c>
      <c r="E223" s="249" t="s">
        <v>220</v>
      </c>
      <c r="F223" s="268" t="s">
        <v>354</v>
      </c>
      <c r="G223" s="249" t="s">
        <v>706</v>
      </c>
      <c r="H223" s="249" t="s">
        <v>435</v>
      </c>
      <c r="I223" s="268" t="s">
        <v>410</v>
      </c>
      <c r="J223" s="249">
        <v>1</v>
      </c>
      <c r="K223" s="268" t="s">
        <v>153</v>
      </c>
      <c r="L223" s="432">
        <f>GC!$F$21</f>
        <v>281.02</v>
      </c>
      <c r="M223" s="433">
        <f t="shared" si="15"/>
        <v>281.02</v>
      </c>
      <c r="N223" s="249">
        <v>0</v>
      </c>
      <c r="O223" s="433">
        <f t="shared" si="16"/>
        <v>0</v>
      </c>
      <c r="P223" s="434">
        <v>0.16</v>
      </c>
      <c r="Q223" s="433">
        <f t="shared" si="17"/>
        <v>44.963200000000001</v>
      </c>
      <c r="R223" s="433">
        <f t="shared" si="18"/>
        <v>325.98320000000001</v>
      </c>
      <c r="S223" s="433">
        <f>INDEX('Glosario Partidas'!$M$8:$M$10,MATCH(K223,'Glosario Partidas'!$L$8:$L$10,0))</f>
        <v>17.5</v>
      </c>
      <c r="T223" s="433">
        <f t="shared" si="19"/>
        <v>5704.7060000000001</v>
      </c>
      <c r="U223" s="268" t="s">
        <v>1084</v>
      </c>
      <c r="V223" s="249" t="s">
        <v>12</v>
      </c>
      <c r="W223" s="249" t="s">
        <v>491</v>
      </c>
      <c r="X223" s="249"/>
    </row>
    <row r="224" spans="1:24" ht="15" customHeight="1" x14ac:dyDescent="0.2">
      <c r="A224" s="268"/>
      <c r="B224" s="268" t="s">
        <v>108</v>
      </c>
      <c r="C224" s="268" t="s">
        <v>470</v>
      </c>
      <c r="D224" s="431" t="str">
        <f>GC!$B$10</f>
        <v>Soporte para papel higiénico sin cubierta</v>
      </c>
      <c r="E224" s="249" t="s">
        <v>220</v>
      </c>
      <c r="F224" s="268" t="s">
        <v>354</v>
      </c>
      <c r="G224" s="249" t="s">
        <v>706</v>
      </c>
      <c r="H224" s="249" t="s">
        <v>435</v>
      </c>
      <c r="I224" s="268" t="s">
        <v>410</v>
      </c>
      <c r="J224" s="249">
        <v>1</v>
      </c>
      <c r="K224" s="268" t="s">
        <v>153</v>
      </c>
      <c r="L224" s="432">
        <f>GC!$F$10</f>
        <v>238.874348</v>
      </c>
      <c r="M224" s="433">
        <f t="shared" si="15"/>
        <v>238.874348</v>
      </c>
      <c r="N224" s="249">
        <v>0</v>
      </c>
      <c r="O224" s="433">
        <f t="shared" si="16"/>
        <v>0</v>
      </c>
      <c r="P224" s="434">
        <v>0.16</v>
      </c>
      <c r="Q224" s="433">
        <f t="shared" si="17"/>
        <v>38.21989568</v>
      </c>
      <c r="R224" s="433">
        <f t="shared" si="18"/>
        <v>277.09424367999998</v>
      </c>
      <c r="S224" s="433">
        <f>INDEX('Glosario Partidas'!$M$8:$M$10,MATCH(K224,'Glosario Partidas'!$L$8:$L$10,0))</f>
        <v>17.5</v>
      </c>
      <c r="T224" s="433">
        <f t="shared" si="19"/>
        <v>4849.1492644</v>
      </c>
      <c r="U224" s="268"/>
      <c r="V224" s="249" t="s">
        <v>12</v>
      </c>
      <c r="W224" s="249" t="s">
        <v>491</v>
      </c>
      <c r="X224" s="249"/>
    </row>
    <row r="225" spans="1:24" ht="15" customHeight="1" x14ac:dyDescent="0.2">
      <c r="A225" s="268"/>
      <c r="B225" s="268" t="s">
        <v>108</v>
      </c>
      <c r="C225" s="268" t="s">
        <v>470</v>
      </c>
      <c r="D225" s="431" t="str">
        <f>GC!$B$9</f>
        <v>Barra de agarre / Toallero chico 45cm</v>
      </c>
      <c r="E225" s="249" t="s">
        <v>220</v>
      </c>
      <c r="F225" s="268" t="s">
        <v>354</v>
      </c>
      <c r="G225" s="249" t="s">
        <v>706</v>
      </c>
      <c r="H225" s="249" t="s">
        <v>435</v>
      </c>
      <c r="I225" s="268" t="s">
        <v>410</v>
      </c>
      <c r="J225" s="249">
        <v>1</v>
      </c>
      <c r="K225" s="268" t="s">
        <v>153</v>
      </c>
      <c r="L225" s="432">
        <f>GC!$F$9</f>
        <v>471.15</v>
      </c>
      <c r="M225" s="433">
        <f t="shared" si="15"/>
        <v>471.15</v>
      </c>
      <c r="N225" s="249">
        <v>0</v>
      </c>
      <c r="O225" s="433">
        <f t="shared" si="16"/>
        <v>0</v>
      </c>
      <c r="P225" s="434">
        <v>0.16</v>
      </c>
      <c r="Q225" s="433">
        <f t="shared" si="17"/>
        <v>75.384</v>
      </c>
      <c r="R225" s="433">
        <f t="shared" si="18"/>
        <v>546.53399999999999</v>
      </c>
      <c r="S225" s="433">
        <f>INDEX('Glosario Partidas'!$M$8:$M$10,MATCH(K225,'Glosario Partidas'!$L$8:$L$10,0))</f>
        <v>17.5</v>
      </c>
      <c r="T225" s="433">
        <f t="shared" si="19"/>
        <v>9564.3449999999993</v>
      </c>
      <c r="U225" s="268"/>
      <c r="V225" s="249" t="s">
        <v>12</v>
      </c>
      <c r="W225" s="249" t="s">
        <v>491</v>
      </c>
      <c r="X225" s="249"/>
    </row>
    <row r="226" spans="1:24" ht="15" customHeight="1" x14ac:dyDescent="0.2">
      <c r="A226" s="268"/>
      <c r="B226" s="268" t="s">
        <v>108</v>
      </c>
      <c r="C226" s="268" t="s">
        <v>470</v>
      </c>
      <c r="D226" s="431" t="str">
        <f>GC!$B$7</f>
        <v>Inodoro a piso de una pieza (Starck 3)</v>
      </c>
      <c r="E226" s="249" t="s">
        <v>220</v>
      </c>
      <c r="F226" s="268" t="s">
        <v>221</v>
      </c>
      <c r="G226" s="249" t="s">
        <v>703</v>
      </c>
      <c r="H226" s="249" t="s">
        <v>435</v>
      </c>
      <c r="I226" s="268" t="s">
        <v>410</v>
      </c>
      <c r="J226" s="249">
        <v>1</v>
      </c>
      <c r="K226" s="268" t="s">
        <v>153</v>
      </c>
      <c r="L226" s="432">
        <f>GC!$F$7</f>
        <v>667.07</v>
      </c>
      <c r="M226" s="433">
        <f t="shared" si="15"/>
        <v>667.07</v>
      </c>
      <c r="N226" s="249">
        <v>0</v>
      </c>
      <c r="O226" s="433">
        <f t="shared" si="16"/>
        <v>0</v>
      </c>
      <c r="P226" s="434">
        <v>0.16</v>
      </c>
      <c r="Q226" s="433">
        <f t="shared" si="17"/>
        <v>106.73120000000002</v>
      </c>
      <c r="R226" s="433">
        <f t="shared" si="18"/>
        <v>773.80120000000011</v>
      </c>
      <c r="S226" s="433">
        <f>INDEX('Glosario Partidas'!$M$8:$M$10,MATCH(K226,'Glosario Partidas'!$L$8:$L$10,0))</f>
        <v>17.5</v>
      </c>
      <c r="T226" s="433">
        <f t="shared" si="19"/>
        <v>13541.521000000002</v>
      </c>
      <c r="U226" s="268"/>
      <c r="V226" s="249" t="s">
        <v>12</v>
      </c>
      <c r="W226" s="249" t="s">
        <v>491</v>
      </c>
      <c r="X226" s="249"/>
    </row>
    <row r="227" spans="1:24" ht="15" customHeight="1" x14ac:dyDescent="0.2">
      <c r="A227" s="268"/>
      <c r="B227" s="268" t="s">
        <v>108</v>
      </c>
      <c r="C227" s="268" t="s">
        <v>470</v>
      </c>
      <c r="D227" s="431" t="str">
        <f>GC!$B$8</f>
        <v>Monomando de lavabo con válvula automática</v>
      </c>
      <c r="E227" s="249" t="s">
        <v>220</v>
      </c>
      <c r="F227" s="268" t="s">
        <v>221</v>
      </c>
      <c r="G227" s="249" t="s">
        <v>703</v>
      </c>
      <c r="H227" s="249" t="s">
        <v>435</v>
      </c>
      <c r="I227" s="268" t="s">
        <v>410</v>
      </c>
      <c r="J227" s="249">
        <v>1</v>
      </c>
      <c r="K227" s="268" t="s">
        <v>153</v>
      </c>
      <c r="L227" s="432">
        <f>GC!$F$8</f>
        <v>975.99151900000004</v>
      </c>
      <c r="M227" s="433">
        <f t="shared" si="15"/>
        <v>975.99151900000004</v>
      </c>
      <c r="N227" s="249">
        <v>0</v>
      </c>
      <c r="O227" s="433">
        <f t="shared" si="16"/>
        <v>0</v>
      </c>
      <c r="P227" s="434">
        <v>0.16</v>
      </c>
      <c r="Q227" s="433">
        <f t="shared" si="17"/>
        <v>156.15864304000002</v>
      </c>
      <c r="R227" s="433">
        <f t="shared" si="18"/>
        <v>1132.1501620399999</v>
      </c>
      <c r="S227" s="433">
        <f>INDEX('Glosario Partidas'!$M$8:$M$10,MATCH(K227,'Glosario Partidas'!$L$8:$L$10,0))</f>
        <v>17.5</v>
      </c>
      <c r="T227" s="433">
        <f t="shared" si="19"/>
        <v>19812.627835699997</v>
      </c>
      <c r="U227" s="268"/>
      <c r="V227" s="249" t="s">
        <v>12</v>
      </c>
      <c r="W227" s="249" t="s">
        <v>491</v>
      </c>
      <c r="X227" s="249"/>
    </row>
    <row r="228" spans="1:24" ht="15" customHeight="1" x14ac:dyDescent="0.2">
      <c r="A228" s="268"/>
      <c r="B228" s="268" t="s">
        <v>108</v>
      </c>
      <c r="C228" s="268" t="s">
        <v>470</v>
      </c>
      <c r="D228" s="431" t="str">
        <f>GC!$B$21</f>
        <v>Soporte para vidrio (SERIES SPECIFIC, XS-081077, Brushed Dark Platinum)</v>
      </c>
      <c r="E228" s="249" t="s">
        <v>220</v>
      </c>
      <c r="F228" s="268" t="s">
        <v>221</v>
      </c>
      <c r="G228" s="249" t="s">
        <v>703</v>
      </c>
      <c r="H228" s="249" t="s">
        <v>435</v>
      </c>
      <c r="I228" s="268" t="s">
        <v>410</v>
      </c>
      <c r="J228" s="249">
        <v>1</v>
      </c>
      <c r="K228" s="268" t="s">
        <v>153</v>
      </c>
      <c r="L228" s="432">
        <f>GC!$F$21</f>
        <v>281.02</v>
      </c>
      <c r="M228" s="433">
        <f t="shared" si="15"/>
        <v>281.02</v>
      </c>
      <c r="N228" s="249">
        <v>0</v>
      </c>
      <c r="O228" s="433">
        <f t="shared" si="16"/>
        <v>0</v>
      </c>
      <c r="P228" s="434">
        <v>0.16</v>
      </c>
      <c r="Q228" s="433">
        <f t="shared" si="17"/>
        <v>44.963200000000001</v>
      </c>
      <c r="R228" s="433">
        <f t="shared" si="18"/>
        <v>325.98320000000001</v>
      </c>
      <c r="S228" s="433">
        <f>INDEX('Glosario Partidas'!$M$8:$M$10,MATCH(K228,'Glosario Partidas'!$L$8:$L$10,0))</f>
        <v>17.5</v>
      </c>
      <c r="T228" s="433">
        <f t="shared" si="19"/>
        <v>5704.7060000000001</v>
      </c>
      <c r="U228" s="268" t="s">
        <v>1084</v>
      </c>
      <c r="V228" s="249" t="s">
        <v>12</v>
      </c>
      <c r="W228" s="249" t="s">
        <v>491</v>
      </c>
      <c r="X228" s="249"/>
    </row>
    <row r="229" spans="1:24" ht="15" customHeight="1" x14ac:dyDescent="0.2">
      <c r="A229" s="268"/>
      <c r="B229" s="268" t="s">
        <v>108</v>
      </c>
      <c r="C229" s="268" t="s">
        <v>470</v>
      </c>
      <c r="D229" s="431" t="str">
        <f>GC!$B$10</f>
        <v>Soporte para papel higiénico sin cubierta</v>
      </c>
      <c r="E229" s="249" t="s">
        <v>220</v>
      </c>
      <c r="F229" s="268" t="s">
        <v>221</v>
      </c>
      <c r="G229" s="249" t="s">
        <v>703</v>
      </c>
      <c r="H229" s="249" t="s">
        <v>435</v>
      </c>
      <c r="I229" s="268" t="s">
        <v>410</v>
      </c>
      <c r="J229" s="249">
        <v>1</v>
      </c>
      <c r="K229" s="268" t="s">
        <v>153</v>
      </c>
      <c r="L229" s="432">
        <f>GC!$F$10</f>
        <v>238.874348</v>
      </c>
      <c r="M229" s="433">
        <f t="shared" si="15"/>
        <v>238.874348</v>
      </c>
      <c r="N229" s="249">
        <v>0</v>
      </c>
      <c r="O229" s="433">
        <f t="shared" si="16"/>
        <v>0</v>
      </c>
      <c r="P229" s="434">
        <v>0.16</v>
      </c>
      <c r="Q229" s="433">
        <f t="shared" si="17"/>
        <v>38.21989568</v>
      </c>
      <c r="R229" s="433">
        <f t="shared" si="18"/>
        <v>277.09424367999998</v>
      </c>
      <c r="S229" s="433">
        <f>INDEX('Glosario Partidas'!$M$8:$M$10,MATCH(K229,'Glosario Partidas'!$L$8:$L$10,0))</f>
        <v>17.5</v>
      </c>
      <c r="T229" s="433">
        <f t="shared" si="19"/>
        <v>4849.1492644</v>
      </c>
      <c r="U229" s="268"/>
      <c r="V229" s="249" t="s">
        <v>12</v>
      </c>
      <c r="W229" s="249" t="s">
        <v>491</v>
      </c>
      <c r="X229" s="249"/>
    </row>
    <row r="230" spans="1:24" ht="15" customHeight="1" x14ac:dyDescent="0.2">
      <c r="A230" s="268"/>
      <c r="B230" s="268" t="s">
        <v>108</v>
      </c>
      <c r="C230" s="268" t="s">
        <v>470</v>
      </c>
      <c r="D230" s="431" t="str">
        <f>GC!$B$9</f>
        <v>Barra de agarre / Toallero chico 45cm</v>
      </c>
      <c r="E230" s="249" t="s">
        <v>220</v>
      </c>
      <c r="F230" s="268" t="s">
        <v>221</v>
      </c>
      <c r="G230" s="249" t="s">
        <v>703</v>
      </c>
      <c r="H230" s="249" t="s">
        <v>435</v>
      </c>
      <c r="I230" s="268" t="s">
        <v>410</v>
      </c>
      <c r="J230" s="249">
        <v>1</v>
      </c>
      <c r="K230" s="268" t="s">
        <v>153</v>
      </c>
      <c r="L230" s="432">
        <f>GC!$F$9</f>
        <v>471.15</v>
      </c>
      <c r="M230" s="433">
        <f t="shared" si="15"/>
        <v>471.15</v>
      </c>
      <c r="N230" s="249">
        <v>0</v>
      </c>
      <c r="O230" s="433">
        <f t="shared" si="16"/>
        <v>0</v>
      </c>
      <c r="P230" s="434">
        <v>0.16</v>
      </c>
      <c r="Q230" s="433">
        <f t="shared" si="17"/>
        <v>75.384</v>
      </c>
      <c r="R230" s="433">
        <f t="shared" si="18"/>
        <v>546.53399999999999</v>
      </c>
      <c r="S230" s="433">
        <f>INDEX('Glosario Partidas'!$M$8:$M$10,MATCH(K230,'Glosario Partidas'!$L$8:$L$10,0))</f>
        <v>17.5</v>
      </c>
      <c r="T230" s="433">
        <f t="shared" si="19"/>
        <v>9564.3449999999993</v>
      </c>
      <c r="U230" s="268"/>
      <c r="V230" s="249" t="s">
        <v>12</v>
      </c>
      <c r="W230" s="249" t="s">
        <v>491</v>
      </c>
      <c r="X230" s="249"/>
    </row>
    <row r="231" spans="1:24" ht="15" customHeight="1" x14ac:dyDescent="0.2">
      <c r="A231" s="268"/>
      <c r="B231" s="268" t="s">
        <v>108</v>
      </c>
      <c r="C231" s="268" t="s">
        <v>470</v>
      </c>
      <c r="D231" s="431" t="str">
        <f>GC!$B$7</f>
        <v>Inodoro a piso de una pieza (Starck 3)</v>
      </c>
      <c r="E231" s="249" t="s">
        <v>220</v>
      </c>
      <c r="F231" s="268" t="s">
        <v>354</v>
      </c>
      <c r="G231" s="249" t="s">
        <v>707</v>
      </c>
      <c r="H231" s="249" t="s">
        <v>435</v>
      </c>
      <c r="I231" s="268" t="s">
        <v>410</v>
      </c>
      <c r="J231" s="249">
        <v>1</v>
      </c>
      <c r="K231" s="268" t="s">
        <v>153</v>
      </c>
      <c r="L231" s="432">
        <f>GC!$F$7</f>
        <v>667.07</v>
      </c>
      <c r="M231" s="433">
        <f t="shared" si="15"/>
        <v>667.07</v>
      </c>
      <c r="N231" s="249">
        <v>0</v>
      </c>
      <c r="O231" s="433">
        <f t="shared" si="16"/>
        <v>0</v>
      </c>
      <c r="P231" s="434">
        <v>0.16</v>
      </c>
      <c r="Q231" s="433">
        <f t="shared" si="17"/>
        <v>106.73120000000002</v>
      </c>
      <c r="R231" s="433">
        <f t="shared" si="18"/>
        <v>773.80120000000011</v>
      </c>
      <c r="S231" s="433">
        <f>INDEX('Glosario Partidas'!$M$8:$M$10,MATCH(K231,'Glosario Partidas'!$L$8:$L$10,0))</f>
        <v>17.5</v>
      </c>
      <c r="T231" s="433">
        <f t="shared" si="19"/>
        <v>13541.521000000002</v>
      </c>
      <c r="U231" s="268"/>
      <c r="V231" s="249" t="s">
        <v>12</v>
      </c>
      <c r="W231" s="249" t="s">
        <v>491</v>
      </c>
      <c r="X231" s="249"/>
    </row>
    <row r="232" spans="1:24" ht="15" customHeight="1" x14ac:dyDescent="0.2">
      <c r="A232" s="268"/>
      <c r="B232" s="268" t="s">
        <v>108</v>
      </c>
      <c r="C232" s="268" t="s">
        <v>470</v>
      </c>
      <c r="D232" s="431" t="str">
        <f>GC!$B$8</f>
        <v>Monomando de lavabo con válvula automática</v>
      </c>
      <c r="E232" s="249" t="s">
        <v>220</v>
      </c>
      <c r="F232" s="268" t="s">
        <v>354</v>
      </c>
      <c r="G232" s="249" t="s">
        <v>707</v>
      </c>
      <c r="H232" s="249" t="s">
        <v>435</v>
      </c>
      <c r="I232" s="268" t="s">
        <v>410</v>
      </c>
      <c r="J232" s="249">
        <v>1</v>
      </c>
      <c r="K232" s="268" t="s">
        <v>153</v>
      </c>
      <c r="L232" s="432">
        <f>GC!$F$8</f>
        <v>975.99151900000004</v>
      </c>
      <c r="M232" s="433">
        <f t="shared" si="15"/>
        <v>975.99151900000004</v>
      </c>
      <c r="N232" s="249">
        <v>0</v>
      </c>
      <c r="O232" s="433">
        <f t="shared" si="16"/>
        <v>0</v>
      </c>
      <c r="P232" s="434">
        <v>0.16</v>
      </c>
      <c r="Q232" s="433">
        <f t="shared" si="17"/>
        <v>156.15864304000002</v>
      </c>
      <c r="R232" s="433">
        <f t="shared" si="18"/>
        <v>1132.1501620399999</v>
      </c>
      <c r="S232" s="433">
        <f>INDEX('Glosario Partidas'!$M$8:$M$10,MATCH(K232,'Glosario Partidas'!$L$8:$L$10,0))</f>
        <v>17.5</v>
      </c>
      <c r="T232" s="433">
        <f t="shared" si="19"/>
        <v>19812.627835699997</v>
      </c>
      <c r="U232" s="268"/>
      <c r="V232" s="249" t="s">
        <v>12</v>
      </c>
      <c r="W232" s="249" t="s">
        <v>491</v>
      </c>
      <c r="X232" s="249"/>
    </row>
    <row r="233" spans="1:24" ht="15" customHeight="1" x14ac:dyDescent="0.2">
      <c r="A233" s="268"/>
      <c r="B233" s="268" t="s">
        <v>108</v>
      </c>
      <c r="C233" s="268" t="s">
        <v>470</v>
      </c>
      <c r="D233" s="431" t="str">
        <f>GC!$B$21</f>
        <v>Soporte para vidrio (SERIES SPECIFIC, XS-081077, Brushed Dark Platinum)</v>
      </c>
      <c r="E233" s="249" t="s">
        <v>220</v>
      </c>
      <c r="F233" s="268" t="s">
        <v>354</v>
      </c>
      <c r="G233" s="249" t="s">
        <v>707</v>
      </c>
      <c r="H233" s="249" t="s">
        <v>435</v>
      </c>
      <c r="I233" s="268" t="s">
        <v>410</v>
      </c>
      <c r="J233" s="249">
        <v>1</v>
      </c>
      <c r="K233" s="268" t="s">
        <v>153</v>
      </c>
      <c r="L233" s="432">
        <f>GC!$F$21</f>
        <v>281.02</v>
      </c>
      <c r="M233" s="433">
        <f t="shared" si="15"/>
        <v>281.02</v>
      </c>
      <c r="N233" s="249">
        <v>0</v>
      </c>
      <c r="O233" s="433">
        <f t="shared" si="16"/>
        <v>0</v>
      </c>
      <c r="P233" s="434">
        <v>0.16</v>
      </c>
      <c r="Q233" s="433">
        <f t="shared" si="17"/>
        <v>44.963200000000001</v>
      </c>
      <c r="R233" s="433">
        <f t="shared" si="18"/>
        <v>325.98320000000001</v>
      </c>
      <c r="S233" s="433">
        <f>INDEX('Glosario Partidas'!$M$8:$M$10,MATCH(K233,'Glosario Partidas'!$L$8:$L$10,0))</f>
        <v>17.5</v>
      </c>
      <c r="T233" s="433">
        <f t="shared" si="19"/>
        <v>5704.7060000000001</v>
      </c>
      <c r="U233" s="268" t="s">
        <v>1084</v>
      </c>
      <c r="V233" s="249" t="s">
        <v>12</v>
      </c>
      <c r="W233" s="249" t="s">
        <v>491</v>
      </c>
      <c r="X233" s="249"/>
    </row>
    <row r="234" spans="1:24" ht="15" customHeight="1" x14ac:dyDescent="0.2">
      <c r="A234" s="268"/>
      <c r="B234" s="268" t="s">
        <v>108</v>
      </c>
      <c r="C234" s="268" t="s">
        <v>470</v>
      </c>
      <c r="D234" s="431" t="str">
        <f>GC!$B$10</f>
        <v>Soporte para papel higiénico sin cubierta</v>
      </c>
      <c r="E234" s="249" t="s">
        <v>220</v>
      </c>
      <c r="F234" s="268" t="s">
        <v>354</v>
      </c>
      <c r="G234" s="249" t="s">
        <v>707</v>
      </c>
      <c r="H234" s="249" t="s">
        <v>435</v>
      </c>
      <c r="I234" s="268" t="s">
        <v>410</v>
      </c>
      <c r="J234" s="249">
        <v>1</v>
      </c>
      <c r="K234" s="268" t="s">
        <v>153</v>
      </c>
      <c r="L234" s="432">
        <f>GC!$F$10</f>
        <v>238.874348</v>
      </c>
      <c r="M234" s="433">
        <f t="shared" si="15"/>
        <v>238.874348</v>
      </c>
      <c r="N234" s="249">
        <v>0</v>
      </c>
      <c r="O234" s="433">
        <f t="shared" si="16"/>
        <v>0</v>
      </c>
      <c r="P234" s="434">
        <v>0.16</v>
      </c>
      <c r="Q234" s="433">
        <f t="shared" si="17"/>
        <v>38.21989568</v>
      </c>
      <c r="R234" s="433">
        <f t="shared" si="18"/>
        <v>277.09424367999998</v>
      </c>
      <c r="S234" s="433">
        <f>INDEX('Glosario Partidas'!$M$8:$M$10,MATCH(K234,'Glosario Partidas'!$L$8:$L$10,0))</f>
        <v>17.5</v>
      </c>
      <c r="T234" s="433">
        <f t="shared" si="19"/>
        <v>4849.1492644</v>
      </c>
      <c r="U234" s="268"/>
      <c r="V234" s="249" t="s">
        <v>12</v>
      </c>
      <c r="W234" s="249" t="s">
        <v>491</v>
      </c>
      <c r="X234" s="249"/>
    </row>
    <row r="235" spans="1:24" ht="15" customHeight="1" x14ac:dyDescent="0.2">
      <c r="A235" s="268"/>
      <c r="B235" s="268" t="s">
        <v>108</v>
      </c>
      <c r="C235" s="268" t="s">
        <v>470</v>
      </c>
      <c r="D235" s="431" t="str">
        <f>GC!$B$9</f>
        <v>Barra de agarre / Toallero chico 45cm</v>
      </c>
      <c r="E235" s="249" t="s">
        <v>220</v>
      </c>
      <c r="F235" s="268" t="s">
        <v>354</v>
      </c>
      <c r="G235" s="249" t="s">
        <v>707</v>
      </c>
      <c r="H235" s="249" t="s">
        <v>435</v>
      </c>
      <c r="I235" s="268" t="s">
        <v>410</v>
      </c>
      <c r="J235" s="249">
        <v>1</v>
      </c>
      <c r="K235" s="268" t="s">
        <v>153</v>
      </c>
      <c r="L235" s="432">
        <f>GC!$F$9</f>
        <v>471.15</v>
      </c>
      <c r="M235" s="433">
        <f t="shared" si="15"/>
        <v>471.15</v>
      </c>
      <c r="N235" s="249">
        <v>0</v>
      </c>
      <c r="O235" s="433">
        <f t="shared" si="16"/>
        <v>0</v>
      </c>
      <c r="P235" s="434">
        <v>0.16</v>
      </c>
      <c r="Q235" s="433">
        <f t="shared" si="17"/>
        <v>75.384</v>
      </c>
      <c r="R235" s="433">
        <f t="shared" si="18"/>
        <v>546.53399999999999</v>
      </c>
      <c r="S235" s="433">
        <f>INDEX('Glosario Partidas'!$M$8:$M$10,MATCH(K235,'Glosario Partidas'!$L$8:$L$10,0))</f>
        <v>17.5</v>
      </c>
      <c r="T235" s="433">
        <f t="shared" si="19"/>
        <v>9564.3449999999993</v>
      </c>
      <c r="U235" s="268"/>
      <c r="V235" s="249" t="s">
        <v>12</v>
      </c>
      <c r="W235" s="249" t="s">
        <v>491</v>
      </c>
      <c r="X235" s="249"/>
    </row>
    <row r="236" spans="1:24" ht="15" customHeight="1" x14ac:dyDescent="0.2">
      <c r="A236" s="268"/>
      <c r="B236" s="268" t="s">
        <v>108</v>
      </c>
      <c r="C236" s="268" t="s">
        <v>102</v>
      </c>
      <c r="D236" s="431" t="str">
        <f>GC!$B$19</f>
        <v>TARA ULTRA Single-lever mixer Pull-down (cocina)</v>
      </c>
      <c r="E236" s="249" t="s">
        <v>220</v>
      </c>
      <c r="F236" s="268" t="s">
        <v>221</v>
      </c>
      <c r="G236" s="249" t="s">
        <v>700</v>
      </c>
      <c r="H236" s="249" t="s">
        <v>435</v>
      </c>
      <c r="I236" s="268" t="s">
        <v>410</v>
      </c>
      <c r="J236" s="249">
        <v>1</v>
      </c>
      <c r="K236" s="268" t="s">
        <v>153</v>
      </c>
      <c r="L236" s="432">
        <f>GC!$F$19</f>
        <v>1226.4168749999999</v>
      </c>
      <c r="M236" s="433">
        <f t="shared" si="15"/>
        <v>1226.4168749999999</v>
      </c>
      <c r="N236" s="249">
        <v>0</v>
      </c>
      <c r="O236" s="433">
        <f t="shared" si="16"/>
        <v>0</v>
      </c>
      <c r="P236" s="434">
        <v>0.16</v>
      </c>
      <c r="Q236" s="433">
        <f t="shared" si="17"/>
        <v>196.22669999999999</v>
      </c>
      <c r="R236" s="433">
        <f t="shared" si="18"/>
        <v>1422.6435749999998</v>
      </c>
      <c r="S236" s="433">
        <f>INDEX('Glosario Partidas'!$M$8:$M$10,MATCH(K236,'Glosario Partidas'!$L$8:$L$10,0))</f>
        <v>17.5</v>
      </c>
      <c r="T236" s="433">
        <f t="shared" si="19"/>
        <v>24896.262562499996</v>
      </c>
      <c r="U236" s="268"/>
      <c r="V236" s="249" t="s">
        <v>12</v>
      </c>
      <c r="W236" s="249" t="s">
        <v>491</v>
      </c>
      <c r="X236" s="249"/>
    </row>
    <row r="237" spans="1:24" ht="15" customHeight="1" x14ac:dyDescent="0.2">
      <c r="A237" s="268"/>
      <c r="B237" s="268" t="s">
        <v>108</v>
      </c>
      <c r="C237" s="268" t="s">
        <v>102</v>
      </c>
      <c r="D237" s="431" t="str">
        <f>GC!$B$20</f>
        <v>TARA ULTRA HOT &amp; COLD WATER DISPENSER</v>
      </c>
      <c r="E237" s="249" t="s">
        <v>220</v>
      </c>
      <c r="F237" s="268" t="s">
        <v>221</v>
      </c>
      <c r="G237" s="249" t="s">
        <v>700</v>
      </c>
      <c r="H237" s="249" t="s">
        <v>435</v>
      </c>
      <c r="I237" s="268" t="s">
        <v>410</v>
      </c>
      <c r="J237" s="249">
        <v>2</v>
      </c>
      <c r="K237" s="268" t="s">
        <v>153</v>
      </c>
      <c r="L237" s="432">
        <f>GC!$F$20</f>
        <v>1392.4637499999999</v>
      </c>
      <c r="M237" s="433">
        <f t="shared" si="15"/>
        <v>2784.9274999999998</v>
      </c>
      <c r="N237" s="249">
        <v>0</v>
      </c>
      <c r="O237" s="433">
        <f t="shared" si="16"/>
        <v>0</v>
      </c>
      <c r="P237" s="434">
        <v>0.16</v>
      </c>
      <c r="Q237" s="433">
        <f t="shared" si="17"/>
        <v>445.58839999999998</v>
      </c>
      <c r="R237" s="433">
        <f t="shared" si="18"/>
        <v>3230.5158999999999</v>
      </c>
      <c r="S237" s="433">
        <f>INDEX('Glosario Partidas'!$M$8:$M$10,MATCH(K237,'Glosario Partidas'!$L$8:$L$10,0))</f>
        <v>17.5</v>
      </c>
      <c r="T237" s="433">
        <f t="shared" si="19"/>
        <v>56534.028249999996</v>
      </c>
      <c r="U237" s="268"/>
      <c r="V237" s="249" t="s">
        <v>12</v>
      </c>
      <c r="W237" s="249" t="s">
        <v>491</v>
      </c>
      <c r="X237" s="249"/>
    </row>
    <row r="238" spans="1:24" ht="15" customHeight="1" x14ac:dyDescent="0.2">
      <c r="A238" s="268"/>
      <c r="B238" s="268" t="s">
        <v>108</v>
      </c>
      <c r="C238" s="268" t="s">
        <v>102</v>
      </c>
      <c r="D238" s="431" t="str">
        <f>GC!$B$19</f>
        <v>TARA ULTRA Single-lever mixer Pull-down (cocina)</v>
      </c>
      <c r="E238" s="249" t="s">
        <v>220</v>
      </c>
      <c r="F238" s="268" t="s">
        <v>354</v>
      </c>
      <c r="G238" s="249" t="s">
        <v>706</v>
      </c>
      <c r="H238" s="249" t="s">
        <v>435</v>
      </c>
      <c r="I238" s="268" t="s">
        <v>410</v>
      </c>
      <c r="J238" s="249">
        <v>1</v>
      </c>
      <c r="K238" s="268" t="s">
        <v>153</v>
      </c>
      <c r="L238" s="432">
        <f>GC!$F$19</f>
        <v>1226.4168749999999</v>
      </c>
      <c r="M238" s="433">
        <f t="shared" si="15"/>
        <v>1226.4168749999999</v>
      </c>
      <c r="N238" s="249">
        <v>0</v>
      </c>
      <c r="O238" s="433">
        <f t="shared" si="16"/>
        <v>0</v>
      </c>
      <c r="P238" s="434">
        <v>0.16</v>
      </c>
      <c r="Q238" s="433">
        <f t="shared" si="17"/>
        <v>196.22669999999999</v>
      </c>
      <c r="R238" s="433">
        <f t="shared" si="18"/>
        <v>1422.6435749999998</v>
      </c>
      <c r="S238" s="433">
        <f>INDEX('Glosario Partidas'!$M$8:$M$10,MATCH(K238,'Glosario Partidas'!$L$8:$L$10,0))</f>
        <v>17.5</v>
      </c>
      <c r="T238" s="433">
        <f t="shared" si="19"/>
        <v>24896.262562499996</v>
      </c>
      <c r="U238" s="268"/>
      <c r="V238" s="249" t="s">
        <v>12</v>
      </c>
      <c r="W238" s="249" t="s">
        <v>491</v>
      </c>
      <c r="X238" s="249"/>
    </row>
    <row r="239" spans="1:24" ht="15" customHeight="1" x14ac:dyDescent="0.2">
      <c r="A239" s="268"/>
      <c r="B239" s="268" t="s">
        <v>108</v>
      </c>
      <c r="C239" s="268" t="s">
        <v>102</v>
      </c>
      <c r="D239" s="431" t="str">
        <f>GC!$B$20</f>
        <v>TARA ULTRA HOT &amp; COLD WATER DISPENSER</v>
      </c>
      <c r="E239" s="249" t="s">
        <v>220</v>
      </c>
      <c r="F239" s="268" t="s">
        <v>355</v>
      </c>
      <c r="G239" s="249" t="s">
        <v>757</v>
      </c>
      <c r="H239" s="249" t="s">
        <v>435</v>
      </c>
      <c r="I239" s="268" t="s">
        <v>410</v>
      </c>
      <c r="J239" s="249">
        <v>2</v>
      </c>
      <c r="K239" s="268" t="s">
        <v>153</v>
      </c>
      <c r="L239" s="432">
        <f>GC!$F$20</f>
        <v>1392.4637499999999</v>
      </c>
      <c r="M239" s="433">
        <f t="shared" si="15"/>
        <v>2784.9274999999998</v>
      </c>
      <c r="N239" s="249">
        <v>0</v>
      </c>
      <c r="O239" s="433">
        <f t="shared" si="16"/>
        <v>0</v>
      </c>
      <c r="P239" s="434">
        <v>0.16</v>
      </c>
      <c r="Q239" s="433">
        <f t="shared" si="17"/>
        <v>445.58839999999998</v>
      </c>
      <c r="R239" s="433">
        <f t="shared" si="18"/>
        <v>3230.5158999999999</v>
      </c>
      <c r="S239" s="433">
        <f>INDEX('Glosario Partidas'!$M$8:$M$10,MATCH(K239,'Glosario Partidas'!$L$8:$L$10,0))</f>
        <v>17.5</v>
      </c>
      <c r="T239" s="433">
        <f t="shared" si="19"/>
        <v>56534.028249999996</v>
      </c>
      <c r="U239" s="268"/>
      <c r="V239" s="249" t="s">
        <v>12</v>
      </c>
      <c r="W239" s="249" t="s">
        <v>491</v>
      </c>
      <c r="X239" s="249"/>
    </row>
    <row r="240" spans="1:24" ht="15" customHeight="1" x14ac:dyDescent="0.2">
      <c r="A240" s="268"/>
      <c r="B240" s="268" t="s">
        <v>108</v>
      </c>
      <c r="C240" s="268" t="s">
        <v>102</v>
      </c>
      <c r="D240" s="431" t="str">
        <f>GC!$B$19</f>
        <v>TARA ULTRA Single-lever mixer Pull-down (cocina)</v>
      </c>
      <c r="E240" s="249" t="s">
        <v>220</v>
      </c>
      <c r="F240" s="268" t="s">
        <v>221</v>
      </c>
      <c r="G240" s="249" t="s">
        <v>703</v>
      </c>
      <c r="H240" s="249" t="s">
        <v>435</v>
      </c>
      <c r="I240" s="268" t="s">
        <v>410</v>
      </c>
      <c r="J240" s="249">
        <v>1</v>
      </c>
      <c r="K240" s="268" t="s">
        <v>153</v>
      </c>
      <c r="L240" s="432">
        <f>GC!$F$19</f>
        <v>1226.4168749999999</v>
      </c>
      <c r="M240" s="433">
        <f t="shared" si="15"/>
        <v>1226.4168749999999</v>
      </c>
      <c r="N240" s="249">
        <v>0</v>
      </c>
      <c r="O240" s="433">
        <f t="shared" si="16"/>
        <v>0</v>
      </c>
      <c r="P240" s="434">
        <v>0.16</v>
      </c>
      <c r="Q240" s="433">
        <f t="shared" si="17"/>
        <v>196.22669999999999</v>
      </c>
      <c r="R240" s="433">
        <f t="shared" si="18"/>
        <v>1422.6435749999998</v>
      </c>
      <c r="S240" s="433">
        <f>INDEX('Glosario Partidas'!$M$8:$M$10,MATCH(K240,'Glosario Partidas'!$L$8:$L$10,0))</f>
        <v>17.5</v>
      </c>
      <c r="T240" s="433">
        <f t="shared" si="19"/>
        <v>24896.262562499996</v>
      </c>
      <c r="U240" s="268"/>
      <c r="V240" s="249" t="s">
        <v>12</v>
      </c>
      <c r="W240" s="249" t="s">
        <v>491</v>
      </c>
      <c r="X240" s="249"/>
    </row>
    <row r="241" spans="1:24" ht="15" customHeight="1" x14ac:dyDescent="0.2">
      <c r="A241" s="268"/>
      <c r="B241" s="268" t="s">
        <v>108</v>
      </c>
      <c r="C241" s="268" t="s">
        <v>102</v>
      </c>
      <c r="D241" s="431" t="str">
        <f>GC!$B$20</f>
        <v>TARA ULTRA HOT &amp; COLD WATER DISPENSER</v>
      </c>
      <c r="E241" s="249" t="s">
        <v>220</v>
      </c>
      <c r="F241" s="268" t="s">
        <v>221</v>
      </c>
      <c r="G241" s="249" t="s">
        <v>703</v>
      </c>
      <c r="H241" s="249" t="s">
        <v>435</v>
      </c>
      <c r="I241" s="268" t="s">
        <v>410</v>
      </c>
      <c r="J241" s="249">
        <v>2</v>
      </c>
      <c r="K241" s="268" t="s">
        <v>153</v>
      </c>
      <c r="L241" s="432">
        <f>GC!$F$20</f>
        <v>1392.4637499999999</v>
      </c>
      <c r="M241" s="433">
        <f t="shared" si="15"/>
        <v>2784.9274999999998</v>
      </c>
      <c r="N241" s="249">
        <v>0</v>
      </c>
      <c r="O241" s="433">
        <f t="shared" si="16"/>
        <v>0</v>
      </c>
      <c r="P241" s="434">
        <v>0.16</v>
      </c>
      <c r="Q241" s="433">
        <f t="shared" si="17"/>
        <v>445.58839999999998</v>
      </c>
      <c r="R241" s="433">
        <f t="shared" si="18"/>
        <v>3230.5158999999999</v>
      </c>
      <c r="S241" s="433">
        <f>INDEX('Glosario Partidas'!$M$8:$M$10,MATCH(K241,'Glosario Partidas'!$L$8:$L$10,0))</f>
        <v>17.5</v>
      </c>
      <c r="T241" s="433">
        <f t="shared" si="19"/>
        <v>56534.028249999996</v>
      </c>
      <c r="U241" s="268"/>
      <c r="V241" s="249" t="s">
        <v>12</v>
      </c>
      <c r="W241" s="249" t="s">
        <v>491</v>
      </c>
      <c r="X241" s="249"/>
    </row>
    <row r="242" spans="1:24" ht="15" customHeight="1" x14ac:dyDescent="0.2">
      <c r="A242" s="268"/>
      <c r="B242" s="268" t="s">
        <v>108</v>
      </c>
      <c r="C242" s="268" t="s">
        <v>102</v>
      </c>
      <c r="D242" s="431" t="str">
        <f>GC!$B$19</f>
        <v>TARA ULTRA Single-lever mixer Pull-down (cocina)</v>
      </c>
      <c r="E242" s="249" t="s">
        <v>220</v>
      </c>
      <c r="F242" s="268" t="s">
        <v>354</v>
      </c>
      <c r="G242" s="249" t="s">
        <v>707</v>
      </c>
      <c r="H242" s="249" t="s">
        <v>435</v>
      </c>
      <c r="I242" s="268" t="s">
        <v>410</v>
      </c>
      <c r="J242" s="249">
        <v>1</v>
      </c>
      <c r="K242" s="268" t="s">
        <v>153</v>
      </c>
      <c r="L242" s="432">
        <f>GC!$F$19</f>
        <v>1226.4168749999999</v>
      </c>
      <c r="M242" s="433">
        <f t="shared" si="15"/>
        <v>1226.4168749999999</v>
      </c>
      <c r="N242" s="249">
        <v>0</v>
      </c>
      <c r="O242" s="433">
        <f t="shared" si="16"/>
        <v>0</v>
      </c>
      <c r="P242" s="434">
        <v>0.16</v>
      </c>
      <c r="Q242" s="433">
        <f t="shared" si="17"/>
        <v>196.22669999999999</v>
      </c>
      <c r="R242" s="433">
        <f t="shared" si="18"/>
        <v>1422.6435749999998</v>
      </c>
      <c r="S242" s="433">
        <f>INDEX('Glosario Partidas'!$M$8:$M$10,MATCH(K242,'Glosario Partidas'!$L$8:$L$10,0))</f>
        <v>17.5</v>
      </c>
      <c r="T242" s="433">
        <f t="shared" si="19"/>
        <v>24896.262562499996</v>
      </c>
      <c r="U242" s="268"/>
      <c r="V242" s="249" t="s">
        <v>12</v>
      </c>
      <c r="W242" s="249" t="s">
        <v>491</v>
      </c>
      <c r="X242" s="249"/>
    </row>
    <row r="243" spans="1:24" ht="15" customHeight="1" x14ac:dyDescent="0.2">
      <c r="A243" s="268"/>
      <c r="B243" s="268" t="s">
        <v>108</v>
      </c>
      <c r="C243" s="268" t="s">
        <v>102</v>
      </c>
      <c r="D243" s="431" t="str">
        <f>GC!$B$20</f>
        <v>TARA ULTRA HOT &amp; COLD WATER DISPENSER</v>
      </c>
      <c r="E243" s="249" t="s">
        <v>220</v>
      </c>
      <c r="F243" s="268" t="s">
        <v>355</v>
      </c>
      <c r="G243" s="249" t="s">
        <v>765</v>
      </c>
      <c r="H243" s="249" t="s">
        <v>435</v>
      </c>
      <c r="I243" s="268" t="s">
        <v>410</v>
      </c>
      <c r="J243" s="249">
        <v>2</v>
      </c>
      <c r="K243" s="268" t="s">
        <v>153</v>
      </c>
      <c r="L243" s="432">
        <f>GC!$F$20</f>
        <v>1392.4637499999999</v>
      </c>
      <c r="M243" s="433">
        <f t="shared" si="15"/>
        <v>2784.9274999999998</v>
      </c>
      <c r="N243" s="249">
        <v>0</v>
      </c>
      <c r="O243" s="433">
        <f t="shared" si="16"/>
        <v>0</v>
      </c>
      <c r="P243" s="434">
        <v>0.16</v>
      </c>
      <c r="Q243" s="433">
        <f t="shared" si="17"/>
        <v>445.58839999999998</v>
      </c>
      <c r="R243" s="433">
        <f t="shared" si="18"/>
        <v>3230.5158999999999</v>
      </c>
      <c r="S243" s="433">
        <f>INDEX('Glosario Partidas'!$M$8:$M$10,MATCH(K243,'Glosario Partidas'!$L$8:$L$10,0))</f>
        <v>17.5</v>
      </c>
      <c r="T243" s="433">
        <f t="shared" si="19"/>
        <v>56534.028249999996</v>
      </c>
      <c r="U243" s="268"/>
      <c r="V243" s="249" t="s">
        <v>12</v>
      </c>
      <c r="W243" s="249" t="s">
        <v>491</v>
      </c>
      <c r="X243" s="249"/>
    </row>
    <row r="244" spans="1:24" ht="15" customHeight="1" x14ac:dyDescent="0.2">
      <c r="A244" s="268"/>
      <c r="B244" s="268" t="s">
        <v>108</v>
      </c>
      <c r="C244" s="268" t="s">
        <v>104</v>
      </c>
      <c r="D244" s="431" t="str">
        <f>GC!$B$19</f>
        <v>TARA ULTRA Single-lever mixer Pull-down (cocina)</v>
      </c>
      <c r="E244" s="249" t="s">
        <v>220</v>
      </c>
      <c r="F244" s="268" t="s">
        <v>221</v>
      </c>
      <c r="G244" s="249" t="s">
        <v>700</v>
      </c>
      <c r="H244" s="249" t="s">
        <v>435</v>
      </c>
      <c r="I244" s="268" t="s">
        <v>410</v>
      </c>
      <c r="J244" s="249">
        <v>1</v>
      </c>
      <c r="K244" s="268" t="s">
        <v>153</v>
      </c>
      <c r="L244" s="432">
        <f>GC!$F$19</f>
        <v>1226.4168749999999</v>
      </c>
      <c r="M244" s="433">
        <f t="shared" si="15"/>
        <v>1226.4168749999999</v>
      </c>
      <c r="N244" s="249">
        <v>0</v>
      </c>
      <c r="O244" s="433">
        <f t="shared" si="16"/>
        <v>0</v>
      </c>
      <c r="P244" s="434">
        <v>0.16</v>
      </c>
      <c r="Q244" s="433">
        <f t="shared" si="17"/>
        <v>196.22669999999999</v>
      </c>
      <c r="R244" s="433">
        <f t="shared" si="18"/>
        <v>1422.6435749999998</v>
      </c>
      <c r="S244" s="433">
        <f>INDEX('Glosario Partidas'!$M$8:$M$10,MATCH(K244,'Glosario Partidas'!$L$8:$L$10,0))</f>
        <v>17.5</v>
      </c>
      <c r="T244" s="433">
        <f t="shared" si="19"/>
        <v>24896.262562499996</v>
      </c>
      <c r="U244" s="268"/>
      <c r="V244" s="249" t="s">
        <v>12</v>
      </c>
      <c r="W244" s="249" t="s">
        <v>491</v>
      </c>
      <c r="X244" s="249"/>
    </row>
    <row r="245" spans="1:24" ht="15" customHeight="1" x14ac:dyDescent="0.2">
      <c r="A245" s="268"/>
      <c r="B245" s="268" t="s">
        <v>108</v>
      </c>
      <c r="C245" s="268" t="s">
        <v>104</v>
      </c>
      <c r="D245" s="431" t="str">
        <f>GC!$B$19</f>
        <v>TARA ULTRA Single-lever mixer Pull-down (cocina)</v>
      </c>
      <c r="E245" s="249" t="s">
        <v>220</v>
      </c>
      <c r="F245" s="268" t="s">
        <v>355</v>
      </c>
      <c r="G245" s="249" t="s">
        <v>757</v>
      </c>
      <c r="H245" s="249" t="s">
        <v>435</v>
      </c>
      <c r="I245" s="268" t="s">
        <v>410</v>
      </c>
      <c r="J245" s="249">
        <v>1</v>
      </c>
      <c r="K245" s="268" t="s">
        <v>153</v>
      </c>
      <c r="L245" s="432">
        <f>GC!$F$19</f>
        <v>1226.4168749999999</v>
      </c>
      <c r="M245" s="433">
        <f t="shared" si="15"/>
        <v>1226.4168749999999</v>
      </c>
      <c r="N245" s="249">
        <v>0</v>
      </c>
      <c r="O245" s="433">
        <f t="shared" si="16"/>
        <v>0</v>
      </c>
      <c r="P245" s="434">
        <v>0.16</v>
      </c>
      <c r="Q245" s="433">
        <f t="shared" si="17"/>
        <v>196.22669999999999</v>
      </c>
      <c r="R245" s="433">
        <f t="shared" si="18"/>
        <v>1422.6435749999998</v>
      </c>
      <c r="S245" s="433">
        <f>INDEX('Glosario Partidas'!$M$8:$M$10,MATCH(K245,'Glosario Partidas'!$L$8:$L$10,0))</f>
        <v>17.5</v>
      </c>
      <c r="T245" s="433">
        <f t="shared" si="19"/>
        <v>24896.262562499996</v>
      </c>
      <c r="U245" s="268"/>
      <c r="V245" s="249" t="s">
        <v>12</v>
      </c>
      <c r="W245" s="249" t="s">
        <v>491</v>
      </c>
      <c r="X245" s="249"/>
    </row>
    <row r="246" spans="1:24" ht="15" customHeight="1" x14ac:dyDescent="0.2">
      <c r="A246" s="268"/>
      <c r="B246" s="268" t="s">
        <v>108</v>
      </c>
      <c r="C246" s="268" t="s">
        <v>104</v>
      </c>
      <c r="D246" s="431" t="str">
        <f>GC!$B$19</f>
        <v>TARA ULTRA Single-lever mixer Pull-down (cocina)</v>
      </c>
      <c r="E246" s="249" t="s">
        <v>220</v>
      </c>
      <c r="F246" s="268" t="s">
        <v>221</v>
      </c>
      <c r="G246" s="249" t="s">
        <v>703</v>
      </c>
      <c r="H246" s="249" t="s">
        <v>435</v>
      </c>
      <c r="I246" s="268" t="s">
        <v>410</v>
      </c>
      <c r="J246" s="249">
        <v>1</v>
      </c>
      <c r="K246" s="268" t="s">
        <v>153</v>
      </c>
      <c r="L246" s="432">
        <f>GC!$F$19</f>
        <v>1226.4168749999999</v>
      </c>
      <c r="M246" s="433">
        <f t="shared" si="15"/>
        <v>1226.4168749999999</v>
      </c>
      <c r="N246" s="249">
        <v>0</v>
      </c>
      <c r="O246" s="433">
        <f t="shared" si="16"/>
        <v>0</v>
      </c>
      <c r="P246" s="434">
        <v>0.16</v>
      </c>
      <c r="Q246" s="433">
        <f t="shared" si="17"/>
        <v>196.22669999999999</v>
      </c>
      <c r="R246" s="433">
        <f t="shared" si="18"/>
        <v>1422.6435749999998</v>
      </c>
      <c r="S246" s="433">
        <f>INDEX('Glosario Partidas'!$M$8:$M$10,MATCH(K246,'Glosario Partidas'!$L$8:$L$10,0))</f>
        <v>17.5</v>
      </c>
      <c r="T246" s="433">
        <f t="shared" si="19"/>
        <v>24896.262562499996</v>
      </c>
      <c r="U246" s="268"/>
      <c r="V246" s="249" t="s">
        <v>12</v>
      </c>
      <c r="W246" s="249" t="s">
        <v>491</v>
      </c>
      <c r="X246" s="249"/>
    </row>
    <row r="247" spans="1:24" ht="15" customHeight="1" x14ac:dyDescent="0.2">
      <c r="A247" s="268"/>
      <c r="B247" s="268" t="s">
        <v>108</v>
      </c>
      <c r="C247" s="268" t="s">
        <v>104</v>
      </c>
      <c r="D247" s="431" t="str">
        <f>GC!$B$19</f>
        <v>TARA ULTRA Single-lever mixer Pull-down (cocina)</v>
      </c>
      <c r="E247" s="249" t="s">
        <v>220</v>
      </c>
      <c r="F247" s="268" t="s">
        <v>355</v>
      </c>
      <c r="G247" s="249" t="s">
        <v>765</v>
      </c>
      <c r="H247" s="249" t="s">
        <v>435</v>
      </c>
      <c r="I247" s="268" t="s">
        <v>410</v>
      </c>
      <c r="J247" s="249">
        <v>1</v>
      </c>
      <c r="K247" s="268" t="s">
        <v>153</v>
      </c>
      <c r="L247" s="432">
        <f>GC!$F$19</f>
        <v>1226.4168749999999</v>
      </c>
      <c r="M247" s="433">
        <f t="shared" si="15"/>
        <v>1226.4168749999999</v>
      </c>
      <c r="N247" s="249">
        <v>0</v>
      </c>
      <c r="O247" s="433">
        <f t="shared" si="16"/>
        <v>0</v>
      </c>
      <c r="P247" s="434">
        <v>0.16</v>
      </c>
      <c r="Q247" s="433">
        <f t="shared" si="17"/>
        <v>196.22669999999999</v>
      </c>
      <c r="R247" s="433">
        <f t="shared" si="18"/>
        <v>1422.6435749999998</v>
      </c>
      <c r="S247" s="433">
        <f>INDEX('Glosario Partidas'!$M$8:$M$10,MATCH(K247,'Glosario Partidas'!$L$8:$L$10,0))</f>
        <v>17.5</v>
      </c>
      <c r="T247" s="433">
        <f t="shared" si="19"/>
        <v>24896.262562499996</v>
      </c>
      <c r="U247" s="268"/>
      <c r="V247" s="249" t="s">
        <v>12</v>
      </c>
      <c r="W247" s="249" t="s">
        <v>491</v>
      </c>
      <c r="X247" s="249"/>
    </row>
    <row r="248" spans="1:24" ht="15" customHeight="1" x14ac:dyDescent="0.2">
      <c r="A248" s="268"/>
      <c r="B248" s="268" t="s">
        <v>108</v>
      </c>
      <c r="C248" s="268" t="s">
        <v>399</v>
      </c>
      <c r="D248" s="431" t="str">
        <f>GC!$B$7</f>
        <v>Inodoro a piso de una pieza (Starck 3)</v>
      </c>
      <c r="E248" s="249" t="s">
        <v>229</v>
      </c>
      <c r="F248" s="268" t="s">
        <v>221</v>
      </c>
      <c r="G248" s="249" t="s">
        <v>708</v>
      </c>
      <c r="H248" s="249" t="s">
        <v>435</v>
      </c>
      <c r="I248" s="268" t="s">
        <v>410</v>
      </c>
      <c r="J248" s="249">
        <v>1</v>
      </c>
      <c r="K248" s="268" t="s">
        <v>153</v>
      </c>
      <c r="L248" s="432">
        <f>GC!$F$7</f>
        <v>667.07</v>
      </c>
      <c r="M248" s="433">
        <f t="shared" si="15"/>
        <v>667.07</v>
      </c>
      <c r="N248" s="249">
        <v>0</v>
      </c>
      <c r="O248" s="433">
        <f t="shared" si="16"/>
        <v>0</v>
      </c>
      <c r="P248" s="434">
        <v>0.16</v>
      </c>
      <c r="Q248" s="433">
        <f t="shared" si="17"/>
        <v>106.73120000000002</v>
      </c>
      <c r="R248" s="433">
        <f t="shared" si="18"/>
        <v>773.80120000000011</v>
      </c>
      <c r="S248" s="433">
        <f>INDEX('Glosario Partidas'!$M$8:$M$10,MATCH(K248,'Glosario Partidas'!$L$8:$L$10,0))</f>
        <v>17.5</v>
      </c>
      <c r="T248" s="433">
        <f t="shared" si="19"/>
        <v>13541.521000000002</v>
      </c>
      <c r="U248" s="268"/>
      <c r="V248" s="249" t="s">
        <v>12</v>
      </c>
      <c r="W248" s="249" t="s">
        <v>491</v>
      </c>
      <c r="X248" s="249"/>
    </row>
    <row r="249" spans="1:24" ht="15" customHeight="1" x14ac:dyDescent="0.2">
      <c r="A249" s="268"/>
      <c r="B249" s="268" t="s">
        <v>108</v>
      </c>
      <c r="C249" s="268" t="s">
        <v>399</v>
      </c>
      <c r="D249" s="431" t="str">
        <f>GC!$B$8</f>
        <v>Monomando de lavabo con válvula automática</v>
      </c>
      <c r="E249" s="249" t="s">
        <v>229</v>
      </c>
      <c r="F249" s="268" t="s">
        <v>221</v>
      </c>
      <c r="G249" s="249" t="s">
        <v>708</v>
      </c>
      <c r="H249" s="249" t="s">
        <v>435</v>
      </c>
      <c r="I249" s="268" t="s">
        <v>410</v>
      </c>
      <c r="J249" s="249">
        <v>2</v>
      </c>
      <c r="K249" s="268" t="s">
        <v>153</v>
      </c>
      <c r="L249" s="432">
        <f>GC!$F$8</f>
        <v>975.99151900000004</v>
      </c>
      <c r="M249" s="433">
        <f t="shared" si="15"/>
        <v>1951.9830380000001</v>
      </c>
      <c r="N249" s="249">
        <v>0</v>
      </c>
      <c r="O249" s="433">
        <f t="shared" si="16"/>
        <v>0</v>
      </c>
      <c r="P249" s="434">
        <v>0.16</v>
      </c>
      <c r="Q249" s="433">
        <f t="shared" si="17"/>
        <v>312.31728608000003</v>
      </c>
      <c r="R249" s="433">
        <f t="shared" si="18"/>
        <v>2264.3003240799999</v>
      </c>
      <c r="S249" s="433">
        <f>INDEX('Glosario Partidas'!$M$8:$M$10,MATCH(K249,'Glosario Partidas'!$L$8:$L$10,0))</f>
        <v>17.5</v>
      </c>
      <c r="T249" s="433">
        <f t="shared" si="19"/>
        <v>39625.255671399995</v>
      </c>
      <c r="U249" s="268"/>
      <c r="V249" s="249" t="s">
        <v>12</v>
      </c>
      <c r="W249" s="249" t="s">
        <v>491</v>
      </c>
      <c r="X249" s="249"/>
    </row>
    <row r="250" spans="1:24" ht="15" customHeight="1" x14ac:dyDescent="0.2">
      <c r="A250" s="268"/>
      <c r="B250" s="268" t="s">
        <v>108</v>
      </c>
      <c r="C250" s="268" t="s">
        <v>399</v>
      </c>
      <c r="D250" s="431" t="str">
        <f>GC!$B$21</f>
        <v>Soporte para vidrio (SERIES SPECIFIC, XS-081077, Brushed Dark Platinum)</v>
      </c>
      <c r="E250" s="249" t="s">
        <v>229</v>
      </c>
      <c r="F250" s="268" t="s">
        <v>221</v>
      </c>
      <c r="G250" s="249" t="s">
        <v>708</v>
      </c>
      <c r="H250" s="249" t="s">
        <v>435</v>
      </c>
      <c r="I250" s="268" t="s">
        <v>410</v>
      </c>
      <c r="J250" s="249">
        <v>2</v>
      </c>
      <c r="K250" s="268" t="s">
        <v>153</v>
      </c>
      <c r="L250" s="432">
        <f>GC!$F$21</f>
        <v>281.02</v>
      </c>
      <c r="M250" s="433">
        <f t="shared" si="15"/>
        <v>562.04</v>
      </c>
      <c r="N250" s="249">
        <v>0</v>
      </c>
      <c r="O250" s="433">
        <f t="shared" si="16"/>
        <v>0</v>
      </c>
      <c r="P250" s="434">
        <v>0.16</v>
      </c>
      <c r="Q250" s="433">
        <f t="shared" si="17"/>
        <v>89.926400000000001</v>
      </c>
      <c r="R250" s="433">
        <f t="shared" si="18"/>
        <v>651.96640000000002</v>
      </c>
      <c r="S250" s="433">
        <f>INDEX('Glosario Partidas'!$M$8:$M$10,MATCH(K250,'Glosario Partidas'!$L$8:$L$10,0))</f>
        <v>17.5</v>
      </c>
      <c r="T250" s="433">
        <f t="shared" si="19"/>
        <v>11409.412</v>
      </c>
      <c r="U250" s="268" t="s">
        <v>1084</v>
      </c>
      <c r="V250" s="249" t="s">
        <v>12</v>
      </c>
      <c r="W250" s="249" t="s">
        <v>491</v>
      </c>
      <c r="X250" s="249"/>
    </row>
    <row r="251" spans="1:24" ht="15" customHeight="1" x14ac:dyDescent="0.2">
      <c r="A251" s="268"/>
      <c r="B251" s="268" t="s">
        <v>108</v>
      </c>
      <c r="C251" s="268" t="s">
        <v>399</v>
      </c>
      <c r="D251" s="431" t="str">
        <f>GC!$B$12</f>
        <v>Set de ducha de mano con soporte de pared integrado</v>
      </c>
      <c r="E251" s="249" t="s">
        <v>229</v>
      </c>
      <c r="F251" s="268" t="s">
        <v>221</v>
      </c>
      <c r="G251" s="249" t="s">
        <v>708</v>
      </c>
      <c r="H251" s="249" t="s">
        <v>435</v>
      </c>
      <c r="I251" s="268" t="s">
        <v>410</v>
      </c>
      <c r="J251" s="249">
        <v>1</v>
      </c>
      <c r="K251" s="268" t="s">
        <v>153</v>
      </c>
      <c r="L251" s="432">
        <f>GC!$F$12</f>
        <v>325.25947400000001</v>
      </c>
      <c r="M251" s="433">
        <f t="shared" si="15"/>
        <v>325.25947400000001</v>
      </c>
      <c r="N251" s="249">
        <v>0</v>
      </c>
      <c r="O251" s="433">
        <f t="shared" si="16"/>
        <v>0</v>
      </c>
      <c r="P251" s="434">
        <v>0.16</v>
      </c>
      <c r="Q251" s="433">
        <f t="shared" si="17"/>
        <v>52.041515840000002</v>
      </c>
      <c r="R251" s="433">
        <f t="shared" si="18"/>
        <v>377.30098984</v>
      </c>
      <c r="S251" s="433">
        <f>INDEX('Glosario Partidas'!$M$8:$M$10,MATCH(K251,'Glosario Partidas'!$L$8:$L$10,0))</f>
        <v>17.5</v>
      </c>
      <c r="T251" s="433">
        <f t="shared" si="19"/>
        <v>6602.7673222000003</v>
      </c>
      <c r="U251" s="268"/>
      <c r="V251" s="249" t="s">
        <v>12</v>
      </c>
      <c r="W251" s="249" t="s">
        <v>491</v>
      </c>
      <c r="X251" s="249"/>
    </row>
    <row r="252" spans="1:24" ht="15" customHeight="1" x14ac:dyDescent="0.2">
      <c r="A252" s="268"/>
      <c r="B252" s="268" t="s">
        <v>108</v>
      </c>
      <c r="C252" s="268" t="s">
        <v>399</v>
      </c>
      <c r="D252" s="431" t="str">
        <f>GC!$B$13</f>
        <v>Ducha efecto lluvia con fijación a pared 400 mm</v>
      </c>
      <c r="E252" s="249" t="s">
        <v>229</v>
      </c>
      <c r="F252" s="268" t="s">
        <v>221</v>
      </c>
      <c r="G252" s="249" t="s">
        <v>708</v>
      </c>
      <c r="H252" s="249" t="s">
        <v>435</v>
      </c>
      <c r="I252" s="268" t="s">
        <v>410</v>
      </c>
      <c r="J252" s="249">
        <v>1</v>
      </c>
      <c r="K252" s="268" t="s">
        <v>153</v>
      </c>
      <c r="L252" s="432">
        <f>GC!$F$13</f>
        <v>1807.197105</v>
      </c>
      <c r="M252" s="433">
        <f t="shared" si="15"/>
        <v>1807.197105</v>
      </c>
      <c r="N252" s="249">
        <v>0</v>
      </c>
      <c r="O252" s="433">
        <f t="shared" si="16"/>
        <v>0</v>
      </c>
      <c r="P252" s="434">
        <v>0.16</v>
      </c>
      <c r="Q252" s="433">
        <f t="shared" si="17"/>
        <v>289.15153679999997</v>
      </c>
      <c r="R252" s="433">
        <f t="shared" si="18"/>
        <v>2096.3486417999998</v>
      </c>
      <c r="S252" s="433">
        <f>INDEX('Glosario Partidas'!$M$8:$M$10,MATCH(K252,'Glosario Partidas'!$L$8:$L$10,0))</f>
        <v>17.5</v>
      </c>
      <c r="T252" s="433">
        <f t="shared" si="19"/>
        <v>36686.101231499997</v>
      </c>
      <c r="U252" s="268"/>
      <c r="V252" s="249" t="s">
        <v>12</v>
      </c>
      <c r="W252" s="249" t="s">
        <v>491</v>
      </c>
      <c r="X252" s="249"/>
    </row>
    <row r="253" spans="1:24" ht="15" customHeight="1" x14ac:dyDescent="0.2">
      <c r="A253" s="268"/>
      <c r="B253" s="268" t="s">
        <v>108</v>
      </c>
      <c r="C253" s="268" t="s">
        <v>399</v>
      </c>
      <c r="D253" s="431" t="str">
        <f>GC!$B$22</f>
        <v>Canaleta de ducha para piedra natural TECE showerline (15201082)</v>
      </c>
      <c r="E253" s="249" t="s">
        <v>229</v>
      </c>
      <c r="F253" s="268" t="s">
        <v>221</v>
      </c>
      <c r="G253" s="249" t="s">
        <v>708</v>
      </c>
      <c r="H253" s="249" t="s">
        <v>435</v>
      </c>
      <c r="I253" s="268" t="s">
        <v>410</v>
      </c>
      <c r="J253" s="249">
        <v>1</v>
      </c>
      <c r="K253" s="268" t="s">
        <v>153</v>
      </c>
      <c r="L253" s="432">
        <f>GC!$F$22</f>
        <v>290.33763199999999</v>
      </c>
      <c r="M253" s="433">
        <f t="shared" si="15"/>
        <v>290.33763199999999</v>
      </c>
      <c r="N253" s="249">
        <v>0</v>
      </c>
      <c r="O253" s="433">
        <f t="shared" si="16"/>
        <v>0</v>
      </c>
      <c r="P253" s="434">
        <v>0.16</v>
      </c>
      <c r="Q253" s="433">
        <f t="shared" si="17"/>
        <v>46.45402112</v>
      </c>
      <c r="R253" s="433">
        <f t="shared" si="18"/>
        <v>336.79165311999998</v>
      </c>
      <c r="S253" s="433">
        <f>INDEX('Glosario Partidas'!$M$8:$M$10,MATCH(K253,'Glosario Partidas'!$L$8:$L$10,0))</f>
        <v>17.5</v>
      </c>
      <c r="T253" s="433">
        <f t="shared" si="19"/>
        <v>5893.8539295999999</v>
      </c>
      <c r="U253" s="268" t="s">
        <v>1085</v>
      </c>
      <c r="V253" s="249" t="s">
        <v>12</v>
      </c>
      <c r="W253" s="249" t="s">
        <v>491</v>
      </c>
      <c r="X253" s="249"/>
    </row>
    <row r="254" spans="1:24" ht="15" customHeight="1" x14ac:dyDescent="0.2">
      <c r="A254" s="268"/>
      <c r="B254" s="268" t="s">
        <v>108</v>
      </c>
      <c r="C254" s="268" t="s">
        <v>399</v>
      </c>
      <c r="D254" s="431" t="str">
        <f>GC!$B$14</f>
        <v>Termostato oculto con control de volumen bidireccional</v>
      </c>
      <c r="E254" s="249" t="s">
        <v>229</v>
      </c>
      <c r="F254" s="268" t="s">
        <v>221</v>
      </c>
      <c r="G254" s="249" t="s">
        <v>708</v>
      </c>
      <c r="H254" s="249" t="s">
        <v>435</v>
      </c>
      <c r="I254" s="268" t="s">
        <v>410</v>
      </c>
      <c r="J254" s="249">
        <v>1</v>
      </c>
      <c r="K254" s="268" t="s">
        <v>153</v>
      </c>
      <c r="L254" s="432">
        <f>GC!$F$14</f>
        <v>350.19605300000001</v>
      </c>
      <c r="M254" s="433">
        <f t="shared" si="15"/>
        <v>350.19605300000001</v>
      </c>
      <c r="N254" s="249">
        <v>0</v>
      </c>
      <c r="O254" s="433">
        <f t="shared" si="16"/>
        <v>0</v>
      </c>
      <c r="P254" s="434">
        <v>0.16</v>
      </c>
      <c r="Q254" s="433">
        <f t="shared" si="17"/>
        <v>56.031368480000005</v>
      </c>
      <c r="R254" s="433">
        <f t="shared" si="18"/>
        <v>406.22742148000003</v>
      </c>
      <c r="S254" s="433">
        <f>INDEX('Glosario Partidas'!$M$8:$M$10,MATCH(K254,'Glosario Partidas'!$L$8:$L$10,0))</f>
        <v>17.5</v>
      </c>
      <c r="T254" s="433">
        <f t="shared" si="19"/>
        <v>7108.9798759000005</v>
      </c>
      <c r="U254" s="268"/>
      <c r="V254" s="249" t="s">
        <v>12</v>
      </c>
      <c r="W254" s="249" t="s">
        <v>491</v>
      </c>
      <c r="X254" s="249"/>
    </row>
    <row r="255" spans="1:24" ht="15" customHeight="1" x14ac:dyDescent="0.2">
      <c r="A255" s="268"/>
      <c r="B255" s="268" t="s">
        <v>108</v>
      </c>
      <c r="C255" s="268" t="s">
        <v>399</v>
      </c>
      <c r="D255" s="431" t="str">
        <f>GC!$B$15</f>
        <v>Termostato empotrado (rough)</v>
      </c>
      <c r="E255" s="249" t="s">
        <v>229</v>
      </c>
      <c r="F255" s="268" t="s">
        <v>221</v>
      </c>
      <c r="G255" s="249" t="s">
        <v>708</v>
      </c>
      <c r="H255" s="249" t="s">
        <v>435</v>
      </c>
      <c r="I255" s="268" t="s">
        <v>410</v>
      </c>
      <c r="J255" s="249">
        <v>1</v>
      </c>
      <c r="K255" s="268" t="s">
        <v>153</v>
      </c>
      <c r="L255" s="432">
        <f>GC!$F$15</f>
        <v>313.33</v>
      </c>
      <c r="M255" s="433">
        <f t="shared" si="15"/>
        <v>313.33</v>
      </c>
      <c r="N255" s="249">
        <v>0</v>
      </c>
      <c r="O255" s="433">
        <f t="shared" si="16"/>
        <v>0</v>
      </c>
      <c r="P255" s="434">
        <v>0.16</v>
      </c>
      <c r="Q255" s="433">
        <f t="shared" si="17"/>
        <v>50.132799999999996</v>
      </c>
      <c r="R255" s="433">
        <f t="shared" si="18"/>
        <v>363.46279999999996</v>
      </c>
      <c r="S255" s="433">
        <f>INDEX('Glosario Partidas'!$M$8:$M$10,MATCH(K255,'Glosario Partidas'!$L$8:$L$10,0))</f>
        <v>17.5</v>
      </c>
      <c r="T255" s="433">
        <f t="shared" si="19"/>
        <v>6360.5989999999993</v>
      </c>
      <c r="U255" s="268"/>
      <c r="V255" s="249" t="s">
        <v>12</v>
      </c>
      <c r="W255" s="249" t="s">
        <v>491</v>
      </c>
      <c r="X255" s="249"/>
    </row>
    <row r="256" spans="1:24" ht="15" customHeight="1" x14ac:dyDescent="0.2">
      <c r="A256" s="268"/>
      <c r="B256" s="268" t="s">
        <v>108</v>
      </c>
      <c r="C256" s="268" t="s">
        <v>399</v>
      </c>
      <c r="D256" s="431" t="str">
        <f>GC!$B$10</f>
        <v>Soporte para papel higiénico sin cubierta</v>
      </c>
      <c r="E256" s="249" t="s">
        <v>229</v>
      </c>
      <c r="F256" s="268" t="s">
        <v>221</v>
      </c>
      <c r="G256" s="249" t="s">
        <v>708</v>
      </c>
      <c r="H256" s="249" t="s">
        <v>435</v>
      </c>
      <c r="I256" s="268" t="s">
        <v>410</v>
      </c>
      <c r="J256" s="249">
        <v>1</v>
      </c>
      <c r="K256" s="268" t="s">
        <v>153</v>
      </c>
      <c r="L256" s="432">
        <f>GC!$F$10</f>
        <v>238.874348</v>
      </c>
      <c r="M256" s="433">
        <f t="shared" si="15"/>
        <v>238.874348</v>
      </c>
      <c r="N256" s="249">
        <v>0</v>
      </c>
      <c r="O256" s="433">
        <f t="shared" si="16"/>
        <v>0</v>
      </c>
      <c r="P256" s="434">
        <v>0.16</v>
      </c>
      <c r="Q256" s="433">
        <f t="shared" si="17"/>
        <v>38.21989568</v>
      </c>
      <c r="R256" s="433">
        <f t="shared" si="18"/>
        <v>277.09424367999998</v>
      </c>
      <c r="S256" s="433">
        <f>INDEX('Glosario Partidas'!$M$8:$M$10,MATCH(K256,'Glosario Partidas'!$L$8:$L$10,0))</f>
        <v>17.5</v>
      </c>
      <c r="T256" s="433">
        <f t="shared" si="19"/>
        <v>4849.1492644</v>
      </c>
      <c r="U256" s="268"/>
      <c r="V256" s="249" t="s">
        <v>12</v>
      </c>
      <c r="W256" s="249" t="s">
        <v>491</v>
      </c>
      <c r="X256" s="249"/>
    </row>
    <row r="257" spans="1:24" ht="15" customHeight="1" x14ac:dyDescent="0.2">
      <c r="A257" s="268"/>
      <c r="B257" s="268" t="s">
        <v>108</v>
      </c>
      <c r="C257" s="268" t="s">
        <v>399</v>
      </c>
      <c r="D257" s="431" t="str">
        <f>GC!$B$18</f>
        <v>Bañera blanca exenta, con faldón integrado y bastidor (Cape Cod)</v>
      </c>
      <c r="E257" s="249" t="s">
        <v>229</v>
      </c>
      <c r="F257" s="268" t="s">
        <v>221</v>
      </c>
      <c r="G257" s="249" t="s">
        <v>708</v>
      </c>
      <c r="H257" s="249" t="s">
        <v>435</v>
      </c>
      <c r="I257" s="268" t="s">
        <v>410</v>
      </c>
      <c r="J257" s="249">
        <v>1</v>
      </c>
      <c r="K257" s="268" t="s">
        <v>153</v>
      </c>
      <c r="L257" s="432">
        <f>GC!$F$18</f>
        <v>4565</v>
      </c>
      <c r="M257" s="433">
        <f t="shared" si="15"/>
        <v>4565</v>
      </c>
      <c r="N257" s="249">
        <v>0</v>
      </c>
      <c r="O257" s="433">
        <f t="shared" si="16"/>
        <v>0</v>
      </c>
      <c r="P257" s="434">
        <v>0.16</v>
      </c>
      <c r="Q257" s="433">
        <f t="shared" si="17"/>
        <v>730.4</v>
      </c>
      <c r="R257" s="433">
        <f t="shared" si="18"/>
        <v>5295.4</v>
      </c>
      <c r="S257" s="433">
        <f>INDEX('Glosario Partidas'!$M$8:$M$10,MATCH(K257,'Glosario Partidas'!$L$8:$L$10,0))</f>
        <v>17.5</v>
      </c>
      <c r="T257" s="433">
        <f t="shared" si="19"/>
        <v>92669.5</v>
      </c>
      <c r="U257" s="268"/>
      <c r="V257" s="249" t="s">
        <v>12</v>
      </c>
      <c r="W257" s="249" t="s">
        <v>491</v>
      </c>
      <c r="X257" s="249"/>
    </row>
    <row r="258" spans="1:24" ht="15" customHeight="1" x14ac:dyDescent="0.2">
      <c r="A258" s="268"/>
      <c r="B258" s="268" t="s">
        <v>108</v>
      </c>
      <c r="C258" s="268" t="s">
        <v>399</v>
      </c>
      <c r="D258" s="268" t="s">
        <v>1086</v>
      </c>
      <c r="E258" s="249" t="s">
        <v>229</v>
      </c>
      <c r="F258" s="268" t="s">
        <v>221</v>
      </c>
      <c r="G258" s="249" t="s">
        <v>708</v>
      </c>
      <c r="H258" s="249" t="s">
        <v>435</v>
      </c>
      <c r="I258" s="268" t="s">
        <v>410</v>
      </c>
      <c r="J258" s="249">
        <v>0</v>
      </c>
      <c r="K258" s="268" t="s">
        <v>153</v>
      </c>
      <c r="L258" s="432">
        <v>0</v>
      </c>
      <c r="M258" s="433">
        <f t="shared" ref="M258:M321" si="20">J258*L258</f>
        <v>0</v>
      </c>
      <c r="N258" s="249">
        <v>0</v>
      </c>
      <c r="O258" s="433">
        <f t="shared" ref="O258:O321" si="21">M258*N258</f>
        <v>0</v>
      </c>
      <c r="P258" s="434">
        <v>0.16</v>
      </c>
      <c r="Q258" s="433">
        <f t="shared" ref="Q258:Q321" si="22">(M258+O258)*P258</f>
        <v>0</v>
      </c>
      <c r="R258" s="433">
        <f t="shared" ref="R258:R321" si="23">M258+O258+Q258</f>
        <v>0</v>
      </c>
      <c r="S258" s="433">
        <f>INDEX('Glosario Partidas'!$M$8:$M$10,MATCH(K258,'Glosario Partidas'!$L$8:$L$10,0))</f>
        <v>17.5</v>
      </c>
      <c r="T258" s="433">
        <f t="shared" ref="T258:T321" si="24">R258*S258</f>
        <v>0</v>
      </c>
      <c r="U258" s="268" t="s">
        <v>1087</v>
      </c>
      <c r="V258" s="249" t="s">
        <v>12</v>
      </c>
      <c r="W258" s="249" t="s">
        <v>491</v>
      </c>
      <c r="X258" s="249"/>
    </row>
    <row r="259" spans="1:24" ht="15" customHeight="1" x14ac:dyDescent="0.2">
      <c r="A259" s="268"/>
      <c r="B259" s="268" t="s">
        <v>108</v>
      </c>
      <c r="C259" s="268" t="s">
        <v>399</v>
      </c>
      <c r="D259" s="431" t="str">
        <f>GC!$B$16</f>
        <v>Monomando de bañera en columna para montaje exento con juego de ducha de mano</v>
      </c>
      <c r="E259" s="249" t="s">
        <v>229</v>
      </c>
      <c r="F259" s="268" t="s">
        <v>221</v>
      </c>
      <c r="G259" s="249" t="s">
        <v>708</v>
      </c>
      <c r="H259" s="249" t="s">
        <v>435</v>
      </c>
      <c r="I259" s="268" t="s">
        <v>410</v>
      </c>
      <c r="J259" s="249">
        <v>1</v>
      </c>
      <c r="K259" s="268" t="s">
        <v>153</v>
      </c>
      <c r="L259" s="432">
        <f>GC!$F$16</f>
        <v>1904.2149999999999</v>
      </c>
      <c r="M259" s="433">
        <f t="shared" si="20"/>
        <v>1904.2149999999999</v>
      </c>
      <c r="N259" s="249">
        <v>0</v>
      </c>
      <c r="O259" s="433">
        <f t="shared" si="21"/>
        <v>0</v>
      </c>
      <c r="P259" s="434">
        <v>0.16</v>
      </c>
      <c r="Q259" s="433">
        <f t="shared" si="22"/>
        <v>304.67439999999999</v>
      </c>
      <c r="R259" s="433">
        <f t="shared" si="23"/>
        <v>2208.8894</v>
      </c>
      <c r="S259" s="433">
        <f>INDEX('Glosario Partidas'!$M$8:$M$10,MATCH(K259,'Glosario Partidas'!$L$8:$L$10,0))</f>
        <v>17.5</v>
      </c>
      <c r="T259" s="433">
        <f t="shared" si="24"/>
        <v>38655.5645</v>
      </c>
      <c r="U259" s="268"/>
      <c r="V259" s="249" t="s">
        <v>12</v>
      </c>
      <c r="W259" s="249" t="s">
        <v>491</v>
      </c>
      <c r="X259" s="249"/>
    </row>
    <row r="260" spans="1:24" ht="15" customHeight="1" x14ac:dyDescent="0.2">
      <c r="A260" s="268"/>
      <c r="B260" s="268" t="s">
        <v>108</v>
      </c>
      <c r="C260" s="268" t="s">
        <v>399</v>
      </c>
      <c r="D260" s="431" t="str">
        <f>GC!$B$17</f>
        <v>Fijación al suelo empotrado (rough)</v>
      </c>
      <c r="E260" s="249" t="s">
        <v>229</v>
      </c>
      <c r="F260" s="268" t="s">
        <v>221</v>
      </c>
      <c r="G260" s="249" t="s">
        <v>708</v>
      </c>
      <c r="H260" s="249" t="s">
        <v>435</v>
      </c>
      <c r="I260" s="268" t="s">
        <v>410</v>
      </c>
      <c r="J260" s="249">
        <v>1</v>
      </c>
      <c r="K260" s="268" t="s">
        <v>153</v>
      </c>
      <c r="L260" s="432">
        <f>GC!$F$17</f>
        <v>292.73</v>
      </c>
      <c r="M260" s="433">
        <f t="shared" si="20"/>
        <v>292.73</v>
      </c>
      <c r="N260" s="249">
        <v>0</v>
      </c>
      <c r="O260" s="433">
        <f t="shared" si="21"/>
        <v>0</v>
      </c>
      <c r="P260" s="434">
        <v>0.16</v>
      </c>
      <c r="Q260" s="433">
        <f t="shared" si="22"/>
        <v>46.836800000000004</v>
      </c>
      <c r="R260" s="433">
        <f t="shared" si="23"/>
        <v>339.5668</v>
      </c>
      <c r="S260" s="433">
        <f>INDEX('Glosario Partidas'!$M$8:$M$10,MATCH(K260,'Glosario Partidas'!$L$8:$L$10,0))</f>
        <v>17.5</v>
      </c>
      <c r="T260" s="433">
        <f t="shared" si="24"/>
        <v>5942.4189999999999</v>
      </c>
      <c r="U260" s="268"/>
      <c r="V260" s="249" t="s">
        <v>12</v>
      </c>
      <c r="W260" s="249" t="s">
        <v>491</v>
      </c>
      <c r="X260" s="249"/>
    </row>
    <row r="261" spans="1:24" ht="15" customHeight="1" x14ac:dyDescent="0.2">
      <c r="A261" s="268"/>
      <c r="B261" s="268" t="s">
        <v>108</v>
      </c>
      <c r="C261" s="268" t="s">
        <v>399</v>
      </c>
      <c r="D261" s="431" t="str">
        <f>GC!$B$9</f>
        <v>Barra de agarre / Toallero chico 45cm</v>
      </c>
      <c r="E261" s="249" t="s">
        <v>229</v>
      </c>
      <c r="F261" s="268" t="s">
        <v>221</v>
      </c>
      <c r="G261" s="249" t="s">
        <v>708</v>
      </c>
      <c r="H261" s="249" t="s">
        <v>435</v>
      </c>
      <c r="I261" s="268" t="s">
        <v>410</v>
      </c>
      <c r="J261" s="249">
        <v>2</v>
      </c>
      <c r="K261" s="268" t="s">
        <v>153</v>
      </c>
      <c r="L261" s="432">
        <f>GC!$F$9</f>
        <v>471.15</v>
      </c>
      <c r="M261" s="433">
        <f t="shared" si="20"/>
        <v>942.3</v>
      </c>
      <c r="N261" s="249">
        <v>0</v>
      </c>
      <c r="O261" s="433">
        <f t="shared" si="21"/>
        <v>0</v>
      </c>
      <c r="P261" s="434">
        <v>0.16</v>
      </c>
      <c r="Q261" s="433">
        <f t="shared" si="22"/>
        <v>150.768</v>
      </c>
      <c r="R261" s="433">
        <f t="shared" si="23"/>
        <v>1093.068</v>
      </c>
      <c r="S261" s="433">
        <f>INDEX('Glosario Partidas'!$M$8:$M$10,MATCH(K261,'Glosario Partidas'!$L$8:$L$10,0))</f>
        <v>17.5</v>
      </c>
      <c r="T261" s="433">
        <f t="shared" si="24"/>
        <v>19128.689999999999</v>
      </c>
      <c r="U261" s="268"/>
      <c r="V261" s="249" t="s">
        <v>12</v>
      </c>
      <c r="W261" s="249" t="s">
        <v>491</v>
      </c>
      <c r="X261" s="249"/>
    </row>
    <row r="262" spans="1:24" ht="15" customHeight="1" x14ac:dyDescent="0.2">
      <c r="A262" s="268"/>
      <c r="B262" s="268" t="s">
        <v>108</v>
      </c>
      <c r="C262" s="268" t="s">
        <v>399</v>
      </c>
      <c r="D262" s="431" t="str">
        <f>GC!$B$11</f>
        <v>Gancho</v>
      </c>
      <c r="E262" s="249" t="s">
        <v>229</v>
      </c>
      <c r="F262" s="268" t="s">
        <v>221</v>
      </c>
      <c r="G262" s="249" t="s">
        <v>708</v>
      </c>
      <c r="H262" s="249" t="s">
        <v>435</v>
      </c>
      <c r="I262" s="268" t="s">
        <v>410</v>
      </c>
      <c r="J262" s="249">
        <v>2</v>
      </c>
      <c r="K262" s="268" t="s">
        <v>153</v>
      </c>
      <c r="L262" s="432">
        <f>GC!$F$11</f>
        <v>61.111086999999998</v>
      </c>
      <c r="M262" s="433">
        <f t="shared" si="20"/>
        <v>122.222174</v>
      </c>
      <c r="N262" s="249">
        <v>0</v>
      </c>
      <c r="O262" s="433">
        <f t="shared" si="21"/>
        <v>0</v>
      </c>
      <c r="P262" s="434">
        <v>0.16</v>
      </c>
      <c r="Q262" s="433">
        <f t="shared" si="22"/>
        <v>19.555547839999999</v>
      </c>
      <c r="R262" s="433">
        <f t="shared" si="23"/>
        <v>141.77772184</v>
      </c>
      <c r="S262" s="433">
        <f>INDEX('Glosario Partidas'!$M$8:$M$10,MATCH(K262,'Glosario Partidas'!$L$8:$L$10,0))</f>
        <v>17.5</v>
      </c>
      <c r="T262" s="433">
        <f t="shared" si="24"/>
        <v>2481.1101322</v>
      </c>
      <c r="U262" s="268"/>
      <c r="V262" s="249" t="s">
        <v>12</v>
      </c>
      <c r="W262" s="249" t="s">
        <v>491</v>
      </c>
      <c r="X262" s="249"/>
    </row>
    <row r="263" spans="1:24" ht="15" customHeight="1" x14ac:dyDescent="0.2">
      <c r="A263" s="268"/>
      <c r="B263" s="268" t="s">
        <v>108</v>
      </c>
      <c r="C263" s="268" t="s">
        <v>399</v>
      </c>
      <c r="D263" s="431" t="str">
        <f>GC!$B$7</f>
        <v>Inodoro a piso de una pieza (Starck 3)</v>
      </c>
      <c r="E263" s="249" t="s">
        <v>229</v>
      </c>
      <c r="F263" s="268" t="s">
        <v>354</v>
      </c>
      <c r="G263" s="249" t="s">
        <v>711</v>
      </c>
      <c r="H263" s="249" t="s">
        <v>435</v>
      </c>
      <c r="I263" s="268" t="s">
        <v>410</v>
      </c>
      <c r="J263" s="249">
        <v>1</v>
      </c>
      <c r="K263" s="268" t="s">
        <v>153</v>
      </c>
      <c r="L263" s="432">
        <f>GC!$F$7</f>
        <v>667.07</v>
      </c>
      <c r="M263" s="433">
        <f t="shared" si="20"/>
        <v>667.07</v>
      </c>
      <c r="N263" s="249">
        <v>0</v>
      </c>
      <c r="O263" s="433">
        <f t="shared" si="21"/>
        <v>0</v>
      </c>
      <c r="P263" s="434">
        <v>0.16</v>
      </c>
      <c r="Q263" s="433">
        <f t="shared" si="22"/>
        <v>106.73120000000002</v>
      </c>
      <c r="R263" s="433">
        <f t="shared" si="23"/>
        <v>773.80120000000011</v>
      </c>
      <c r="S263" s="433">
        <f>INDEX('Glosario Partidas'!$M$8:$M$10,MATCH(K263,'Glosario Partidas'!$L$8:$L$10,0))</f>
        <v>17.5</v>
      </c>
      <c r="T263" s="433">
        <f t="shared" si="24"/>
        <v>13541.521000000002</v>
      </c>
      <c r="U263" s="268"/>
      <c r="V263" s="249" t="s">
        <v>12</v>
      </c>
      <c r="W263" s="249" t="s">
        <v>491</v>
      </c>
      <c r="X263" s="249"/>
    </row>
    <row r="264" spans="1:24" ht="15" customHeight="1" x14ac:dyDescent="0.2">
      <c r="A264" s="268"/>
      <c r="B264" s="268" t="s">
        <v>108</v>
      </c>
      <c r="C264" s="268" t="s">
        <v>399</v>
      </c>
      <c r="D264" s="431" t="str">
        <f>GC!$B$8</f>
        <v>Monomando de lavabo con válvula automática</v>
      </c>
      <c r="E264" s="249" t="s">
        <v>229</v>
      </c>
      <c r="F264" s="268" t="s">
        <v>354</v>
      </c>
      <c r="G264" s="249" t="s">
        <v>711</v>
      </c>
      <c r="H264" s="249" t="s">
        <v>435</v>
      </c>
      <c r="I264" s="268" t="s">
        <v>410</v>
      </c>
      <c r="J264" s="249">
        <v>2</v>
      </c>
      <c r="K264" s="268" t="s">
        <v>153</v>
      </c>
      <c r="L264" s="432">
        <f>GC!$F$8</f>
        <v>975.99151900000004</v>
      </c>
      <c r="M264" s="433">
        <f t="shared" si="20"/>
        <v>1951.9830380000001</v>
      </c>
      <c r="N264" s="249">
        <v>0</v>
      </c>
      <c r="O264" s="433">
        <f t="shared" si="21"/>
        <v>0</v>
      </c>
      <c r="P264" s="434">
        <v>0.16</v>
      </c>
      <c r="Q264" s="433">
        <f t="shared" si="22"/>
        <v>312.31728608000003</v>
      </c>
      <c r="R264" s="433">
        <f t="shared" si="23"/>
        <v>2264.3003240799999</v>
      </c>
      <c r="S264" s="433">
        <f>INDEX('Glosario Partidas'!$M$8:$M$10,MATCH(K264,'Glosario Partidas'!$L$8:$L$10,0))</f>
        <v>17.5</v>
      </c>
      <c r="T264" s="433">
        <f t="shared" si="24"/>
        <v>39625.255671399995</v>
      </c>
      <c r="U264" s="268"/>
      <c r="V264" s="249" t="s">
        <v>12</v>
      </c>
      <c r="W264" s="249" t="s">
        <v>491</v>
      </c>
      <c r="X264" s="249"/>
    </row>
    <row r="265" spans="1:24" ht="15" customHeight="1" x14ac:dyDescent="0.2">
      <c r="A265" s="268"/>
      <c r="B265" s="268" t="s">
        <v>108</v>
      </c>
      <c r="C265" s="268" t="s">
        <v>399</v>
      </c>
      <c r="D265" s="431" t="str">
        <f>GC!$B$21</f>
        <v>Soporte para vidrio (SERIES SPECIFIC, XS-081077, Brushed Dark Platinum)</v>
      </c>
      <c r="E265" s="249" t="s">
        <v>229</v>
      </c>
      <c r="F265" s="268" t="s">
        <v>354</v>
      </c>
      <c r="G265" s="249" t="s">
        <v>711</v>
      </c>
      <c r="H265" s="249" t="s">
        <v>435</v>
      </c>
      <c r="I265" s="268" t="s">
        <v>410</v>
      </c>
      <c r="J265" s="249">
        <v>2</v>
      </c>
      <c r="K265" s="268" t="s">
        <v>153</v>
      </c>
      <c r="L265" s="432">
        <f>GC!$F$21</f>
        <v>281.02</v>
      </c>
      <c r="M265" s="433">
        <f t="shared" si="20"/>
        <v>562.04</v>
      </c>
      <c r="N265" s="249">
        <v>0</v>
      </c>
      <c r="O265" s="433">
        <f t="shared" si="21"/>
        <v>0</v>
      </c>
      <c r="P265" s="434">
        <v>0.16</v>
      </c>
      <c r="Q265" s="433">
        <f t="shared" si="22"/>
        <v>89.926400000000001</v>
      </c>
      <c r="R265" s="433">
        <f t="shared" si="23"/>
        <v>651.96640000000002</v>
      </c>
      <c r="S265" s="433">
        <f>INDEX('Glosario Partidas'!$M$8:$M$10,MATCH(K265,'Glosario Partidas'!$L$8:$L$10,0))</f>
        <v>17.5</v>
      </c>
      <c r="T265" s="433">
        <f t="shared" si="24"/>
        <v>11409.412</v>
      </c>
      <c r="U265" s="268" t="s">
        <v>1084</v>
      </c>
      <c r="V265" s="249" t="s">
        <v>12</v>
      </c>
      <c r="W265" s="249" t="s">
        <v>491</v>
      </c>
      <c r="X265" s="249"/>
    </row>
    <row r="266" spans="1:24" ht="15" customHeight="1" x14ac:dyDescent="0.2">
      <c r="A266" s="268"/>
      <c r="B266" s="268" t="s">
        <v>108</v>
      </c>
      <c r="C266" s="268" t="s">
        <v>399</v>
      </c>
      <c r="D266" s="431" t="str">
        <f>GC!$B$12</f>
        <v>Set de ducha de mano con soporte de pared integrado</v>
      </c>
      <c r="E266" s="249" t="s">
        <v>229</v>
      </c>
      <c r="F266" s="268" t="s">
        <v>354</v>
      </c>
      <c r="G266" s="249" t="s">
        <v>711</v>
      </c>
      <c r="H266" s="249" t="s">
        <v>435</v>
      </c>
      <c r="I266" s="268" t="s">
        <v>410</v>
      </c>
      <c r="J266" s="249">
        <v>1</v>
      </c>
      <c r="K266" s="268" t="s">
        <v>153</v>
      </c>
      <c r="L266" s="432">
        <f>GC!$F$12</f>
        <v>325.25947400000001</v>
      </c>
      <c r="M266" s="433">
        <f t="shared" si="20"/>
        <v>325.25947400000001</v>
      </c>
      <c r="N266" s="249">
        <v>0</v>
      </c>
      <c r="O266" s="433">
        <f t="shared" si="21"/>
        <v>0</v>
      </c>
      <c r="P266" s="434">
        <v>0.16</v>
      </c>
      <c r="Q266" s="433">
        <f t="shared" si="22"/>
        <v>52.041515840000002</v>
      </c>
      <c r="R266" s="433">
        <f t="shared" si="23"/>
        <v>377.30098984</v>
      </c>
      <c r="S266" s="433">
        <f>INDEX('Glosario Partidas'!$M$8:$M$10,MATCH(K266,'Glosario Partidas'!$L$8:$L$10,0))</f>
        <v>17.5</v>
      </c>
      <c r="T266" s="433">
        <f t="shared" si="24"/>
        <v>6602.7673222000003</v>
      </c>
      <c r="U266" s="268"/>
      <c r="V266" s="249" t="s">
        <v>12</v>
      </c>
      <c r="W266" s="249" t="s">
        <v>491</v>
      </c>
      <c r="X266" s="249"/>
    </row>
    <row r="267" spans="1:24" ht="15" customHeight="1" x14ac:dyDescent="0.2">
      <c r="A267" s="268"/>
      <c r="B267" s="268" t="s">
        <v>108</v>
      </c>
      <c r="C267" s="268" t="s">
        <v>399</v>
      </c>
      <c r="D267" s="431" t="str">
        <f>GC!$B$13</f>
        <v>Ducha efecto lluvia con fijación a pared 400 mm</v>
      </c>
      <c r="E267" s="249" t="s">
        <v>229</v>
      </c>
      <c r="F267" s="268" t="s">
        <v>354</v>
      </c>
      <c r="G267" s="249" t="s">
        <v>711</v>
      </c>
      <c r="H267" s="249" t="s">
        <v>435</v>
      </c>
      <c r="I267" s="268" t="s">
        <v>410</v>
      </c>
      <c r="J267" s="249">
        <v>1</v>
      </c>
      <c r="K267" s="268" t="s">
        <v>153</v>
      </c>
      <c r="L267" s="432">
        <f>GC!$F$13</f>
        <v>1807.197105</v>
      </c>
      <c r="M267" s="433">
        <f t="shared" si="20"/>
        <v>1807.197105</v>
      </c>
      <c r="N267" s="249">
        <v>0</v>
      </c>
      <c r="O267" s="433">
        <f t="shared" si="21"/>
        <v>0</v>
      </c>
      <c r="P267" s="434">
        <v>0.16</v>
      </c>
      <c r="Q267" s="433">
        <f t="shared" si="22"/>
        <v>289.15153679999997</v>
      </c>
      <c r="R267" s="433">
        <f t="shared" si="23"/>
        <v>2096.3486417999998</v>
      </c>
      <c r="S267" s="433">
        <f>INDEX('Glosario Partidas'!$M$8:$M$10,MATCH(K267,'Glosario Partidas'!$L$8:$L$10,0))</f>
        <v>17.5</v>
      </c>
      <c r="T267" s="433">
        <f t="shared" si="24"/>
        <v>36686.101231499997</v>
      </c>
      <c r="U267" s="268"/>
      <c r="V267" s="249" t="s">
        <v>12</v>
      </c>
      <c r="W267" s="249" t="s">
        <v>491</v>
      </c>
      <c r="X267" s="249"/>
    </row>
    <row r="268" spans="1:24" ht="15" customHeight="1" x14ac:dyDescent="0.2">
      <c r="A268" s="268"/>
      <c r="B268" s="268" t="s">
        <v>108</v>
      </c>
      <c r="C268" s="268" t="s">
        <v>399</v>
      </c>
      <c r="D268" s="431" t="str">
        <f>GC!$B$22</f>
        <v>Canaleta de ducha para piedra natural TECE showerline (15201082)</v>
      </c>
      <c r="E268" s="249" t="s">
        <v>229</v>
      </c>
      <c r="F268" s="268" t="s">
        <v>354</v>
      </c>
      <c r="G268" s="249" t="s">
        <v>711</v>
      </c>
      <c r="H268" s="249" t="s">
        <v>435</v>
      </c>
      <c r="I268" s="268" t="s">
        <v>410</v>
      </c>
      <c r="J268" s="249">
        <v>1</v>
      </c>
      <c r="K268" s="268" t="s">
        <v>153</v>
      </c>
      <c r="L268" s="432">
        <f>GC!$F$22</f>
        <v>290.33763199999999</v>
      </c>
      <c r="M268" s="433">
        <f t="shared" si="20"/>
        <v>290.33763199999999</v>
      </c>
      <c r="N268" s="249">
        <v>0</v>
      </c>
      <c r="O268" s="433">
        <f t="shared" si="21"/>
        <v>0</v>
      </c>
      <c r="P268" s="434">
        <v>0.16</v>
      </c>
      <c r="Q268" s="433">
        <f t="shared" si="22"/>
        <v>46.45402112</v>
      </c>
      <c r="R268" s="433">
        <f t="shared" si="23"/>
        <v>336.79165311999998</v>
      </c>
      <c r="S268" s="433">
        <f>INDEX('Glosario Partidas'!$M$8:$M$10,MATCH(K268,'Glosario Partidas'!$L$8:$L$10,0))</f>
        <v>17.5</v>
      </c>
      <c r="T268" s="433">
        <f t="shared" si="24"/>
        <v>5893.8539295999999</v>
      </c>
      <c r="U268" s="268" t="s">
        <v>1085</v>
      </c>
      <c r="V268" s="249" t="s">
        <v>12</v>
      </c>
      <c r="W268" s="249" t="s">
        <v>491</v>
      </c>
      <c r="X268" s="249"/>
    </row>
    <row r="269" spans="1:24" ht="15" customHeight="1" x14ac:dyDescent="0.2">
      <c r="A269" s="268"/>
      <c r="B269" s="268" t="s">
        <v>108</v>
      </c>
      <c r="C269" s="268" t="s">
        <v>399</v>
      </c>
      <c r="D269" s="431" t="str">
        <f>GC!$B$14</f>
        <v>Termostato oculto con control de volumen bidireccional</v>
      </c>
      <c r="E269" s="249" t="s">
        <v>229</v>
      </c>
      <c r="F269" s="268" t="s">
        <v>354</v>
      </c>
      <c r="G269" s="249" t="s">
        <v>711</v>
      </c>
      <c r="H269" s="249" t="s">
        <v>435</v>
      </c>
      <c r="I269" s="268" t="s">
        <v>410</v>
      </c>
      <c r="J269" s="249">
        <v>1</v>
      </c>
      <c r="K269" s="268" t="s">
        <v>153</v>
      </c>
      <c r="L269" s="432">
        <f>GC!$F$14</f>
        <v>350.19605300000001</v>
      </c>
      <c r="M269" s="433">
        <f t="shared" si="20"/>
        <v>350.19605300000001</v>
      </c>
      <c r="N269" s="249">
        <v>0</v>
      </c>
      <c r="O269" s="433">
        <f t="shared" si="21"/>
        <v>0</v>
      </c>
      <c r="P269" s="434">
        <v>0.16</v>
      </c>
      <c r="Q269" s="433">
        <f t="shared" si="22"/>
        <v>56.031368480000005</v>
      </c>
      <c r="R269" s="433">
        <f t="shared" si="23"/>
        <v>406.22742148000003</v>
      </c>
      <c r="S269" s="433">
        <f>INDEX('Glosario Partidas'!$M$8:$M$10,MATCH(K269,'Glosario Partidas'!$L$8:$L$10,0))</f>
        <v>17.5</v>
      </c>
      <c r="T269" s="433">
        <f t="shared" si="24"/>
        <v>7108.9798759000005</v>
      </c>
      <c r="U269" s="268"/>
      <c r="V269" s="249" t="s">
        <v>12</v>
      </c>
      <c r="W269" s="249" t="s">
        <v>491</v>
      </c>
      <c r="X269" s="249"/>
    </row>
    <row r="270" spans="1:24" ht="15" customHeight="1" x14ac:dyDescent="0.2">
      <c r="A270" s="268"/>
      <c r="B270" s="268" t="s">
        <v>108</v>
      </c>
      <c r="C270" s="268" t="s">
        <v>399</v>
      </c>
      <c r="D270" s="431" t="str">
        <f>GC!$B$15</f>
        <v>Termostato empotrado (rough)</v>
      </c>
      <c r="E270" s="249" t="s">
        <v>229</v>
      </c>
      <c r="F270" s="268" t="s">
        <v>354</v>
      </c>
      <c r="G270" s="249" t="s">
        <v>711</v>
      </c>
      <c r="H270" s="249" t="s">
        <v>435</v>
      </c>
      <c r="I270" s="268" t="s">
        <v>410</v>
      </c>
      <c r="J270" s="249">
        <v>1</v>
      </c>
      <c r="K270" s="268" t="s">
        <v>153</v>
      </c>
      <c r="L270" s="432">
        <f>GC!$F$15</f>
        <v>313.33</v>
      </c>
      <c r="M270" s="433">
        <f t="shared" si="20"/>
        <v>313.33</v>
      </c>
      <c r="N270" s="249">
        <v>0</v>
      </c>
      <c r="O270" s="433">
        <f t="shared" si="21"/>
        <v>0</v>
      </c>
      <c r="P270" s="434">
        <v>0.16</v>
      </c>
      <c r="Q270" s="433">
        <f t="shared" si="22"/>
        <v>50.132799999999996</v>
      </c>
      <c r="R270" s="433">
        <f t="shared" si="23"/>
        <v>363.46279999999996</v>
      </c>
      <c r="S270" s="433">
        <f>INDEX('Glosario Partidas'!$M$8:$M$10,MATCH(K270,'Glosario Partidas'!$L$8:$L$10,0))</f>
        <v>17.5</v>
      </c>
      <c r="T270" s="433">
        <f t="shared" si="24"/>
        <v>6360.5989999999993</v>
      </c>
      <c r="U270" s="268"/>
      <c r="V270" s="249" t="s">
        <v>12</v>
      </c>
      <c r="W270" s="249" t="s">
        <v>491</v>
      </c>
      <c r="X270" s="249"/>
    </row>
    <row r="271" spans="1:24" ht="15" customHeight="1" x14ac:dyDescent="0.2">
      <c r="A271" s="268"/>
      <c r="B271" s="268" t="s">
        <v>108</v>
      </c>
      <c r="C271" s="268" t="s">
        <v>399</v>
      </c>
      <c r="D271" s="431" t="str">
        <f>GC!$B$10</f>
        <v>Soporte para papel higiénico sin cubierta</v>
      </c>
      <c r="E271" s="249" t="s">
        <v>229</v>
      </c>
      <c r="F271" s="268" t="s">
        <v>354</v>
      </c>
      <c r="G271" s="249" t="s">
        <v>711</v>
      </c>
      <c r="H271" s="249" t="s">
        <v>435</v>
      </c>
      <c r="I271" s="268" t="s">
        <v>410</v>
      </c>
      <c r="J271" s="249">
        <v>1</v>
      </c>
      <c r="K271" s="268" t="s">
        <v>153</v>
      </c>
      <c r="L271" s="432">
        <f>GC!$F$10</f>
        <v>238.874348</v>
      </c>
      <c r="M271" s="433">
        <f t="shared" si="20"/>
        <v>238.874348</v>
      </c>
      <c r="N271" s="249">
        <v>0</v>
      </c>
      <c r="O271" s="433">
        <f t="shared" si="21"/>
        <v>0</v>
      </c>
      <c r="P271" s="434">
        <v>0.16</v>
      </c>
      <c r="Q271" s="433">
        <f t="shared" si="22"/>
        <v>38.21989568</v>
      </c>
      <c r="R271" s="433">
        <f t="shared" si="23"/>
        <v>277.09424367999998</v>
      </c>
      <c r="S271" s="433">
        <f>INDEX('Glosario Partidas'!$M$8:$M$10,MATCH(K271,'Glosario Partidas'!$L$8:$L$10,0))</f>
        <v>17.5</v>
      </c>
      <c r="T271" s="433">
        <f t="shared" si="24"/>
        <v>4849.1492644</v>
      </c>
      <c r="U271" s="268"/>
      <c r="V271" s="249" t="s">
        <v>12</v>
      </c>
      <c r="W271" s="249" t="s">
        <v>491</v>
      </c>
      <c r="X271" s="249"/>
    </row>
    <row r="272" spans="1:24" ht="15" customHeight="1" x14ac:dyDescent="0.2">
      <c r="A272" s="268"/>
      <c r="B272" s="268" t="s">
        <v>108</v>
      </c>
      <c r="C272" s="268" t="s">
        <v>399</v>
      </c>
      <c r="D272" s="431" t="str">
        <f>GC!$B$18</f>
        <v>Bañera blanca exenta, con faldón integrado y bastidor (Cape Cod)</v>
      </c>
      <c r="E272" s="249" t="s">
        <v>229</v>
      </c>
      <c r="F272" s="268" t="s">
        <v>354</v>
      </c>
      <c r="G272" s="249" t="s">
        <v>711</v>
      </c>
      <c r="H272" s="249" t="s">
        <v>435</v>
      </c>
      <c r="I272" s="268" t="s">
        <v>410</v>
      </c>
      <c r="J272" s="249">
        <v>1</v>
      </c>
      <c r="K272" s="268" t="s">
        <v>153</v>
      </c>
      <c r="L272" s="432">
        <f>GC!$F$18</f>
        <v>4565</v>
      </c>
      <c r="M272" s="433">
        <f t="shared" si="20"/>
        <v>4565</v>
      </c>
      <c r="N272" s="249">
        <v>0</v>
      </c>
      <c r="O272" s="433">
        <f t="shared" si="21"/>
        <v>0</v>
      </c>
      <c r="P272" s="434">
        <v>0.16</v>
      </c>
      <c r="Q272" s="433">
        <f t="shared" si="22"/>
        <v>730.4</v>
      </c>
      <c r="R272" s="433">
        <f t="shared" si="23"/>
        <v>5295.4</v>
      </c>
      <c r="S272" s="433">
        <f>INDEX('Glosario Partidas'!$M$8:$M$10,MATCH(K272,'Glosario Partidas'!$L$8:$L$10,0))</f>
        <v>17.5</v>
      </c>
      <c r="T272" s="433">
        <f t="shared" si="24"/>
        <v>92669.5</v>
      </c>
      <c r="U272" s="268"/>
      <c r="V272" s="249" t="s">
        <v>12</v>
      </c>
      <c r="W272" s="249" t="s">
        <v>491</v>
      </c>
      <c r="X272" s="249"/>
    </row>
    <row r="273" spans="1:24" ht="15" customHeight="1" x14ac:dyDescent="0.2">
      <c r="A273" s="268"/>
      <c r="B273" s="268" t="s">
        <v>108</v>
      </c>
      <c r="C273" s="268" t="s">
        <v>399</v>
      </c>
      <c r="D273" s="268" t="s">
        <v>1086</v>
      </c>
      <c r="E273" s="249" t="s">
        <v>229</v>
      </c>
      <c r="F273" s="268" t="s">
        <v>354</v>
      </c>
      <c r="G273" s="249" t="s">
        <v>711</v>
      </c>
      <c r="H273" s="249" t="s">
        <v>435</v>
      </c>
      <c r="I273" s="268" t="s">
        <v>410</v>
      </c>
      <c r="J273" s="249">
        <v>0</v>
      </c>
      <c r="K273" s="268" t="s">
        <v>153</v>
      </c>
      <c r="L273" s="432">
        <v>0</v>
      </c>
      <c r="M273" s="433">
        <f t="shared" si="20"/>
        <v>0</v>
      </c>
      <c r="N273" s="249">
        <v>0</v>
      </c>
      <c r="O273" s="433">
        <f t="shared" si="21"/>
        <v>0</v>
      </c>
      <c r="P273" s="434">
        <v>0.16</v>
      </c>
      <c r="Q273" s="433">
        <f t="shared" si="22"/>
        <v>0</v>
      </c>
      <c r="R273" s="433">
        <f t="shared" si="23"/>
        <v>0</v>
      </c>
      <c r="S273" s="433">
        <f>INDEX('Glosario Partidas'!$M$8:$M$10,MATCH(K273,'Glosario Partidas'!$L$8:$L$10,0))</f>
        <v>17.5</v>
      </c>
      <c r="T273" s="433">
        <f t="shared" si="24"/>
        <v>0</v>
      </c>
      <c r="U273" s="268" t="s">
        <v>1087</v>
      </c>
      <c r="V273" s="249" t="s">
        <v>12</v>
      </c>
      <c r="W273" s="249" t="s">
        <v>491</v>
      </c>
      <c r="X273" s="249"/>
    </row>
    <row r="274" spans="1:24" ht="15" customHeight="1" x14ac:dyDescent="0.2">
      <c r="A274" s="268"/>
      <c r="B274" s="268" t="s">
        <v>108</v>
      </c>
      <c r="C274" s="268" t="s">
        <v>399</v>
      </c>
      <c r="D274" s="431" t="str">
        <f>GC!$B$16</f>
        <v>Monomando de bañera en columna para montaje exento con juego de ducha de mano</v>
      </c>
      <c r="E274" s="249" t="s">
        <v>229</v>
      </c>
      <c r="F274" s="268" t="s">
        <v>354</v>
      </c>
      <c r="G274" s="249" t="s">
        <v>711</v>
      </c>
      <c r="H274" s="249" t="s">
        <v>435</v>
      </c>
      <c r="I274" s="268" t="s">
        <v>410</v>
      </c>
      <c r="J274" s="249">
        <v>1</v>
      </c>
      <c r="K274" s="268" t="s">
        <v>153</v>
      </c>
      <c r="L274" s="432">
        <f>GC!$F$16</f>
        <v>1904.2149999999999</v>
      </c>
      <c r="M274" s="433">
        <f t="shared" si="20"/>
        <v>1904.2149999999999</v>
      </c>
      <c r="N274" s="249">
        <v>0</v>
      </c>
      <c r="O274" s="433">
        <f t="shared" si="21"/>
        <v>0</v>
      </c>
      <c r="P274" s="434">
        <v>0.16</v>
      </c>
      <c r="Q274" s="433">
        <f t="shared" si="22"/>
        <v>304.67439999999999</v>
      </c>
      <c r="R274" s="433">
        <f t="shared" si="23"/>
        <v>2208.8894</v>
      </c>
      <c r="S274" s="433">
        <f>INDEX('Glosario Partidas'!$M$8:$M$10,MATCH(K274,'Glosario Partidas'!$L$8:$L$10,0))</f>
        <v>17.5</v>
      </c>
      <c r="T274" s="433">
        <f t="shared" si="24"/>
        <v>38655.5645</v>
      </c>
      <c r="U274" s="268"/>
      <c r="V274" s="249" t="s">
        <v>12</v>
      </c>
      <c r="W274" s="249" t="s">
        <v>491</v>
      </c>
      <c r="X274" s="249"/>
    </row>
    <row r="275" spans="1:24" ht="15" customHeight="1" x14ac:dyDescent="0.2">
      <c r="A275" s="268"/>
      <c r="B275" s="268" t="s">
        <v>108</v>
      </c>
      <c r="C275" s="268" t="s">
        <v>399</v>
      </c>
      <c r="D275" s="431" t="str">
        <f>GC!$B$17</f>
        <v>Fijación al suelo empotrado (rough)</v>
      </c>
      <c r="E275" s="249" t="s">
        <v>229</v>
      </c>
      <c r="F275" s="268" t="s">
        <v>354</v>
      </c>
      <c r="G275" s="249" t="s">
        <v>711</v>
      </c>
      <c r="H275" s="249" t="s">
        <v>435</v>
      </c>
      <c r="I275" s="268" t="s">
        <v>410</v>
      </c>
      <c r="J275" s="249">
        <v>1</v>
      </c>
      <c r="K275" s="268" t="s">
        <v>153</v>
      </c>
      <c r="L275" s="432">
        <f>GC!$F$17</f>
        <v>292.73</v>
      </c>
      <c r="M275" s="433">
        <f t="shared" si="20"/>
        <v>292.73</v>
      </c>
      <c r="N275" s="249">
        <v>0</v>
      </c>
      <c r="O275" s="433">
        <f t="shared" si="21"/>
        <v>0</v>
      </c>
      <c r="P275" s="434">
        <v>0.16</v>
      </c>
      <c r="Q275" s="433">
        <f t="shared" si="22"/>
        <v>46.836800000000004</v>
      </c>
      <c r="R275" s="433">
        <f t="shared" si="23"/>
        <v>339.5668</v>
      </c>
      <c r="S275" s="433">
        <f>INDEX('Glosario Partidas'!$M$8:$M$10,MATCH(K275,'Glosario Partidas'!$L$8:$L$10,0))</f>
        <v>17.5</v>
      </c>
      <c r="T275" s="433">
        <f t="shared" si="24"/>
        <v>5942.4189999999999</v>
      </c>
      <c r="U275" s="268"/>
      <c r="V275" s="249" t="s">
        <v>12</v>
      </c>
      <c r="W275" s="249" t="s">
        <v>491</v>
      </c>
      <c r="X275" s="249"/>
    </row>
    <row r="276" spans="1:24" ht="15" customHeight="1" x14ac:dyDescent="0.2">
      <c r="A276" s="268"/>
      <c r="B276" s="268" t="s">
        <v>108</v>
      </c>
      <c r="C276" s="268" t="s">
        <v>399</v>
      </c>
      <c r="D276" s="431" t="str">
        <f>GC!$B$9</f>
        <v>Barra de agarre / Toallero chico 45cm</v>
      </c>
      <c r="E276" s="249" t="s">
        <v>229</v>
      </c>
      <c r="F276" s="268" t="s">
        <v>354</v>
      </c>
      <c r="G276" s="249" t="s">
        <v>711</v>
      </c>
      <c r="H276" s="249" t="s">
        <v>435</v>
      </c>
      <c r="I276" s="268" t="s">
        <v>410</v>
      </c>
      <c r="J276" s="249">
        <v>2</v>
      </c>
      <c r="K276" s="268" t="s">
        <v>153</v>
      </c>
      <c r="L276" s="432">
        <f>GC!$F$9</f>
        <v>471.15</v>
      </c>
      <c r="M276" s="433">
        <f t="shared" si="20"/>
        <v>942.3</v>
      </c>
      <c r="N276" s="249">
        <v>0</v>
      </c>
      <c r="O276" s="433">
        <f t="shared" si="21"/>
        <v>0</v>
      </c>
      <c r="P276" s="434">
        <v>0.16</v>
      </c>
      <c r="Q276" s="433">
        <f t="shared" si="22"/>
        <v>150.768</v>
      </c>
      <c r="R276" s="433">
        <f t="shared" si="23"/>
        <v>1093.068</v>
      </c>
      <c r="S276" s="433">
        <f>INDEX('Glosario Partidas'!$M$8:$M$10,MATCH(K276,'Glosario Partidas'!$L$8:$L$10,0))</f>
        <v>17.5</v>
      </c>
      <c r="T276" s="433">
        <f t="shared" si="24"/>
        <v>19128.689999999999</v>
      </c>
      <c r="U276" s="268"/>
      <c r="V276" s="249" t="s">
        <v>12</v>
      </c>
      <c r="W276" s="249" t="s">
        <v>491</v>
      </c>
      <c r="X276" s="249"/>
    </row>
    <row r="277" spans="1:24" ht="15" customHeight="1" x14ac:dyDescent="0.2">
      <c r="A277" s="268"/>
      <c r="B277" s="268" t="s">
        <v>108</v>
      </c>
      <c r="C277" s="268" t="s">
        <v>399</v>
      </c>
      <c r="D277" s="431" t="str">
        <f>GC!$B$11</f>
        <v>Gancho</v>
      </c>
      <c r="E277" s="249" t="s">
        <v>229</v>
      </c>
      <c r="F277" s="268" t="s">
        <v>354</v>
      </c>
      <c r="G277" s="249" t="s">
        <v>711</v>
      </c>
      <c r="H277" s="249" t="s">
        <v>435</v>
      </c>
      <c r="I277" s="268" t="s">
        <v>410</v>
      </c>
      <c r="J277" s="249">
        <v>2</v>
      </c>
      <c r="K277" s="268" t="s">
        <v>153</v>
      </c>
      <c r="L277" s="432">
        <f>GC!$F$11</f>
        <v>61.111086999999998</v>
      </c>
      <c r="M277" s="433">
        <f t="shared" si="20"/>
        <v>122.222174</v>
      </c>
      <c r="N277" s="249">
        <v>0</v>
      </c>
      <c r="O277" s="433">
        <f t="shared" si="21"/>
        <v>0</v>
      </c>
      <c r="P277" s="434">
        <v>0.16</v>
      </c>
      <c r="Q277" s="433">
        <f t="shared" si="22"/>
        <v>19.555547839999999</v>
      </c>
      <c r="R277" s="433">
        <f t="shared" si="23"/>
        <v>141.77772184</v>
      </c>
      <c r="S277" s="433">
        <f>INDEX('Glosario Partidas'!$M$8:$M$10,MATCH(K277,'Glosario Partidas'!$L$8:$L$10,0))</f>
        <v>17.5</v>
      </c>
      <c r="T277" s="433">
        <f t="shared" si="24"/>
        <v>2481.1101322</v>
      </c>
      <c r="U277" s="268"/>
      <c r="V277" s="249" t="s">
        <v>12</v>
      </c>
      <c r="W277" s="249" t="s">
        <v>491</v>
      </c>
      <c r="X277" s="249"/>
    </row>
    <row r="278" spans="1:24" ht="15" customHeight="1" x14ac:dyDescent="0.2">
      <c r="A278" s="268"/>
      <c r="B278" s="268" t="s">
        <v>108</v>
      </c>
      <c r="C278" s="268" t="s">
        <v>399</v>
      </c>
      <c r="D278" s="431" t="str">
        <f>GC!$B$7</f>
        <v>Inodoro a piso de una pieza (Starck 3)</v>
      </c>
      <c r="E278" s="249" t="s">
        <v>229</v>
      </c>
      <c r="F278" s="268" t="s">
        <v>221</v>
      </c>
      <c r="G278" s="249" t="s">
        <v>710</v>
      </c>
      <c r="H278" s="249" t="s">
        <v>435</v>
      </c>
      <c r="I278" s="268" t="s">
        <v>410</v>
      </c>
      <c r="J278" s="249">
        <v>1</v>
      </c>
      <c r="K278" s="268" t="s">
        <v>153</v>
      </c>
      <c r="L278" s="432">
        <f>GC!$F$7</f>
        <v>667.07</v>
      </c>
      <c r="M278" s="433">
        <f t="shared" si="20"/>
        <v>667.07</v>
      </c>
      <c r="N278" s="249">
        <v>0</v>
      </c>
      <c r="O278" s="433">
        <f t="shared" si="21"/>
        <v>0</v>
      </c>
      <c r="P278" s="434">
        <v>0.16</v>
      </c>
      <c r="Q278" s="433">
        <f t="shared" si="22"/>
        <v>106.73120000000002</v>
      </c>
      <c r="R278" s="433">
        <f t="shared" si="23"/>
        <v>773.80120000000011</v>
      </c>
      <c r="S278" s="433">
        <f>INDEX('Glosario Partidas'!$M$8:$M$10,MATCH(K278,'Glosario Partidas'!$L$8:$L$10,0))</f>
        <v>17.5</v>
      </c>
      <c r="T278" s="433">
        <f t="shared" si="24"/>
        <v>13541.521000000002</v>
      </c>
      <c r="U278" s="268"/>
      <c r="V278" s="249" t="s">
        <v>12</v>
      </c>
      <c r="W278" s="249" t="s">
        <v>491</v>
      </c>
      <c r="X278" s="249"/>
    </row>
    <row r="279" spans="1:24" ht="15" customHeight="1" x14ac:dyDescent="0.2">
      <c r="A279" s="268"/>
      <c r="B279" s="268" t="s">
        <v>108</v>
      </c>
      <c r="C279" s="268" t="s">
        <v>399</v>
      </c>
      <c r="D279" s="431" t="str">
        <f>GC!$B$8</f>
        <v>Monomando de lavabo con válvula automática</v>
      </c>
      <c r="E279" s="249" t="s">
        <v>229</v>
      </c>
      <c r="F279" s="268" t="s">
        <v>221</v>
      </c>
      <c r="G279" s="249" t="s">
        <v>710</v>
      </c>
      <c r="H279" s="249" t="s">
        <v>435</v>
      </c>
      <c r="I279" s="268" t="s">
        <v>410</v>
      </c>
      <c r="J279" s="249">
        <v>2</v>
      </c>
      <c r="K279" s="268" t="s">
        <v>153</v>
      </c>
      <c r="L279" s="432">
        <f>GC!$F$8</f>
        <v>975.99151900000004</v>
      </c>
      <c r="M279" s="433">
        <f t="shared" si="20"/>
        <v>1951.9830380000001</v>
      </c>
      <c r="N279" s="249">
        <v>0</v>
      </c>
      <c r="O279" s="433">
        <f t="shared" si="21"/>
        <v>0</v>
      </c>
      <c r="P279" s="434">
        <v>0.16</v>
      </c>
      <c r="Q279" s="433">
        <f t="shared" si="22"/>
        <v>312.31728608000003</v>
      </c>
      <c r="R279" s="433">
        <f t="shared" si="23"/>
        <v>2264.3003240799999</v>
      </c>
      <c r="S279" s="433">
        <f>INDEX('Glosario Partidas'!$M$8:$M$10,MATCH(K279,'Glosario Partidas'!$L$8:$L$10,0))</f>
        <v>17.5</v>
      </c>
      <c r="T279" s="433">
        <f t="shared" si="24"/>
        <v>39625.255671399995</v>
      </c>
      <c r="U279" s="268"/>
      <c r="V279" s="249" t="s">
        <v>12</v>
      </c>
      <c r="W279" s="249" t="s">
        <v>491</v>
      </c>
      <c r="X279" s="249"/>
    </row>
    <row r="280" spans="1:24" ht="15" customHeight="1" x14ac:dyDescent="0.2">
      <c r="A280" s="268"/>
      <c r="B280" s="268" t="s">
        <v>108</v>
      </c>
      <c r="C280" s="268" t="s">
        <v>399</v>
      </c>
      <c r="D280" s="431" t="str">
        <f>GC!$B$21</f>
        <v>Soporte para vidrio (SERIES SPECIFIC, XS-081077, Brushed Dark Platinum)</v>
      </c>
      <c r="E280" s="249" t="s">
        <v>229</v>
      </c>
      <c r="F280" s="268" t="s">
        <v>221</v>
      </c>
      <c r="G280" s="249" t="s">
        <v>710</v>
      </c>
      <c r="H280" s="249" t="s">
        <v>435</v>
      </c>
      <c r="I280" s="268" t="s">
        <v>410</v>
      </c>
      <c r="J280" s="249">
        <v>2</v>
      </c>
      <c r="K280" s="268" t="s">
        <v>153</v>
      </c>
      <c r="L280" s="432">
        <f>GC!$F$21</f>
        <v>281.02</v>
      </c>
      <c r="M280" s="433">
        <f t="shared" si="20"/>
        <v>562.04</v>
      </c>
      <c r="N280" s="249">
        <v>0</v>
      </c>
      <c r="O280" s="433">
        <f t="shared" si="21"/>
        <v>0</v>
      </c>
      <c r="P280" s="434">
        <v>0.16</v>
      </c>
      <c r="Q280" s="433">
        <f t="shared" si="22"/>
        <v>89.926400000000001</v>
      </c>
      <c r="R280" s="433">
        <f t="shared" si="23"/>
        <v>651.96640000000002</v>
      </c>
      <c r="S280" s="433">
        <f>INDEX('Glosario Partidas'!$M$8:$M$10,MATCH(K280,'Glosario Partidas'!$L$8:$L$10,0))</f>
        <v>17.5</v>
      </c>
      <c r="T280" s="433">
        <f t="shared" si="24"/>
        <v>11409.412</v>
      </c>
      <c r="U280" s="268" t="s">
        <v>1084</v>
      </c>
      <c r="V280" s="249" t="s">
        <v>12</v>
      </c>
      <c r="W280" s="249" t="s">
        <v>491</v>
      </c>
      <c r="X280" s="249"/>
    </row>
    <row r="281" spans="1:24" ht="15" customHeight="1" x14ac:dyDescent="0.2">
      <c r="A281" s="268"/>
      <c r="B281" s="268" t="s">
        <v>108</v>
      </c>
      <c r="C281" s="268" t="s">
        <v>399</v>
      </c>
      <c r="D281" s="431" t="str">
        <f>GC!$B$12</f>
        <v>Set de ducha de mano con soporte de pared integrado</v>
      </c>
      <c r="E281" s="249" t="s">
        <v>229</v>
      </c>
      <c r="F281" s="268" t="s">
        <v>221</v>
      </c>
      <c r="G281" s="249" t="s">
        <v>710</v>
      </c>
      <c r="H281" s="249" t="s">
        <v>435</v>
      </c>
      <c r="I281" s="268" t="s">
        <v>410</v>
      </c>
      <c r="J281" s="249">
        <v>1</v>
      </c>
      <c r="K281" s="268" t="s">
        <v>153</v>
      </c>
      <c r="L281" s="432">
        <f>GC!$F$12</f>
        <v>325.25947400000001</v>
      </c>
      <c r="M281" s="433">
        <f t="shared" si="20"/>
        <v>325.25947400000001</v>
      </c>
      <c r="N281" s="249">
        <v>0</v>
      </c>
      <c r="O281" s="433">
        <f t="shared" si="21"/>
        <v>0</v>
      </c>
      <c r="P281" s="434">
        <v>0.16</v>
      </c>
      <c r="Q281" s="433">
        <f t="shared" si="22"/>
        <v>52.041515840000002</v>
      </c>
      <c r="R281" s="433">
        <f t="shared" si="23"/>
        <v>377.30098984</v>
      </c>
      <c r="S281" s="433">
        <f>INDEX('Glosario Partidas'!$M$8:$M$10,MATCH(K281,'Glosario Partidas'!$L$8:$L$10,0))</f>
        <v>17.5</v>
      </c>
      <c r="T281" s="433">
        <f t="shared" si="24"/>
        <v>6602.7673222000003</v>
      </c>
      <c r="U281" s="268"/>
      <c r="V281" s="249" t="s">
        <v>12</v>
      </c>
      <c r="W281" s="249" t="s">
        <v>491</v>
      </c>
      <c r="X281" s="249"/>
    </row>
    <row r="282" spans="1:24" ht="15" customHeight="1" x14ac:dyDescent="0.2">
      <c r="A282" s="268"/>
      <c r="B282" s="268" t="s">
        <v>108</v>
      </c>
      <c r="C282" s="268" t="s">
        <v>399</v>
      </c>
      <c r="D282" s="431" t="str">
        <f>GC!$B$13</f>
        <v>Ducha efecto lluvia con fijación a pared 400 mm</v>
      </c>
      <c r="E282" s="249" t="s">
        <v>229</v>
      </c>
      <c r="F282" s="268" t="s">
        <v>221</v>
      </c>
      <c r="G282" s="249" t="s">
        <v>710</v>
      </c>
      <c r="H282" s="249" t="s">
        <v>435</v>
      </c>
      <c r="I282" s="268" t="s">
        <v>410</v>
      </c>
      <c r="J282" s="249">
        <v>1</v>
      </c>
      <c r="K282" s="268" t="s">
        <v>153</v>
      </c>
      <c r="L282" s="432">
        <f>GC!$F$13</f>
        <v>1807.197105</v>
      </c>
      <c r="M282" s="433">
        <f t="shared" si="20"/>
        <v>1807.197105</v>
      </c>
      <c r="N282" s="249">
        <v>0</v>
      </c>
      <c r="O282" s="433">
        <f t="shared" si="21"/>
        <v>0</v>
      </c>
      <c r="P282" s="434">
        <v>0.16</v>
      </c>
      <c r="Q282" s="433">
        <f t="shared" si="22"/>
        <v>289.15153679999997</v>
      </c>
      <c r="R282" s="433">
        <f t="shared" si="23"/>
        <v>2096.3486417999998</v>
      </c>
      <c r="S282" s="433">
        <f>INDEX('Glosario Partidas'!$M$8:$M$10,MATCH(K282,'Glosario Partidas'!$L$8:$L$10,0))</f>
        <v>17.5</v>
      </c>
      <c r="T282" s="433">
        <f t="shared" si="24"/>
        <v>36686.101231499997</v>
      </c>
      <c r="U282" s="268"/>
      <c r="V282" s="249" t="s">
        <v>12</v>
      </c>
      <c r="W282" s="249" t="s">
        <v>491</v>
      </c>
      <c r="X282" s="249"/>
    </row>
    <row r="283" spans="1:24" ht="15" customHeight="1" x14ac:dyDescent="0.2">
      <c r="A283" s="268"/>
      <c r="B283" s="268" t="s">
        <v>108</v>
      </c>
      <c r="C283" s="268" t="s">
        <v>399</v>
      </c>
      <c r="D283" s="431" t="str">
        <f>GC!$B$22</f>
        <v>Canaleta de ducha para piedra natural TECE showerline (15201082)</v>
      </c>
      <c r="E283" s="249" t="s">
        <v>229</v>
      </c>
      <c r="F283" s="268" t="s">
        <v>221</v>
      </c>
      <c r="G283" s="249" t="s">
        <v>710</v>
      </c>
      <c r="H283" s="249" t="s">
        <v>435</v>
      </c>
      <c r="I283" s="268" t="s">
        <v>410</v>
      </c>
      <c r="J283" s="249">
        <v>1</v>
      </c>
      <c r="K283" s="268" t="s">
        <v>153</v>
      </c>
      <c r="L283" s="432">
        <f>GC!$F$22</f>
        <v>290.33763199999999</v>
      </c>
      <c r="M283" s="433">
        <f t="shared" si="20"/>
        <v>290.33763199999999</v>
      </c>
      <c r="N283" s="249">
        <v>0</v>
      </c>
      <c r="O283" s="433">
        <f t="shared" si="21"/>
        <v>0</v>
      </c>
      <c r="P283" s="434">
        <v>0.16</v>
      </c>
      <c r="Q283" s="433">
        <f t="shared" si="22"/>
        <v>46.45402112</v>
      </c>
      <c r="R283" s="433">
        <f t="shared" si="23"/>
        <v>336.79165311999998</v>
      </c>
      <c r="S283" s="433">
        <f>INDEX('Glosario Partidas'!$M$8:$M$10,MATCH(K283,'Glosario Partidas'!$L$8:$L$10,0))</f>
        <v>17.5</v>
      </c>
      <c r="T283" s="433">
        <f t="shared" si="24"/>
        <v>5893.8539295999999</v>
      </c>
      <c r="U283" s="268" t="s">
        <v>1085</v>
      </c>
      <c r="V283" s="249" t="s">
        <v>12</v>
      </c>
      <c r="W283" s="249" t="s">
        <v>491</v>
      </c>
      <c r="X283" s="249"/>
    </row>
    <row r="284" spans="1:24" ht="15" customHeight="1" x14ac:dyDescent="0.2">
      <c r="A284" s="268"/>
      <c r="B284" s="268" t="s">
        <v>108</v>
      </c>
      <c r="C284" s="268" t="s">
        <v>399</v>
      </c>
      <c r="D284" s="431" t="str">
        <f>GC!$B$14</f>
        <v>Termostato oculto con control de volumen bidireccional</v>
      </c>
      <c r="E284" s="249" t="s">
        <v>229</v>
      </c>
      <c r="F284" s="268" t="s">
        <v>221</v>
      </c>
      <c r="G284" s="249" t="s">
        <v>710</v>
      </c>
      <c r="H284" s="249" t="s">
        <v>435</v>
      </c>
      <c r="I284" s="268" t="s">
        <v>410</v>
      </c>
      <c r="J284" s="249">
        <v>1</v>
      </c>
      <c r="K284" s="268" t="s">
        <v>153</v>
      </c>
      <c r="L284" s="432">
        <f>GC!$F$14</f>
        <v>350.19605300000001</v>
      </c>
      <c r="M284" s="433">
        <f t="shared" si="20"/>
        <v>350.19605300000001</v>
      </c>
      <c r="N284" s="249">
        <v>0</v>
      </c>
      <c r="O284" s="433">
        <f t="shared" si="21"/>
        <v>0</v>
      </c>
      <c r="P284" s="434">
        <v>0.16</v>
      </c>
      <c r="Q284" s="433">
        <f t="shared" si="22"/>
        <v>56.031368480000005</v>
      </c>
      <c r="R284" s="433">
        <f t="shared" si="23"/>
        <v>406.22742148000003</v>
      </c>
      <c r="S284" s="433">
        <f>INDEX('Glosario Partidas'!$M$8:$M$10,MATCH(K284,'Glosario Partidas'!$L$8:$L$10,0))</f>
        <v>17.5</v>
      </c>
      <c r="T284" s="433">
        <f t="shared" si="24"/>
        <v>7108.9798759000005</v>
      </c>
      <c r="U284" s="268"/>
      <c r="V284" s="249" t="s">
        <v>12</v>
      </c>
      <c r="W284" s="249" t="s">
        <v>491</v>
      </c>
      <c r="X284" s="249"/>
    </row>
    <row r="285" spans="1:24" ht="15" customHeight="1" x14ac:dyDescent="0.2">
      <c r="A285" s="268"/>
      <c r="B285" s="268" t="s">
        <v>108</v>
      </c>
      <c r="C285" s="268" t="s">
        <v>399</v>
      </c>
      <c r="D285" s="431" t="str">
        <f>GC!$B$15</f>
        <v>Termostato empotrado (rough)</v>
      </c>
      <c r="E285" s="249" t="s">
        <v>229</v>
      </c>
      <c r="F285" s="268" t="s">
        <v>221</v>
      </c>
      <c r="G285" s="249" t="s">
        <v>710</v>
      </c>
      <c r="H285" s="249" t="s">
        <v>435</v>
      </c>
      <c r="I285" s="268" t="s">
        <v>410</v>
      </c>
      <c r="J285" s="249">
        <v>1</v>
      </c>
      <c r="K285" s="268" t="s">
        <v>153</v>
      </c>
      <c r="L285" s="432">
        <f>GC!$F$15</f>
        <v>313.33</v>
      </c>
      <c r="M285" s="433">
        <f t="shared" si="20"/>
        <v>313.33</v>
      </c>
      <c r="N285" s="249">
        <v>0</v>
      </c>
      <c r="O285" s="433">
        <f t="shared" si="21"/>
        <v>0</v>
      </c>
      <c r="P285" s="434">
        <v>0.16</v>
      </c>
      <c r="Q285" s="433">
        <f t="shared" si="22"/>
        <v>50.132799999999996</v>
      </c>
      <c r="R285" s="433">
        <f t="shared" si="23"/>
        <v>363.46279999999996</v>
      </c>
      <c r="S285" s="433">
        <f>INDEX('Glosario Partidas'!$M$8:$M$10,MATCH(K285,'Glosario Partidas'!$L$8:$L$10,0))</f>
        <v>17.5</v>
      </c>
      <c r="T285" s="433">
        <f t="shared" si="24"/>
        <v>6360.5989999999993</v>
      </c>
      <c r="U285" s="268"/>
      <c r="V285" s="249" t="s">
        <v>12</v>
      </c>
      <c r="W285" s="249" t="s">
        <v>491</v>
      </c>
      <c r="X285" s="249"/>
    </row>
    <row r="286" spans="1:24" ht="15" customHeight="1" x14ac:dyDescent="0.2">
      <c r="A286" s="268"/>
      <c r="B286" s="268" t="s">
        <v>108</v>
      </c>
      <c r="C286" s="268" t="s">
        <v>399</v>
      </c>
      <c r="D286" s="431" t="str">
        <f>GC!$B$10</f>
        <v>Soporte para papel higiénico sin cubierta</v>
      </c>
      <c r="E286" s="249" t="s">
        <v>229</v>
      </c>
      <c r="F286" s="268" t="s">
        <v>221</v>
      </c>
      <c r="G286" s="249" t="s">
        <v>710</v>
      </c>
      <c r="H286" s="249" t="s">
        <v>435</v>
      </c>
      <c r="I286" s="268" t="s">
        <v>410</v>
      </c>
      <c r="J286" s="249">
        <v>1</v>
      </c>
      <c r="K286" s="268" t="s">
        <v>153</v>
      </c>
      <c r="L286" s="432">
        <f>GC!$F$10</f>
        <v>238.874348</v>
      </c>
      <c r="M286" s="433">
        <f t="shared" si="20"/>
        <v>238.874348</v>
      </c>
      <c r="N286" s="249">
        <v>0</v>
      </c>
      <c r="O286" s="433">
        <f t="shared" si="21"/>
        <v>0</v>
      </c>
      <c r="P286" s="434">
        <v>0.16</v>
      </c>
      <c r="Q286" s="433">
        <f t="shared" si="22"/>
        <v>38.21989568</v>
      </c>
      <c r="R286" s="433">
        <f t="shared" si="23"/>
        <v>277.09424367999998</v>
      </c>
      <c r="S286" s="433">
        <f>INDEX('Glosario Partidas'!$M$8:$M$10,MATCH(K286,'Glosario Partidas'!$L$8:$L$10,0))</f>
        <v>17.5</v>
      </c>
      <c r="T286" s="433">
        <f t="shared" si="24"/>
        <v>4849.1492644</v>
      </c>
      <c r="U286" s="268"/>
      <c r="V286" s="249" t="s">
        <v>12</v>
      </c>
      <c r="W286" s="249" t="s">
        <v>491</v>
      </c>
      <c r="X286" s="249"/>
    </row>
    <row r="287" spans="1:24" ht="15" customHeight="1" x14ac:dyDescent="0.2">
      <c r="A287" s="268"/>
      <c r="B287" s="268" t="s">
        <v>108</v>
      </c>
      <c r="C287" s="268" t="s">
        <v>399</v>
      </c>
      <c r="D287" s="431" t="str">
        <f>GC!$B$18</f>
        <v>Bañera blanca exenta, con faldón integrado y bastidor (Cape Cod)</v>
      </c>
      <c r="E287" s="249" t="s">
        <v>229</v>
      </c>
      <c r="F287" s="268" t="s">
        <v>221</v>
      </c>
      <c r="G287" s="249" t="s">
        <v>710</v>
      </c>
      <c r="H287" s="249" t="s">
        <v>435</v>
      </c>
      <c r="I287" s="268" t="s">
        <v>410</v>
      </c>
      <c r="J287" s="249">
        <v>1</v>
      </c>
      <c r="K287" s="268" t="s">
        <v>153</v>
      </c>
      <c r="L287" s="432">
        <f>GC!$F$18</f>
        <v>4565</v>
      </c>
      <c r="M287" s="433">
        <f t="shared" si="20"/>
        <v>4565</v>
      </c>
      <c r="N287" s="249">
        <v>0</v>
      </c>
      <c r="O287" s="433">
        <f t="shared" si="21"/>
        <v>0</v>
      </c>
      <c r="P287" s="434">
        <v>0.16</v>
      </c>
      <c r="Q287" s="433">
        <f t="shared" si="22"/>
        <v>730.4</v>
      </c>
      <c r="R287" s="433">
        <f t="shared" si="23"/>
        <v>5295.4</v>
      </c>
      <c r="S287" s="433">
        <f>INDEX('Glosario Partidas'!$M$8:$M$10,MATCH(K287,'Glosario Partidas'!$L$8:$L$10,0))</f>
        <v>17.5</v>
      </c>
      <c r="T287" s="433">
        <f t="shared" si="24"/>
        <v>92669.5</v>
      </c>
      <c r="U287" s="268"/>
      <c r="V287" s="249" t="s">
        <v>12</v>
      </c>
      <c r="W287" s="249" t="s">
        <v>491</v>
      </c>
      <c r="X287" s="249"/>
    </row>
    <row r="288" spans="1:24" ht="15" customHeight="1" x14ac:dyDescent="0.2">
      <c r="A288" s="268"/>
      <c r="B288" s="268" t="s">
        <v>108</v>
      </c>
      <c r="C288" s="268" t="s">
        <v>399</v>
      </c>
      <c r="D288" s="268" t="s">
        <v>1086</v>
      </c>
      <c r="E288" s="249" t="s">
        <v>229</v>
      </c>
      <c r="F288" s="268" t="s">
        <v>221</v>
      </c>
      <c r="G288" s="249" t="s">
        <v>710</v>
      </c>
      <c r="H288" s="249" t="s">
        <v>435</v>
      </c>
      <c r="I288" s="268" t="s">
        <v>410</v>
      </c>
      <c r="J288" s="249">
        <v>0</v>
      </c>
      <c r="K288" s="268" t="s">
        <v>153</v>
      </c>
      <c r="L288" s="432">
        <v>0</v>
      </c>
      <c r="M288" s="433">
        <f t="shared" si="20"/>
        <v>0</v>
      </c>
      <c r="N288" s="249">
        <v>0</v>
      </c>
      <c r="O288" s="433">
        <f t="shared" si="21"/>
        <v>0</v>
      </c>
      <c r="P288" s="434">
        <v>0.16</v>
      </c>
      <c r="Q288" s="433">
        <f t="shared" si="22"/>
        <v>0</v>
      </c>
      <c r="R288" s="433">
        <f t="shared" si="23"/>
        <v>0</v>
      </c>
      <c r="S288" s="433">
        <f>INDEX('Glosario Partidas'!$M$8:$M$10,MATCH(K288,'Glosario Partidas'!$L$8:$L$10,0))</f>
        <v>17.5</v>
      </c>
      <c r="T288" s="433">
        <f t="shared" si="24"/>
        <v>0</v>
      </c>
      <c r="U288" s="268" t="s">
        <v>1087</v>
      </c>
      <c r="V288" s="249" t="s">
        <v>12</v>
      </c>
      <c r="W288" s="249" t="s">
        <v>491</v>
      </c>
      <c r="X288" s="249"/>
    </row>
    <row r="289" spans="1:24" ht="15" customHeight="1" x14ac:dyDescent="0.2">
      <c r="A289" s="268"/>
      <c r="B289" s="268" t="s">
        <v>108</v>
      </c>
      <c r="C289" s="268" t="s">
        <v>399</v>
      </c>
      <c r="D289" s="431" t="str">
        <f>GC!$B$16</f>
        <v>Monomando de bañera en columna para montaje exento con juego de ducha de mano</v>
      </c>
      <c r="E289" s="249" t="s">
        <v>229</v>
      </c>
      <c r="F289" s="268" t="s">
        <v>221</v>
      </c>
      <c r="G289" s="249" t="s">
        <v>710</v>
      </c>
      <c r="H289" s="249" t="s">
        <v>435</v>
      </c>
      <c r="I289" s="268" t="s">
        <v>410</v>
      </c>
      <c r="J289" s="249">
        <v>1</v>
      </c>
      <c r="K289" s="268" t="s">
        <v>153</v>
      </c>
      <c r="L289" s="432">
        <f>GC!$F$16</f>
        <v>1904.2149999999999</v>
      </c>
      <c r="M289" s="433">
        <f t="shared" si="20"/>
        <v>1904.2149999999999</v>
      </c>
      <c r="N289" s="249">
        <v>0</v>
      </c>
      <c r="O289" s="433">
        <f t="shared" si="21"/>
        <v>0</v>
      </c>
      <c r="P289" s="434">
        <v>0.16</v>
      </c>
      <c r="Q289" s="433">
        <f t="shared" si="22"/>
        <v>304.67439999999999</v>
      </c>
      <c r="R289" s="433">
        <f t="shared" si="23"/>
        <v>2208.8894</v>
      </c>
      <c r="S289" s="433">
        <f>INDEX('Glosario Partidas'!$M$8:$M$10,MATCH(K289,'Glosario Partidas'!$L$8:$L$10,0))</f>
        <v>17.5</v>
      </c>
      <c r="T289" s="433">
        <f t="shared" si="24"/>
        <v>38655.5645</v>
      </c>
      <c r="U289" s="268"/>
      <c r="V289" s="249" t="s">
        <v>12</v>
      </c>
      <c r="W289" s="249" t="s">
        <v>491</v>
      </c>
      <c r="X289" s="249"/>
    </row>
    <row r="290" spans="1:24" ht="15" customHeight="1" x14ac:dyDescent="0.2">
      <c r="A290" s="268"/>
      <c r="B290" s="268" t="s">
        <v>108</v>
      </c>
      <c r="C290" s="268" t="s">
        <v>399</v>
      </c>
      <c r="D290" s="431" t="str">
        <f>GC!$B$17</f>
        <v>Fijación al suelo empotrado (rough)</v>
      </c>
      <c r="E290" s="249" t="s">
        <v>229</v>
      </c>
      <c r="F290" s="268" t="s">
        <v>221</v>
      </c>
      <c r="G290" s="249" t="s">
        <v>710</v>
      </c>
      <c r="H290" s="249" t="s">
        <v>435</v>
      </c>
      <c r="I290" s="268" t="s">
        <v>410</v>
      </c>
      <c r="J290" s="249">
        <v>1</v>
      </c>
      <c r="K290" s="268" t="s">
        <v>153</v>
      </c>
      <c r="L290" s="432">
        <f>GC!$F$17</f>
        <v>292.73</v>
      </c>
      <c r="M290" s="433">
        <f t="shared" si="20"/>
        <v>292.73</v>
      </c>
      <c r="N290" s="249">
        <v>0</v>
      </c>
      <c r="O290" s="433">
        <f t="shared" si="21"/>
        <v>0</v>
      </c>
      <c r="P290" s="434">
        <v>0.16</v>
      </c>
      <c r="Q290" s="433">
        <f t="shared" si="22"/>
        <v>46.836800000000004</v>
      </c>
      <c r="R290" s="433">
        <f t="shared" si="23"/>
        <v>339.5668</v>
      </c>
      <c r="S290" s="433">
        <f>INDEX('Glosario Partidas'!$M$8:$M$10,MATCH(K290,'Glosario Partidas'!$L$8:$L$10,0))</f>
        <v>17.5</v>
      </c>
      <c r="T290" s="433">
        <f t="shared" si="24"/>
        <v>5942.4189999999999</v>
      </c>
      <c r="U290" s="268"/>
      <c r="V290" s="249" t="s">
        <v>12</v>
      </c>
      <c r="W290" s="249" t="s">
        <v>491</v>
      </c>
      <c r="X290" s="249"/>
    </row>
    <row r="291" spans="1:24" ht="15" customHeight="1" x14ac:dyDescent="0.2">
      <c r="A291" s="268"/>
      <c r="B291" s="268" t="s">
        <v>108</v>
      </c>
      <c r="C291" s="268" t="s">
        <v>399</v>
      </c>
      <c r="D291" s="431" t="str">
        <f>GC!$B$9</f>
        <v>Barra de agarre / Toallero chico 45cm</v>
      </c>
      <c r="E291" s="249" t="s">
        <v>229</v>
      </c>
      <c r="F291" s="268" t="s">
        <v>221</v>
      </c>
      <c r="G291" s="249" t="s">
        <v>710</v>
      </c>
      <c r="H291" s="249" t="s">
        <v>435</v>
      </c>
      <c r="I291" s="268" t="s">
        <v>410</v>
      </c>
      <c r="J291" s="249">
        <v>2</v>
      </c>
      <c r="K291" s="268" t="s">
        <v>153</v>
      </c>
      <c r="L291" s="432">
        <f>GC!$F$9</f>
        <v>471.15</v>
      </c>
      <c r="M291" s="433">
        <f t="shared" si="20"/>
        <v>942.3</v>
      </c>
      <c r="N291" s="249">
        <v>0</v>
      </c>
      <c r="O291" s="433">
        <f t="shared" si="21"/>
        <v>0</v>
      </c>
      <c r="P291" s="434">
        <v>0.16</v>
      </c>
      <c r="Q291" s="433">
        <f t="shared" si="22"/>
        <v>150.768</v>
      </c>
      <c r="R291" s="433">
        <f t="shared" si="23"/>
        <v>1093.068</v>
      </c>
      <c r="S291" s="433">
        <f>INDEX('Glosario Partidas'!$M$8:$M$10,MATCH(K291,'Glosario Partidas'!$L$8:$L$10,0))</f>
        <v>17.5</v>
      </c>
      <c r="T291" s="433">
        <f t="shared" si="24"/>
        <v>19128.689999999999</v>
      </c>
      <c r="U291" s="268"/>
      <c r="V291" s="249" t="s">
        <v>12</v>
      </c>
      <c r="W291" s="249" t="s">
        <v>491</v>
      </c>
      <c r="X291" s="249"/>
    </row>
    <row r="292" spans="1:24" ht="15" customHeight="1" x14ac:dyDescent="0.2">
      <c r="A292" s="268"/>
      <c r="B292" s="268" t="s">
        <v>108</v>
      </c>
      <c r="C292" s="268" t="s">
        <v>399</v>
      </c>
      <c r="D292" s="431" t="str">
        <f>GC!$B$11</f>
        <v>Gancho</v>
      </c>
      <c r="E292" s="249" t="s">
        <v>229</v>
      </c>
      <c r="F292" s="268" t="s">
        <v>221</v>
      </c>
      <c r="G292" s="249" t="s">
        <v>710</v>
      </c>
      <c r="H292" s="249" t="s">
        <v>435</v>
      </c>
      <c r="I292" s="268" t="s">
        <v>410</v>
      </c>
      <c r="J292" s="249">
        <v>2</v>
      </c>
      <c r="K292" s="268" t="s">
        <v>153</v>
      </c>
      <c r="L292" s="432">
        <f>GC!$F$11</f>
        <v>61.111086999999998</v>
      </c>
      <c r="M292" s="433">
        <f t="shared" si="20"/>
        <v>122.222174</v>
      </c>
      <c r="N292" s="249">
        <v>0</v>
      </c>
      <c r="O292" s="433">
        <f t="shared" si="21"/>
        <v>0</v>
      </c>
      <c r="P292" s="434">
        <v>0.16</v>
      </c>
      <c r="Q292" s="433">
        <f t="shared" si="22"/>
        <v>19.555547839999999</v>
      </c>
      <c r="R292" s="433">
        <f t="shared" si="23"/>
        <v>141.77772184</v>
      </c>
      <c r="S292" s="433">
        <f>INDEX('Glosario Partidas'!$M$8:$M$10,MATCH(K292,'Glosario Partidas'!$L$8:$L$10,0))</f>
        <v>17.5</v>
      </c>
      <c r="T292" s="433">
        <f t="shared" si="24"/>
        <v>2481.1101322</v>
      </c>
      <c r="U292" s="268"/>
      <c r="V292" s="249" t="s">
        <v>12</v>
      </c>
      <c r="W292" s="249" t="s">
        <v>491</v>
      </c>
      <c r="X292" s="249"/>
    </row>
    <row r="293" spans="1:24" ht="15" customHeight="1" x14ac:dyDescent="0.2">
      <c r="A293" s="268"/>
      <c r="B293" s="268" t="s">
        <v>108</v>
      </c>
      <c r="C293" s="268" t="s">
        <v>399</v>
      </c>
      <c r="D293" s="431" t="str">
        <f>GC!$B$7</f>
        <v>Inodoro a piso de una pieza (Starck 3)</v>
      </c>
      <c r="E293" s="249" t="s">
        <v>229</v>
      </c>
      <c r="F293" s="268" t="s">
        <v>354</v>
      </c>
      <c r="G293" s="249" t="s">
        <v>713</v>
      </c>
      <c r="H293" s="249" t="s">
        <v>435</v>
      </c>
      <c r="I293" s="268" t="s">
        <v>410</v>
      </c>
      <c r="J293" s="249">
        <v>1</v>
      </c>
      <c r="K293" s="268" t="s">
        <v>153</v>
      </c>
      <c r="L293" s="432">
        <f>GC!$F$7</f>
        <v>667.07</v>
      </c>
      <c r="M293" s="433">
        <f t="shared" si="20"/>
        <v>667.07</v>
      </c>
      <c r="N293" s="249">
        <v>0</v>
      </c>
      <c r="O293" s="433">
        <f t="shared" si="21"/>
        <v>0</v>
      </c>
      <c r="P293" s="434">
        <v>0.16</v>
      </c>
      <c r="Q293" s="433">
        <f t="shared" si="22"/>
        <v>106.73120000000002</v>
      </c>
      <c r="R293" s="433">
        <f t="shared" si="23"/>
        <v>773.80120000000011</v>
      </c>
      <c r="S293" s="433">
        <f>INDEX('Glosario Partidas'!$M$8:$M$10,MATCH(K293,'Glosario Partidas'!$L$8:$L$10,0))</f>
        <v>17.5</v>
      </c>
      <c r="T293" s="433">
        <f t="shared" si="24"/>
        <v>13541.521000000002</v>
      </c>
      <c r="U293" s="268"/>
      <c r="V293" s="249" t="s">
        <v>12</v>
      </c>
      <c r="W293" s="249" t="s">
        <v>491</v>
      </c>
      <c r="X293" s="249"/>
    </row>
    <row r="294" spans="1:24" ht="15" customHeight="1" x14ac:dyDescent="0.2">
      <c r="A294" s="268"/>
      <c r="B294" s="268" t="s">
        <v>108</v>
      </c>
      <c r="C294" s="268" t="s">
        <v>399</v>
      </c>
      <c r="D294" s="431" t="str">
        <f>GC!$B$8</f>
        <v>Monomando de lavabo con válvula automática</v>
      </c>
      <c r="E294" s="249" t="s">
        <v>229</v>
      </c>
      <c r="F294" s="268" t="s">
        <v>354</v>
      </c>
      <c r="G294" s="249" t="s">
        <v>713</v>
      </c>
      <c r="H294" s="249" t="s">
        <v>435</v>
      </c>
      <c r="I294" s="268" t="s">
        <v>410</v>
      </c>
      <c r="J294" s="249">
        <v>2</v>
      </c>
      <c r="K294" s="268" t="s">
        <v>153</v>
      </c>
      <c r="L294" s="432">
        <f>GC!$F$8</f>
        <v>975.99151900000004</v>
      </c>
      <c r="M294" s="433">
        <f t="shared" si="20"/>
        <v>1951.9830380000001</v>
      </c>
      <c r="N294" s="249">
        <v>0</v>
      </c>
      <c r="O294" s="433">
        <f t="shared" si="21"/>
        <v>0</v>
      </c>
      <c r="P294" s="434">
        <v>0.16</v>
      </c>
      <c r="Q294" s="433">
        <f t="shared" si="22"/>
        <v>312.31728608000003</v>
      </c>
      <c r="R294" s="433">
        <f t="shared" si="23"/>
        <v>2264.3003240799999</v>
      </c>
      <c r="S294" s="433">
        <f>INDEX('Glosario Partidas'!$M$8:$M$10,MATCH(K294,'Glosario Partidas'!$L$8:$L$10,0))</f>
        <v>17.5</v>
      </c>
      <c r="T294" s="433">
        <f t="shared" si="24"/>
        <v>39625.255671399995</v>
      </c>
      <c r="U294" s="268"/>
      <c r="V294" s="249" t="s">
        <v>12</v>
      </c>
      <c r="W294" s="249" t="s">
        <v>491</v>
      </c>
      <c r="X294" s="249"/>
    </row>
    <row r="295" spans="1:24" ht="15" customHeight="1" x14ac:dyDescent="0.2">
      <c r="A295" s="268"/>
      <c r="B295" s="268" t="s">
        <v>108</v>
      </c>
      <c r="C295" s="268" t="s">
        <v>399</v>
      </c>
      <c r="D295" s="431" t="str">
        <f>GC!$B$21</f>
        <v>Soporte para vidrio (SERIES SPECIFIC, XS-081077, Brushed Dark Platinum)</v>
      </c>
      <c r="E295" s="249" t="s">
        <v>229</v>
      </c>
      <c r="F295" s="268" t="s">
        <v>354</v>
      </c>
      <c r="G295" s="249" t="s">
        <v>713</v>
      </c>
      <c r="H295" s="249" t="s">
        <v>435</v>
      </c>
      <c r="I295" s="268" t="s">
        <v>410</v>
      </c>
      <c r="J295" s="249">
        <v>2</v>
      </c>
      <c r="K295" s="268" t="s">
        <v>153</v>
      </c>
      <c r="L295" s="432">
        <f>GC!$F$21</f>
        <v>281.02</v>
      </c>
      <c r="M295" s="433">
        <f t="shared" si="20"/>
        <v>562.04</v>
      </c>
      <c r="N295" s="249">
        <v>0</v>
      </c>
      <c r="O295" s="433">
        <f t="shared" si="21"/>
        <v>0</v>
      </c>
      <c r="P295" s="434">
        <v>0.16</v>
      </c>
      <c r="Q295" s="433">
        <f t="shared" si="22"/>
        <v>89.926400000000001</v>
      </c>
      <c r="R295" s="433">
        <f t="shared" si="23"/>
        <v>651.96640000000002</v>
      </c>
      <c r="S295" s="433">
        <f>INDEX('Glosario Partidas'!$M$8:$M$10,MATCH(K295,'Glosario Partidas'!$L$8:$L$10,0))</f>
        <v>17.5</v>
      </c>
      <c r="T295" s="433">
        <f t="shared" si="24"/>
        <v>11409.412</v>
      </c>
      <c r="U295" s="268" t="s">
        <v>1084</v>
      </c>
      <c r="V295" s="249" t="s">
        <v>12</v>
      </c>
      <c r="W295" s="249" t="s">
        <v>491</v>
      </c>
      <c r="X295" s="249"/>
    </row>
    <row r="296" spans="1:24" ht="15" customHeight="1" x14ac:dyDescent="0.2">
      <c r="A296" s="268"/>
      <c r="B296" s="268" t="s">
        <v>108</v>
      </c>
      <c r="C296" s="268" t="s">
        <v>399</v>
      </c>
      <c r="D296" s="431" t="str">
        <f>GC!$B$12</f>
        <v>Set de ducha de mano con soporte de pared integrado</v>
      </c>
      <c r="E296" s="249" t="s">
        <v>229</v>
      </c>
      <c r="F296" s="268" t="s">
        <v>354</v>
      </c>
      <c r="G296" s="249" t="s">
        <v>713</v>
      </c>
      <c r="H296" s="249" t="s">
        <v>435</v>
      </c>
      <c r="I296" s="268" t="s">
        <v>410</v>
      </c>
      <c r="J296" s="249">
        <v>1</v>
      </c>
      <c r="K296" s="268" t="s">
        <v>153</v>
      </c>
      <c r="L296" s="432">
        <f>GC!$F$12</f>
        <v>325.25947400000001</v>
      </c>
      <c r="M296" s="433">
        <f t="shared" si="20"/>
        <v>325.25947400000001</v>
      </c>
      <c r="N296" s="249">
        <v>0</v>
      </c>
      <c r="O296" s="433">
        <f t="shared" si="21"/>
        <v>0</v>
      </c>
      <c r="P296" s="434">
        <v>0.16</v>
      </c>
      <c r="Q296" s="433">
        <f t="shared" si="22"/>
        <v>52.041515840000002</v>
      </c>
      <c r="R296" s="433">
        <f t="shared" si="23"/>
        <v>377.30098984</v>
      </c>
      <c r="S296" s="433">
        <f>INDEX('Glosario Partidas'!$M$8:$M$10,MATCH(K296,'Glosario Partidas'!$L$8:$L$10,0))</f>
        <v>17.5</v>
      </c>
      <c r="T296" s="433">
        <f t="shared" si="24"/>
        <v>6602.7673222000003</v>
      </c>
      <c r="U296" s="268"/>
      <c r="V296" s="249" t="s">
        <v>12</v>
      </c>
      <c r="W296" s="249" t="s">
        <v>491</v>
      </c>
      <c r="X296" s="249"/>
    </row>
    <row r="297" spans="1:24" ht="15" customHeight="1" x14ac:dyDescent="0.2">
      <c r="A297" s="268"/>
      <c r="B297" s="268" t="s">
        <v>108</v>
      </c>
      <c r="C297" s="268" t="s">
        <v>399</v>
      </c>
      <c r="D297" s="431" t="str">
        <f>GC!$B$13</f>
        <v>Ducha efecto lluvia con fijación a pared 400 mm</v>
      </c>
      <c r="E297" s="249" t="s">
        <v>229</v>
      </c>
      <c r="F297" s="268" t="s">
        <v>354</v>
      </c>
      <c r="G297" s="249" t="s">
        <v>713</v>
      </c>
      <c r="H297" s="249" t="s">
        <v>435</v>
      </c>
      <c r="I297" s="268" t="s">
        <v>410</v>
      </c>
      <c r="J297" s="249">
        <v>1</v>
      </c>
      <c r="K297" s="268" t="s">
        <v>153</v>
      </c>
      <c r="L297" s="432">
        <f>GC!$F$13</f>
        <v>1807.197105</v>
      </c>
      <c r="M297" s="433">
        <f t="shared" si="20"/>
        <v>1807.197105</v>
      </c>
      <c r="N297" s="249">
        <v>0</v>
      </c>
      <c r="O297" s="433">
        <f t="shared" si="21"/>
        <v>0</v>
      </c>
      <c r="P297" s="434">
        <v>0.16</v>
      </c>
      <c r="Q297" s="433">
        <f t="shared" si="22"/>
        <v>289.15153679999997</v>
      </c>
      <c r="R297" s="433">
        <f t="shared" si="23"/>
        <v>2096.3486417999998</v>
      </c>
      <c r="S297" s="433">
        <f>INDEX('Glosario Partidas'!$M$8:$M$10,MATCH(K297,'Glosario Partidas'!$L$8:$L$10,0))</f>
        <v>17.5</v>
      </c>
      <c r="T297" s="433">
        <f t="shared" si="24"/>
        <v>36686.101231499997</v>
      </c>
      <c r="U297" s="268"/>
      <c r="V297" s="249" t="s">
        <v>12</v>
      </c>
      <c r="W297" s="249" t="s">
        <v>491</v>
      </c>
      <c r="X297" s="249"/>
    </row>
    <row r="298" spans="1:24" ht="15" customHeight="1" x14ac:dyDescent="0.2">
      <c r="A298" s="268"/>
      <c r="B298" s="268" t="s">
        <v>108</v>
      </c>
      <c r="C298" s="268" t="s">
        <v>399</v>
      </c>
      <c r="D298" s="431" t="str">
        <f>GC!$B$22</f>
        <v>Canaleta de ducha para piedra natural TECE showerline (15201082)</v>
      </c>
      <c r="E298" s="249" t="s">
        <v>229</v>
      </c>
      <c r="F298" s="268" t="s">
        <v>354</v>
      </c>
      <c r="G298" s="249" t="s">
        <v>713</v>
      </c>
      <c r="H298" s="249" t="s">
        <v>435</v>
      </c>
      <c r="I298" s="268" t="s">
        <v>410</v>
      </c>
      <c r="J298" s="249">
        <v>1</v>
      </c>
      <c r="K298" s="268" t="s">
        <v>153</v>
      </c>
      <c r="L298" s="432">
        <f>GC!$F$22</f>
        <v>290.33763199999999</v>
      </c>
      <c r="M298" s="433">
        <f t="shared" si="20"/>
        <v>290.33763199999999</v>
      </c>
      <c r="N298" s="249">
        <v>0</v>
      </c>
      <c r="O298" s="433">
        <f t="shared" si="21"/>
        <v>0</v>
      </c>
      <c r="P298" s="434">
        <v>0.16</v>
      </c>
      <c r="Q298" s="433">
        <f t="shared" si="22"/>
        <v>46.45402112</v>
      </c>
      <c r="R298" s="433">
        <f t="shared" si="23"/>
        <v>336.79165311999998</v>
      </c>
      <c r="S298" s="433">
        <f>INDEX('Glosario Partidas'!$M$8:$M$10,MATCH(K298,'Glosario Partidas'!$L$8:$L$10,0))</f>
        <v>17.5</v>
      </c>
      <c r="T298" s="433">
        <f t="shared" si="24"/>
        <v>5893.8539295999999</v>
      </c>
      <c r="U298" s="268" t="s">
        <v>1085</v>
      </c>
      <c r="V298" s="249" t="s">
        <v>12</v>
      </c>
      <c r="W298" s="249" t="s">
        <v>491</v>
      </c>
      <c r="X298" s="249"/>
    </row>
    <row r="299" spans="1:24" ht="15" customHeight="1" x14ac:dyDescent="0.2">
      <c r="A299" s="268"/>
      <c r="B299" s="268" t="s">
        <v>108</v>
      </c>
      <c r="C299" s="268" t="s">
        <v>399</v>
      </c>
      <c r="D299" s="431" t="str">
        <f>GC!$B$14</f>
        <v>Termostato oculto con control de volumen bidireccional</v>
      </c>
      <c r="E299" s="249" t="s">
        <v>229</v>
      </c>
      <c r="F299" s="268" t="s">
        <v>354</v>
      </c>
      <c r="G299" s="249" t="s">
        <v>713</v>
      </c>
      <c r="H299" s="249" t="s">
        <v>435</v>
      </c>
      <c r="I299" s="268" t="s">
        <v>410</v>
      </c>
      <c r="J299" s="249">
        <v>1</v>
      </c>
      <c r="K299" s="268" t="s">
        <v>153</v>
      </c>
      <c r="L299" s="432">
        <f>GC!$F$14</f>
        <v>350.19605300000001</v>
      </c>
      <c r="M299" s="433">
        <f t="shared" si="20"/>
        <v>350.19605300000001</v>
      </c>
      <c r="N299" s="249">
        <v>0</v>
      </c>
      <c r="O299" s="433">
        <f t="shared" si="21"/>
        <v>0</v>
      </c>
      <c r="P299" s="434">
        <v>0.16</v>
      </c>
      <c r="Q299" s="433">
        <f t="shared" si="22"/>
        <v>56.031368480000005</v>
      </c>
      <c r="R299" s="433">
        <f t="shared" si="23"/>
        <v>406.22742148000003</v>
      </c>
      <c r="S299" s="433">
        <f>INDEX('Glosario Partidas'!$M$8:$M$10,MATCH(K299,'Glosario Partidas'!$L$8:$L$10,0))</f>
        <v>17.5</v>
      </c>
      <c r="T299" s="433">
        <f t="shared" si="24"/>
        <v>7108.9798759000005</v>
      </c>
      <c r="U299" s="268"/>
      <c r="V299" s="249" t="s">
        <v>12</v>
      </c>
      <c r="W299" s="249" t="s">
        <v>491</v>
      </c>
      <c r="X299" s="249"/>
    </row>
    <row r="300" spans="1:24" ht="15" customHeight="1" x14ac:dyDescent="0.2">
      <c r="A300" s="268"/>
      <c r="B300" s="268" t="s">
        <v>108</v>
      </c>
      <c r="C300" s="268" t="s">
        <v>399</v>
      </c>
      <c r="D300" s="431" t="str">
        <f>GC!$B$15</f>
        <v>Termostato empotrado (rough)</v>
      </c>
      <c r="E300" s="249" t="s">
        <v>229</v>
      </c>
      <c r="F300" s="268" t="s">
        <v>354</v>
      </c>
      <c r="G300" s="249" t="s">
        <v>713</v>
      </c>
      <c r="H300" s="249" t="s">
        <v>435</v>
      </c>
      <c r="I300" s="268" t="s">
        <v>410</v>
      </c>
      <c r="J300" s="249">
        <v>1</v>
      </c>
      <c r="K300" s="268" t="s">
        <v>153</v>
      </c>
      <c r="L300" s="432">
        <f>GC!$F$15</f>
        <v>313.33</v>
      </c>
      <c r="M300" s="433">
        <f t="shared" si="20"/>
        <v>313.33</v>
      </c>
      <c r="N300" s="249">
        <v>0</v>
      </c>
      <c r="O300" s="433">
        <f t="shared" si="21"/>
        <v>0</v>
      </c>
      <c r="P300" s="434">
        <v>0.16</v>
      </c>
      <c r="Q300" s="433">
        <f t="shared" si="22"/>
        <v>50.132799999999996</v>
      </c>
      <c r="R300" s="433">
        <f t="shared" si="23"/>
        <v>363.46279999999996</v>
      </c>
      <c r="S300" s="433">
        <f>INDEX('Glosario Partidas'!$M$8:$M$10,MATCH(K300,'Glosario Partidas'!$L$8:$L$10,0))</f>
        <v>17.5</v>
      </c>
      <c r="T300" s="433">
        <f t="shared" si="24"/>
        <v>6360.5989999999993</v>
      </c>
      <c r="U300" s="268"/>
      <c r="V300" s="249" t="s">
        <v>12</v>
      </c>
      <c r="W300" s="249" t="s">
        <v>491</v>
      </c>
      <c r="X300" s="249"/>
    </row>
    <row r="301" spans="1:24" ht="15" customHeight="1" x14ac:dyDescent="0.2">
      <c r="A301" s="268"/>
      <c r="B301" s="268" t="s">
        <v>108</v>
      </c>
      <c r="C301" s="268" t="s">
        <v>399</v>
      </c>
      <c r="D301" s="431" t="str">
        <f>GC!$B$10</f>
        <v>Soporte para papel higiénico sin cubierta</v>
      </c>
      <c r="E301" s="249" t="s">
        <v>229</v>
      </c>
      <c r="F301" s="268" t="s">
        <v>354</v>
      </c>
      <c r="G301" s="249" t="s">
        <v>713</v>
      </c>
      <c r="H301" s="249" t="s">
        <v>435</v>
      </c>
      <c r="I301" s="268" t="s">
        <v>410</v>
      </c>
      <c r="J301" s="249">
        <v>1</v>
      </c>
      <c r="K301" s="268" t="s">
        <v>153</v>
      </c>
      <c r="L301" s="432">
        <f>GC!$F$10</f>
        <v>238.874348</v>
      </c>
      <c r="M301" s="433">
        <f t="shared" si="20"/>
        <v>238.874348</v>
      </c>
      <c r="N301" s="249">
        <v>0</v>
      </c>
      <c r="O301" s="433">
        <f t="shared" si="21"/>
        <v>0</v>
      </c>
      <c r="P301" s="434">
        <v>0.16</v>
      </c>
      <c r="Q301" s="433">
        <f t="shared" si="22"/>
        <v>38.21989568</v>
      </c>
      <c r="R301" s="433">
        <f t="shared" si="23"/>
        <v>277.09424367999998</v>
      </c>
      <c r="S301" s="433">
        <f>INDEX('Glosario Partidas'!$M$8:$M$10,MATCH(K301,'Glosario Partidas'!$L$8:$L$10,0))</f>
        <v>17.5</v>
      </c>
      <c r="T301" s="433">
        <f t="shared" si="24"/>
        <v>4849.1492644</v>
      </c>
      <c r="U301" s="268"/>
      <c r="V301" s="249" t="s">
        <v>12</v>
      </c>
      <c r="W301" s="249" t="s">
        <v>491</v>
      </c>
      <c r="X301" s="249"/>
    </row>
    <row r="302" spans="1:24" ht="15" customHeight="1" x14ac:dyDescent="0.2">
      <c r="A302" s="268"/>
      <c r="B302" s="268" t="s">
        <v>108</v>
      </c>
      <c r="C302" s="268" t="s">
        <v>399</v>
      </c>
      <c r="D302" s="431" t="str">
        <f>GC!$B$18</f>
        <v>Bañera blanca exenta, con faldón integrado y bastidor (Cape Cod)</v>
      </c>
      <c r="E302" s="249" t="s">
        <v>229</v>
      </c>
      <c r="F302" s="268" t="s">
        <v>354</v>
      </c>
      <c r="G302" s="249" t="s">
        <v>713</v>
      </c>
      <c r="H302" s="249" t="s">
        <v>435</v>
      </c>
      <c r="I302" s="268" t="s">
        <v>410</v>
      </c>
      <c r="J302" s="249">
        <v>1</v>
      </c>
      <c r="K302" s="268" t="s">
        <v>153</v>
      </c>
      <c r="L302" s="432">
        <f>GC!$F$18</f>
        <v>4565</v>
      </c>
      <c r="M302" s="433">
        <f t="shared" si="20"/>
        <v>4565</v>
      </c>
      <c r="N302" s="249">
        <v>0</v>
      </c>
      <c r="O302" s="433">
        <f t="shared" si="21"/>
        <v>0</v>
      </c>
      <c r="P302" s="434">
        <v>0.16</v>
      </c>
      <c r="Q302" s="433">
        <f t="shared" si="22"/>
        <v>730.4</v>
      </c>
      <c r="R302" s="433">
        <f t="shared" si="23"/>
        <v>5295.4</v>
      </c>
      <c r="S302" s="433">
        <f>INDEX('Glosario Partidas'!$M$8:$M$10,MATCH(K302,'Glosario Partidas'!$L$8:$L$10,0))</f>
        <v>17.5</v>
      </c>
      <c r="T302" s="433">
        <f t="shared" si="24"/>
        <v>92669.5</v>
      </c>
      <c r="U302" s="268"/>
      <c r="V302" s="249" t="s">
        <v>12</v>
      </c>
      <c r="W302" s="249" t="s">
        <v>491</v>
      </c>
      <c r="X302" s="249"/>
    </row>
    <row r="303" spans="1:24" ht="15" customHeight="1" x14ac:dyDescent="0.2">
      <c r="A303" s="268"/>
      <c r="B303" s="268" t="s">
        <v>108</v>
      </c>
      <c r="C303" s="268" t="s">
        <v>399</v>
      </c>
      <c r="D303" s="268" t="s">
        <v>1086</v>
      </c>
      <c r="E303" s="249" t="s">
        <v>229</v>
      </c>
      <c r="F303" s="268" t="s">
        <v>354</v>
      </c>
      <c r="G303" s="249" t="s">
        <v>713</v>
      </c>
      <c r="H303" s="249" t="s">
        <v>435</v>
      </c>
      <c r="I303" s="268" t="s">
        <v>410</v>
      </c>
      <c r="J303" s="249">
        <v>0</v>
      </c>
      <c r="K303" s="268" t="s">
        <v>153</v>
      </c>
      <c r="L303" s="432">
        <v>0</v>
      </c>
      <c r="M303" s="433">
        <f t="shared" si="20"/>
        <v>0</v>
      </c>
      <c r="N303" s="249">
        <v>0</v>
      </c>
      <c r="O303" s="433">
        <f t="shared" si="21"/>
        <v>0</v>
      </c>
      <c r="P303" s="434">
        <v>0.16</v>
      </c>
      <c r="Q303" s="433">
        <f t="shared" si="22"/>
        <v>0</v>
      </c>
      <c r="R303" s="433">
        <f t="shared" si="23"/>
        <v>0</v>
      </c>
      <c r="S303" s="433">
        <f>INDEX('Glosario Partidas'!$M$8:$M$10,MATCH(K303,'Glosario Partidas'!$L$8:$L$10,0))</f>
        <v>17.5</v>
      </c>
      <c r="T303" s="433">
        <f t="shared" si="24"/>
        <v>0</v>
      </c>
      <c r="U303" s="268" t="s">
        <v>1087</v>
      </c>
      <c r="V303" s="249" t="s">
        <v>12</v>
      </c>
      <c r="W303" s="249" t="s">
        <v>491</v>
      </c>
      <c r="X303" s="249"/>
    </row>
    <row r="304" spans="1:24" ht="15" customHeight="1" x14ac:dyDescent="0.2">
      <c r="A304" s="268"/>
      <c r="B304" s="268" t="s">
        <v>108</v>
      </c>
      <c r="C304" s="268" t="s">
        <v>399</v>
      </c>
      <c r="D304" s="431" t="str">
        <f>GC!$B$16</f>
        <v>Monomando de bañera en columna para montaje exento con juego de ducha de mano</v>
      </c>
      <c r="E304" s="249" t="s">
        <v>229</v>
      </c>
      <c r="F304" s="268" t="s">
        <v>354</v>
      </c>
      <c r="G304" s="249" t="s">
        <v>713</v>
      </c>
      <c r="H304" s="249" t="s">
        <v>435</v>
      </c>
      <c r="I304" s="268" t="s">
        <v>410</v>
      </c>
      <c r="J304" s="249">
        <v>1</v>
      </c>
      <c r="K304" s="268" t="s">
        <v>153</v>
      </c>
      <c r="L304" s="432">
        <f>GC!$F$16</f>
        <v>1904.2149999999999</v>
      </c>
      <c r="M304" s="433">
        <f t="shared" si="20"/>
        <v>1904.2149999999999</v>
      </c>
      <c r="N304" s="249">
        <v>0</v>
      </c>
      <c r="O304" s="433">
        <f t="shared" si="21"/>
        <v>0</v>
      </c>
      <c r="P304" s="434">
        <v>0.16</v>
      </c>
      <c r="Q304" s="433">
        <f t="shared" si="22"/>
        <v>304.67439999999999</v>
      </c>
      <c r="R304" s="433">
        <f t="shared" si="23"/>
        <v>2208.8894</v>
      </c>
      <c r="S304" s="433">
        <f>INDEX('Glosario Partidas'!$M$8:$M$10,MATCH(K304,'Glosario Partidas'!$L$8:$L$10,0))</f>
        <v>17.5</v>
      </c>
      <c r="T304" s="433">
        <f t="shared" si="24"/>
        <v>38655.5645</v>
      </c>
      <c r="U304" s="268"/>
      <c r="V304" s="249" t="s">
        <v>12</v>
      </c>
      <c r="W304" s="249" t="s">
        <v>491</v>
      </c>
      <c r="X304" s="249"/>
    </row>
    <row r="305" spans="1:24" ht="15" customHeight="1" x14ac:dyDescent="0.2">
      <c r="A305" s="268"/>
      <c r="B305" s="268" t="s">
        <v>108</v>
      </c>
      <c r="C305" s="268" t="s">
        <v>399</v>
      </c>
      <c r="D305" s="431" t="str">
        <f>GC!$B$17</f>
        <v>Fijación al suelo empotrado (rough)</v>
      </c>
      <c r="E305" s="249" t="s">
        <v>229</v>
      </c>
      <c r="F305" s="268" t="s">
        <v>354</v>
      </c>
      <c r="G305" s="249" t="s">
        <v>713</v>
      </c>
      <c r="H305" s="249" t="s">
        <v>435</v>
      </c>
      <c r="I305" s="268" t="s">
        <v>410</v>
      </c>
      <c r="J305" s="249">
        <v>1</v>
      </c>
      <c r="K305" s="268" t="s">
        <v>153</v>
      </c>
      <c r="L305" s="432">
        <f>GC!$F$17</f>
        <v>292.73</v>
      </c>
      <c r="M305" s="433">
        <f t="shared" si="20"/>
        <v>292.73</v>
      </c>
      <c r="N305" s="249">
        <v>0</v>
      </c>
      <c r="O305" s="433">
        <f t="shared" si="21"/>
        <v>0</v>
      </c>
      <c r="P305" s="434">
        <v>0.16</v>
      </c>
      <c r="Q305" s="433">
        <f t="shared" si="22"/>
        <v>46.836800000000004</v>
      </c>
      <c r="R305" s="433">
        <f t="shared" si="23"/>
        <v>339.5668</v>
      </c>
      <c r="S305" s="433">
        <f>INDEX('Glosario Partidas'!$M$8:$M$10,MATCH(K305,'Glosario Partidas'!$L$8:$L$10,0))</f>
        <v>17.5</v>
      </c>
      <c r="T305" s="433">
        <f t="shared" si="24"/>
        <v>5942.4189999999999</v>
      </c>
      <c r="U305" s="268"/>
      <c r="V305" s="249" t="s">
        <v>12</v>
      </c>
      <c r="W305" s="249" t="s">
        <v>491</v>
      </c>
      <c r="X305" s="249"/>
    </row>
    <row r="306" spans="1:24" ht="15" customHeight="1" x14ac:dyDescent="0.2">
      <c r="A306" s="268"/>
      <c r="B306" s="268" t="s">
        <v>108</v>
      </c>
      <c r="C306" s="268" t="s">
        <v>399</v>
      </c>
      <c r="D306" s="431" t="str">
        <f>GC!$B$9</f>
        <v>Barra de agarre / Toallero chico 45cm</v>
      </c>
      <c r="E306" s="249" t="s">
        <v>229</v>
      </c>
      <c r="F306" s="268" t="s">
        <v>354</v>
      </c>
      <c r="G306" s="249" t="s">
        <v>713</v>
      </c>
      <c r="H306" s="249" t="s">
        <v>435</v>
      </c>
      <c r="I306" s="268" t="s">
        <v>410</v>
      </c>
      <c r="J306" s="249">
        <v>2</v>
      </c>
      <c r="K306" s="268" t="s">
        <v>153</v>
      </c>
      <c r="L306" s="432">
        <f>GC!$F$9</f>
        <v>471.15</v>
      </c>
      <c r="M306" s="433">
        <f t="shared" si="20"/>
        <v>942.3</v>
      </c>
      <c r="N306" s="249">
        <v>0</v>
      </c>
      <c r="O306" s="433">
        <f t="shared" si="21"/>
        <v>0</v>
      </c>
      <c r="P306" s="434">
        <v>0.16</v>
      </c>
      <c r="Q306" s="433">
        <f t="shared" si="22"/>
        <v>150.768</v>
      </c>
      <c r="R306" s="433">
        <f t="shared" si="23"/>
        <v>1093.068</v>
      </c>
      <c r="S306" s="433">
        <f>INDEX('Glosario Partidas'!$M$8:$M$10,MATCH(K306,'Glosario Partidas'!$L$8:$L$10,0))</f>
        <v>17.5</v>
      </c>
      <c r="T306" s="433">
        <f t="shared" si="24"/>
        <v>19128.689999999999</v>
      </c>
      <c r="U306" s="268"/>
      <c r="V306" s="249" t="s">
        <v>12</v>
      </c>
      <c r="W306" s="249" t="s">
        <v>491</v>
      </c>
      <c r="X306" s="249"/>
    </row>
    <row r="307" spans="1:24" ht="15" customHeight="1" x14ac:dyDescent="0.2">
      <c r="A307" s="268"/>
      <c r="B307" s="268" t="s">
        <v>108</v>
      </c>
      <c r="C307" s="268" t="s">
        <v>399</v>
      </c>
      <c r="D307" s="431" t="str">
        <f>GC!$B$11</f>
        <v>Gancho</v>
      </c>
      <c r="E307" s="249" t="s">
        <v>229</v>
      </c>
      <c r="F307" s="268" t="s">
        <v>354</v>
      </c>
      <c r="G307" s="249" t="s">
        <v>713</v>
      </c>
      <c r="H307" s="249" t="s">
        <v>435</v>
      </c>
      <c r="I307" s="268" t="s">
        <v>410</v>
      </c>
      <c r="J307" s="249">
        <v>2</v>
      </c>
      <c r="K307" s="268" t="s">
        <v>153</v>
      </c>
      <c r="L307" s="432">
        <f>GC!$F$11</f>
        <v>61.111086999999998</v>
      </c>
      <c r="M307" s="433">
        <f t="shared" si="20"/>
        <v>122.222174</v>
      </c>
      <c r="N307" s="249">
        <v>0</v>
      </c>
      <c r="O307" s="433">
        <f t="shared" si="21"/>
        <v>0</v>
      </c>
      <c r="P307" s="434">
        <v>0.16</v>
      </c>
      <c r="Q307" s="433">
        <f t="shared" si="22"/>
        <v>19.555547839999999</v>
      </c>
      <c r="R307" s="433">
        <f t="shared" si="23"/>
        <v>141.77772184</v>
      </c>
      <c r="S307" s="433">
        <f>INDEX('Glosario Partidas'!$M$8:$M$10,MATCH(K307,'Glosario Partidas'!$L$8:$L$10,0))</f>
        <v>17.5</v>
      </c>
      <c r="T307" s="433">
        <f t="shared" si="24"/>
        <v>2481.1101322</v>
      </c>
      <c r="U307" s="268"/>
      <c r="V307" s="249" t="s">
        <v>12</v>
      </c>
      <c r="W307" s="249" t="s">
        <v>491</v>
      </c>
      <c r="X307" s="249"/>
    </row>
    <row r="308" spans="1:24" ht="15" customHeight="1" x14ac:dyDescent="0.2">
      <c r="A308" s="268"/>
      <c r="B308" s="268" t="s">
        <v>108</v>
      </c>
      <c r="C308" s="268" t="s">
        <v>400</v>
      </c>
      <c r="D308" s="431" t="str">
        <f>GC!$B$7</f>
        <v>Inodoro a piso de una pieza (Starck 3)</v>
      </c>
      <c r="E308" s="249" t="s">
        <v>229</v>
      </c>
      <c r="F308" s="268" t="s">
        <v>221</v>
      </c>
      <c r="G308" s="249" t="s">
        <v>708</v>
      </c>
      <c r="H308" s="249" t="s">
        <v>435</v>
      </c>
      <c r="I308" s="268" t="s">
        <v>410</v>
      </c>
      <c r="J308" s="249">
        <v>1</v>
      </c>
      <c r="K308" s="268" t="s">
        <v>153</v>
      </c>
      <c r="L308" s="432">
        <f>GC!$F$7</f>
        <v>667.07</v>
      </c>
      <c r="M308" s="433">
        <f t="shared" si="20"/>
        <v>667.07</v>
      </c>
      <c r="N308" s="249">
        <v>0</v>
      </c>
      <c r="O308" s="433">
        <f t="shared" si="21"/>
        <v>0</v>
      </c>
      <c r="P308" s="434">
        <v>0.16</v>
      </c>
      <c r="Q308" s="433">
        <f t="shared" si="22"/>
        <v>106.73120000000002</v>
      </c>
      <c r="R308" s="433">
        <f t="shared" si="23"/>
        <v>773.80120000000011</v>
      </c>
      <c r="S308" s="433">
        <f>INDEX('Glosario Partidas'!$M$8:$M$10,MATCH(K308,'Glosario Partidas'!$L$8:$L$10,0))</f>
        <v>17.5</v>
      </c>
      <c r="T308" s="433">
        <f t="shared" si="24"/>
        <v>13541.521000000002</v>
      </c>
      <c r="U308" s="268"/>
      <c r="V308" s="249" t="s">
        <v>12</v>
      </c>
      <c r="W308" s="249" t="s">
        <v>491</v>
      </c>
      <c r="X308" s="249"/>
    </row>
    <row r="309" spans="1:24" ht="15" customHeight="1" x14ac:dyDescent="0.2">
      <c r="A309" s="268"/>
      <c r="B309" s="268" t="s">
        <v>108</v>
      </c>
      <c r="C309" s="268" t="s">
        <v>400</v>
      </c>
      <c r="D309" s="431" t="str">
        <f>GC!$B$8</f>
        <v>Monomando de lavabo con válvula automática</v>
      </c>
      <c r="E309" s="249" t="s">
        <v>229</v>
      </c>
      <c r="F309" s="268" t="s">
        <v>221</v>
      </c>
      <c r="G309" s="249" t="s">
        <v>708</v>
      </c>
      <c r="H309" s="249" t="s">
        <v>435</v>
      </c>
      <c r="I309" s="268" t="s">
        <v>410</v>
      </c>
      <c r="J309" s="249">
        <v>2</v>
      </c>
      <c r="K309" s="268" t="s">
        <v>153</v>
      </c>
      <c r="L309" s="432">
        <f>GC!$F$8</f>
        <v>975.99151900000004</v>
      </c>
      <c r="M309" s="433">
        <f t="shared" si="20"/>
        <v>1951.9830380000001</v>
      </c>
      <c r="N309" s="249">
        <v>0</v>
      </c>
      <c r="O309" s="433">
        <f t="shared" si="21"/>
        <v>0</v>
      </c>
      <c r="P309" s="434">
        <v>0.16</v>
      </c>
      <c r="Q309" s="433">
        <f t="shared" si="22"/>
        <v>312.31728608000003</v>
      </c>
      <c r="R309" s="433">
        <f t="shared" si="23"/>
        <v>2264.3003240799999</v>
      </c>
      <c r="S309" s="433">
        <f>INDEX('Glosario Partidas'!$M$8:$M$10,MATCH(K309,'Glosario Partidas'!$L$8:$L$10,0))</f>
        <v>17.5</v>
      </c>
      <c r="T309" s="433">
        <f t="shared" si="24"/>
        <v>39625.255671399995</v>
      </c>
      <c r="U309" s="268"/>
      <c r="V309" s="249" t="s">
        <v>12</v>
      </c>
      <c r="W309" s="249" t="s">
        <v>491</v>
      </c>
      <c r="X309" s="249"/>
    </row>
    <row r="310" spans="1:24" ht="15" customHeight="1" x14ac:dyDescent="0.2">
      <c r="A310" s="268"/>
      <c r="B310" s="268" t="s">
        <v>108</v>
      </c>
      <c r="C310" s="268" t="s">
        <v>400</v>
      </c>
      <c r="D310" s="431" t="str">
        <f>GC!$B$21</f>
        <v>Soporte para vidrio (SERIES SPECIFIC, XS-081077, Brushed Dark Platinum)</v>
      </c>
      <c r="E310" s="249" t="s">
        <v>229</v>
      </c>
      <c r="F310" s="268" t="s">
        <v>221</v>
      </c>
      <c r="G310" s="249" t="s">
        <v>708</v>
      </c>
      <c r="H310" s="249" t="s">
        <v>435</v>
      </c>
      <c r="I310" s="268" t="s">
        <v>410</v>
      </c>
      <c r="J310" s="249">
        <v>2</v>
      </c>
      <c r="K310" s="268" t="s">
        <v>153</v>
      </c>
      <c r="L310" s="432">
        <f>GC!$F$21</f>
        <v>281.02</v>
      </c>
      <c r="M310" s="433">
        <f t="shared" si="20"/>
        <v>562.04</v>
      </c>
      <c r="N310" s="249">
        <v>0</v>
      </c>
      <c r="O310" s="433">
        <f t="shared" si="21"/>
        <v>0</v>
      </c>
      <c r="P310" s="434">
        <v>0.16</v>
      </c>
      <c r="Q310" s="433">
        <f t="shared" si="22"/>
        <v>89.926400000000001</v>
      </c>
      <c r="R310" s="433">
        <f t="shared" si="23"/>
        <v>651.96640000000002</v>
      </c>
      <c r="S310" s="433">
        <f>INDEX('Glosario Partidas'!$M$8:$M$10,MATCH(K310,'Glosario Partidas'!$L$8:$L$10,0))</f>
        <v>17.5</v>
      </c>
      <c r="T310" s="433">
        <f t="shared" si="24"/>
        <v>11409.412</v>
      </c>
      <c r="U310" s="268" t="s">
        <v>1084</v>
      </c>
      <c r="V310" s="249" t="s">
        <v>12</v>
      </c>
      <c r="W310" s="249" t="s">
        <v>491</v>
      </c>
      <c r="X310" s="249"/>
    </row>
    <row r="311" spans="1:24" ht="15" customHeight="1" x14ac:dyDescent="0.2">
      <c r="A311" s="268"/>
      <c r="B311" s="268" t="s">
        <v>108</v>
      </c>
      <c r="C311" s="268" t="s">
        <v>400</v>
      </c>
      <c r="D311" s="431" t="str">
        <f>GC!$B$12</f>
        <v>Set de ducha de mano con soporte de pared integrado</v>
      </c>
      <c r="E311" s="249" t="s">
        <v>229</v>
      </c>
      <c r="F311" s="268" t="s">
        <v>221</v>
      </c>
      <c r="G311" s="249" t="s">
        <v>708</v>
      </c>
      <c r="H311" s="249" t="s">
        <v>435</v>
      </c>
      <c r="I311" s="268" t="s">
        <v>410</v>
      </c>
      <c r="J311" s="249">
        <v>1</v>
      </c>
      <c r="K311" s="268" t="s">
        <v>153</v>
      </c>
      <c r="L311" s="432">
        <f>GC!$F$12</f>
        <v>325.25947400000001</v>
      </c>
      <c r="M311" s="433">
        <f t="shared" si="20"/>
        <v>325.25947400000001</v>
      </c>
      <c r="N311" s="249">
        <v>0</v>
      </c>
      <c r="O311" s="433">
        <f t="shared" si="21"/>
        <v>0</v>
      </c>
      <c r="P311" s="434">
        <v>0.16</v>
      </c>
      <c r="Q311" s="433">
        <f t="shared" si="22"/>
        <v>52.041515840000002</v>
      </c>
      <c r="R311" s="433">
        <f t="shared" si="23"/>
        <v>377.30098984</v>
      </c>
      <c r="S311" s="433">
        <f>INDEX('Glosario Partidas'!$M$8:$M$10,MATCH(K311,'Glosario Partidas'!$L$8:$L$10,0))</f>
        <v>17.5</v>
      </c>
      <c r="T311" s="433">
        <f t="shared" si="24"/>
        <v>6602.7673222000003</v>
      </c>
      <c r="U311" s="268"/>
      <c r="V311" s="249" t="s">
        <v>12</v>
      </c>
      <c r="W311" s="249" t="s">
        <v>491</v>
      </c>
      <c r="X311" s="249"/>
    </row>
    <row r="312" spans="1:24" ht="15" customHeight="1" x14ac:dyDescent="0.2">
      <c r="A312" s="268"/>
      <c r="B312" s="268" t="s">
        <v>108</v>
      </c>
      <c r="C312" s="268" t="s">
        <v>400</v>
      </c>
      <c r="D312" s="431" t="str">
        <f>GC!$B$13</f>
        <v>Ducha efecto lluvia con fijación a pared 400 mm</v>
      </c>
      <c r="E312" s="249" t="s">
        <v>229</v>
      </c>
      <c r="F312" s="268" t="s">
        <v>221</v>
      </c>
      <c r="G312" s="249" t="s">
        <v>708</v>
      </c>
      <c r="H312" s="249" t="s">
        <v>435</v>
      </c>
      <c r="I312" s="268" t="s">
        <v>410</v>
      </c>
      <c r="J312" s="249">
        <v>1</v>
      </c>
      <c r="K312" s="268" t="s">
        <v>153</v>
      </c>
      <c r="L312" s="432">
        <f>GC!$F$13</f>
        <v>1807.197105</v>
      </c>
      <c r="M312" s="433">
        <f t="shared" si="20"/>
        <v>1807.197105</v>
      </c>
      <c r="N312" s="249">
        <v>0</v>
      </c>
      <c r="O312" s="433">
        <f t="shared" si="21"/>
        <v>0</v>
      </c>
      <c r="P312" s="434">
        <v>0.16</v>
      </c>
      <c r="Q312" s="433">
        <f t="shared" si="22"/>
        <v>289.15153679999997</v>
      </c>
      <c r="R312" s="433">
        <f t="shared" si="23"/>
        <v>2096.3486417999998</v>
      </c>
      <c r="S312" s="433">
        <f>INDEX('Glosario Partidas'!$M$8:$M$10,MATCH(K312,'Glosario Partidas'!$L$8:$L$10,0))</f>
        <v>17.5</v>
      </c>
      <c r="T312" s="433">
        <f t="shared" si="24"/>
        <v>36686.101231499997</v>
      </c>
      <c r="U312" s="268"/>
      <c r="V312" s="249" t="s">
        <v>12</v>
      </c>
      <c r="W312" s="249" t="s">
        <v>491</v>
      </c>
      <c r="X312" s="249"/>
    </row>
    <row r="313" spans="1:24" ht="15" customHeight="1" x14ac:dyDescent="0.2">
      <c r="A313" s="268"/>
      <c r="B313" s="268" t="s">
        <v>108</v>
      </c>
      <c r="C313" s="268" t="s">
        <v>400</v>
      </c>
      <c r="D313" s="431" t="str">
        <f>GC!$B$22</f>
        <v>Canaleta de ducha para piedra natural TECE showerline (15201082)</v>
      </c>
      <c r="E313" s="249" t="s">
        <v>229</v>
      </c>
      <c r="F313" s="268" t="s">
        <v>221</v>
      </c>
      <c r="G313" s="249" t="s">
        <v>708</v>
      </c>
      <c r="H313" s="249" t="s">
        <v>435</v>
      </c>
      <c r="I313" s="268" t="s">
        <v>410</v>
      </c>
      <c r="J313" s="249">
        <v>1</v>
      </c>
      <c r="K313" s="268" t="s">
        <v>153</v>
      </c>
      <c r="L313" s="432">
        <f>GC!$F$22</f>
        <v>290.33763199999999</v>
      </c>
      <c r="M313" s="433">
        <f t="shared" si="20"/>
        <v>290.33763199999999</v>
      </c>
      <c r="N313" s="249">
        <v>0</v>
      </c>
      <c r="O313" s="433">
        <f t="shared" si="21"/>
        <v>0</v>
      </c>
      <c r="P313" s="434">
        <v>0.16</v>
      </c>
      <c r="Q313" s="433">
        <f t="shared" si="22"/>
        <v>46.45402112</v>
      </c>
      <c r="R313" s="433">
        <f t="shared" si="23"/>
        <v>336.79165311999998</v>
      </c>
      <c r="S313" s="433">
        <f>INDEX('Glosario Partidas'!$M$8:$M$10,MATCH(K313,'Glosario Partidas'!$L$8:$L$10,0))</f>
        <v>17.5</v>
      </c>
      <c r="T313" s="433">
        <f t="shared" si="24"/>
        <v>5893.8539295999999</v>
      </c>
      <c r="U313" s="268" t="s">
        <v>1085</v>
      </c>
      <c r="V313" s="249" t="s">
        <v>12</v>
      </c>
      <c r="W313" s="249" t="s">
        <v>491</v>
      </c>
      <c r="X313" s="249"/>
    </row>
    <row r="314" spans="1:24" ht="15" customHeight="1" x14ac:dyDescent="0.2">
      <c r="A314" s="268"/>
      <c r="B314" s="268" t="s">
        <v>108</v>
      </c>
      <c r="C314" s="268" t="s">
        <v>400</v>
      </c>
      <c r="D314" s="431" t="str">
        <f>GC!$B$14</f>
        <v>Termostato oculto con control de volumen bidireccional</v>
      </c>
      <c r="E314" s="249" t="s">
        <v>229</v>
      </c>
      <c r="F314" s="268" t="s">
        <v>221</v>
      </c>
      <c r="G314" s="249" t="s">
        <v>708</v>
      </c>
      <c r="H314" s="249" t="s">
        <v>435</v>
      </c>
      <c r="I314" s="268" t="s">
        <v>410</v>
      </c>
      <c r="J314" s="249">
        <v>1</v>
      </c>
      <c r="K314" s="268" t="s">
        <v>153</v>
      </c>
      <c r="L314" s="432">
        <f>GC!$F$14</f>
        <v>350.19605300000001</v>
      </c>
      <c r="M314" s="433">
        <f t="shared" si="20"/>
        <v>350.19605300000001</v>
      </c>
      <c r="N314" s="249">
        <v>0</v>
      </c>
      <c r="O314" s="433">
        <f t="shared" si="21"/>
        <v>0</v>
      </c>
      <c r="P314" s="434">
        <v>0.16</v>
      </c>
      <c r="Q314" s="433">
        <f t="shared" si="22"/>
        <v>56.031368480000005</v>
      </c>
      <c r="R314" s="433">
        <f t="shared" si="23"/>
        <v>406.22742148000003</v>
      </c>
      <c r="S314" s="433">
        <f>INDEX('Glosario Partidas'!$M$8:$M$10,MATCH(K314,'Glosario Partidas'!$L$8:$L$10,0))</f>
        <v>17.5</v>
      </c>
      <c r="T314" s="433">
        <f t="shared" si="24"/>
        <v>7108.9798759000005</v>
      </c>
      <c r="U314" s="268"/>
      <c r="V314" s="249" t="s">
        <v>12</v>
      </c>
      <c r="W314" s="249" t="s">
        <v>491</v>
      </c>
      <c r="X314" s="249"/>
    </row>
    <row r="315" spans="1:24" ht="15" customHeight="1" x14ac:dyDescent="0.2">
      <c r="A315" s="268"/>
      <c r="B315" s="268" t="s">
        <v>108</v>
      </c>
      <c r="C315" s="268" t="s">
        <v>400</v>
      </c>
      <c r="D315" s="431" t="str">
        <f>GC!$B$15</f>
        <v>Termostato empotrado (rough)</v>
      </c>
      <c r="E315" s="249" t="s">
        <v>229</v>
      </c>
      <c r="F315" s="268" t="s">
        <v>221</v>
      </c>
      <c r="G315" s="249" t="s">
        <v>708</v>
      </c>
      <c r="H315" s="249" t="s">
        <v>435</v>
      </c>
      <c r="I315" s="268" t="s">
        <v>410</v>
      </c>
      <c r="J315" s="249">
        <v>1</v>
      </c>
      <c r="K315" s="268" t="s">
        <v>153</v>
      </c>
      <c r="L315" s="432">
        <f>GC!$F$15</f>
        <v>313.33</v>
      </c>
      <c r="M315" s="433">
        <f t="shared" si="20"/>
        <v>313.33</v>
      </c>
      <c r="N315" s="249">
        <v>0</v>
      </c>
      <c r="O315" s="433">
        <f t="shared" si="21"/>
        <v>0</v>
      </c>
      <c r="P315" s="434">
        <v>0.16</v>
      </c>
      <c r="Q315" s="433">
        <f t="shared" si="22"/>
        <v>50.132799999999996</v>
      </c>
      <c r="R315" s="433">
        <f t="shared" si="23"/>
        <v>363.46279999999996</v>
      </c>
      <c r="S315" s="433">
        <f>INDEX('Glosario Partidas'!$M$8:$M$10,MATCH(K315,'Glosario Partidas'!$L$8:$L$10,0))</f>
        <v>17.5</v>
      </c>
      <c r="T315" s="433">
        <f t="shared" si="24"/>
        <v>6360.5989999999993</v>
      </c>
      <c r="U315" s="268"/>
      <c r="V315" s="249" t="s">
        <v>12</v>
      </c>
      <c r="W315" s="249" t="s">
        <v>491</v>
      </c>
      <c r="X315" s="249"/>
    </row>
    <row r="316" spans="1:24" ht="15" customHeight="1" x14ac:dyDescent="0.2">
      <c r="A316" s="268"/>
      <c r="B316" s="268" t="s">
        <v>108</v>
      </c>
      <c r="C316" s="268" t="s">
        <v>400</v>
      </c>
      <c r="D316" s="431" t="str">
        <f>GC!$B$10</f>
        <v>Soporte para papel higiénico sin cubierta</v>
      </c>
      <c r="E316" s="249" t="s">
        <v>229</v>
      </c>
      <c r="F316" s="268" t="s">
        <v>221</v>
      </c>
      <c r="G316" s="249" t="s">
        <v>708</v>
      </c>
      <c r="H316" s="249" t="s">
        <v>435</v>
      </c>
      <c r="I316" s="268" t="s">
        <v>410</v>
      </c>
      <c r="J316" s="249">
        <v>1</v>
      </c>
      <c r="K316" s="268" t="s">
        <v>153</v>
      </c>
      <c r="L316" s="432">
        <f>GC!$F$10</f>
        <v>238.874348</v>
      </c>
      <c r="M316" s="433">
        <f t="shared" si="20"/>
        <v>238.874348</v>
      </c>
      <c r="N316" s="249">
        <v>0</v>
      </c>
      <c r="O316" s="433">
        <f t="shared" si="21"/>
        <v>0</v>
      </c>
      <c r="P316" s="434">
        <v>0.16</v>
      </c>
      <c r="Q316" s="433">
        <f t="shared" si="22"/>
        <v>38.21989568</v>
      </c>
      <c r="R316" s="433">
        <f t="shared" si="23"/>
        <v>277.09424367999998</v>
      </c>
      <c r="S316" s="433">
        <f>INDEX('Glosario Partidas'!$M$8:$M$10,MATCH(K316,'Glosario Partidas'!$L$8:$L$10,0))</f>
        <v>17.5</v>
      </c>
      <c r="T316" s="433">
        <f t="shared" si="24"/>
        <v>4849.1492644</v>
      </c>
      <c r="U316" s="268"/>
      <c r="V316" s="249" t="s">
        <v>12</v>
      </c>
      <c r="W316" s="249" t="s">
        <v>491</v>
      </c>
      <c r="X316" s="249"/>
    </row>
    <row r="317" spans="1:24" ht="15" customHeight="1" x14ac:dyDescent="0.2">
      <c r="A317" s="268"/>
      <c r="B317" s="268" t="s">
        <v>108</v>
      </c>
      <c r="C317" s="268" t="s">
        <v>400</v>
      </c>
      <c r="D317" s="431" t="str">
        <f>GC!$B$9</f>
        <v>Barra de agarre / Toallero chico 45cm</v>
      </c>
      <c r="E317" s="249" t="s">
        <v>229</v>
      </c>
      <c r="F317" s="268" t="s">
        <v>221</v>
      </c>
      <c r="G317" s="249" t="s">
        <v>708</v>
      </c>
      <c r="H317" s="249" t="s">
        <v>435</v>
      </c>
      <c r="I317" s="268" t="s">
        <v>410</v>
      </c>
      <c r="J317" s="249">
        <v>2</v>
      </c>
      <c r="K317" s="268" t="s">
        <v>153</v>
      </c>
      <c r="L317" s="432">
        <f>GC!$F$9</f>
        <v>471.15</v>
      </c>
      <c r="M317" s="433">
        <f t="shared" si="20"/>
        <v>942.3</v>
      </c>
      <c r="N317" s="249">
        <v>0</v>
      </c>
      <c r="O317" s="433">
        <f t="shared" si="21"/>
        <v>0</v>
      </c>
      <c r="P317" s="434">
        <v>0.16</v>
      </c>
      <c r="Q317" s="433">
        <f t="shared" si="22"/>
        <v>150.768</v>
      </c>
      <c r="R317" s="433">
        <f t="shared" si="23"/>
        <v>1093.068</v>
      </c>
      <c r="S317" s="433">
        <f>INDEX('Glosario Partidas'!$M$8:$M$10,MATCH(K317,'Glosario Partidas'!$L$8:$L$10,0))</f>
        <v>17.5</v>
      </c>
      <c r="T317" s="433">
        <f t="shared" si="24"/>
        <v>19128.689999999999</v>
      </c>
      <c r="U317" s="268"/>
      <c r="V317" s="249" t="s">
        <v>12</v>
      </c>
      <c r="W317" s="249" t="s">
        <v>491</v>
      </c>
      <c r="X317" s="249"/>
    </row>
    <row r="318" spans="1:24" ht="15" customHeight="1" x14ac:dyDescent="0.2">
      <c r="A318" s="268"/>
      <c r="B318" s="268" t="s">
        <v>108</v>
      </c>
      <c r="C318" s="268" t="s">
        <v>400</v>
      </c>
      <c r="D318" s="431" t="str">
        <f>GC!$B$11</f>
        <v>Gancho</v>
      </c>
      <c r="E318" s="249" t="s">
        <v>229</v>
      </c>
      <c r="F318" s="268" t="s">
        <v>221</v>
      </c>
      <c r="G318" s="249" t="s">
        <v>708</v>
      </c>
      <c r="H318" s="249" t="s">
        <v>435</v>
      </c>
      <c r="I318" s="268" t="s">
        <v>410</v>
      </c>
      <c r="J318" s="249">
        <v>2</v>
      </c>
      <c r="K318" s="268" t="s">
        <v>153</v>
      </c>
      <c r="L318" s="432">
        <f>GC!$F$11</f>
        <v>61.111086999999998</v>
      </c>
      <c r="M318" s="433">
        <f t="shared" si="20"/>
        <v>122.222174</v>
      </c>
      <c r="N318" s="249">
        <v>0</v>
      </c>
      <c r="O318" s="433">
        <f t="shared" si="21"/>
        <v>0</v>
      </c>
      <c r="P318" s="434">
        <v>0.16</v>
      </c>
      <c r="Q318" s="433">
        <f t="shared" si="22"/>
        <v>19.555547839999999</v>
      </c>
      <c r="R318" s="433">
        <f t="shared" si="23"/>
        <v>141.77772184</v>
      </c>
      <c r="S318" s="433">
        <f>INDEX('Glosario Partidas'!$M$8:$M$10,MATCH(K318,'Glosario Partidas'!$L$8:$L$10,0))</f>
        <v>17.5</v>
      </c>
      <c r="T318" s="433">
        <f t="shared" si="24"/>
        <v>2481.1101322</v>
      </c>
      <c r="U318" s="268"/>
      <c r="V318" s="249" t="s">
        <v>12</v>
      </c>
      <c r="W318" s="249" t="s">
        <v>491</v>
      </c>
      <c r="X318" s="249"/>
    </row>
    <row r="319" spans="1:24" ht="15" customHeight="1" x14ac:dyDescent="0.2">
      <c r="A319" s="268"/>
      <c r="B319" s="268" t="s">
        <v>108</v>
      </c>
      <c r="C319" s="268" t="s">
        <v>400</v>
      </c>
      <c r="D319" s="431" t="str">
        <f>GC!$B$7</f>
        <v>Inodoro a piso de una pieza (Starck 3)</v>
      </c>
      <c r="E319" s="249" t="s">
        <v>229</v>
      </c>
      <c r="F319" s="268" t="s">
        <v>354</v>
      </c>
      <c r="G319" s="249" t="s">
        <v>711</v>
      </c>
      <c r="H319" s="249" t="s">
        <v>435</v>
      </c>
      <c r="I319" s="268" t="s">
        <v>410</v>
      </c>
      <c r="J319" s="249">
        <v>1</v>
      </c>
      <c r="K319" s="268" t="s">
        <v>153</v>
      </c>
      <c r="L319" s="432">
        <f>GC!$F$7</f>
        <v>667.07</v>
      </c>
      <c r="M319" s="433">
        <f t="shared" si="20"/>
        <v>667.07</v>
      </c>
      <c r="N319" s="249">
        <v>0</v>
      </c>
      <c r="O319" s="433">
        <f t="shared" si="21"/>
        <v>0</v>
      </c>
      <c r="P319" s="434">
        <v>0.16</v>
      </c>
      <c r="Q319" s="433">
        <f t="shared" si="22"/>
        <v>106.73120000000002</v>
      </c>
      <c r="R319" s="433">
        <f t="shared" si="23"/>
        <v>773.80120000000011</v>
      </c>
      <c r="S319" s="433">
        <f>INDEX('Glosario Partidas'!$M$8:$M$10,MATCH(K319,'Glosario Partidas'!$L$8:$L$10,0))</f>
        <v>17.5</v>
      </c>
      <c r="T319" s="433">
        <f t="shared" si="24"/>
        <v>13541.521000000002</v>
      </c>
      <c r="U319" s="268"/>
      <c r="V319" s="249" t="s">
        <v>12</v>
      </c>
      <c r="W319" s="249" t="s">
        <v>491</v>
      </c>
      <c r="X319" s="249"/>
    </row>
    <row r="320" spans="1:24" ht="15" customHeight="1" x14ac:dyDescent="0.2">
      <c r="A320" s="268"/>
      <c r="B320" s="268" t="s">
        <v>108</v>
      </c>
      <c r="C320" s="268" t="s">
        <v>400</v>
      </c>
      <c r="D320" s="431" t="str">
        <f>GC!$B$8</f>
        <v>Monomando de lavabo con válvula automática</v>
      </c>
      <c r="E320" s="249" t="s">
        <v>229</v>
      </c>
      <c r="F320" s="268" t="s">
        <v>354</v>
      </c>
      <c r="G320" s="249" t="s">
        <v>711</v>
      </c>
      <c r="H320" s="249" t="s">
        <v>435</v>
      </c>
      <c r="I320" s="268" t="s">
        <v>410</v>
      </c>
      <c r="J320" s="249">
        <v>2</v>
      </c>
      <c r="K320" s="268" t="s">
        <v>153</v>
      </c>
      <c r="L320" s="432">
        <f>GC!$F$8</f>
        <v>975.99151900000004</v>
      </c>
      <c r="M320" s="433">
        <f t="shared" si="20"/>
        <v>1951.9830380000001</v>
      </c>
      <c r="N320" s="249">
        <v>0</v>
      </c>
      <c r="O320" s="433">
        <f t="shared" si="21"/>
        <v>0</v>
      </c>
      <c r="P320" s="434">
        <v>0.16</v>
      </c>
      <c r="Q320" s="433">
        <f t="shared" si="22"/>
        <v>312.31728608000003</v>
      </c>
      <c r="R320" s="433">
        <f t="shared" si="23"/>
        <v>2264.3003240799999</v>
      </c>
      <c r="S320" s="433">
        <f>INDEX('Glosario Partidas'!$M$8:$M$10,MATCH(K320,'Glosario Partidas'!$L$8:$L$10,0))</f>
        <v>17.5</v>
      </c>
      <c r="T320" s="433">
        <f t="shared" si="24"/>
        <v>39625.255671399995</v>
      </c>
      <c r="U320" s="268"/>
      <c r="V320" s="249" t="s">
        <v>12</v>
      </c>
      <c r="W320" s="249" t="s">
        <v>491</v>
      </c>
      <c r="X320" s="249"/>
    </row>
    <row r="321" spans="1:24" ht="15" customHeight="1" x14ac:dyDescent="0.2">
      <c r="A321" s="268"/>
      <c r="B321" s="268" t="s">
        <v>108</v>
      </c>
      <c r="C321" s="268" t="s">
        <v>400</v>
      </c>
      <c r="D321" s="431" t="str">
        <f>GC!$B$21</f>
        <v>Soporte para vidrio (SERIES SPECIFIC, XS-081077, Brushed Dark Platinum)</v>
      </c>
      <c r="E321" s="249" t="s">
        <v>229</v>
      </c>
      <c r="F321" s="268" t="s">
        <v>354</v>
      </c>
      <c r="G321" s="249" t="s">
        <v>711</v>
      </c>
      <c r="H321" s="249" t="s">
        <v>435</v>
      </c>
      <c r="I321" s="268" t="s">
        <v>410</v>
      </c>
      <c r="J321" s="249">
        <v>2</v>
      </c>
      <c r="K321" s="268" t="s">
        <v>153</v>
      </c>
      <c r="L321" s="432">
        <f>GC!$F$21</f>
        <v>281.02</v>
      </c>
      <c r="M321" s="433">
        <f t="shared" si="20"/>
        <v>562.04</v>
      </c>
      <c r="N321" s="249">
        <v>0</v>
      </c>
      <c r="O321" s="433">
        <f t="shared" si="21"/>
        <v>0</v>
      </c>
      <c r="P321" s="434">
        <v>0.16</v>
      </c>
      <c r="Q321" s="433">
        <f t="shared" si="22"/>
        <v>89.926400000000001</v>
      </c>
      <c r="R321" s="433">
        <f t="shared" si="23"/>
        <v>651.96640000000002</v>
      </c>
      <c r="S321" s="433">
        <f>INDEX('Glosario Partidas'!$M$8:$M$10,MATCH(K321,'Glosario Partidas'!$L$8:$L$10,0))</f>
        <v>17.5</v>
      </c>
      <c r="T321" s="433">
        <f t="shared" si="24"/>
        <v>11409.412</v>
      </c>
      <c r="U321" s="268" t="s">
        <v>1084</v>
      </c>
      <c r="V321" s="249" t="s">
        <v>12</v>
      </c>
      <c r="W321" s="249" t="s">
        <v>491</v>
      </c>
      <c r="X321" s="249"/>
    </row>
    <row r="322" spans="1:24" ht="15" customHeight="1" x14ac:dyDescent="0.2">
      <c r="A322" s="268"/>
      <c r="B322" s="268" t="s">
        <v>108</v>
      </c>
      <c r="C322" s="268" t="s">
        <v>400</v>
      </c>
      <c r="D322" s="431" t="str">
        <f>GC!$B$12</f>
        <v>Set de ducha de mano con soporte de pared integrado</v>
      </c>
      <c r="E322" s="249" t="s">
        <v>229</v>
      </c>
      <c r="F322" s="268" t="s">
        <v>354</v>
      </c>
      <c r="G322" s="249" t="s">
        <v>711</v>
      </c>
      <c r="H322" s="249" t="s">
        <v>435</v>
      </c>
      <c r="I322" s="268" t="s">
        <v>410</v>
      </c>
      <c r="J322" s="249">
        <v>1</v>
      </c>
      <c r="K322" s="268" t="s">
        <v>153</v>
      </c>
      <c r="L322" s="432">
        <f>GC!$F$12</f>
        <v>325.25947400000001</v>
      </c>
      <c r="M322" s="433">
        <f t="shared" ref="M322:M385" si="25">J322*L322</f>
        <v>325.25947400000001</v>
      </c>
      <c r="N322" s="249">
        <v>0</v>
      </c>
      <c r="O322" s="433">
        <f t="shared" ref="O322:O385" si="26">M322*N322</f>
        <v>0</v>
      </c>
      <c r="P322" s="434">
        <v>0.16</v>
      </c>
      <c r="Q322" s="433">
        <f t="shared" ref="Q322:Q385" si="27">(M322+O322)*P322</f>
        <v>52.041515840000002</v>
      </c>
      <c r="R322" s="433">
        <f t="shared" ref="R322:R385" si="28">M322+O322+Q322</f>
        <v>377.30098984</v>
      </c>
      <c r="S322" s="433">
        <f>INDEX('Glosario Partidas'!$M$8:$M$10,MATCH(K322,'Glosario Partidas'!$L$8:$L$10,0))</f>
        <v>17.5</v>
      </c>
      <c r="T322" s="433">
        <f t="shared" ref="T322:T385" si="29">R322*S322</f>
        <v>6602.7673222000003</v>
      </c>
      <c r="U322" s="268"/>
      <c r="V322" s="249" t="s">
        <v>12</v>
      </c>
      <c r="W322" s="249" t="s">
        <v>491</v>
      </c>
      <c r="X322" s="249"/>
    </row>
    <row r="323" spans="1:24" ht="15" customHeight="1" x14ac:dyDescent="0.2">
      <c r="A323" s="268"/>
      <c r="B323" s="268" t="s">
        <v>108</v>
      </c>
      <c r="C323" s="268" t="s">
        <v>400</v>
      </c>
      <c r="D323" s="431" t="str">
        <f>GC!$B$13</f>
        <v>Ducha efecto lluvia con fijación a pared 400 mm</v>
      </c>
      <c r="E323" s="249" t="s">
        <v>229</v>
      </c>
      <c r="F323" s="268" t="s">
        <v>354</v>
      </c>
      <c r="G323" s="249" t="s">
        <v>711</v>
      </c>
      <c r="H323" s="249" t="s">
        <v>435</v>
      </c>
      <c r="I323" s="268" t="s">
        <v>410</v>
      </c>
      <c r="J323" s="249">
        <v>1</v>
      </c>
      <c r="K323" s="268" t="s">
        <v>153</v>
      </c>
      <c r="L323" s="432">
        <f>GC!$F$13</f>
        <v>1807.197105</v>
      </c>
      <c r="M323" s="433">
        <f t="shared" si="25"/>
        <v>1807.197105</v>
      </c>
      <c r="N323" s="249">
        <v>0</v>
      </c>
      <c r="O323" s="433">
        <f t="shared" si="26"/>
        <v>0</v>
      </c>
      <c r="P323" s="434">
        <v>0.16</v>
      </c>
      <c r="Q323" s="433">
        <f t="shared" si="27"/>
        <v>289.15153679999997</v>
      </c>
      <c r="R323" s="433">
        <f t="shared" si="28"/>
        <v>2096.3486417999998</v>
      </c>
      <c r="S323" s="433">
        <f>INDEX('Glosario Partidas'!$M$8:$M$10,MATCH(K323,'Glosario Partidas'!$L$8:$L$10,0))</f>
        <v>17.5</v>
      </c>
      <c r="T323" s="433">
        <f t="shared" si="29"/>
        <v>36686.101231499997</v>
      </c>
      <c r="U323" s="268"/>
      <c r="V323" s="249" t="s">
        <v>12</v>
      </c>
      <c r="W323" s="249" t="s">
        <v>491</v>
      </c>
      <c r="X323" s="249"/>
    </row>
    <row r="324" spans="1:24" ht="15" customHeight="1" x14ac:dyDescent="0.2">
      <c r="A324" s="268"/>
      <c r="B324" s="268" t="s">
        <v>108</v>
      </c>
      <c r="C324" s="268" t="s">
        <v>400</v>
      </c>
      <c r="D324" s="431" t="str">
        <f>GC!$B$22</f>
        <v>Canaleta de ducha para piedra natural TECE showerline (15201082)</v>
      </c>
      <c r="E324" s="249" t="s">
        <v>229</v>
      </c>
      <c r="F324" s="268" t="s">
        <v>354</v>
      </c>
      <c r="G324" s="249" t="s">
        <v>711</v>
      </c>
      <c r="H324" s="249" t="s">
        <v>435</v>
      </c>
      <c r="I324" s="268" t="s">
        <v>410</v>
      </c>
      <c r="J324" s="249">
        <v>1</v>
      </c>
      <c r="K324" s="268" t="s">
        <v>153</v>
      </c>
      <c r="L324" s="432">
        <f>GC!$F$22</f>
        <v>290.33763199999999</v>
      </c>
      <c r="M324" s="433">
        <f t="shared" si="25"/>
        <v>290.33763199999999</v>
      </c>
      <c r="N324" s="249">
        <v>0</v>
      </c>
      <c r="O324" s="433">
        <f t="shared" si="26"/>
        <v>0</v>
      </c>
      <c r="P324" s="434">
        <v>0.16</v>
      </c>
      <c r="Q324" s="433">
        <f t="shared" si="27"/>
        <v>46.45402112</v>
      </c>
      <c r="R324" s="433">
        <f t="shared" si="28"/>
        <v>336.79165311999998</v>
      </c>
      <c r="S324" s="433">
        <f>INDEX('Glosario Partidas'!$M$8:$M$10,MATCH(K324,'Glosario Partidas'!$L$8:$L$10,0))</f>
        <v>17.5</v>
      </c>
      <c r="T324" s="433">
        <f t="shared" si="29"/>
        <v>5893.8539295999999</v>
      </c>
      <c r="U324" s="268" t="s">
        <v>1085</v>
      </c>
      <c r="V324" s="249" t="s">
        <v>12</v>
      </c>
      <c r="W324" s="249" t="s">
        <v>491</v>
      </c>
      <c r="X324" s="249"/>
    </row>
    <row r="325" spans="1:24" ht="15" customHeight="1" x14ac:dyDescent="0.2">
      <c r="A325" s="268"/>
      <c r="B325" s="268" t="s">
        <v>108</v>
      </c>
      <c r="C325" s="268" t="s">
        <v>400</v>
      </c>
      <c r="D325" s="431" t="str">
        <f>GC!$B$14</f>
        <v>Termostato oculto con control de volumen bidireccional</v>
      </c>
      <c r="E325" s="249" t="s">
        <v>229</v>
      </c>
      <c r="F325" s="268" t="s">
        <v>354</v>
      </c>
      <c r="G325" s="249" t="s">
        <v>711</v>
      </c>
      <c r="H325" s="249" t="s">
        <v>435</v>
      </c>
      <c r="I325" s="268" t="s">
        <v>410</v>
      </c>
      <c r="J325" s="249">
        <v>1</v>
      </c>
      <c r="K325" s="268" t="s">
        <v>153</v>
      </c>
      <c r="L325" s="432">
        <f>GC!$F$14</f>
        <v>350.19605300000001</v>
      </c>
      <c r="M325" s="433">
        <f t="shared" si="25"/>
        <v>350.19605300000001</v>
      </c>
      <c r="N325" s="249">
        <v>0</v>
      </c>
      <c r="O325" s="433">
        <f t="shared" si="26"/>
        <v>0</v>
      </c>
      <c r="P325" s="434">
        <v>0.16</v>
      </c>
      <c r="Q325" s="433">
        <f t="shared" si="27"/>
        <v>56.031368480000005</v>
      </c>
      <c r="R325" s="433">
        <f t="shared" si="28"/>
        <v>406.22742148000003</v>
      </c>
      <c r="S325" s="433">
        <f>INDEX('Glosario Partidas'!$M$8:$M$10,MATCH(K325,'Glosario Partidas'!$L$8:$L$10,0))</f>
        <v>17.5</v>
      </c>
      <c r="T325" s="433">
        <f t="shared" si="29"/>
        <v>7108.9798759000005</v>
      </c>
      <c r="U325" s="268"/>
      <c r="V325" s="249" t="s">
        <v>12</v>
      </c>
      <c r="W325" s="249" t="s">
        <v>491</v>
      </c>
      <c r="X325" s="249"/>
    </row>
    <row r="326" spans="1:24" ht="15" customHeight="1" x14ac:dyDescent="0.2">
      <c r="A326" s="268"/>
      <c r="B326" s="268" t="s">
        <v>108</v>
      </c>
      <c r="C326" s="268" t="s">
        <v>400</v>
      </c>
      <c r="D326" s="431" t="str">
        <f>GC!$B$15</f>
        <v>Termostato empotrado (rough)</v>
      </c>
      <c r="E326" s="249" t="s">
        <v>229</v>
      </c>
      <c r="F326" s="268" t="s">
        <v>354</v>
      </c>
      <c r="G326" s="249" t="s">
        <v>711</v>
      </c>
      <c r="H326" s="249" t="s">
        <v>435</v>
      </c>
      <c r="I326" s="268" t="s">
        <v>410</v>
      </c>
      <c r="J326" s="249">
        <v>1</v>
      </c>
      <c r="K326" s="268" t="s">
        <v>153</v>
      </c>
      <c r="L326" s="432">
        <f>GC!$F$15</f>
        <v>313.33</v>
      </c>
      <c r="M326" s="433">
        <f t="shared" si="25"/>
        <v>313.33</v>
      </c>
      <c r="N326" s="249">
        <v>0</v>
      </c>
      <c r="O326" s="433">
        <f t="shared" si="26"/>
        <v>0</v>
      </c>
      <c r="P326" s="434">
        <v>0.16</v>
      </c>
      <c r="Q326" s="433">
        <f t="shared" si="27"/>
        <v>50.132799999999996</v>
      </c>
      <c r="R326" s="433">
        <f t="shared" si="28"/>
        <v>363.46279999999996</v>
      </c>
      <c r="S326" s="433">
        <f>INDEX('Glosario Partidas'!$M$8:$M$10,MATCH(K326,'Glosario Partidas'!$L$8:$L$10,0))</f>
        <v>17.5</v>
      </c>
      <c r="T326" s="433">
        <f t="shared" si="29"/>
        <v>6360.5989999999993</v>
      </c>
      <c r="U326" s="268"/>
      <c r="V326" s="249" t="s">
        <v>12</v>
      </c>
      <c r="W326" s="249" t="s">
        <v>491</v>
      </c>
      <c r="X326" s="249"/>
    </row>
    <row r="327" spans="1:24" ht="15" customHeight="1" x14ac:dyDescent="0.2">
      <c r="A327" s="268"/>
      <c r="B327" s="268" t="s">
        <v>108</v>
      </c>
      <c r="C327" s="268" t="s">
        <v>400</v>
      </c>
      <c r="D327" s="431" t="str">
        <f>GC!$B$10</f>
        <v>Soporte para papel higiénico sin cubierta</v>
      </c>
      <c r="E327" s="249" t="s">
        <v>229</v>
      </c>
      <c r="F327" s="268" t="s">
        <v>354</v>
      </c>
      <c r="G327" s="249" t="s">
        <v>711</v>
      </c>
      <c r="H327" s="249" t="s">
        <v>435</v>
      </c>
      <c r="I327" s="268" t="s">
        <v>410</v>
      </c>
      <c r="J327" s="249">
        <v>1</v>
      </c>
      <c r="K327" s="268" t="s">
        <v>153</v>
      </c>
      <c r="L327" s="432">
        <f>GC!$F$10</f>
        <v>238.874348</v>
      </c>
      <c r="M327" s="433">
        <f t="shared" si="25"/>
        <v>238.874348</v>
      </c>
      <c r="N327" s="249">
        <v>0</v>
      </c>
      <c r="O327" s="433">
        <f t="shared" si="26"/>
        <v>0</v>
      </c>
      <c r="P327" s="434">
        <v>0.16</v>
      </c>
      <c r="Q327" s="433">
        <f t="shared" si="27"/>
        <v>38.21989568</v>
      </c>
      <c r="R327" s="433">
        <f t="shared" si="28"/>
        <v>277.09424367999998</v>
      </c>
      <c r="S327" s="433">
        <f>INDEX('Glosario Partidas'!$M$8:$M$10,MATCH(K327,'Glosario Partidas'!$L$8:$L$10,0))</f>
        <v>17.5</v>
      </c>
      <c r="T327" s="433">
        <f t="shared" si="29"/>
        <v>4849.1492644</v>
      </c>
      <c r="U327" s="268"/>
      <c r="V327" s="249" t="s">
        <v>12</v>
      </c>
      <c r="W327" s="249" t="s">
        <v>491</v>
      </c>
      <c r="X327" s="249"/>
    </row>
    <row r="328" spans="1:24" ht="15" customHeight="1" x14ac:dyDescent="0.2">
      <c r="A328" s="268"/>
      <c r="B328" s="268" t="s">
        <v>108</v>
      </c>
      <c r="C328" s="268" t="s">
        <v>400</v>
      </c>
      <c r="D328" s="431" t="str">
        <f>GC!$B$9</f>
        <v>Barra de agarre / Toallero chico 45cm</v>
      </c>
      <c r="E328" s="249" t="s">
        <v>229</v>
      </c>
      <c r="F328" s="268" t="s">
        <v>354</v>
      </c>
      <c r="G328" s="249" t="s">
        <v>711</v>
      </c>
      <c r="H328" s="249" t="s">
        <v>435</v>
      </c>
      <c r="I328" s="268" t="s">
        <v>410</v>
      </c>
      <c r="J328" s="249">
        <v>2</v>
      </c>
      <c r="K328" s="268" t="s">
        <v>153</v>
      </c>
      <c r="L328" s="432">
        <f>GC!$F$9</f>
        <v>471.15</v>
      </c>
      <c r="M328" s="433">
        <f t="shared" si="25"/>
        <v>942.3</v>
      </c>
      <c r="N328" s="249">
        <v>0</v>
      </c>
      <c r="O328" s="433">
        <f t="shared" si="26"/>
        <v>0</v>
      </c>
      <c r="P328" s="434">
        <v>0.16</v>
      </c>
      <c r="Q328" s="433">
        <f t="shared" si="27"/>
        <v>150.768</v>
      </c>
      <c r="R328" s="433">
        <f t="shared" si="28"/>
        <v>1093.068</v>
      </c>
      <c r="S328" s="433">
        <f>INDEX('Glosario Partidas'!$M$8:$M$10,MATCH(K328,'Glosario Partidas'!$L$8:$L$10,0))</f>
        <v>17.5</v>
      </c>
      <c r="T328" s="433">
        <f t="shared" si="29"/>
        <v>19128.689999999999</v>
      </c>
      <c r="U328" s="268"/>
      <c r="V328" s="249" t="s">
        <v>12</v>
      </c>
      <c r="W328" s="249" t="s">
        <v>491</v>
      </c>
      <c r="X328" s="249"/>
    </row>
    <row r="329" spans="1:24" ht="15" customHeight="1" x14ac:dyDescent="0.2">
      <c r="A329" s="268"/>
      <c r="B329" s="268" t="s">
        <v>108</v>
      </c>
      <c r="C329" s="268" t="s">
        <v>400</v>
      </c>
      <c r="D329" s="431" t="str">
        <f>GC!$B$11</f>
        <v>Gancho</v>
      </c>
      <c r="E329" s="249" t="s">
        <v>229</v>
      </c>
      <c r="F329" s="268" t="s">
        <v>354</v>
      </c>
      <c r="G329" s="249" t="s">
        <v>711</v>
      </c>
      <c r="H329" s="249" t="s">
        <v>435</v>
      </c>
      <c r="I329" s="268" t="s">
        <v>410</v>
      </c>
      <c r="J329" s="249">
        <v>2</v>
      </c>
      <c r="K329" s="268" t="s">
        <v>153</v>
      </c>
      <c r="L329" s="432">
        <f>GC!$F$11</f>
        <v>61.111086999999998</v>
      </c>
      <c r="M329" s="433">
        <f t="shared" si="25"/>
        <v>122.222174</v>
      </c>
      <c r="N329" s="249">
        <v>0</v>
      </c>
      <c r="O329" s="433">
        <f t="shared" si="26"/>
        <v>0</v>
      </c>
      <c r="P329" s="434">
        <v>0.16</v>
      </c>
      <c r="Q329" s="433">
        <f t="shared" si="27"/>
        <v>19.555547839999999</v>
      </c>
      <c r="R329" s="433">
        <f t="shared" si="28"/>
        <v>141.77772184</v>
      </c>
      <c r="S329" s="433">
        <f>INDEX('Glosario Partidas'!$M$8:$M$10,MATCH(K329,'Glosario Partidas'!$L$8:$L$10,0))</f>
        <v>17.5</v>
      </c>
      <c r="T329" s="433">
        <f t="shared" si="29"/>
        <v>2481.1101322</v>
      </c>
      <c r="U329" s="268"/>
      <c r="V329" s="249" t="s">
        <v>12</v>
      </c>
      <c r="W329" s="249" t="s">
        <v>491</v>
      </c>
      <c r="X329" s="249"/>
    </row>
    <row r="330" spans="1:24" ht="15" customHeight="1" x14ac:dyDescent="0.2">
      <c r="A330" s="268"/>
      <c r="B330" s="268" t="s">
        <v>108</v>
      </c>
      <c r="C330" s="268" t="s">
        <v>400</v>
      </c>
      <c r="D330" s="431" t="str">
        <f>GC!$B$7</f>
        <v>Inodoro a piso de una pieza (Starck 3)</v>
      </c>
      <c r="E330" s="249" t="s">
        <v>229</v>
      </c>
      <c r="F330" s="268" t="s">
        <v>221</v>
      </c>
      <c r="G330" s="249" t="s">
        <v>710</v>
      </c>
      <c r="H330" s="249" t="s">
        <v>435</v>
      </c>
      <c r="I330" s="268" t="s">
        <v>410</v>
      </c>
      <c r="J330" s="249">
        <v>1</v>
      </c>
      <c r="K330" s="268" t="s">
        <v>153</v>
      </c>
      <c r="L330" s="432">
        <f>GC!$F$7</f>
        <v>667.07</v>
      </c>
      <c r="M330" s="433">
        <f t="shared" si="25"/>
        <v>667.07</v>
      </c>
      <c r="N330" s="249">
        <v>0</v>
      </c>
      <c r="O330" s="433">
        <f t="shared" si="26"/>
        <v>0</v>
      </c>
      <c r="P330" s="434">
        <v>0.16</v>
      </c>
      <c r="Q330" s="433">
        <f t="shared" si="27"/>
        <v>106.73120000000002</v>
      </c>
      <c r="R330" s="433">
        <f t="shared" si="28"/>
        <v>773.80120000000011</v>
      </c>
      <c r="S330" s="433">
        <f>INDEX('Glosario Partidas'!$M$8:$M$10,MATCH(K330,'Glosario Partidas'!$L$8:$L$10,0))</f>
        <v>17.5</v>
      </c>
      <c r="T330" s="433">
        <f t="shared" si="29"/>
        <v>13541.521000000002</v>
      </c>
      <c r="U330" s="268"/>
      <c r="V330" s="249" t="s">
        <v>12</v>
      </c>
      <c r="W330" s="249" t="s">
        <v>491</v>
      </c>
      <c r="X330" s="249"/>
    </row>
    <row r="331" spans="1:24" ht="15" customHeight="1" x14ac:dyDescent="0.2">
      <c r="A331" s="268"/>
      <c r="B331" s="268" t="s">
        <v>108</v>
      </c>
      <c r="C331" s="268" t="s">
        <v>400</v>
      </c>
      <c r="D331" s="431" t="str">
        <f>GC!$B$8</f>
        <v>Monomando de lavabo con válvula automática</v>
      </c>
      <c r="E331" s="249" t="s">
        <v>229</v>
      </c>
      <c r="F331" s="268" t="s">
        <v>221</v>
      </c>
      <c r="G331" s="249" t="s">
        <v>710</v>
      </c>
      <c r="H331" s="249" t="s">
        <v>435</v>
      </c>
      <c r="I331" s="268" t="s">
        <v>410</v>
      </c>
      <c r="J331" s="249">
        <v>2</v>
      </c>
      <c r="K331" s="268" t="s">
        <v>153</v>
      </c>
      <c r="L331" s="432">
        <f>GC!$F$8</f>
        <v>975.99151900000004</v>
      </c>
      <c r="M331" s="433">
        <f t="shared" si="25"/>
        <v>1951.9830380000001</v>
      </c>
      <c r="N331" s="249">
        <v>0</v>
      </c>
      <c r="O331" s="433">
        <f t="shared" si="26"/>
        <v>0</v>
      </c>
      <c r="P331" s="434">
        <v>0.16</v>
      </c>
      <c r="Q331" s="433">
        <f t="shared" si="27"/>
        <v>312.31728608000003</v>
      </c>
      <c r="R331" s="433">
        <f t="shared" si="28"/>
        <v>2264.3003240799999</v>
      </c>
      <c r="S331" s="433">
        <f>INDEX('Glosario Partidas'!$M$8:$M$10,MATCH(K331,'Glosario Partidas'!$L$8:$L$10,0))</f>
        <v>17.5</v>
      </c>
      <c r="T331" s="433">
        <f t="shared" si="29"/>
        <v>39625.255671399995</v>
      </c>
      <c r="U331" s="268"/>
      <c r="V331" s="249" t="s">
        <v>12</v>
      </c>
      <c r="W331" s="249" t="s">
        <v>491</v>
      </c>
      <c r="X331" s="249"/>
    </row>
    <row r="332" spans="1:24" ht="15" customHeight="1" x14ac:dyDescent="0.2">
      <c r="A332" s="268"/>
      <c r="B332" s="268" t="s">
        <v>108</v>
      </c>
      <c r="C332" s="268" t="s">
        <v>400</v>
      </c>
      <c r="D332" s="431" t="str">
        <f>GC!$B$21</f>
        <v>Soporte para vidrio (SERIES SPECIFIC, XS-081077, Brushed Dark Platinum)</v>
      </c>
      <c r="E332" s="249" t="s">
        <v>229</v>
      </c>
      <c r="F332" s="268" t="s">
        <v>221</v>
      </c>
      <c r="G332" s="249" t="s">
        <v>710</v>
      </c>
      <c r="H332" s="249" t="s">
        <v>435</v>
      </c>
      <c r="I332" s="268" t="s">
        <v>410</v>
      </c>
      <c r="J332" s="249">
        <v>2</v>
      </c>
      <c r="K332" s="268" t="s">
        <v>153</v>
      </c>
      <c r="L332" s="432">
        <f>GC!$F$21</f>
        <v>281.02</v>
      </c>
      <c r="M332" s="433">
        <f t="shared" si="25"/>
        <v>562.04</v>
      </c>
      <c r="N332" s="249">
        <v>0</v>
      </c>
      <c r="O332" s="433">
        <f t="shared" si="26"/>
        <v>0</v>
      </c>
      <c r="P332" s="434">
        <v>0.16</v>
      </c>
      <c r="Q332" s="433">
        <f t="shared" si="27"/>
        <v>89.926400000000001</v>
      </c>
      <c r="R332" s="433">
        <f t="shared" si="28"/>
        <v>651.96640000000002</v>
      </c>
      <c r="S332" s="433">
        <f>INDEX('Glosario Partidas'!$M$8:$M$10,MATCH(K332,'Glosario Partidas'!$L$8:$L$10,0))</f>
        <v>17.5</v>
      </c>
      <c r="T332" s="433">
        <f t="shared" si="29"/>
        <v>11409.412</v>
      </c>
      <c r="U332" s="268" t="s">
        <v>1084</v>
      </c>
      <c r="V332" s="249" t="s">
        <v>12</v>
      </c>
      <c r="W332" s="249" t="s">
        <v>491</v>
      </c>
      <c r="X332" s="249"/>
    </row>
    <row r="333" spans="1:24" ht="15" customHeight="1" x14ac:dyDescent="0.2">
      <c r="A333" s="268"/>
      <c r="B333" s="268" t="s">
        <v>108</v>
      </c>
      <c r="C333" s="268" t="s">
        <v>400</v>
      </c>
      <c r="D333" s="431" t="str">
        <f>GC!$B$12</f>
        <v>Set de ducha de mano con soporte de pared integrado</v>
      </c>
      <c r="E333" s="249" t="s">
        <v>229</v>
      </c>
      <c r="F333" s="268" t="s">
        <v>221</v>
      </c>
      <c r="G333" s="249" t="s">
        <v>710</v>
      </c>
      <c r="H333" s="249" t="s">
        <v>435</v>
      </c>
      <c r="I333" s="268" t="s">
        <v>410</v>
      </c>
      <c r="J333" s="249">
        <v>1</v>
      </c>
      <c r="K333" s="268" t="s">
        <v>153</v>
      </c>
      <c r="L333" s="432">
        <f>GC!$F$12</f>
        <v>325.25947400000001</v>
      </c>
      <c r="M333" s="433">
        <f t="shared" si="25"/>
        <v>325.25947400000001</v>
      </c>
      <c r="N333" s="249">
        <v>0</v>
      </c>
      <c r="O333" s="433">
        <f t="shared" si="26"/>
        <v>0</v>
      </c>
      <c r="P333" s="434">
        <v>0.16</v>
      </c>
      <c r="Q333" s="433">
        <f t="shared" si="27"/>
        <v>52.041515840000002</v>
      </c>
      <c r="R333" s="433">
        <f t="shared" si="28"/>
        <v>377.30098984</v>
      </c>
      <c r="S333" s="433">
        <f>INDEX('Glosario Partidas'!$M$8:$M$10,MATCH(K333,'Glosario Partidas'!$L$8:$L$10,0))</f>
        <v>17.5</v>
      </c>
      <c r="T333" s="433">
        <f t="shared" si="29"/>
        <v>6602.7673222000003</v>
      </c>
      <c r="U333" s="268"/>
      <c r="V333" s="249" t="s">
        <v>12</v>
      </c>
      <c r="W333" s="249" t="s">
        <v>491</v>
      </c>
      <c r="X333" s="249"/>
    </row>
    <row r="334" spans="1:24" ht="15" customHeight="1" x14ac:dyDescent="0.2">
      <c r="A334" s="268"/>
      <c r="B334" s="268" t="s">
        <v>108</v>
      </c>
      <c r="C334" s="268" t="s">
        <v>400</v>
      </c>
      <c r="D334" s="431" t="str">
        <f>GC!$B$13</f>
        <v>Ducha efecto lluvia con fijación a pared 400 mm</v>
      </c>
      <c r="E334" s="249" t="s">
        <v>229</v>
      </c>
      <c r="F334" s="268" t="s">
        <v>221</v>
      </c>
      <c r="G334" s="249" t="s">
        <v>710</v>
      </c>
      <c r="H334" s="249" t="s">
        <v>435</v>
      </c>
      <c r="I334" s="268" t="s">
        <v>410</v>
      </c>
      <c r="J334" s="249">
        <v>1</v>
      </c>
      <c r="K334" s="268" t="s">
        <v>153</v>
      </c>
      <c r="L334" s="432">
        <f>GC!$F$13</f>
        <v>1807.197105</v>
      </c>
      <c r="M334" s="433">
        <f t="shared" si="25"/>
        <v>1807.197105</v>
      </c>
      <c r="N334" s="249">
        <v>0</v>
      </c>
      <c r="O334" s="433">
        <f t="shared" si="26"/>
        <v>0</v>
      </c>
      <c r="P334" s="434">
        <v>0.16</v>
      </c>
      <c r="Q334" s="433">
        <f t="shared" si="27"/>
        <v>289.15153679999997</v>
      </c>
      <c r="R334" s="433">
        <f t="shared" si="28"/>
        <v>2096.3486417999998</v>
      </c>
      <c r="S334" s="433">
        <f>INDEX('Glosario Partidas'!$M$8:$M$10,MATCH(K334,'Glosario Partidas'!$L$8:$L$10,0))</f>
        <v>17.5</v>
      </c>
      <c r="T334" s="433">
        <f t="shared" si="29"/>
        <v>36686.101231499997</v>
      </c>
      <c r="U334" s="268"/>
      <c r="V334" s="249" t="s">
        <v>12</v>
      </c>
      <c r="W334" s="249" t="s">
        <v>491</v>
      </c>
      <c r="X334" s="249"/>
    </row>
    <row r="335" spans="1:24" ht="15" customHeight="1" x14ac:dyDescent="0.2">
      <c r="A335" s="268"/>
      <c r="B335" s="268" t="s">
        <v>108</v>
      </c>
      <c r="C335" s="268" t="s">
        <v>400</v>
      </c>
      <c r="D335" s="431" t="str">
        <f>GC!$B$22</f>
        <v>Canaleta de ducha para piedra natural TECE showerline (15201082)</v>
      </c>
      <c r="E335" s="249" t="s">
        <v>229</v>
      </c>
      <c r="F335" s="268" t="s">
        <v>221</v>
      </c>
      <c r="G335" s="249" t="s">
        <v>710</v>
      </c>
      <c r="H335" s="249" t="s">
        <v>435</v>
      </c>
      <c r="I335" s="268" t="s">
        <v>410</v>
      </c>
      <c r="J335" s="249">
        <v>1</v>
      </c>
      <c r="K335" s="268" t="s">
        <v>153</v>
      </c>
      <c r="L335" s="432">
        <f>GC!$F$22</f>
        <v>290.33763199999999</v>
      </c>
      <c r="M335" s="433">
        <f t="shared" si="25"/>
        <v>290.33763199999999</v>
      </c>
      <c r="N335" s="249">
        <v>0</v>
      </c>
      <c r="O335" s="433">
        <f t="shared" si="26"/>
        <v>0</v>
      </c>
      <c r="P335" s="434">
        <v>0.16</v>
      </c>
      <c r="Q335" s="433">
        <f t="shared" si="27"/>
        <v>46.45402112</v>
      </c>
      <c r="R335" s="433">
        <f t="shared" si="28"/>
        <v>336.79165311999998</v>
      </c>
      <c r="S335" s="433">
        <f>INDEX('Glosario Partidas'!$M$8:$M$10,MATCH(K335,'Glosario Partidas'!$L$8:$L$10,0))</f>
        <v>17.5</v>
      </c>
      <c r="T335" s="433">
        <f t="shared" si="29"/>
        <v>5893.8539295999999</v>
      </c>
      <c r="U335" s="268" t="s">
        <v>1085</v>
      </c>
      <c r="V335" s="249" t="s">
        <v>12</v>
      </c>
      <c r="W335" s="249" t="s">
        <v>491</v>
      </c>
      <c r="X335" s="249"/>
    </row>
    <row r="336" spans="1:24" ht="15" customHeight="1" x14ac:dyDescent="0.2">
      <c r="A336" s="268"/>
      <c r="B336" s="268" t="s">
        <v>108</v>
      </c>
      <c r="C336" s="268" t="s">
        <v>400</v>
      </c>
      <c r="D336" s="431" t="str">
        <f>GC!$B$14</f>
        <v>Termostato oculto con control de volumen bidireccional</v>
      </c>
      <c r="E336" s="249" t="s">
        <v>229</v>
      </c>
      <c r="F336" s="268" t="s">
        <v>221</v>
      </c>
      <c r="G336" s="249" t="s">
        <v>710</v>
      </c>
      <c r="H336" s="249" t="s">
        <v>435</v>
      </c>
      <c r="I336" s="268" t="s">
        <v>410</v>
      </c>
      <c r="J336" s="249">
        <v>1</v>
      </c>
      <c r="K336" s="268" t="s">
        <v>153</v>
      </c>
      <c r="L336" s="432">
        <f>GC!$F$14</f>
        <v>350.19605300000001</v>
      </c>
      <c r="M336" s="433">
        <f t="shared" si="25"/>
        <v>350.19605300000001</v>
      </c>
      <c r="N336" s="249">
        <v>0</v>
      </c>
      <c r="O336" s="433">
        <f t="shared" si="26"/>
        <v>0</v>
      </c>
      <c r="P336" s="434">
        <v>0.16</v>
      </c>
      <c r="Q336" s="433">
        <f t="shared" si="27"/>
        <v>56.031368480000005</v>
      </c>
      <c r="R336" s="433">
        <f t="shared" si="28"/>
        <v>406.22742148000003</v>
      </c>
      <c r="S336" s="433">
        <f>INDEX('Glosario Partidas'!$M$8:$M$10,MATCH(K336,'Glosario Partidas'!$L$8:$L$10,0))</f>
        <v>17.5</v>
      </c>
      <c r="T336" s="433">
        <f t="shared" si="29"/>
        <v>7108.9798759000005</v>
      </c>
      <c r="U336" s="268"/>
      <c r="V336" s="249" t="s">
        <v>12</v>
      </c>
      <c r="W336" s="249" t="s">
        <v>491</v>
      </c>
      <c r="X336" s="249"/>
    </row>
    <row r="337" spans="1:24" ht="15" customHeight="1" x14ac:dyDescent="0.2">
      <c r="A337" s="268"/>
      <c r="B337" s="268" t="s">
        <v>108</v>
      </c>
      <c r="C337" s="268" t="s">
        <v>400</v>
      </c>
      <c r="D337" s="431" t="str">
        <f>GC!$B$15</f>
        <v>Termostato empotrado (rough)</v>
      </c>
      <c r="E337" s="249" t="s">
        <v>229</v>
      </c>
      <c r="F337" s="268" t="s">
        <v>221</v>
      </c>
      <c r="G337" s="249" t="s">
        <v>710</v>
      </c>
      <c r="H337" s="249" t="s">
        <v>435</v>
      </c>
      <c r="I337" s="268" t="s">
        <v>410</v>
      </c>
      <c r="J337" s="249">
        <v>1</v>
      </c>
      <c r="K337" s="268" t="s">
        <v>153</v>
      </c>
      <c r="L337" s="432">
        <f>GC!$F$15</f>
        <v>313.33</v>
      </c>
      <c r="M337" s="433">
        <f t="shared" si="25"/>
        <v>313.33</v>
      </c>
      <c r="N337" s="249">
        <v>0</v>
      </c>
      <c r="O337" s="433">
        <f t="shared" si="26"/>
        <v>0</v>
      </c>
      <c r="P337" s="434">
        <v>0.16</v>
      </c>
      <c r="Q337" s="433">
        <f t="shared" si="27"/>
        <v>50.132799999999996</v>
      </c>
      <c r="R337" s="433">
        <f t="shared" si="28"/>
        <v>363.46279999999996</v>
      </c>
      <c r="S337" s="433">
        <f>INDEX('Glosario Partidas'!$M$8:$M$10,MATCH(K337,'Glosario Partidas'!$L$8:$L$10,0))</f>
        <v>17.5</v>
      </c>
      <c r="T337" s="433">
        <f t="shared" si="29"/>
        <v>6360.5989999999993</v>
      </c>
      <c r="U337" s="268"/>
      <c r="V337" s="249" t="s">
        <v>12</v>
      </c>
      <c r="W337" s="249" t="s">
        <v>491</v>
      </c>
      <c r="X337" s="249"/>
    </row>
    <row r="338" spans="1:24" ht="15" customHeight="1" x14ac:dyDescent="0.2">
      <c r="A338" s="268"/>
      <c r="B338" s="268" t="s">
        <v>108</v>
      </c>
      <c r="C338" s="268" t="s">
        <v>400</v>
      </c>
      <c r="D338" s="431" t="str">
        <f>GC!$B$10</f>
        <v>Soporte para papel higiénico sin cubierta</v>
      </c>
      <c r="E338" s="249" t="s">
        <v>229</v>
      </c>
      <c r="F338" s="268" t="s">
        <v>221</v>
      </c>
      <c r="G338" s="249" t="s">
        <v>710</v>
      </c>
      <c r="H338" s="249" t="s">
        <v>435</v>
      </c>
      <c r="I338" s="268" t="s">
        <v>410</v>
      </c>
      <c r="J338" s="249">
        <v>1</v>
      </c>
      <c r="K338" s="268" t="s">
        <v>153</v>
      </c>
      <c r="L338" s="432">
        <f>GC!$F$10</f>
        <v>238.874348</v>
      </c>
      <c r="M338" s="433">
        <f t="shared" si="25"/>
        <v>238.874348</v>
      </c>
      <c r="N338" s="249">
        <v>0</v>
      </c>
      <c r="O338" s="433">
        <f t="shared" si="26"/>
        <v>0</v>
      </c>
      <c r="P338" s="434">
        <v>0.16</v>
      </c>
      <c r="Q338" s="433">
        <f t="shared" si="27"/>
        <v>38.21989568</v>
      </c>
      <c r="R338" s="433">
        <f t="shared" si="28"/>
        <v>277.09424367999998</v>
      </c>
      <c r="S338" s="433">
        <f>INDEX('Glosario Partidas'!$M$8:$M$10,MATCH(K338,'Glosario Partidas'!$L$8:$L$10,0))</f>
        <v>17.5</v>
      </c>
      <c r="T338" s="433">
        <f t="shared" si="29"/>
        <v>4849.1492644</v>
      </c>
      <c r="U338" s="268"/>
      <c r="V338" s="249" t="s">
        <v>12</v>
      </c>
      <c r="W338" s="249" t="s">
        <v>491</v>
      </c>
      <c r="X338" s="249"/>
    </row>
    <row r="339" spans="1:24" ht="15" customHeight="1" x14ac:dyDescent="0.2">
      <c r="A339" s="268"/>
      <c r="B339" s="268" t="s">
        <v>108</v>
      </c>
      <c r="C339" s="268" t="s">
        <v>400</v>
      </c>
      <c r="D339" s="431" t="str">
        <f>GC!$B$9</f>
        <v>Barra de agarre / Toallero chico 45cm</v>
      </c>
      <c r="E339" s="249" t="s">
        <v>229</v>
      </c>
      <c r="F339" s="268" t="s">
        <v>221</v>
      </c>
      <c r="G339" s="249" t="s">
        <v>710</v>
      </c>
      <c r="H339" s="249" t="s">
        <v>435</v>
      </c>
      <c r="I339" s="268" t="s">
        <v>410</v>
      </c>
      <c r="J339" s="249">
        <v>2</v>
      </c>
      <c r="K339" s="268" t="s">
        <v>153</v>
      </c>
      <c r="L339" s="432">
        <f>GC!$F$9</f>
        <v>471.15</v>
      </c>
      <c r="M339" s="433">
        <f t="shared" si="25"/>
        <v>942.3</v>
      </c>
      <c r="N339" s="249">
        <v>0</v>
      </c>
      <c r="O339" s="433">
        <f t="shared" si="26"/>
        <v>0</v>
      </c>
      <c r="P339" s="434">
        <v>0.16</v>
      </c>
      <c r="Q339" s="433">
        <f t="shared" si="27"/>
        <v>150.768</v>
      </c>
      <c r="R339" s="433">
        <f t="shared" si="28"/>
        <v>1093.068</v>
      </c>
      <c r="S339" s="433">
        <f>INDEX('Glosario Partidas'!$M$8:$M$10,MATCH(K339,'Glosario Partidas'!$L$8:$L$10,0))</f>
        <v>17.5</v>
      </c>
      <c r="T339" s="433">
        <f t="shared" si="29"/>
        <v>19128.689999999999</v>
      </c>
      <c r="U339" s="268"/>
      <c r="V339" s="249" t="s">
        <v>12</v>
      </c>
      <c r="W339" s="249" t="s">
        <v>491</v>
      </c>
      <c r="X339" s="249"/>
    </row>
    <row r="340" spans="1:24" ht="15" customHeight="1" x14ac:dyDescent="0.2">
      <c r="A340" s="268"/>
      <c r="B340" s="268" t="s">
        <v>108</v>
      </c>
      <c r="C340" s="268" t="s">
        <v>400</v>
      </c>
      <c r="D340" s="431" t="str">
        <f>GC!$B$11</f>
        <v>Gancho</v>
      </c>
      <c r="E340" s="249" t="s">
        <v>229</v>
      </c>
      <c r="F340" s="268" t="s">
        <v>221</v>
      </c>
      <c r="G340" s="249" t="s">
        <v>710</v>
      </c>
      <c r="H340" s="249" t="s">
        <v>435</v>
      </c>
      <c r="I340" s="268" t="s">
        <v>410</v>
      </c>
      <c r="J340" s="249">
        <v>2</v>
      </c>
      <c r="K340" s="268" t="s">
        <v>153</v>
      </c>
      <c r="L340" s="432">
        <f>GC!$F$11</f>
        <v>61.111086999999998</v>
      </c>
      <c r="M340" s="433">
        <f t="shared" si="25"/>
        <v>122.222174</v>
      </c>
      <c r="N340" s="249">
        <v>0</v>
      </c>
      <c r="O340" s="433">
        <f t="shared" si="26"/>
        <v>0</v>
      </c>
      <c r="P340" s="434">
        <v>0.16</v>
      </c>
      <c r="Q340" s="433">
        <f t="shared" si="27"/>
        <v>19.555547839999999</v>
      </c>
      <c r="R340" s="433">
        <f t="shared" si="28"/>
        <v>141.77772184</v>
      </c>
      <c r="S340" s="433">
        <f>INDEX('Glosario Partidas'!$M$8:$M$10,MATCH(K340,'Glosario Partidas'!$L$8:$L$10,0))</f>
        <v>17.5</v>
      </c>
      <c r="T340" s="433">
        <f t="shared" si="29"/>
        <v>2481.1101322</v>
      </c>
      <c r="U340" s="268"/>
      <c r="V340" s="249" t="s">
        <v>12</v>
      </c>
      <c r="W340" s="249" t="s">
        <v>491</v>
      </c>
      <c r="X340" s="249"/>
    </row>
    <row r="341" spans="1:24" ht="15" customHeight="1" x14ac:dyDescent="0.2">
      <c r="A341" s="268"/>
      <c r="B341" s="268" t="s">
        <v>108</v>
      </c>
      <c r="C341" s="268" t="s">
        <v>400</v>
      </c>
      <c r="D341" s="431" t="str">
        <f>GC!$B$7</f>
        <v>Inodoro a piso de una pieza (Starck 3)</v>
      </c>
      <c r="E341" s="249" t="s">
        <v>229</v>
      </c>
      <c r="F341" s="268" t="s">
        <v>354</v>
      </c>
      <c r="G341" s="249" t="s">
        <v>713</v>
      </c>
      <c r="H341" s="249" t="s">
        <v>435</v>
      </c>
      <c r="I341" s="268" t="s">
        <v>410</v>
      </c>
      <c r="J341" s="249">
        <v>1</v>
      </c>
      <c r="K341" s="268" t="s">
        <v>153</v>
      </c>
      <c r="L341" s="432">
        <f>GC!$F$7</f>
        <v>667.07</v>
      </c>
      <c r="M341" s="433">
        <f t="shared" si="25"/>
        <v>667.07</v>
      </c>
      <c r="N341" s="249">
        <v>0</v>
      </c>
      <c r="O341" s="433">
        <f t="shared" si="26"/>
        <v>0</v>
      </c>
      <c r="P341" s="434">
        <v>0.16</v>
      </c>
      <c r="Q341" s="433">
        <f t="shared" si="27"/>
        <v>106.73120000000002</v>
      </c>
      <c r="R341" s="433">
        <f t="shared" si="28"/>
        <v>773.80120000000011</v>
      </c>
      <c r="S341" s="433">
        <f>INDEX('Glosario Partidas'!$M$8:$M$10,MATCH(K341,'Glosario Partidas'!$L$8:$L$10,0))</f>
        <v>17.5</v>
      </c>
      <c r="T341" s="433">
        <f t="shared" si="29"/>
        <v>13541.521000000002</v>
      </c>
      <c r="U341" s="268"/>
      <c r="V341" s="249" t="s">
        <v>12</v>
      </c>
      <c r="W341" s="249" t="s">
        <v>491</v>
      </c>
      <c r="X341" s="249"/>
    </row>
    <row r="342" spans="1:24" ht="15" customHeight="1" x14ac:dyDescent="0.2">
      <c r="A342" s="268"/>
      <c r="B342" s="268" t="s">
        <v>108</v>
      </c>
      <c r="C342" s="268" t="s">
        <v>400</v>
      </c>
      <c r="D342" s="431" t="str">
        <f>GC!$B$8</f>
        <v>Monomando de lavabo con válvula automática</v>
      </c>
      <c r="E342" s="249" t="s">
        <v>229</v>
      </c>
      <c r="F342" s="268" t="s">
        <v>354</v>
      </c>
      <c r="G342" s="249" t="s">
        <v>713</v>
      </c>
      <c r="H342" s="249" t="s">
        <v>435</v>
      </c>
      <c r="I342" s="268" t="s">
        <v>410</v>
      </c>
      <c r="J342" s="249">
        <v>2</v>
      </c>
      <c r="K342" s="268" t="s">
        <v>153</v>
      </c>
      <c r="L342" s="432">
        <f>GC!$F$8</f>
        <v>975.99151900000004</v>
      </c>
      <c r="M342" s="433">
        <f t="shared" si="25"/>
        <v>1951.9830380000001</v>
      </c>
      <c r="N342" s="249">
        <v>0</v>
      </c>
      <c r="O342" s="433">
        <f t="shared" si="26"/>
        <v>0</v>
      </c>
      <c r="P342" s="434">
        <v>0.16</v>
      </c>
      <c r="Q342" s="433">
        <f t="shared" si="27"/>
        <v>312.31728608000003</v>
      </c>
      <c r="R342" s="433">
        <f t="shared" si="28"/>
        <v>2264.3003240799999</v>
      </c>
      <c r="S342" s="433">
        <f>INDEX('Glosario Partidas'!$M$8:$M$10,MATCH(K342,'Glosario Partidas'!$L$8:$L$10,0))</f>
        <v>17.5</v>
      </c>
      <c r="T342" s="433">
        <f t="shared" si="29"/>
        <v>39625.255671399995</v>
      </c>
      <c r="U342" s="268"/>
      <c r="V342" s="249" t="s">
        <v>12</v>
      </c>
      <c r="W342" s="249" t="s">
        <v>491</v>
      </c>
      <c r="X342" s="249"/>
    </row>
    <row r="343" spans="1:24" ht="15" customHeight="1" x14ac:dyDescent="0.2">
      <c r="A343" s="268"/>
      <c r="B343" s="268" t="s">
        <v>108</v>
      </c>
      <c r="C343" s="268" t="s">
        <v>400</v>
      </c>
      <c r="D343" s="431" t="str">
        <f>GC!$B$21</f>
        <v>Soporte para vidrio (SERIES SPECIFIC, XS-081077, Brushed Dark Platinum)</v>
      </c>
      <c r="E343" s="249" t="s">
        <v>229</v>
      </c>
      <c r="F343" s="268" t="s">
        <v>354</v>
      </c>
      <c r="G343" s="249" t="s">
        <v>713</v>
      </c>
      <c r="H343" s="249" t="s">
        <v>435</v>
      </c>
      <c r="I343" s="268" t="s">
        <v>410</v>
      </c>
      <c r="J343" s="249">
        <v>2</v>
      </c>
      <c r="K343" s="268" t="s">
        <v>153</v>
      </c>
      <c r="L343" s="432">
        <f>GC!$F$21</f>
        <v>281.02</v>
      </c>
      <c r="M343" s="433">
        <f t="shared" si="25"/>
        <v>562.04</v>
      </c>
      <c r="N343" s="249">
        <v>0</v>
      </c>
      <c r="O343" s="433">
        <f t="shared" si="26"/>
        <v>0</v>
      </c>
      <c r="P343" s="434">
        <v>0.16</v>
      </c>
      <c r="Q343" s="433">
        <f t="shared" si="27"/>
        <v>89.926400000000001</v>
      </c>
      <c r="R343" s="433">
        <f t="shared" si="28"/>
        <v>651.96640000000002</v>
      </c>
      <c r="S343" s="433">
        <f>INDEX('Glosario Partidas'!$M$8:$M$10,MATCH(K343,'Glosario Partidas'!$L$8:$L$10,0))</f>
        <v>17.5</v>
      </c>
      <c r="T343" s="433">
        <f t="shared" si="29"/>
        <v>11409.412</v>
      </c>
      <c r="U343" s="268" t="s">
        <v>1084</v>
      </c>
      <c r="V343" s="249" t="s">
        <v>12</v>
      </c>
      <c r="W343" s="249" t="s">
        <v>491</v>
      </c>
      <c r="X343" s="249"/>
    </row>
    <row r="344" spans="1:24" ht="15" customHeight="1" x14ac:dyDescent="0.2">
      <c r="A344" s="268"/>
      <c r="B344" s="268" t="s">
        <v>108</v>
      </c>
      <c r="C344" s="268" t="s">
        <v>400</v>
      </c>
      <c r="D344" s="431" t="str">
        <f>GC!$B$12</f>
        <v>Set de ducha de mano con soporte de pared integrado</v>
      </c>
      <c r="E344" s="249" t="s">
        <v>229</v>
      </c>
      <c r="F344" s="268" t="s">
        <v>354</v>
      </c>
      <c r="G344" s="249" t="s">
        <v>713</v>
      </c>
      <c r="H344" s="249" t="s">
        <v>435</v>
      </c>
      <c r="I344" s="268" t="s">
        <v>410</v>
      </c>
      <c r="J344" s="249">
        <v>1</v>
      </c>
      <c r="K344" s="268" t="s">
        <v>153</v>
      </c>
      <c r="L344" s="432">
        <f>GC!$F$12</f>
        <v>325.25947400000001</v>
      </c>
      <c r="M344" s="433">
        <f t="shared" si="25"/>
        <v>325.25947400000001</v>
      </c>
      <c r="N344" s="249">
        <v>0</v>
      </c>
      <c r="O344" s="433">
        <f t="shared" si="26"/>
        <v>0</v>
      </c>
      <c r="P344" s="434">
        <v>0.16</v>
      </c>
      <c r="Q344" s="433">
        <f t="shared" si="27"/>
        <v>52.041515840000002</v>
      </c>
      <c r="R344" s="433">
        <f t="shared" si="28"/>
        <v>377.30098984</v>
      </c>
      <c r="S344" s="433">
        <f>INDEX('Glosario Partidas'!$M$8:$M$10,MATCH(K344,'Glosario Partidas'!$L$8:$L$10,0))</f>
        <v>17.5</v>
      </c>
      <c r="T344" s="433">
        <f t="shared" si="29"/>
        <v>6602.7673222000003</v>
      </c>
      <c r="U344" s="268"/>
      <c r="V344" s="249" t="s">
        <v>12</v>
      </c>
      <c r="W344" s="249" t="s">
        <v>491</v>
      </c>
      <c r="X344" s="249"/>
    </row>
    <row r="345" spans="1:24" ht="15" customHeight="1" x14ac:dyDescent="0.2">
      <c r="A345" s="268"/>
      <c r="B345" s="268" t="s">
        <v>108</v>
      </c>
      <c r="C345" s="268" t="s">
        <v>400</v>
      </c>
      <c r="D345" s="431" t="str">
        <f>GC!$B$13</f>
        <v>Ducha efecto lluvia con fijación a pared 400 mm</v>
      </c>
      <c r="E345" s="249" t="s">
        <v>229</v>
      </c>
      <c r="F345" s="268" t="s">
        <v>354</v>
      </c>
      <c r="G345" s="249" t="s">
        <v>713</v>
      </c>
      <c r="H345" s="249" t="s">
        <v>435</v>
      </c>
      <c r="I345" s="268" t="s">
        <v>410</v>
      </c>
      <c r="J345" s="249">
        <v>1</v>
      </c>
      <c r="K345" s="268" t="s">
        <v>153</v>
      </c>
      <c r="L345" s="432">
        <f>GC!$F$13</f>
        <v>1807.197105</v>
      </c>
      <c r="M345" s="433">
        <f t="shared" si="25"/>
        <v>1807.197105</v>
      </c>
      <c r="N345" s="249">
        <v>0</v>
      </c>
      <c r="O345" s="433">
        <f t="shared" si="26"/>
        <v>0</v>
      </c>
      <c r="P345" s="434">
        <v>0.16</v>
      </c>
      <c r="Q345" s="433">
        <f t="shared" si="27"/>
        <v>289.15153679999997</v>
      </c>
      <c r="R345" s="433">
        <f t="shared" si="28"/>
        <v>2096.3486417999998</v>
      </c>
      <c r="S345" s="433">
        <f>INDEX('Glosario Partidas'!$M$8:$M$10,MATCH(K345,'Glosario Partidas'!$L$8:$L$10,0))</f>
        <v>17.5</v>
      </c>
      <c r="T345" s="433">
        <f t="shared" si="29"/>
        <v>36686.101231499997</v>
      </c>
      <c r="U345" s="268"/>
      <c r="V345" s="249" t="s">
        <v>12</v>
      </c>
      <c r="W345" s="249" t="s">
        <v>491</v>
      </c>
      <c r="X345" s="249"/>
    </row>
    <row r="346" spans="1:24" ht="15" customHeight="1" x14ac:dyDescent="0.2">
      <c r="A346" s="268"/>
      <c r="B346" s="268" t="s">
        <v>108</v>
      </c>
      <c r="C346" s="268" t="s">
        <v>400</v>
      </c>
      <c r="D346" s="431" t="str">
        <f>GC!$B$22</f>
        <v>Canaleta de ducha para piedra natural TECE showerline (15201082)</v>
      </c>
      <c r="E346" s="249" t="s">
        <v>229</v>
      </c>
      <c r="F346" s="268" t="s">
        <v>354</v>
      </c>
      <c r="G346" s="249" t="s">
        <v>713</v>
      </c>
      <c r="H346" s="249" t="s">
        <v>435</v>
      </c>
      <c r="I346" s="268" t="s">
        <v>410</v>
      </c>
      <c r="J346" s="249">
        <v>1</v>
      </c>
      <c r="K346" s="268" t="s">
        <v>153</v>
      </c>
      <c r="L346" s="432">
        <f>GC!$F$22</f>
        <v>290.33763199999999</v>
      </c>
      <c r="M346" s="433">
        <f t="shared" si="25"/>
        <v>290.33763199999999</v>
      </c>
      <c r="N346" s="249">
        <v>0</v>
      </c>
      <c r="O346" s="433">
        <f t="shared" si="26"/>
        <v>0</v>
      </c>
      <c r="P346" s="434">
        <v>0.16</v>
      </c>
      <c r="Q346" s="433">
        <f t="shared" si="27"/>
        <v>46.45402112</v>
      </c>
      <c r="R346" s="433">
        <f t="shared" si="28"/>
        <v>336.79165311999998</v>
      </c>
      <c r="S346" s="433">
        <f>INDEX('Glosario Partidas'!$M$8:$M$10,MATCH(K346,'Glosario Partidas'!$L$8:$L$10,0))</f>
        <v>17.5</v>
      </c>
      <c r="T346" s="433">
        <f t="shared" si="29"/>
        <v>5893.8539295999999</v>
      </c>
      <c r="U346" s="268" t="s">
        <v>1085</v>
      </c>
      <c r="V346" s="249" t="s">
        <v>12</v>
      </c>
      <c r="W346" s="249" t="s">
        <v>491</v>
      </c>
      <c r="X346" s="249"/>
    </row>
    <row r="347" spans="1:24" ht="15" customHeight="1" x14ac:dyDescent="0.2">
      <c r="A347" s="268"/>
      <c r="B347" s="268" t="s">
        <v>108</v>
      </c>
      <c r="C347" s="268" t="s">
        <v>400</v>
      </c>
      <c r="D347" s="431" t="str">
        <f>GC!$B$14</f>
        <v>Termostato oculto con control de volumen bidireccional</v>
      </c>
      <c r="E347" s="249" t="s">
        <v>229</v>
      </c>
      <c r="F347" s="268" t="s">
        <v>354</v>
      </c>
      <c r="G347" s="249" t="s">
        <v>713</v>
      </c>
      <c r="H347" s="249" t="s">
        <v>435</v>
      </c>
      <c r="I347" s="268" t="s">
        <v>410</v>
      </c>
      <c r="J347" s="249">
        <v>1</v>
      </c>
      <c r="K347" s="268" t="s">
        <v>153</v>
      </c>
      <c r="L347" s="432">
        <f>GC!$F$14</f>
        <v>350.19605300000001</v>
      </c>
      <c r="M347" s="433">
        <f t="shared" si="25"/>
        <v>350.19605300000001</v>
      </c>
      <c r="N347" s="249">
        <v>0</v>
      </c>
      <c r="O347" s="433">
        <f t="shared" si="26"/>
        <v>0</v>
      </c>
      <c r="P347" s="434">
        <v>0.16</v>
      </c>
      <c r="Q347" s="433">
        <f t="shared" si="27"/>
        <v>56.031368480000005</v>
      </c>
      <c r="R347" s="433">
        <f t="shared" si="28"/>
        <v>406.22742148000003</v>
      </c>
      <c r="S347" s="433">
        <f>INDEX('Glosario Partidas'!$M$8:$M$10,MATCH(K347,'Glosario Partidas'!$L$8:$L$10,0))</f>
        <v>17.5</v>
      </c>
      <c r="T347" s="433">
        <f t="shared" si="29"/>
        <v>7108.9798759000005</v>
      </c>
      <c r="U347" s="268"/>
      <c r="V347" s="249" t="s">
        <v>12</v>
      </c>
      <c r="W347" s="249" t="s">
        <v>491</v>
      </c>
      <c r="X347" s="249"/>
    </row>
    <row r="348" spans="1:24" ht="15" customHeight="1" x14ac:dyDescent="0.2">
      <c r="A348" s="268"/>
      <c r="B348" s="268" t="s">
        <v>108</v>
      </c>
      <c r="C348" s="268" t="s">
        <v>400</v>
      </c>
      <c r="D348" s="431" t="str">
        <f>GC!$B$15</f>
        <v>Termostato empotrado (rough)</v>
      </c>
      <c r="E348" s="249" t="s">
        <v>229</v>
      </c>
      <c r="F348" s="268" t="s">
        <v>354</v>
      </c>
      <c r="G348" s="249" t="s">
        <v>713</v>
      </c>
      <c r="H348" s="249" t="s">
        <v>435</v>
      </c>
      <c r="I348" s="268" t="s">
        <v>410</v>
      </c>
      <c r="J348" s="249">
        <v>1</v>
      </c>
      <c r="K348" s="268" t="s">
        <v>153</v>
      </c>
      <c r="L348" s="432">
        <f>GC!$F$15</f>
        <v>313.33</v>
      </c>
      <c r="M348" s="433">
        <f t="shared" si="25"/>
        <v>313.33</v>
      </c>
      <c r="N348" s="249">
        <v>0</v>
      </c>
      <c r="O348" s="433">
        <f t="shared" si="26"/>
        <v>0</v>
      </c>
      <c r="P348" s="434">
        <v>0.16</v>
      </c>
      <c r="Q348" s="433">
        <f t="shared" si="27"/>
        <v>50.132799999999996</v>
      </c>
      <c r="R348" s="433">
        <f t="shared" si="28"/>
        <v>363.46279999999996</v>
      </c>
      <c r="S348" s="433">
        <f>INDEX('Glosario Partidas'!$M$8:$M$10,MATCH(K348,'Glosario Partidas'!$L$8:$L$10,0))</f>
        <v>17.5</v>
      </c>
      <c r="T348" s="433">
        <f t="shared" si="29"/>
        <v>6360.5989999999993</v>
      </c>
      <c r="U348" s="268"/>
      <c r="V348" s="249" t="s">
        <v>12</v>
      </c>
      <c r="W348" s="249" t="s">
        <v>491</v>
      </c>
      <c r="X348" s="249"/>
    </row>
    <row r="349" spans="1:24" ht="15" customHeight="1" x14ac:dyDescent="0.2">
      <c r="A349" s="268"/>
      <c r="B349" s="268" t="s">
        <v>108</v>
      </c>
      <c r="C349" s="268" t="s">
        <v>400</v>
      </c>
      <c r="D349" s="431" t="str">
        <f>GC!$B$10</f>
        <v>Soporte para papel higiénico sin cubierta</v>
      </c>
      <c r="E349" s="249" t="s">
        <v>229</v>
      </c>
      <c r="F349" s="268" t="s">
        <v>354</v>
      </c>
      <c r="G349" s="249" t="s">
        <v>713</v>
      </c>
      <c r="H349" s="249" t="s">
        <v>435</v>
      </c>
      <c r="I349" s="268" t="s">
        <v>410</v>
      </c>
      <c r="J349" s="249">
        <v>1</v>
      </c>
      <c r="K349" s="268" t="s">
        <v>153</v>
      </c>
      <c r="L349" s="432">
        <f>GC!$F$10</f>
        <v>238.874348</v>
      </c>
      <c r="M349" s="433">
        <f t="shared" si="25"/>
        <v>238.874348</v>
      </c>
      <c r="N349" s="249">
        <v>0</v>
      </c>
      <c r="O349" s="433">
        <f t="shared" si="26"/>
        <v>0</v>
      </c>
      <c r="P349" s="434">
        <v>0.16</v>
      </c>
      <c r="Q349" s="433">
        <f t="shared" si="27"/>
        <v>38.21989568</v>
      </c>
      <c r="R349" s="433">
        <f t="shared" si="28"/>
        <v>277.09424367999998</v>
      </c>
      <c r="S349" s="433">
        <f>INDEX('Glosario Partidas'!$M$8:$M$10,MATCH(K349,'Glosario Partidas'!$L$8:$L$10,0))</f>
        <v>17.5</v>
      </c>
      <c r="T349" s="433">
        <f t="shared" si="29"/>
        <v>4849.1492644</v>
      </c>
      <c r="U349" s="268"/>
      <c r="V349" s="249" t="s">
        <v>12</v>
      </c>
      <c r="W349" s="249" t="s">
        <v>491</v>
      </c>
      <c r="X349" s="249"/>
    </row>
    <row r="350" spans="1:24" ht="15" customHeight="1" x14ac:dyDescent="0.2">
      <c r="A350" s="268"/>
      <c r="B350" s="268" t="s">
        <v>108</v>
      </c>
      <c r="C350" s="268" t="s">
        <v>400</v>
      </c>
      <c r="D350" s="431" t="str">
        <f>GC!$B$9</f>
        <v>Barra de agarre / Toallero chico 45cm</v>
      </c>
      <c r="E350" s="249" t="s">
        <v>229</v>
      </c>
      <c r="F350" s="268" t="s">
        <v>354</v>
      </c>
      <c r="G350" s="249" t="s">
        <v>713</v>
      </c>
      <c r="H350" s="249" t="s">
        <v>435</v>
      </c>
      <c r="I350" s="268" t="s">
        <v>410</v>
      </c>
      <c r="J350" s="249">
        <v>2</v>
      </c>
      <c r="K350" s="268" t="s">
        <v>153</v>
      </c>
      <c r="L350" s="432">
        <f>GC!$F$9</f>
        <v>471.15</v>
      </c>
      <c r="M350" s="433">
        <f t="shared" si="25"/>
        <v>942.3</v>
      </c>
      <c r="N350" s="249">
        <v>0</v>
      </c>
      <c r="O350" s="433">
        <f t="shared" si="26"/>
        <v>0</v>
      </c>
      <c r="P350" s="434">
        <v>0.16</v>
      </c>
      <c r="Q350" s="433">
        <f t="shared" si="27"/>
        <v>150.768</v>
      </c>
      <c r="R350" s="433">
        <f t="shared" si="28"/>
        <v>1093.068</v>
      </c>
      <c r="S350" s="433">
        <f>INDEX('Glosario Partidas'!$M$8:$M$10,MATCH(K350,'Glosario Partidas'!$L$8:$L$10,0))</f>
        <v>17.5</v>
      </c>
      <c r="T350" s="433">
        <f t="shared" si="29"/>
        <v>19128.689999999999</v>
      </c>
      <c r="U350" s="268"/>
      <c r="V350" s="249" t="s">
        <v>12</v>
      </c>
      <c r="W350" s="249" t="s">
        <v>491</v>
      </c>
      <c r="X350" s="249"/>
    </row>
    <row r="351" spans="1:24" ht="15" customHeight="1" x14ac:dyDescent="0.2">
      <c r="A351" s="268"/>
      <c r="B351" s="268" t="s">
        <v>108</v>
      </c>
      <c r="C351" s="268" t="s">
        <v>400</v>
      </c>
      <c r="D351" s="431" t="str">
        <f>GC!$B$11</f>
        <v>Gancho</v>
      </c>
      <c r="E351" s="249" t="s">
        <v>229</v>
      </c>
      <c r="F351" s="268" t="s">
        <v>354</v>
      </c>
      <c r="G351" s="249" t="s">
        <v>713</v>
      </c>
      <c r="H351" s="249" t="s">
        <v>435</v>
      </c>
      <c r="I351" s="268" t="s">
        <v>410</v>
      </c>
      <c r="J351" s="249">
        <v>2</v>
      </c>
      <c r="K351" s="268" t="s">
        <v>153</v>
      </c>
      <c r="L351" s="432">
        <f>GC!$F$11</f>
        <v>61.111086999999998</v>
      </c>
      <c r="M351" s="433">
        <f t="shared" si="25"/>
        <v>122.222174</v>
      </c>
      <c r="N351" s="249">
        <v>0</v>
      </c>
      <c r="O351" s="433">
        <f t="shared" si="26"/>
        <v>0</v>
      </c>
      <c r="P351" s="434">
        <v>0.16</v>
      </c>
      <c r="Q351" s="433">
        <f t="shared" si="27"/>
        <v>19.555547839999999</v>
      </c>
      <c r="R351" s="433">
        <f t="shared" si="28"/>
        <v>141.77772184</v>
      </c>
      <c r="S351" s="433">
        <f>INDEX('Glosario Partidas'!$M$8:$M$10,MATCH(K351,'Glosario Partidas'!$L$8:$L$10,0))</f>
        <v>17.5</v>
      </c>
      <c r="T351" s="433">
        <f t="shared" si="29"/>
        <v>2481.1101322</v>
      </c>
      <c r="U351" s="268"/>
      <c r="V351" s="249" t="s">
        <v>12</v>
      </c>
      <c r="W351" s="249" t="s">
        <v>491</v>
      </c>
      <c r="X351" s="249"/>
    </row>
    <row r="352" spans="1:24" ht="15" customHeight="1" x14ac:dyDescent="0.2">
      <c r="A352" s="268"/>
      <c r="B352" s="268" t="s">
        <v>108</v>
      </c>
      <c r="C352" s="268" t="s">
        <v>401</v>
      </c>
      <c r="D352" s="431" t="str">
        <f>GC!$B$7</f>
        <v>Inodoro a piso de una pieza (Starck 3)</v>
      </c>
      <c r="E352" s="249" t="s">
        <v>229</v>
      </c>
      <c r="F352" s="268" t="s">
        <v>221</v>
      </c>
      <c r="G352" s="249" t="s">
        <v>708</v>
      </c>
      <c r="H352" s="249" t="s">
        <v>435</v>
      </c>
      <c r="I352" s="268" t="s">
        <v>410</v>
      </c>
      <c r="J352" s="249">
        <v>1</v>
      </c>
      <c r="K352" s="268" t="s">
        <v>153</v>
      </c>
      <c r="L352" s="432">
        <f>GC!$F$7</f>
        <v>667.07</v>
      </c>
      <c r="M352" s="433">
        <f t="shared" si="25"/>
        <v>667.07</v>
      </c>
      <c r="N352" s="249">
        <v>0</v>
      </c>
      <c r="O352" s="433">
        <f t="shared" si="26"/>
        <v>0</v>
      </c>
      <c r="P352" s="434">
        <v>0.16</v>
      </c>
      <c r="Q352" s="433">
        <f t="shared" si="27"/>
        <v>106.73120000000002</v>
      </c>
      <c r="R352" s="433">
        <f t="shared" si="28"/>
        <v>773.80120000000011</v>
      </c>
      <c r="S352" s="433">
        <f>INDEX('Glosario Partidas'!$M$8:$M$10,MATCH(K352,'Glosario Partidas'!$L$8:$L$10,0))</f>
        <v>17.5</v>
      </c>
      <c r="T352" s="433">
        <f t="shared" si="29"/>
        <v>13541.521000000002</v>
      </c>
      <c r="U352" s="268"/>
      <c r="V352" s="249" t="s">
        <v>12</v>
      </c>
      <c r="W352" s="249" t="s">
        <v>491</v>
      </c>
      <c r="X352" s="249"/>
    </row>
    <row r="353" spans="1:24" ht="15" customHeight="1" x14ac:dyDescent="0.2">
      <c r="A353" s="268"/>
      <c r="B353" s="268" t="s">
        <v>108</v>
      </c>
      <c r="C353" s="268" t="s">
        <v>401</v>
      </c>
      <c r="D353" s="431" t="str">
        <f>GC!$B$8</f>
        <v>Monomando de lavabo con válvula automática</v>
      </c>
      <c r="E353" s="249" t="s">
        <v>229</v>
      </c>
      <c r="F353" s="268" t="s">
        <v>221</v>
      </c>
      <c r="G353" s="249" t="s">
        <v>708</v>
      </c>
      <c r="H353" s="249" t="s">
        <v>435</v>
      </c>
      <c r="I353" s="268" t="s">
        <v>410</v>
      </c>
      <c r="J353" s="249">
        <v>2</v>
      </c>
      <c r="K353" s="268" t="s">
        <v>153</v>
      </c>
      <c r="L353" s="432">
        <f>GC!$F$8</f>
        <v>975.99151900000004</v>
      </c>
      <c r="M353" s="433">
        <f t="shared" si="25"/>
        <v>1951.9830380000001</v>
      </c>
      <c r="N353" s="249">
        <v>0</v>
      </c>
      <c r="O353" s="433">
        <f t="shared" si="26"/>
        <v>0</v>
      </c>
      <c r="P353" s="434">
        <v>0.16</v>
      </c>
      <c r="Q353" s="433">
        <f t="shared" si="27"/>
        <v>312.31728608000003</v>
      </c>
      <c r="R353" s="433">
        <f t="shared" si="28"/>
        <v>2264.3003240799999</v>
      </c>
      <c r="S353" s="433">
        <f>INDEX('Glosario Partidas'!$M$8:$M$10,MATCH(K353,'Glosario Partidas'!$L$8:$L$10,0))</f>
        <v>17.5</v>
      </c>
      <c r="T353" s="433">
        <f t="shared" si="29"/>
        <v>39625.255671399995</v>
      </c>
      <c r="U353" s="268"/>
      <c r="V353" s="249" t="s">
        <v>12</v>
      </c>
      <c r="W353" s="249" t="s">
        <v>491</v>
      </c>
      <c r="X353" s="249"/>
    </row>
    <row r="354" spans="1:24" ht="15" customHeight="1" x14ac:dyDescent="0.2">
      <c r="A354" s="268"/>
      <c r="B354" s="268" t="s">
        <v>108</v>
      </c>
      <c r="C354" s="268" t="s">
        <v>401</v>
      </c>
      <c r="D354" s="431" t="str">
        <f>GC!$B$21</f>
        <v>Soporte para vidrio (SERIES SPECIFIC, XS-081077, Brushed Dark Platinum)</v>
      </c>
      <c r="E354" s="249" t="s">
        <v>229</v>
      </c>
      <c r="F354" s="268" t="s">
        <v>221</v>
      </c>
      <c r="G354" s="249" t="s">
        <v>708</v>
      </c>
      <c r="H354" s="249" t="s">
        <v>435</v>
      </c>
      <c r="I354" s="268" t="s">
        <v>410</v>
      </c>
      <c r="J354" s="249">
        <v>2</v>
      </c>
      <c r="K354" s="268" t="s">
        <v>153</v>
      </c>
      <c r="L354" s="432">
        <f>GC!$F$21</f>
        <v>281.02</v>
      </c>
      <c r="M354" s="433">
        <f t="shared" si="25"/>
        <v>562.04</v>
      </c>
      <c r="N354" s="249">
        <v>0</v>
      </c>
      <c r="O354" s="433">
        <f t="shared" si="26"/>
        <v>0</v>
      </c>
      <c r="P354" s="434">
        <v>0.16</v>
      </c>
      <c r="Q354" s="433">
        <f t="shared" si="27"/>
        <v>89.926400000000001</v>
      </c>
      <c r="R354" s="433">
        <f t="shared" si="28"/>
        <v>651.96640000000002</v>
      </c>
      <c r="S354" s="433">
        <f>INDEX('Glosario Partidas'!$M$8:$M$10,MATCH(K354,'Glosario Partidas'!$L$8:$L$10,0))</f>
        <v>17.5</v>
      </c>
      <c r="T354" s="433">
        <f t="shared" si="29"/>
        <v>11409.412</v>
      </c>
      <c r="U354" s="268" t="s">
        <v>1084</v>
      </c>
      <c r="V354" s="249" t="s">
        <v>12</v>
      </c>
      <c r="W354" s="249" t="s">
        <v>491</v>
      </c>
      <c r="X354" s="249"/>
    </row>
    <row r="355" spans="1:24" ht="15" customHeight="1" x14ac:dyDescent="0.2">
      <c r="A355" s="268"/>
      <c r="B355" s="268" t="s">
        <v>108</v>
      </c>
      <c r="C355" s="268" t="s">
        <v>401</v>
      </c>
      <c r="D355" s="431" t="str">
        <f>GC!$B$12</f>
        <v>Set de ducha de mano con soporte de pared integrado</v>
      </c>
      <c r="E355" s="249" t="s">
        <v>229</v>
      </c>
      <c r="F355" s="268" t="s">
        <v>221</v>
      </c>
      <c r="G355" s="249" t="s">
        <v>708</v>
      </c>
      <c r="H355" s="249" t="s">
        <v>435</v>
      </c>
      <c r="I355" s="268" t="s">
        <v>410</v>
      </c>
      <c r="J355" s="249">
        <v>1</v>
      </c>
      <c r="K355" s="268" t="s">
        <v>153</v>
      </c>
      <c r="L355" s="432">
        <f>GC!$F$12</f>
        <v>325.25947400000001</v>
      </c>
      <c r="M355" s="433">
        <f t="shared" si="25"/>
        <v>325.25947400000001</v>
      </c>
      <c r="N355" s="249">
        <v>0</v>
      </c>
      <c r="O355" s="433">
        <f t="shared" si="26"/>
        <v>0</v>
      </c>
      <c r="P355" s="434">
        <v>0.16</v>
      </c>
      <c r="Q355" s="433">
        <f t="shared" si="27"/>
        <v>52.041515840000002</v>
      </c>
      <c r="R355" s="433">
        <f t="shared" si="28"/>
        <v>377.30098984</v>
      </c>
      <c r="S355" s="433">
        <f>INDEX('Glosario Partidas'!$M$8:$M$10,MATCH(K355,'Glosario Partidas'!$L$8:$L$10,0))</f>
        <v>17.5</v>
      </c>
      <c r="T355" s="433">
        <f t="shared" si="29"/>
        <v>6602.7673222000003</v>
      </c>
      <c r="U355" s="268"/>
      <c r="V355" s="249" t="s">
        <v>12</v>
      </c>
      <c r="W355" s="249" t="s">
        <v>491</v>
      </c>
      <c r="X355" s="249"/>
    </row>
    <row r="356" spans="1:24" ht="15" customHeight="1" x14ac:dyDescent="0.2">
      <c r="A356" s="268"/>
      <c r="B356" s="268" t="s">
        <v>108</v>
      </c>
      <c r="C356" s="268" t="s">
        <v>401</v>
      </c>
      <c r="D356" s="431" t="str">
        <f>GC!$B$13</f>
        <v>Ducha efecto lluvia con fijación a pared 400 mm</v>
      </c>
      <c r="E356" s="249" t="s">
        <v>229</v>
      </c>
      <c r="F356" s="268" t="s">
        <v>221</v>
      </c>
      <c r="G356" s="249" t="s">
        <v>708</v>
      </c>
      <c r="H356" s="249" t="s">
        <v>435</v>
      </c>
      <c r="I356" s="268" t="s">
        <v>410</v>
      </c>
      <c r="J356" s="249">
        <v>1</v>
      </c>
      <c r="K356" s="268" t="s">
        <v>153</v>
      </c>
      <c r="L356" s="432">
        <f>GC!$F$13</f>
        <v>1807.197105</v>
      </c>
      <c r="M356" s="433">
        <f t="shared" si="25"/>
        <v>1807.197105</v>
      </c>
      <c r="N356" s="249">
        <v>0</v>
      </c>
      <c r="O356" s="433">
        <f t="shared" si="26"/>
        <v>0</v>
      </c>
      <c r="P356" s="434">
        <v>0.16</v>
      </c>
      <c r="Q356" s="433">
        <f t="shared" si="27"/>
        <v>289.15153679999997</v>
      </c>
      <c r="R356" s="433">
        <f t="shared" si="28"/>
        <v>2096.3486417999998</v>
      </c>
      <c r="S356" s="433">
        <f>INDEX('Glosario Partidas'!$M$8:$M$10,MATCH(K356,'Glosario Partidas'!$L$8:$L$10,0))</f>
        <v>17.5</v>
      </c>
      <c r="T356" s="433">
        <f t="shared" si="29"/>
        <v>36686.101231499997</v>
      </c>
      <c r="U356" s="268"/>
      <c r="V356" s="249" t="s">
        <v>12</v>
      </c>
      <c r="W356" s="249" t="s">
        <v>491</v>
      </c>
      <c r="X356" s="249"/>
    </row>
    <row r="357" spans="1:24" ht="15" customHeight="1" x14ac:dyDescent="0.2">
      <c r="A357" s="268"/>
      <c r="B357" s="268" t="s">
        <v>108</v>
      </c>
      <c r="C357" s="268" t="s">
        <v>401</v>
      </c>
      <c r="D357" s="431" t="str">
        <f>GC!$B$22</f>
        <v>Canaleta de ducha para piedra natural TECE showerline (15201082)</v>
      </c>
      <c r="E357" s="249" t="s">
        <v>229</v>
      </c>
      <c r="F357" s="268" t="s">
        <v>221</v>
      </c>
      <c r="G357" s="249" t="s">
        <v>708</v>
      </c>
      <c r="H357" s="249" t="s">
        <v>435</v>
      </c>
      <c r="I357" s="268" t="s">
        <v>410</v>
      </c>
      <c r="J357" s="249">
        <v>1</v>
      </c>
      <c r="K357" s="268" t="s">
        <v>153</v>
      </c>
      <c r="L357" s="432">
        <f>GC!$F$22</f>
        <v>290.33763199999999</v>
      </c>
      <c r="M357" s="433">
        <f t="shared" si="25"/>
        <v>290.33763199999999</v>
      </c>
      <c r="N357" s="249">
        <v>0</v>
      </c>
      <c r="O357" s="433">
        <f t="shared" si="26"/>
        <v>0</v>
      </c>
      <c r="P357" s="434">
        <v>0.16</v>
      </c>
      <c r="Q357" s="433">
        <f t="shared" si="27"/>
        <v>46.45402112</v>
      </c>
      <c r="R357" s="433">
        <f t="shared" si="28"/>
        <v>336.79165311999998</v>
      </c>
      <c r="S357" s="433">
        <f>INDEX('Glosario Partidas'!$M$8:$M$10,MATCH(K357,'Glosario Partidas'!$L$8:$L$10,0))</f>
        <v>17.5</v>
      </c>
      <c r="T357" s="433">
        <f t="shared" si="29"/>
        <v>5893.8539295999999</v>
      </c>
      <c r="U357" s="268" t="s">
        <v>1085</v>
      </c>
      <c r="V357" s="249" t="s">
        <v>12</v>
      </c>
      <c r="W357" s="249" t="s">
        <v>491</v>
      </c>
      <c r="X357" s="249"/>
    </row>
    <row r="358" spans="1:24" ht="15" customHeight="1" x14ac:dyDescent="0.2">
      <c r="A358" s="268"/>
      <c r="B358" s="268" t="s">
        <v>108</v>
      </c>
      <c r="C358" s="268" t="s">
        <v>401</v>
      </c>
      <c r="D358" s="431" t="str">
        <f>GC!$B$14</f>
        <v>Termostato oculto con control de volumen bidireccional</v>
      </c>
      <c r="E358" s="249" t="s">
        <v>229</v>
      </c>
      <c r="F358" s="268" t="s">
        <v>221</v>
      </c>
      <c r="G358" s="249" t="s">
        <v>708</v>
      </c>
      <c r="H358" s="249" t="s">
        <v>435</v>
      </c>
      <c r="I358" s="268" t="s">
        <v>410</v>
      </c>
      <c r="J358" s="249">
        <v>1</v>
      </c>
      <c r="K358" s="268" t="s">
        <v>153</v>
      </c>
      <c r="L358" s="432">
        <f>GC!$F$14</f>
        <v>350.19605300000001</v>
      </c>
      <c r="M358" s="433">
        <f t="shared" si="25"/>
        <v>350.19605300000001</v>
      </c>
      <c r="N358" s="249">
        <v>0</v>
      </c>
      <c r="O358" s="433">
        <f t="shared" si="26"/>
        <v>0</v>
      </c>
      <c r="P358" s="434">
        <v>0.16</v>
      </c>
      <c r="Q358" s="433">
        <f t="shared" si="27"/>
        <v>56.031368480000005</v>
      </c>
      <c r="R358" s="433">
        <f t="shared" si="28"/>
        <v>406.22742148000003</v>
      </c>
      <c r="S358" s="433">
        <f>INDEX('Glosario Partidas'!$M$8:$M$10,MATCH(K358,'Glosario Partidas'!$L$8:$L$10,0))</f>
        <v>17.5</v>
      </c>
      <c r="T358" s="433">
        <f t="shared" si="29"/>
        <v>7108.9798759000005</v>
      </c>
      <c r="U358" s="268"/>
      <c r="V358" s="249" t="s">
        <v>12</v>
      </c>
      <c r="W358" s="249" t="s">
        <v>491</v>
      </c>
      <c r="X358" s="249"/>
    </row>
    <row r="359" spans="1:24" ht="15" customHeight="1" x14ac:dyDescent="0.2">
      <c r="A359" s="268"/>
      <c r="B359" s="268" t="s">
        <v>108</v>
      </c>
      <c r="C359" s="268" t="s">
        <v>401</v>
      </c>
      <c r="D359" s="431" t="str">
        <f>GC!$B$15</f>
        <v>Termostato empotrado (rough)</v>
      </c>
      <c r="E359" s="249" t="s">
        <v>229</v>
      </c>
      <c r="F359" s="268" t="s">
        <v>221</v>
      </c>
      <c r="G359" s="249" t="s">
        <v>708</v>
      </c>
      <c r="H359" s="249" t="s">
        <v>435</v>
      </c>
      <c r="I359" s="268" t="s">
        <v>410</v>
      </c>
      <c r="J359" s="249">
        <v>1</v>
      </c>
      <c r="K359" s="268" t="s">
        <v>153</v>
      </c>
      <c r="L359" s="432">
        <f>GC!$F$15</f>
        <v>313.33</v>
      </c>
      <c r="M359" s="433">
        <f t="shared" si="25"/>
        <v>313.33</v>
      </c>
      <c r="N359" s="249">
        <v>0</v>
      </c>
      <c r="O359" s="433">
        <f t="shared" si="26"/>
        <v>0</v>
      </c>
      <c r="P359" s="434">
        <v>0.16</v>
      </c>
      <c r="Q359" s="433">
        <f t="shared" si="27"/>
        <v>50.132799999999996</v>
      </c>
      <c r="R359" s="433">
        <f t="shared" si="28"/>
        <v>363.46279999999996</v>
      </c>
      <c r="S359" s="433">
        <f>INDEX('Glosario Partidas'!$M$8:$M$10,MATCH(K359,'Glosario Partidas'!$L$8:$L$10,0))</f>
        <v>17.5</v>
      </c>
      <c r="T359" s="433">
        <f t="shared" si="29"/>
        <v>6360.5989999999993</v>
      </c>
      <c r="U359" s="268"/>
      <c r="V359" s="249" t="s">
        <v>12</v>
      </c>
      <c r="W359" s="249" t="s">
        <v>491</v>
      </c>
      <c r="X359" s="249"/>
    </row>
    <row r="360" spans="1:24" ht="15" customHeight="1" x14ac:dyDescent="0.2">
      <c r="A360" s="268"/>
      <c r="B360" s="268" t="s">
        <v>108</v>
      </c>
      <c r="C360" s="268" t="s">
        <v>401</v>
      </c>
      <c r="D360" s="431" t="str">
        <f>GC!$B$10</f>
        <v>Soporte para papel higiénico sin cubierta</v>
      </c>
      <c r="E360" s="249" t="s">
        <v>229</v>
      </c>
      <c r="F360" s="268" t="s">
        <v>221</v>
      </c>
      <c r="G360" s="249" t="s">
        <v>708</v>
      </c>
      <c r="H360" s="249" t="s">
        <v>435</v>
      </c>
      <c r="I360" s="268" t="s">
        <v>410</v>
      </c>
      <c r="J360" s="249">
        <v>1</v>
      </c>
      <c r="K360" s="268" t="s">
        <v>153</v>
      </c>
      <c r="L360" s="432">
        <f>GC!$F$10</f>
        <v>238.874348</v>
      </c>
      <c r="M360" s="433">
        <f t="shared" si="25"/>
        <v>238.874348</v>
      </c>
      <c r="N360" s="249">
        <v>0</v>
      </c>
      <c r="O360" s="433">
        <f t="shared" si="26"/>
        <v>0</v>
      </c>
      <c r="P360" s="434">
        <v>0.16</v>
      </c>
      <c r="Q360" s="433">
        <f t="shared" si="27"/>
        <v>38.21989568</v>
      </c>
      <c r="R360" s="433">
        <f t="shared" si="28"/>
        <v>277.09424367999998</v>
      </c>
      <c r="S360" s="433">
        <f>INDEX('Glosario Partidas'!$M$8:$M$10,MATCH(K360,'Glosario Partidas'!$L$8:$L$10,0))</f>
        <v>17.5</v>
      </c>
      <c r="T360" s="433">
        <f t="shared" si="29"/>
        <v>4849.1492644</v>
      </c>
      <c r="U360" s="268"/>
      <c r="V360" s="249" t="s">
        <v>12</v>
      </c>
      <c r="W360" s="249" t="s">
        <v>491</v>
      </c>
      <c r="X360" s="249"/>
    </row>
    <row r="361" spans="1:24" ht="15" customHeight="1" x14ac:dyDescent="0.2">
      <c r="A361" s="268"/>
      <c r="B361" s="268" t="s">
        <v>108</v>
      </c>
      <c r="C361" s="268" t="s">
        <v>401</v>
      </c>
      <c r="D361" s="431" t="str">
        <f>GC!$B$9</f>
        <v>Barra de agarre / Toallero chico 45cm</v>
      </c>
      <c r="E361" s="249" t="s">
        <v>229</v>
      </c>
      <c r="F361" s="268" t="s">
        <v>221</v>
      </c>
      <c r="G361" s="249" t="s">
        <v>708</v>
      </c>
      <c r="H361" s="249" t="s">
        <v>435</v>
      </c>
      <c r="I361" s="268" t="s">
        <v>410</v>
      </c>
      <c r="J361" s="249">
        <v>2</v>
      </c>
      <c r="K361" s="268" t="s">
        <v>153</v>
      </c>
      <c r="L361" s="432">
        <f>GC!$F$9</f>
        <v>471.15</v>
      </c>
      <c r="M361" s="433">
        <f t="shared" si="25"/>
        <v>942.3</v>
      </c>
      <c r="N361" s="249">
        <v>0</v>
      </c>
      <c r="O361" s="433">
        <f t="shared" si="26"/>
        <v>0</v>
      </c>
      <c r="P361" s="434">
        <v>0.16</v>
      </c>
      <c r="Q361" s="433">
        <f t="shared" si="27"/>
        <v>150.768</v>
      </c>
      <c r="R361" s="433">
        <f t="shared" si="28"/>
        <v>1093.068</v>
      </c>
      <c r="S361" s="433">
        <f>INDEX('Glosario Partidas'!$M$8:$M$10,MATCH(K361,'Glosario Partidas'!$L$8:$L$10,0))</f>
        <v>17.5</v>
      </c>
      <c r="T361" s="433">
        <f t="shared" si="29"/>
        <v>19128.689999999999</v>
      </c>
      <c r="U361" s="268"/>
      <c r="V361" s="249" t="s">
        <v>12</v>
      </c>
      <c r="W361" s="249" t="s">
        <v>491</v>
      </c>
      <c r="X361" s="249"/>
    </row>
    <row r="362" spans="1:24" ht="15" customHeight="1" x14ac:dyDescent="0.2">
      <c r="A362" s="268"/>
      <c r="B362" s="268" t="s">
        <v>108</v>
      </c>
      <c r="C362" s="268" t="s">
        <v>401</v>
      </c>
      <c r="D362" s="431" t="str">
        <f>GC!$B$11</f>
        <v>Gancho</v>
      </c>
      <c r="E362" s="249" t="s">
        <v>229</v>
      </c>
      <c r="F362" s="268" t="s">
        <v>221</v>
      </c>
      <c r="G362" s="249" t="s">
        <v>708</v>
      </c>
      <c r="H362" s="249" t="s">
        <v>435</v>
      </c>
      <c r="I362" s="268" t="s">
        <v>410</v>
      </c>
      <c r="J362" s="249">
        <v>4</v>
      </c>
      <c r="K362" s="268" t="s">
        <v>153</v>
      </c>
      <c r="L362" s="432">
        <f>GC!$F$11</f>
        <v>61.111086999999998</v>
      </c>
      <c r="M362" s="433">
        <f t="shared" si="25"/>
        <v>244.44434799999999</v>
      </c>
      <c r="N362" s="249">
        <v>0</v>
      </c>
      <c r="O362" s="433">
        <f t="shared" si="26"/>
        <v>0</v>
      </c>
      <c r="P362" s="434">
        <v>0.16</v>
      </c>
      <c r="Q362" s="433">
        <f t="shared" si="27"/>
        <v>39.111095679999998</v>
      </c>
      <c r="R362" s="433">
        <f t="shared" si="28"/>
        <v>283.55544368</v>
      </c>
      <c r="S362" s="433">
        <f>INDEX('Glosario Partidas'!$M$8:$M$10,MATCH(K362,'Glosario Partidas'!$L$8:$L$10,0))</f>
        <v>17.5</v>
      </c>
      <c r="T362" s="433">
        <f t="shared" si="29"/>
        <v>4962.2202643999999</v>
      </c>
      <c r="U362" s="268"/>
      <c r="V362" s="249" t="s">
        <v>12</v>
      </c>
      <c r="W362" s="249" t="s">
        <v>491</v>
      </c>
      <c r="X362" s="249"/>
    </row>
    <row r="363" spans="1:24" ht="15" customHeight="1" x14ac:dyDescent="0.2">
      <c r="A363" s="268"/>
      <c r="B363" s="268" t="s">
        <v>108</v>
      </c>
      <c r="C363" s="268" t="s">
        <v>401</v>
      </c>
      <c r="D363" s="431" t="str">
        <f>GC!$B$7</f>
        <v>Inodoro a piso de una pieza (Starck 3)</v>
      </c>
      <c r="E363" s="249" t="s">
        <v>229</v>
      </c>
      <c r="F363" s="268" t="s">
        <v>354</v>
      </c>
      <c r="G363" s="249" t="s">
        <v>711</v>
      </c>
      <c r="H363" s="249" t="s">
        <v>435</v>
      </c>
      <c r="I363" s="268" t="s">
        <v>410</v>
      </c>
      <c r="J363" s="249">
        <v>1</v>
      </c>
      <c r="K363" s="268" t="s">
        <v>153</v>
      </c>
      <c r="L363" s="432">
        <f>GC!$F$7</f>
        <v>667.07</v>
      </c>
      <c r="M363" s="433">
        <f t="shared" si="25"/>
        <v>667.07</v>
      </c>
      <c r="N363" s="249">
        <v>0</v>
      </c>
      <c r="O363" s="433">
        <f t="shared" si="26"/>
        <v>0</v>
      </c>
      <c r="P363" s="434">
        <v>0.16</v>
      </c>
      <c r="Q363" s="433">
        <f t="shared" si="27"/>
        <v>106.73120000000002</v>
      </c>
      <c r="R363" s="433">
        <f t="shared" si="28"/>
        <v>773.80120000000011</v>
      </c>
      <c r="S363" s="433">
        <f>INDEX('Glosario Partidas'!$M$8:$M$10,MATCH(K363,'Glosario Partidas'!$L$8:$L$10,0))</f>
        <v>17.5</v>
      </c>
      <c r="T363" s="433">
        <f t="shared" si="29"/>
        <v>13541.521000000002</v>
      </c>
      <c r="U363" s="268"/>
      <c r="V363" s="249" t="s">
        <v>12</v>
      </c>
      <c r="W363" s="249" t="s">
        <v>491</v>
      </c>
      <c r="X363" s="249"/>
    </row>
    <row r="364" spans="1:24" ht="15" customHeight="1" x14ac:dyDescent="0.2">
      <c r="A364" s="268"/>
      <c r="B364" s="268" t="s">
        <v>108</v>
      </c>
      <c r="C364" s="268" t="s">
        <v>401</v>
      </c>
      <c r="D364" s="431" t="str">
        <f>GC!$B$8</f>
        <v>Monomando de lavabo con válvula automática</v>
      </c>
      <c r="E364" s="249" t="s">
        <v>229</v>
      </c>
      <c r="F364" s="268" t="s">
        <v>354</v>
      </c>
      <c r="G364" s="249" t="s">
        <v>711</v>
      </c>
      <c r="H364" s="249" t="s">
        <v>435</v>
      </c>
      <c r="I364" s="268" t="s">
        <v>410</v>
      </c>
      <c r="J364" s="249">
        <v>2</v>
      </c>
      <c r="K364" s="268" t="s">
        <v>153</v>
      </c>
      <c r="L364" s="432">
        <f>GC!$F$8</f>
        <v>975.99151900000004</v>
      </c>
      <c r="M364" s="433">
        <f t="shared" si="25"/>
        <v>1951.9830380000001</v>
      </c>
      <c r="N364" s="249">
        <v>0</v>
      </c>
      <c r="O364" s="433">
        <f t="shared" si="26"/>
        <v>0</v>
      </c>
      <c r="P364" s="434">
        <v>0.16</v>
      </c>
      <c r="Q364" s="433">
        <f t="shared" si="27"/>
        <v>312.31728608000003</v>
      </c>
      <c r="R364" s="433">
        <f t="shared" si="28"/>
        <v>2264.3003240799999</v>
      </c>
      <c r="S364" s="433">
        <f>INDEX('Glosario Partidas'!$M$8:$M$10,MATCH(K364,'Glosario Partidas'!$L$8:$L$10,0))</f>
        <v>17.5</v>
      </c>
      <c r="T364" s="433">
        <f t="shared" si="29"/>
        <v>39625.255671399995</v>
      </c>
      <c r="U364" s="268"/>
      <c r="V364" s="249" t="s">
        <v>12</v>
      </c>
      <c r="W364" s="249" t="s">
        <v>491</v>
      </c>
      <c r="X364" s="249"/>
    </row>
    <row r="365" spans="1:24" ht="15" customHeight="1" x14ac:dyDescent="0.2">
      <c r="A365" s="268"/>
      <c r="B365" s="268" t="s">
        <v>108</v>
      </c>
      <c r="C365" s="268" t="s">
        <v>401</v>
      </c>
      <c r="D365" s="431" t="str">
        <f>GC!$B$21</f>
        <v>Soporte para vidrio (SERIES SPECIFIC, XS-081077, Brushed Dark Platinum)</v>
      </c>
      <c r="E365" s="249" t="s">
        <v>229</v>
      </c>
      <c r="F365" s="268" t="s">
        <v>354</v>
      </c>
      <c r="G365" s="249" t="s">
        <v>711</v>
      </c>
      <c r="H365" s="249" t="s">
        <v>435</v>
      </c>
      <c r="I365" s="268" t="s">
        <v>410</v>
      </c>
      <c r="J365" s="249">
        <v>2</v>
      </c>
      <c r="K365" s="268" t="s">
        <v>153</v>
      </c>
      <c r="L365" s="432">
        <f>GC!$F$21</f>
        <v>281.02</v>
      </c>
      <c r="M365" s="433">
        <f t="shared" si="25"/>
        <v>562.04</v>
      </c>
      <c r="N365" s="249">
        <v>0</v>
      </c>
      <c r="O365" s="433">
        <f t="shared" si="26"/>
        <v>0</v>
      </c>
      <c r="P365" s="434">
        <v>0.16</v>
      </c>
      <c r="Q365" s="433">
        <f t="shared" si="27"/>
        <v>89.926400000000001</v>
      </c>
      <c r="R365" s="433">
        <f t="shared" si="28"/>
        <v>651.96640000000002</v>
      </c>
      <c r="S365" s="433">
        <f>INDEX('Glosario Partidas'!$M$8:$M$10,MATCH(K365,'Glosario Partidas'!$L$8:$L$10,0))</f>
        <v>17.5</v>
      </c>
      <c r="T365" s="433">
        <f t="shared" si="29"/>
        <v>11409.412</v>
      </c>
      <c r="U365" s="268" t="s">
        <v>1084</v>
      </c>
      <c r="V365" s="249" t="s">
        <v>12</v>
      </c>
      <c r="W365" s="249" t="s">
        <v>491</v>
      </c>
      <c r="X365" s="249"/>
    </row>
    <row r="366" spans="1:24" ht="15" customHeight="1" x14ac:dyDescent="0.2">
      <c r="A366" s="268"/>
      <c r="B366" s="268" t="s">
        <v>108</v>
      </c>
      <c r="C366" s="268" t="s">
        <v>401</v>
      </c>
      <c r="D366" s="431" t="str">
        <f>GC!$B$12</f>
        <v>Set de ducha de mano con soporte de pared integrado</v>
      </c>
      <c r="E366" s="249" t="s">
        <v>229</v>
      </c>
      <c r="F366" s="268" t="s">
        <v>354</v>
      </c>
      <c r="G366" s="249" t="s">
        <v>711</v>
      </c>
      <c r="H366" s="249" t="s">
        <v>435</v>
      </c>
      <c r="I366" s="268" t="s">
        <v>410</v>
      </c>
      <c r="J366" s="249">
        <v>1</v>
      </c>
      <c r="K366" s="268" t="s">
        <v>153</v>
      </c>
      <c r="L366" s="432">
        <f>GC!$F$12</f>
        <v>325.25947400000001</v>
      </c>
      <c r="M366" s="433">
        <f t="shared" si="25"/>
        <v>325.25947400000001</v>
      </c>
      <c r="N366" s="249">
        <v>0</v>
      </c>
      <c r="O366" s="433">
        <f t="shared" si="26"/>
        <v>0</v>
      </c>
      <c r="P366" s="434">
        <v>0.16</v>
      </c>
      <c r="Q366" s="433">
        <f t="shared" si="27"/>
        <v>52.041515840000002</v>
      </c>
      <c r="R366" s="433">
        <f t="shared" si="28"/>
        <v>377.30098984</v>
      </c>
      <c r="S366" s="433">
        <f>INDEX('Glosario Partidas'!$M$8:$M$10,MATCH(K366,'Glosario Partidas'!$L$8:$L$10,0))</f>
        <v>17.5</v>
      </c>
      <c r="T366" s="433">
        <f t="shared" si="29"/>
        <v>6602.7673222000003</v>
      </c>
      <c r="U366" s="268"/>
      <c r="V366" s="249" t="s">
        <v>12</v>
      </c>
      <c r="W366" s="249" t="s">
        <v>491</v>
      </c>
      <c r="X366" s="249"/>
    </row>
    <row r="367" spans="1:24" ht="15" customHeight="1" x14ac:dyDescent="0.2">
      <c r="A367" s="268"/>
      <c r="B367" s="268" t="s">
        <v>108</v>
      </c>
      <c r="C367" s="268" t="s">
        <v>401</v>
      </c>
      <c r="D367" s="431" t="str">
        <f>GC!$B$13</f>
        <v>Ducha efecto lluvia con fijación a pared 400 mm</v>
      </c>
      <c r="E367" s="249" t="s">
        <v>229</v>
      </c>
      <c r="F367" s="268" t="s">
        <v>354</v>
      </c>
      <c r="G367" s="249" t="s">
        <v>711</v>
      </c>
      <c r="H367" s="249" t="s">
        <v>435</v>
      </c>
      <c r="I367" s="268" t="s">
        <v>410</v>
      </c>
      <c r="J367" s="249">
        <v>1</v>
      </c>
      <c r="K367" s="268" t="s">
        <v>153</v>
      </c>
      <c r="L367" s="432">
        <f>GC!$F$13</f>
        <v>1807.197105</v>
      </c>
      <c r="M367" s="433">
        <f t="shared" si="25"/>
        <v>1807.197105</v>
      </c>
      <c r="N367" s="249">
        <v>0</v>
      </c>
      <c r="O367" s="433">
        <f t="shared" si="26"/>
        <v>0</v>
      </c>
      <c r="P367" s="434">
        <v>0.16</v>
      </c>
      <c r="Q367" s="433">
        <f t="shared" si="27"/>
        <v>289.15153679999997</v>
      </c>
      <c r="R367" s="433">
        <f t="shared" si="28"/>
        <v>2096.3486417999998</v>
      </c>
      <c r="S367" s="433">
        <f>INDEX('Glosario Partidas'!$M$8:$M$10,MATCH(K367,'Glosario Partidas'!$L$8:$L$10,0))</f>
        <v>17.5</v>
      </c>
      <c r="T367" s="433">
        <f t="shared" si="29"/>
        <v>36686.101231499997</v>
      </c>
      <c r="U367" s="268"/>
      <c r="V367" s="249" t="s">
        <v>12</v>
      </c>
      <c r="W367" s="249" t="s">
        <v>491</v>
      </c>
      <c r="X367" s="249"/>
    </row>
    <row r="368" spans="1:24" ht="15" customHeight="1" x14ac:dyDescent="0.2">
      <c r="A368" s="268"/>
      <c r="B368" s="268" t="s">
        <v>108</v>
      </c>
      <c r="C368" s="268" t="s">
        <v>401</v>
      </c>
      <c r="D368" s="431" t="str">
        <f>GC!$B$22</f>
        <v>Canaleta de ducha para piedra natural TECE showerline (15201082)</v>
      </c>
      <c r="E368" s="249" t="s">
        <v>229</v>
      </c>
      <c r="F368" s="268" t="s">
        <v>354</v>
      </c>
      <c r="G368" s="249" t="s">
        <v>711</v>
      </c>
      <c r="H368" s="249" t="s">
        <v>435</v>
      </c>
      <c r="I368" s="268" t="s">
        <v>410</v>
      </c>
      <c r="J368" s="249">
        <v>1</v>
      </c>
      <c r="K368" s="268" t="s">
        <v>153</v>
      </c>
      <c r="L368" s="432">
        <f>GC!$F$22</f>
        <v>290.33763199999999</v>
      </c>
      <c r="M368" s="433">
        <f t="shared" si="25"/>
        <v>290.33763199999999</v>
      </c>
      <c r="N368" s="249">
        <v>0</v>
      </c>
      <c r="O368" s="433">
        <f t="shared" si="26"/>
        <v>0</v>
      </c>
      <c r="P368" s="434">
        <v>0.16</v>
      </c>
      <c r="Q368" s="433">
        <f t="shared" si="27"/>
        <v>46.45402112</v>
      </c>
      <c r="R368" s="433">
        <f t="shared" si="28"/>
        <v>336.79165311999998</v>
      </c>
      <c r="S368" s="433">
        <f>INDEX('Glosario Partidas'!$M$8:$M$10,MATCH(K368,'Glosario Partidas'!$L$8:$L$10,0))</f>
        <v>17.5</v>
      </c>
      <c r="T368" s="433">
        <f t="shared" si="29"/>
        <v>5893.8539295999999</v>
      </c>
      <c r="U368" s="268" t="s">
        <v>1085</v>
      </c>
      <c r="V368" s="249" t="s">
        <v>12</v>
      </c>
      <c r="W368" s="249" t="s">
        <v>491</v>
      </c>
      <c r="X368" s="249"/>
    </row>
    <row r="369" spans="1:24" ht="15" customHeight="1" x14ac:dyDescent="0.2">
      <c r="A369" s="268"/>
      <c r="B369" s="268" t="s">
        <v>108</v>
      </c>
      <c r="C369" s="268" t="s">
        <v>401</v>
      </c>
      <c r="D369" s="431" t="str">
        <f>GC!$B$14</f>
        <v>Termostato oculto con control de volumen bidireccional</v>
      </c>
      <c r="E369" s="249" t="s">
        <v>229</v>
      </c>
      <c r="F369" s="268" t="s">
        <v>354</v>
      </c>
      <c r="G369" s="249" t="s">
        <v>711</v>
      </c>
      <c r="H369" s="249" t="s">
        <v>435</v>
      </c>
      <c r="I369" s="268" t="s">
        <v>410</v>
      </c>
      <c r="J369" s="249">
        <v>1</v>
      </c>
      <c r="K369" s="268" t="s">
        <v>153</v>
      </c>
      <c r="L369" s="432">
        <f>GC!$F$14</f>
        <v>350.19605300000001</v>
      </c>
      <c r="M369" s="433">
        <f t="shared" si="25"/>
        <v>350.19605300000001</v>
      </c>
      <c r="N369" s="249">
        <v>0</v>
      </c>
      <c r="O369" s="433">
        <f t="shared" si="26"/>
        <v>0</v>
      </c>
      <c r="P369" s="434">
        <v>0.16</v>
      </c>
      <c r="Q369" s="433">
        <f t="shared" si="27"/>
        <v>56.031368480000005</v>
      </c>
      <c r="R369" s="433">
        <f t="shared" si="28"/>
        <v>406.22742148000003</v>
      </c>
      <c r="S369" s="433">
        <f>INDEX('Glosario Partidas'!$M$8:$M$10,MATCH(K369,'Glosario Partidas'!$L$8:$L$10,0))</f>
        <v>17.5</v>
      </c>
      <c r="T369" s="433">
        <f t="shared" si="29"/>
        <v>7108.9798759000005</v>
      </c>
      <c r="U369" s="268"/>
      <c r="V369" s="249" t="s">
        <v>12</v>
      </c>
      <c r="W369" s="249" t="s">
        <v>491</v>
      </c>
      <c r="X369" s="249"/>
    </row>
    <row r="370" spans="1:24" ht="15" customHeight="1" x14ac:dyDescent="0.2">
      <c r="A370" s="268"/>
      <c r="B370" s="268" t="s">
        <v>108</v>
      </c>
      <c r="C370" s="268" t="s">
        <v>401</v>
      </c>
      <c r="D370" s="431" t="str">
        <f>GC!$B$15</f>
        <v>Termostato empotrado (rough)</v>
      </c>
      <c r="E370" s="249" t="s">
        <v>229</v>
      </c>
      <c r="F370" s="268" t="s">
        <v>354</v>
      </c>
      <c r="G370" s="249" t="s">
        <v>711</v>
      </c>
      <c r="H370" s="249" t="s">
        <v>435</v>
      </c>
      <c r="I370" s="268" t="s">
        <v>410</v>
      </c>
      <c r="J370" s="249">
        <v>1</v>
      </c>
      <c r="K370" s="268" t="s">
        <v>153</v>
      </c>
      <c r="L370" s="432">
        <f>GC!$F$15</f>
        <v>313.33</v>
      </c>
      <c r="M370" s="433">
        <f t="shared" si="25"/>
        <v>313.33</v>
      </c>
      <c r="N370" s="249">
        <v>0</v>
      </c>
      <c r="O370" s="433">
        <f t="shared" si="26"/>
        <v>0</v>
      </c>
      <c r="P370" s="434">
        <v>0.16</v>
      </c>
      <c r="Q370" s="433">
        <f t="shared" si="27"/>
        <v>50.132799999999996</v>
      </c>
      <c r="R370" s="433">
        <f t="shared" si="28"/>
        <v>363.46279999999996</v>
      </c>
      <c r="S370" s="433">
        <f>INDEX('Glosario Partidas'!$M$8:$M$10,MATCH(K370,'Glosario Partidas'!$L$8:$L$10,0))</f>
        <v>17.5</v>
      </c>
      <c r="T370" s="433">
        <f t="shared" si="29"/>
        <v>6360.5989999999993</v>
      </c>
      <c r="U370" s="268"/>
      <c r="V370" s="249" t="s">
        <v>12</v>
      </c>
      <c r="W370" s="249" t="s">
        <v>491</v>
      </c>
      <c r="X370" s="249"/>
    </row>
    <row r="371" spans="1:24" ht="15" customHeight="1" x14ac:dyDescent="0.2">
      <c r="A371" s="268"/>
      <c r="B371" s="268" t="s">
        <v>108</v>
      </c>
      <c r="C371" s="268" t="s">
        <v>401</v>
      </c>
      <c r="D371" s="431" t="str">
        <f>GC!$B$10</f>
        <v>Soporte para papel higiénico sin cubierta</v>
      </c>
      <c r="E371" s="249" t="s">
        <v>229</v>
      </c>
      <c r="F371" s="268" t="s">
        <v>354</v>
      </c>
      <c r="G371" s="249" t="s">
        <v>711</v>
      </c>
      <c r="H371" s="249" t="s">
        <v>435</v>
      </c>
      <c r="I371" s="268" t="s">
        <v>410</v>
      </c>
      <c r="J371" s="249">
        <v>1</v>
      </c>
      <c r="K371" s="268" t="s">
        <v>153</v>
      </c>
      <c r="L371" s="432">
        <f>GC!$F$10</f>
        <v>238.874348</v>
      </c>
      <c r="M371" s="433">
        <f t="shared" si="25"/>
        <v>238.874348</v>
      </c>
      <c r="N371" s="249">
        <v>0</v>
      </c>
      <c r="O371" s="433">
        <f t="shared" si="26"/>
        <v>0</v>
      </c>
      <c r="P371" s="434">
        <v>0.16</v>
      </c>
      <c r="Q371" s="433">
        <f t="shared" si="27"/>
        <v>38.21989568</v>
      </c>
      <c r="R371" s="433">
        <f t="shared" si="28"/>
        <v>277.09424367999998</v>
      </c>
      <c r="S371" s="433">
        <f>INDEX('Glosario Partidas'!$M$8:$M$10,MATCH(K371,'Glosario Partidas'!$L$8:$L$10,0))</f>
        <v>17.5</v>
      </c>
      <c r="T371" s="433">
        <f t="shared" si="29"/>
        <v>4849.1492644</v>
      </c>
      <c r="U371" s="268"/>
      <c r="V371" s="249" t="s">
        <v>12</v>
      </c>
      <c r="W371" s="249" t="s">
        <v>491</v>
      </c>
      <c r="X371" s="249"/>
    </row>
    <row r="372" spans="1:24" s="435" customFormat="1" ht="15" customHeight="1" x14ac:dyDescent="0.2">
      <c r="A372" s="268"/>
      <c r="B372" s="268" t="s">
        <v>108</v>
      </c>
      <c r="C372" s="268" t="s">
        <v>401</v>
      </c>
      <c r="D372" s="431" t="str">
        <f>GC!$B$9</f>
        <v>Barra de agarre / Toallero chico 45cm</v>
      </c>
      <c r="E372" s="249" t="s">
        <v>229</v>
      </c>
      <c r="F372" s="268" t="s">
        <v>354</v>
      </c>
      <c r="G372" s="249" t="s">
        <v>711</v>
      </c>
      <c r="H372" s="249" t="s">
        <v>435</v>
      </c>
      <c r="I372" s="268" t="s">
        <v>410</v>
      </c>
      <c r="J372" s="249">
        <v>2</v>
      </c>
      <c r="K372" s="268" t="s">
        <v>153</v>
      </c>
      <c r="L372" s="432">
        <f>GC!$F$9</f>
        <v>471.15</v>
      </c>
      <c r="M372" s="433">
        <f t="shared" si="25"/>
        <v>942.3</v>
      </c>
      <c r="N372" s="249">
        <v>0</v>
      </c>
      <c r="O372" s="433">
        <f t="shared" si="26"/>
        <v>0</v>
      </c>
      <c r="P372" s="434">
        <v>0.16</v>
      </c>
      <c r="Q372" s="433">
        <f t="shared" si="27"/>
        <v>150.768</v>
      </c>
      <c r="R372" s="433">
        <f t="shared" si="28"/>
        <v>1093.068</v>
      </c>
      <c r="S372" s="433">
        <f>INDEX('Glosario Partidas'!$M$8:$M$10,MATCH(K372,'Glosario Partidas'!$L$8:$L$10,0))</f>
        <v>17.5</v>
      </c>
      <c r="T372" s="433">
        <f t="shared" si="29"/>
        <v>19128.689999999999</v>
      </c>
      <c r="U372" s="268"/>
      <c r="V372" s="249" t="s">
        <v>12</v>
      </c>
      <c r="W372" s="249" t="s">
        <v>491</v>
      </c>
      <c r="X372" s="249"/>
    </row>
    <row r="373" spans="1:24" s="435" customFormat="1" ht="15" customHeight="1" x14ac:dyDescent="0.2">
      <c r="A373" s="268"/>
      <c r="B373" s="268" t="s">
        <v>108</v>
      </c>
      <c r="C373" s="268" t="s">
        <v>401</v>
      </c>
      <c r="D373" s="431" t="str">
        <f>GC!$B$11</f>
        <v>Gancho</v>
      </c>
      <c r="E373" s="249" t="s">
        <v>229</v>
      </c>
      <c r="F373" s="268" t="s">
        <v>354</v>
      </c>
      <c r="G373" s="249" t="s">
        <v>711</v>
      </c>
      <c r="H373" s="249" t="s">
        <v>435</v>
      </c>
      <c r="I373" s="268" t="s">
        <v>410</v>
      </c>
      <c r="J373" s="249">
        <v>4</v>
      </c>
      <c r="K373" s="268" t="s">
        <v>153</v>
      </c>
      <c r="L373" s="432">
        <f>GC!$F$11</f>
        <v>61.111086999999998</v>
      </c>
      <c r="M373" s="433">
        <f t="shared" si="25"/>
        <v>244.44434799999999</v>
      </c>
      <c r="N373" s="249">
        <v>0</v>
      </c>
      <c r="O373" s="433">
        <f t="shared" si="26"/>
        <v>0</v>
      </c>
      <c r="P373" s="434">
        <v>0.16</v>
      </c>
      <c r="Q373" s="433">
        <f t="shared" si="27"/>
        <v>39.111095679999998</v>
      </c>
      <c r="R373" s="433">
        <f t="shared" si="28"/>
        <v>283.55544368</v>
      </c>
      <c r="S373" s="433">
        <f>INDEX('Glosario Partidas'!$M$8:$M$10,MATCH(K373,'Glosario Partidas'!$L$8:$L$10,0))</f>
        <v>17.5</v>
      </c>
      <c r="T373" s="433">
        <f t="shared" si="29"/>
        <v>4962.2202643999999</v>
      </c>
      <c r="U373" s="268"/>
      <c r="V373" s="249" t="s">
        <v>12</v>
      </c>
      <c r="W373" s="249" t="s">
        <v>491</v>
      </c>
      <c r="X373" s="249"/>
    </row>
    <row r="374" spans="1:24" s="435" customFormat="1" ht="15" customHeight="1" x14ac:dyDescent="0.2">
      <c r="A374" s="268"/>
      <c r="B374" s="268" t="s">
        <v>108</v>
      </c>
      <c r="C374" s="268" t="s">
        <v>401</v>
      </c>
      <c r="D374" s="431" t="str">
        <f>GC!$B$7</f>
        <v>Inodoro a piso de una pieza (Starck 3)</v>
      </c>
      <c r="E374" s="249" t="s">
        <v>229</v>
      </c>
      <c r="F374" s="268" t="s">
        <v>221</v>
      </c>
      <c r="G374" s="249" t="s">
        <v>710</v>
      </c>
      <c r="H374" s="249" t="s">
        <v>435</v>
      </c>
      <c r="I374" s="268" t="s">
        <v>410</v>
      </c>
      <c r="J374" s="249">
        <v>1</v>
      </c>
      <c r="K374" s="268" t="s">
        <v>153</v>
      </c>
      <c r="L374" s="432">
        <f>GC!$F$7</f>
        <v>667.07</v>
      </c>
      <c r="M374" s="433">
        <f t="shared" si="25"/>
        <v>667.07</v>
      </c>
      <c r="N374" s="249">
        <v>0</v>
      </c>
      <c r="O374" s="433">
        <f t="shared" si="26"/>
        <v>0</v>
      </c>
      <c r="P374" s="434">
        <v>0.16</v>
      </c>
      <c r="Q374" s="433">
        <f t="shared" si="27"/>
        <v>106.73120000000002</v>
      </c>
      <c r="R374" s="433">
        <f t="shared" si="28"/>
        <v>773.80120000000011</v>
      </c>
      <c r="S374" s="433">
        <f>INDEX('Glosario Partidas'!$M$8:$M$10,MATCH(K374,'Glosario Partidas'!$L$8:$L$10,0))</f>
        <v>17.5</v>
      </c>
      <c r="T374" s="433">
        <f t="shared" si="29"/>
        <v>13541.521000000002</v>
      </c>
      <c r="U374" s="268"/>
      <c r="V374" s="249" t="s">
        <v>12</v>
      </c>
      <c r="W374" s="249" t="s">
        <v>491</v>
      </c>
      <c r="X374" s="249"/>
    </row>
    <row r="375" spans="1:24" s="435" customFormat="1" ht="15" customHeight="1" x14ac:dyDescent="0.2">
      <c r="A375" s="268"/>
      <c r="B375" s="268" t="s">
        <v>108</v>
      </c>
      <c r="C375" s="268" t="s">
        <v>401</v>
      </c>
      <c r="D375" s="431" t="str">
        <f>GC!$B$8</f>
        <v>Monomando de lavabo con válvula automática</v>
      </c>
      <c r="E375" s="249" t="s">
        <v>229</v>
      </c>
      <c r="F375" s="268" t="s">
        <v>221</v>
      </c>
      <c r="G375" s="249" t="s">
        <v>710</v>
      </c>
      <c r="H375" s="249" t="s">
        <v>435</v>
      </c>
      <c r="I375" s="268" t="s">
        <v>410</v>
      </c>
      <c r="J375" s="249">
        <v>2</v>
      </c>
      <c r="K375" s="268" t="s">
        <v>153</v>
      </c>
      <c r="L375" s="432">
        <f>GC!$F$8</f>
        <v>975.99151900000004</v>
      </c>
      <c r="M375" s="433">
        <f t="shared" si="25"/>
        <v>1951.9830380000001</v>
      </c>
      <c r="N375" s="249">
        <v>0</v>
      </c>
      <c r="O375" s="433">
        <f t="shared" si="26"/>
        <v>0</v>
      </c>
      <c r="P375" s="434">
        <v>0.16</v>
      </c>
      <c r="Q375" s="433">
        <f t="shared" si="27"/>
        <v>312.31728608000003</v>
      </c>
      <c r="R375" s="433">
        <f t="shared" si="28"/>
        <v>2264.3003240799999</v>
      </c>
      <c r="S375" s="433">
        <f>INDEX('Glosario Partidas'!$M$8:$M$10,MATCH(K375,'Glosario Partidas'!$L$8:$L$10,0))</f>
        <v>17.5</v>
      </c>
      <c r="T375" s="433">
        <f t="shared" si="29"/>
        <v>39625.255671399995</v>
      </c>
      <c r="U375" s="268"/>
      <c r="V375" s="249" t="s">
        <v>12</v>
      </c>
      <c r="W375" s="249" t="s">
        <v>491</v>
      </c>
      <c r="X375" s="249"/>
    </row>
    <row r="376" spans="1:24" s="435" customFormat="1" ht="15" customHeight="1" x14ac:dyDescent="0.2">
      <c r="A376" s="268"/>
      <c r="B376" s="268" t="s">
        <v>108</v>
      </c>
      <c r="C376" s="268" t="s">
        <v>401</v>
      </c>
      <c r="D376" s="431" t="str">
        <f>GC!$B$21</f>
        <v>Soporte para vidrio (SERIES SPECIFIC, XS-081077, Brushed Dark Platinum)</v>
      </c>
      <c r="E376" s="249" t="s">
        <v>229</v>
      </c>
      <c r="F376" s="268" t="s">
        <v>221</v>
      </c>
      <c r="G376" s="249" t="s">
        <v>710</v>
      </c>
      <c r="H376" s="249" t="s">
        <v>435</v>
      </c>
      <c r="I376" s="268" t="s">
        <v>410</v>
      </c>
      <c r="J376" s="249">
        <v>2</v>
      </c>
      <c r="K376" s="268" t="s">
        <v>153</v>
      </c>
      <c r="L376" s="432">
        <f>GC!$F$21</f>
        <v>281.02</v>
      </c>
      <c r="M376" s="433">
        <f t="shared" si="25"/>
        <v>562.04</v>
      </c>
      <c r="N376" s="249">
        <v>0</v>
      </c>
      <c r="O376" s="433">
        <f t="shared" si="26"/>
        <v>0</v>
      </c>
      <c r="P376" s="434">
        <v>0.16</v>
      </c>
      <c r="Q376" s="433">
        <f t="shared" si="27"/>
        <v>89.926400000000001</v>
      </c>
      <c r="R376" s="433">
        <f t="shared" si="28"/>
        <v>651.96640000000002</v>
      </c>
      <c r="S376" s="433">
        <f>INDEX('Glosario Partidas'!$M$8:$M$10,MATCH(K376,'Glosario Partidas'!$L$8:$L$10,0))</f>
        <v>17.5</v>
      </c>
      <c r="T376" s="433">
        <f t="shared" si="29"/>
        <v>11409.412</v>
      </c>
      <c r="U376" s="268" t="s">
        <v>1084</v>
      </c>
      <c r="V376" s="249" t="s">
        <v>12</v>
      </c>
      <c r="W376" s="249" t="s">
        <v>491</v>
      </c>
      <c r="X376" s="249"/>
    </row>
    <row r="377" spans="1:24" s="435" customFormat="1" ht="15" customHeight="1" x14ac:dyDescent="0.2">
      <c r="A377" s="268"/>
      <c r="B377" s="268" t="s">
        <v>108</v>
      </c>
      <c r="C377" s="268" t="s">
        <v>401</v>
      </c>
      <c r="D377" s="431" t="str">
        <f>GC!$B$12</f>
        <v>Set de ducha de mano con soporte de pared integrado</v>
      </c>
      <c r="E377" s="249" t="s">
        <v>229</v>
      </c>
      <c r="F377" s="268" t="s">
        <v>221</v>
      </c>
      <c r="G377" s="249" t="s">
        <v>710</v>
      </c>
      <c r="H377" s="249" t="s">
        <v>435</v>
      </c>
      <c r="I377" s="268" t="s">
        <v>410</v>
      </c>
      <c r="J377" s="249">
        <v>1</v>
      </c>
      <c r="K377" s="268" t="s">
        <v>153</v>
      </c>
      <c r="L377" s="432">
        <f>GC!$F$12</f>
        <v>325.25947400000001</v>
      </c>
      <c r="M377" s="433">
        <f t="shared" si="25"/>
        <v>325.25947400000001</v>
      </c>
      <c r="N377" s="249">
        <v>0</v>
      </c>
      <c r="O377" s="433">
        <f t="shared" si="26"/>
        <v>0</v>
      </c>
      <c r="P377" s="434">
        <v>0.16</v>
      </c>
      <c r="Q377" s="433">
        <f t="shared" si="27"/>
        <v>52.041515840000002</v>
      </c>
      <c r="R377" s="433">
        <f t="shared" si="28"/>
        <v>377.30098984</v>
      </c>
      <c r="S377" s="433">
        <f>INDEX('Glosario Partidas'!$M$8:$M$10,MATCH(K377,'Glosario Partidas'!$L$8:$L$10,0))</f>
        <v>17.5</v>
      </c>
      <c r="T377" s="433">
        <f t="shared" si="29"/>
        <v>6602.7673222000003</v>
      </c>
      <c r="U377" s="268"/>
      <c r="V377" s="249" t="s">
        <v>12</v>
      </c>
      <c r="W377" s="249" t="s">
        <v>491</v>
      </c>
      <c r="X377" s="249"/>
    </row>
    <row r="378" spans="1:24" s="435" customFormat="1" ht="15" customHeight="1" x14ac:dyDescent="0.2">
      <c r="A378" s="268"/>
      <c r="B378" s="268" t="s">
        <v>108</v>
      </c>
      <c r="C378" s="268" t="s">
        <v>401</v>
      </c>
      <c r="D378" s="431" t="str">
        <f>GC!$B$13</f>
        <v>Ducha efecto lluvia con fijación a pared 400 mm</v>
      </c>
      <c r="E378" s="249" t="s">
        <v>229</v>
      </c>
      <c r="F378" s="268" t="s">
        <v>221</v>
      </c>
      <c r="G378" s="249" t="s">
        <v>710</v>
      </c>
      <c r="H378" s="249" t="s">
        <v>435</v>
      </c>
      <c r="I378" s="268" t="s">
        <v>410</v>
      </c>
      <c r="J378" s="249">
        <v>1</v>
      </c>
      <c r="K378" s="268" t="s">
        <v>153</v>
      </c>
      <c r="L378" s="432">
        <f>GC!$F$13</f>
        <v>1807.197105</v>
      </c>
      <c r="M378" s="433">
        <f t="shared" si="25"/>
        <v>1807.197105</v>
      </c>
      <c r="N378" s="249">
        <v>0</v>
      </c>
      <c r="O378" s="433">
        <f t="shared" si="26"/>
        <v>0</v>
      </c>
      <c r="P378" s="434">
        <v>0.16</v>
      </c>
      <c r="Q378" s="433">
        <f t="shared" si="27"/>
        <v>289.15153679999997</v>
      </c>
      <c r="R378" s="433">
        <f t="shared" si="28"/>
        <v>2096.3486417999998</v>
      </c>
      <c r="S378" s="433">
        <f>INDEX('Glosario Partidas'!$M$8:$M$10,MATCH(K378,'Glosario Partidas'!$L$8:$L$10,0))</f>
        <v>17.5</v>
      </c>
      <c r="T378" s="433">
        <f t="shared" si="29"/>
        <v>36686.101231499997</v>
      </c>
      <c r="U378" s="268"/>
      <c r="V378" s="249" t="s">
        <v>12</v>
      </c>
      <c r="W378" s="249" t="s">
        <v>491</v>
      </c>
      <c r="X378" s="249"/>
    </row>
    <row r="379" spans="1:24" s="435" customFormat="1" ht="15" customHeight="1" x14ac:dyDescent="0.2">
      <c r="A379" s="268"/>
      <c r="B379" s="268" t="s">
        <v>108</v>
      </c>
      <c r="C379" s="268" t="s">
        <v>401</v>
      </c>
      <c r="D379" s="431" t="str">
        <f>GC!$B$22</f>
        <v>Canaleta de ducha para piedra natural TECE showerline (15201082)</v>
      </c>
      <c r="E379" s="249" t="s">
        <v>229</v>
      </c>
      <c r="F379" s="268" t="s">
        <v>221</v>
      </c>
      <c r="G379" s="249" t="s">
        <v>710</v>
      </c>
      <c r="H379" s="249" t="s">
        <v>435</v>
      </c>
      <c r="I379" s="268" t="s">
        <v>410</v>
      </c>
      <c r="J379" s="249">
        <v>1</v>
      </c>
      <c r="K379" s="268" t="s">
        <v>153</v>
      </c>
      <c r="L379" s="432">
        <f>GC!$F$22</f>
        <v>290.33763199999999</v>
      </c>
      <c r="M379" s="433">
        <f t="shared" si="25"/>
        <v>290.33763199999999</v>
      </c>
      <c r="N379" s="249">
        <v>0</v>
      </c>
      <c r="O379" s="433">
        <f t="shared" si="26"/>
        <v>0</v>
      </c>
      <c r="P379" s="434">
        <v>0.16</v>
      </c>
      <c r="Q379" s="433">
        <f t="shared" si="27"/>
        <v>46.45402112</v>
      </c>
      <c r="R379" s="433">
        <f t="shared" si="28"/>
        <v>336.79165311999998</v>
      </c>
      <c r="S379" s="433">
        <f>INDEX('Glosario Partidas'!$M$8:$M$10,MATCH(K379,'Glosario Partidas'!$L$8:$L$10,0))</f>
        <v>17.5</v>
      </c>
      <c r="T379" s="433">
        <f t="shared" si="29"/>
        <v>5893.8539295999999</v>
      </c>
      <c r="U379" s="268" t="s">
        <v>1085</v>
      </c>
      <c r="V379" s="249" t="s">
        <v>12</v>
      </c>
      <c r="W379" s="249" t="s">
        <v>491</v>
      </c>
      <c r="X379" s="249"/>
    </row>
    <row r="380" spans="1:24" s="435" customFormat="1" ht="15" customHeight="1" x14ac:dyDescent="0.2">
      <c r="A380" s="268"/>
      <c r="B380" s="268" t="s">
        <v>108</v>
      </c>
      <c r="C380" s="268" t="s">
        <v>401</v>
      </c>
      <c r="D380" s="431" t="str">
        <f>GC!$B$14</f>
        <v>Termostato oculto con control de volumen bidireccional</v>
      </c>
      <c r="E380" s="249" t="s">
        <v>229</v>
      </c>
      <c r="F380" s="268" t="s">
        <v>221</v>
      </c>
      <c r="G380" s="249" t="s">
        <v>710</v>
      </c>
      <c r="H380" s="249" t="s">
        <v>435</v>
      </c>
      <c r="I380" s="268" t="s">
        <v>410</v>
      </c>
      <c r="J380" s="249">
        <v>1</v>
      </c>
      <c r="K380" s="268" t="s">
        <v>153</v>
      </c>
      <c r="L380" s="432">
        <f>GC!$F$14</f>
        <v>350.19605300000001</v>
      </c>
      <c r="M380" s="433">
        <f t="shared" si="25"/>
        <v>350.19605300000001</v>
      </c>
      <c r="N380" s="249">
        <v>0</v>
      </c>
      <c r="O380" s="433">
        <f t="shared" si="26"/>
        <v>0</v>
      </c>
      <c r="P380" s="434">
        <v>0.16</v>
      </c>
      <c r="Q380" s="433">
        <f t="shared" si="27"/>
        <v>56.031368480000005</v>
      </c>
      <c r="R380" s="433">
        <f t="shared" si="28"/>
        <v>406.22742148000003</v>
      </c>
      <c r="S380" s="433">
        <f>INDEX('Glosario Partidas'!$M$8:$M$10,MATCH(K380,'Glosario Partidas'!$L$8:$L$10,0))</f>
        <v>17.5</v>
      </c>
      <c r="T380" s="433">
        <f t="shared" si="29"/>
        <v>7108.9798759000005</v>
      </c>
      <c r="U380" s="268"/>
      <c r="V380" s="249" t="s">
        <v>12</v>
      </c>
      <c r="W380" s="249" t="s">
        <v>491</v>
      </c>
      <c r="X380" s="249"/>
    </row>
    <row r="381" spans="1:24" ht="15" customHeight="1" x14ac:dyDescent="0.2">
      <c r="A381" s="268"/>
      <c r="B381" s="268" t="s">
        <v>108</v>
      </c>
      <c r="C381" s="268" t="s">
        <v>401</v>
      </c>
      <c r="D381" s="431" t="str">
        <f>GC!$B$15</f>
        <v>Termostato empotrado (rough)</v>
      </c>
      <c r="E381" s="249" t="s">
        <v>229</v>
      </c>
      <c r="F381" s="268" t="s">
        <v>221</v>
      </c>
      <c r="G381" s="249" t="s">
        <v>710</v>
      </c>
      <c r="H381" s="249" t="s">
        <v>435</v>
      </c>
      <c r="I381" s="268" t="s">
        <v>410</v>
      </c>
      <c r="J381" s="249">
        <v>1</v>
      </c>
      <c r="K381" s="268" t="s">
        <v>153</v>
      </c>
      <c r="L381" s="432">
        <f>GC!$F$15</f>
        <v>313.33</v>
      </c>
      <c r="M381" s="433">
        <f t="shared" si="25"/>
        <v>313.33</v>
      </c>
      <c r="N381" s="249">
        <v>0</v>
      </c>
      <c r="O381" s="433">
        <f t="shared" si="26"/>
        <v>0</v>
      </c>
      <c r="P381" s="434">
        <v>0.16</v>
      </c>
      <c r="Q381" s="433">
        <f t="shared" si="27"/>
        <v>50.132799999999996</v>
      </c>
      <c r="R381" s="433">
        <f t="shared" si="28"/>
        <v>363.46279999999996</v>
      </c>
      <c r="S381" s="433">
        <f>INDEX('Glosario Partidas'!$M$8:$M$10,MATCH(K381,'Glosario Partidas'!$L$8:$L$10,0))</f>
        <v>17.5</v>
      </c>
      <c r="T381" s="433">
        <f t="shared" si="29"/>
        <v>6360.5989999999993</v>
      </c>
      <c r="U381" s="268"/>
      <c r="V381" s="249" t="s">
        <v>12</v>
      </c>
      <c r="W381" s="249" t="s">
        <v>491</v>
      </c>
      <c r="X381" s="249"/>
    </row>
    <row r="382" spans="1:24" ht="15" customHeight="1" x14ac:dyDescent="0.2">
      <c r="A382" s="268"/>
      <c r="B382" s="268" t="s">
        <v>108</v>
      </c>
      <c r="C382" s="268" t="s">
        <v>401</v>
      </c>
      <c r="D382" s="431" t="str">
        <f>GC!$B$10</f>
        <v>Soporte para papel higiénico sin cubierta</v>
      </c>
      <c r="E382" s="249" t="s">
        <v>229</v>
      </c>
      <c r="F382" s="268" t="s">
        <v>221</v>
      </c>
      <c r="G382" s="249" t="s">
        <v>710</v>
      </c>
      <c r="H382" s="249" t="s">
        <v>435</v>
      </c>
      <c r="I382" s="268" t="s">
        <v>410</v>
      </c>
      <c r="J382" s="249">
        <v>1</v>
      </c>
      <c r="K382" s="268" t="s">
        <v>153</v>
      </c>
      <c r="L382" s="432">
        <f>GC!$F$10</f>
        <v>238.874348</v>
      </c>
      <c r="M382" s="433">
        <f t="shared" si="25"/>
        <v>238.874348</v>
      </c>
      <c r="N382" s="249">
        <v>0</v>
      </c>
      <c r="O382" s="433">
        <f t="shared" si="26"/>
        <v>0</v>
      </c>
      <c r="P382" s="434">
        <v>0.16</v>
      </c>
      <c r="Q382" s="433">
        <f t="shared" si="27"/>
        <v>38.21989568</v>
      </c>
      <c r="R382" s="433">
        <f t="shared" si="28"/>
        <v>277.09424367999998</v>
      </c>
      <c r="S382" s="433">
        <f>INDEX('Glosario Partidas'!$M$8:$M$10,MATCH(K382,'Glosario Partidas'!$L$8:$L$10,0))</f>
        <v>17.5</v>
      </c>
      <c r="T382" s="433">
        <f t="shared" si="29"/>
        <v>4849.1492644</v>
      </c>
      <c r="U382" s="268"/>
      <c r="V382" s="249" t="s">
        <v>12</v>
      </c>
      <c r="W382" s="249" t="s">
        <v>491</v>
      </c>
      <c r="X382" s="249"/>
    </row>
    <row r="383" spans="1:24" ht="15" customHeight="1" x14ac:dyDescent="0.2">
      <c r="A383" s="268"/>
      <c r="B383" s="268" t="s">
        <v>108</v>
      </c>
      <c r="C383" s="268" t="s">
        <v>401</v>
      </c>
      <c r="D383" s="431" t="str">
        <f>GC!$B$9</f>
        <v>Barra de agarre / Toallero chico 45cm</v>
      </c>
      <c r="E383" s="249" t="s">
        <v>229</v>
      </c>
      <c r="F383" s="268" t="s">
        <v>221</v>
      </c>
      <c r="G383" s="249" t="s">
        <v>710</v>
      </c>
      <c r="H383" s="249" t="s">
        <v>435</v>
      </c>
      <c r="I383" s="268" t="s">
        <v>410</v>
      </c>
      <c r="J383" s="249">
        <v>2</v>
      </c>
      <c r="K383" s="268" t="s">
        <v>153</v>
      </c>
      <c r="L383" s="432">
        <f>GC!$F$9</f>
        <v>471.15</v>
      </c>
      <c r="M383" s="433">
        <f t="shared" si="25"/>
        <v>942.3</v>
      </c>
      <c r="N383" s="249">
        <v>0</v>
      </c>
      <c r="O383" s="433">
        <f t="shared" si="26"/>
        <v>0</v>
      </c>
      <c r="P383" s="434">
        <v>0.16</v>
      </c>
      <c r="Q383" s="433">
        <f t="shared" si="27"/>
        <v>150.768</v>
      </c>
      <c r="R383" s="433">
        <f t="shared" si="28"/>
        <v>1093.068</v>
      </c>
      <c r="S383" s="433">
        <f>INDEX('Glosario Partidas'!$M$8:$M$10,MATCH(K383,'Glosario Partidas'!$L$8:$L$10,0))</f>
        <v>17.5</v>
      </c>
      <c r="T383" s="433">
        <f t="shared" si="29"/>
        <v>19128.689999999999</v>
      </c>
      <c r="U383" s="268"/>
      <c r="V383" s="249" t="s">
        <v>12</v>
      </c>
      <c r="W383" s="249" t="s">
        <v>491</v>
      </c>
      <c r="X383" s="249"/>
    </row>
    <row r="384" spans="1:24" ht="15" customHeight="1" x14ac:dyDescent="0.2">
      <c r="A384" s="268"/>
      <c r="B384" s="268" t="s">
        <v>108</v>
      </c>
      <c r="C384" s="268" t="s">
        <v>401</v>
      </c>
      <c r="D384" s="431" t="str">
        <f>GC!$B$11</f>
        <v>Gancho</v>
      </c>
      <c r="E384" s="249" t="s">
        <v>229</v>
      </c>
      <c r="F384" s="268" t="s">
        <v>221</v>
      </c>
      <c r="G384" s="249" t="s">
        <v>710</v>
      </c>
      <c r="H384" s="249" t="s">
        <v>435</v>
      </c>
      <c r="I384" s="268" t="s">
        <v>410</v>
      </c>
      <c r="J384" s="249">
        <v>4</v>
      </c>
      <c r="K384" s="268" t="s">
        <v>153</v>
      </c>
      <c r="L384" s="432">
        <f>GC!$F$11</f>
        <v>61.111086999999998</v>
      </c>
      <c r="M384" s="433">
        <f t="shared" si="25"/>
        <v>244.44434799999999</v>
      </c>
      <c r="N384" s="249">
        <v>0</v>
      </c>
      <c r="O384" s="433">
        <f t="shared" si="26"/>
        <v>0</v>
      </c>
      <c r="P384" s="434">
        <v>0.16</v>
      </c>
      <c r="Q384" s="433">
        <f t="shared" si="27"/>
        <v>39.111095679999998</v>
      </c>
      <c r="R384" s="433">
        <f t="shared" si="28"/>
        <v>283.55544368</v>
      </c>
      <c r="S384" s="433">
        <f>INDEX('Glosario Partidas'!$M$8:$M$10,MATCH(K384,'Glosario Partidas'!$L$8:$L$10,0))</f>
        <v>17.5</v>
      </c>
      <c r="T384" s="433">
        <f t="shared" si="29"/>
        <v>4962.2202643999999</v>
      </c>
      <c r="U384" s="268"/>
      <c r="V384" s="249" t="s">
        <v>12</v>
      </c>
      <c r="W384" s="249" t="s">
        <v>491</v>
      </c>
      <c r="X384" s="249"/>
    </row>
    <row r="385" spans="1:24" ht="15" customHeight="1" x14ac:dyDescent="0.2">
      <c r="A385" s="268"/>
      <c r="B385" s="268" t="s">
        <v>108</v>
      </c>
      <c r="C385" s="268" t="s">
        <v>401</v>
      </c>
      <c r="D385" s="431" t="str">
        <f>GC!$B$7</f>
        <v>Inodoro a piso de una pieza (Starck 3)</v>
      </c>
      <c r="E385" s="249" t="s">
        <v>229</v>
      </c>
      <c r="F385" s="268" t="s">
        <v>354</v>
      </c>
      <c r="G385" s="249" t="s">
        <v>713</v>
      </c>
      <c r="H385" s="249" t="s">
        <v>435</v>
      </c>
      <c r="I385" s="268" t="s">
        <v>410</v>
      </c>
      <c r="J385" s="249">
        <v>1</v>
      </c>
      <c r="K385" s="268" t="s">
        <v>153</v>
      </c>
      <c r="L385" s="432">
        <f>GC!$F$7</f>
        <v>667.07</v>
      </c>
      <c r="M385" s="433">
        <f t="shared" si="25"/>
        <v>667.07</v>
      </c>
      <c r="N385" s="249">
        <v>0</v>
      </c>
      <c r="O385" s="433">
        <f t="shared" si="26"/>
        <v>0</v>
      </c>
      <c r="P385" s="434">
        <v>0.16</v>
      </c>
      <c r="Q385" s="433">
        <f t="shared" si="27"/>
        <v>106.73120000000002</v>
      </c>
      <c r="R385" s="433">
        <f t="shared" si="28"/>
        <v>773.80120000000011</v>
      </c>
      <c r="S385" s="433">
        <f>INDEX('Glosario Partidas'!$M$8:$M$10,MATCH(K385,'Glosario Partidas'!$L$8:$L$10,0))</f>
        <v>17.5</v>
      </c>
      <c r="T385" s="433">
        <f t="shared" si="29"/>
        <v>13541.521000000002</v>
      </c>
      <c r="U385" s="268"/>
      <c r="V385" s="249" t="s">
        <v>12</v>
      </c>
      <c r="W385" s="249" t="s">
        <v>491</v>
      </c>
      <c r="X385" s="249"/>
    </row>
    <row r="386" spans="1:24" ht="15" customHeight="1" x14ac:dyDescent="0.2">
      <c r="A386" s="268"/>
      <c r="B386" s="268" t="s">
        <v>108</v>
      </c>
      <c r="C386" s="268" t="s">
        <v>401</v>
      </c>
      <c r="D386" s="431" t="str">
        <f>GC!$B$8</f>
        <v>Monomando de lavabo con válvula automática</v>
      </c>
      <c r="E386" s="249" t="s">
        <v>229</v>
      </c>
      <c r="F386" s="268" t="s">
        <v>354</v>
      </c>
      <c r="G386" s="249" t="s">
        <v>713</v>
      </c>
      <c r="H386" s="249" t="s">
        <v>435</v>
      </c>
      <c r="I386" s="268" t="s">
        <v>410</v>
      </c>
      <c r="J386" s="249">
        <v>2</v>
      </c>
      <c r="K386" s="268" t="s">
        <v>153</v>
      </c>
      <c r="L386" s="432">
        <f>GC!$F$8</f>
        <v>975.99151900000004</v>
      </c>
      <c r="M386" s="433">
        <f t="shared" ref="M386:M449" si="30">J386*L386</f>
        <v>1951.9830380000001</v>
      </c>
      <c r="N386" s="249">
        <v>0</v>
      </c>
      <c r="O386" s="433">
        <f t="shared" ref="O386:O449" si="31">M386*N386</f>
        <v>0</v>
      </c>
      <c r="P386" s="434">
        <v>0.16</v>
      </c>
      <c r="Q386" s="433">
        <f t="shared" ref="Q386:Q449" si="32">(M386+O386)*P386</f>
        <v>312.31728608000003</v>
      </c>
      <c r="R386" s="433">
        <f t="shared" ref="R386:R449" si="33">M386+O386+Q386</f>
        <v>2264.3003240799999</v>
      </c>
      <c r="S386" s="433">
        <f>INDEX('Glosario Partidas'!$M$8:$M$10,MATCH(K386,'Glosario Partidas'!$L$8:$L$10,0))</f>
        <v>17.5</v>
      </c>
      <c r="T386" s="433">
        <f t="shared" ref="T386:T449" si="34">R386*S386</f>
        <v>39625.255671399995</v>
      </c>
      <c r="U386" s="268"/>
      <c r="V386" s="249" t="s">
        <v>12</v>
      </c>
      <c r="W386" s="249" t="s">
        <v>491</v>
      </c>
      <c r="X386" s="249"/>
    </row>
    <row r="387" spans="1:24" ht="15" customHeight="1" x14ac:dyDescent="0.2">
      <c r="A387" s="268"/>
      <c r="B387" s="268" t="s">
        <v>108</v>
      </c>
      <c r="C387" s="268" t="s">
        <v>401</v>
      </c>
      <c r="D387" s="431" t="str">
        <f>GC!$B$21</f>
        <v>Soporte para vidrio (SERIES SPECIFIC, XS-081077, Brushed Dark Platinum)</v>
      </c>
      <c r="E387" s="249" t="s">
        <v>229</v>
      </c>
      <c r="F387" s="268" t="s">
        <v>354</v>
      </c>
      <c r="G387" s="249" t="s">
        <v>713</v>
      </c>
      <c r="H387" s="249" t="s">
        <v>435</v>
      </c>
      <c r="I387" s="268" t="s">
        <v>410</v>
      </c>
      <c r="J387" s="249">
        <v>2</v>
      </c>
      <c r="K387" s="268" t="s">
        <v>153</v>
      </c>
      <c r="L387" s="432">
        <f>GC!$F$21</f>
        <v>281.02</v>
      </c>
      <c r="M387" s="433">
        <f t="shared" si="30"/>
        <v>562.04</v>
      </c>
      <c r="N387" s="249">
        <v>0</v>
      </c>
      <c r="O387" s="433">
        <f t="shared" si="31"/>
        <v>0</v>
      </c>
      <c r="P387" s="434">
        <v>0.16</v>
      </c>
      <c r="Q387" s="433">
        <f t="shared" si="32"/>
        <v>89.926400000000001</v>
      </c>
      <c r="R387" s="433">
        <f t="shared" si="33"/>
        <v>651.96640000000002</v>
      </c>
      <c r="S387" s="433">
        <f>INDEX('Glosario Partidas'!$M$8:$M$10,MATCH(K387,'Glosario Partidas'!$L$8:$L$10,0))</f>
        <v>17.5</v>
      </c>
      <c r="T387" s="433">
        <f t="shared" si="34"/>
        <v>11409.412</v>
      </c>
      <c r="U387" s="268" t="s">
        <v>1084</v>
      </c>
      <c r="V387" s="249" t="s">
        <v>12</v>
      </c>
      <c r="W387" s="249" t="s">
        <v>491</v>
      </c>
      <c r="X387" s="249"/>
    </row>
    <row r="388" spans="1:24" ht="15" customHeight="1" x14ac:dyDescent="0.2">
      <c r="A388" s="268"/>
      <c r="B388" s="268" t="s">
        <v>108</v>
      </c>
      <c r="C388" s="268" t="s">
        <v>401</v>
      </c>
      <c r="D388" s="431" t="str">
        <f>GC!$B$12</f>
        <v>Set de ducha de mano con soporte de pared integrado</v>
      </c>
      <c r="E388" s="249" t="s">
        <v>229</v>
      </c>
      <c r="F388" s="268" t="s">
        <v>354</v>
      </c>
      <c r="G388" s="249" t="s">
        <v>713</v>
      </c>
      <c r="H388" s="249" t="s">
        <v>435</v>
      </c>
      <c r="I388" s="268" t="s">
        <v>410</v>
      </c>
      <c r="J388" s="249">
        <v>1</v>
      </c>
      <c r="K388" s="268" t="s">
        <v>153</v>
      </c>
      <c r="L388" s="432">
        <f>GC!$F$12</f>
        <v>325.25947400000001</v>
      </c>
      <c r="M388" s="433">
        <f t="shared" si="30"/>
        <v>325.25947400000001</v>
      </c>
      <c r="N388" s="249">
        <v>0</v>
      </c>
      <c r="O388" s="433">
        <f t="shared" si="31"/>
        <v>0</v>
      </c>
      <c r="P388" s="434">
        <v>0.16</v>
      </c>
      <c r="Q388" s="433">
        <f t="shared" si="32"/>
        <v>52.041515840000002</v>
      </c>
      <c r="R388" s="433">
        <f t="shared" si="33"/>
        <v>377.30098984</v>
      </c>
      <c r="S388" s="433">
        <f>INDEX('Glosario Partidas'!$M$8:$M$10,MATCH(K388,'Glosario Partidas'!$L$8:$L$10,0))</f>
        <v>17.5</v>
      </c>
      <c r="T388" s="433">
        <f t="shared" si="34"/>
        <v>6602.7673222000003</v>
      </c>
      <c r="U388" s="268"/>
      <c r="V388" s="249" t="s">
        <v>12</v>
      </c>
      <c r="W388" s="249" t="s">
        <v>491</v>
      </c>
      <c r="X388" s="249"/>
    </row>
    <row r="389" spans="1:24" ht="15" customHeight="1" x14ac:dyDescent="0.2">
      <c r="A389" s="268"/>
      <c r="B389" s="268" t="s">
        <v>108</v>
      </c>
      <c r="C389" s="268" t="s">
        <v>401</v>
      </c>
      <c r="D389" s="431" t="str">
        <f>GC!$B$13</f>
        <v>Ducha efecto lluvia con fijación a pared 400 mm</v>
      </c>
      <c r="E389" s="249" t="s">
        <v>229</v>
      </c>
      <c r="F389" s="268" t="s">
        <v>354</v>
      </c>
      <c r="G389" s="249" t="s">
        <v>713</v>
      </c>
      <c r="H389" s="249" t="s">
        <v>435</v>
      </c>
      <c r="I389" s="268" t="s">
        <v>410</v>
      </c>
      <c r="J389" s="249">
        <v>1</v>
      </c>
      <c r="K389" s="268" t="s">
        <v>153</v>
      </c>
      <c r="L389" s="432">
        <f>GC!$F$13</f>
        <v>1807.197105</v>
      </c>
      <c r="M389" s="433">
        <f t="shared" si="30"/>
        <v>1807.197105</v>
      </c>
      <c r="N389" s="249">
        <v>0</v>
      </c>
      <c r="O389" s="433">
        <f t="shared" si="31"/>
        <v>0</v>
      </c>
      <c r="P389" s="434">
        <v>0.16</v>
      </c>
      <c r="Q389" s="433">
        <f t="shared" si="32"/>
        <v>289.15153679999997</v>
      </c>
      <c r="R389" s="433">
        <f t="shared" si="33"/>
        <v>2096.3486417999998</v>
      </c>
      <c r="S389" s="433">
        <f>INDEX('Glosario Partidas'!$M$8:$M$10,MATCH(K389,'Glosario Partidas'!$L$8:$L$10,0))</f>
        <v>17.5</v>
      </c>
      <c r="T389" s="433">
        <f t="shared" si="34"/>
        <v>36686.101231499997</v>
      </c>
      <c r="U389" s="268"/>
      <c r="V389" s="249" t="s">
        <v>12</v>
      </c>
      <c r="W389" s="249" t="s">
        <v>491</v>
      </c>
      <c r="X389" s="249"/>
    </row>
    <row r="390" spans="1:24" ht="15" customHeight="1" x14ac:dyDescent="0.2">
      <c r="A390" s="268"/>
      <c r="B390" s="268" t="s">
        <v>108</v>
      </c>
      <c r="C390" s="268" t="s">
        <v>401</v>
      </c>
      <c r="D390" s="431" t="str">
        <f>GC!$B$22</f>
        <v>Canaleta de ducha para piedra natural TECE showerline (15201082)</v>
      </c>
      <c r="E390" s="249" t="s">
        <v>229</v>
      </c>
      <c r="F390" s="268" t="s">
        <v>354</v>
      </c>
      <c r="G390" s="249" t="s">
        <v>713</v>
      </c>
      <c r="H390" s="249" t="s">
        <v>435</v>
      </c>
      <c r="I390" s="268" t="s">
        <v>410</v>
      </c>
      <c r="J390" s="249">
        <v>1</v>
      </c>
      <c r="K390" s="268" t="s">
        <v>153</v>
      </c>
      <c r="L390" s="432">
        <f>GC!$F$22</f>
        <v>290.33763199999999</v>
      </c>
      <c r="M390" s="433">
        <f t="shared" si="30"/>
        <v>290.33763199999999</v>
      </c>
      <c r="N390" s="249">
        <v>0</v>
      </c>
      <c r="O390" s="433">
        <f t="shared" si="31"/>
        <v>0</v>
      </c>
      <c r="P390" s="434">
        <v>0.16</v>
      </c>
      <c r="Q390" s="433">
        <f t="shared" si="32"/>
        <v>46.45402112</v>
      </c>
      <c r="R390" s="433">
        <f t="shared" si="33"/>
        <v>336.79165311999998</v>
      </c>
      <c r="S390" s="433">
        <f>INDEX('Glosario Partidas'!$M$8:$M$10,MATCH(K390,'Glosario Partidas'!$L$8:$L$10,0))</f>
        <v>17.5</v>
      </c>
      <c r="T390" s="433">
        <f t="shared" si="34"/>
        <v>5893.8539295999999</v>
      </c>
      <c r="U390" s="268" t="s">
        <v>1085</v>
      </c>
      <c r="V390" s="249" t="s">
        <v>12</v>
      </c>
      <c r="W390" s="249" t="s">
        <v>491</v>
      </c>
      <c r="X390" s="249"/>
    </row>
    <row r="391" spans="1:24" ht="15" customHeight="1" x14ac:dyDescent="0.2">
      <c r="A391" s="268"/>
      <c r="B391" s="268" t="s">
        <v>108</v>
      </c>
      <c r="C391" s="268" t="s">
        <v>401</v>
      </c>
      <c r="D391" s="431" t="str">
        <f>GC!$B$14</f>
        <v>Termostato oculto con control de volumen bidireccional</v>
      </c>
      <c r="E391" s="249" t="s">
        <v>229</v>
      </c>
      <c r="F391" s="268" t="s">
        <v>354</v>
      </c>
      <c r="G391" s="249" t="s">
        <v>713</v>
      </c>
      <c r="H391" s="249" t="s">
        <v>435</v>
      </c>
      <c r="I391" s="268" t="s">
        <v>410</v>
      </c>
      <c r="J391" s="249">
        <v>1</v>
      </c>
      <c r="K391" s="268" t="s">
        <v>153</v>
      </c>
      <c r="L391" s="432">
        <f>GC!$F$14</f>
        <v>350.19605300000001</v>
      </c>
      <c r="M391" s="433">
        <f t="shared" si="30"/>
        <v>350.19605300000001</v>
      </c>
      <c r="N391" s="249">
        <v>0</v>
      </c>
      <c r="O391" s="433">
        <f t="shared" si="31"/>
        <v>0</v>
      </c>
      <c r="P391" s="434">
        <v>0.16</v>
      </c>
      <c r="Q391" s="433">
        <f t="shared" si="32"/>
        <v>56.031368480000005</v>
      </c>
      <c r="R391" s="433">
        <f t="shared" si="33"/>
        <v>406.22742148000003</v>
      </c>
      <c r="S391" s="433">
        <f>INDEX('Glosario Partidas'!$M$8:$M$10,MATCH(K391,'Glosario Partidas'!$L$8:$L$10,0))</f>
        <v>17.5</v>
      </c>
      <c r="T391" s="433">
        <f t="shared" si="34"/>
        <v>7108.9798759000005</v>
      </c>
      <c r="U391" s="268"/>
      <c r="V391" s="249" t="s">
        <v>12</v>
      </c>
      <c r="W391" s="249" t="s">
        <v>491</v>
      </c>
      <c r="X391" s="249"/>
    </row>
    <row r="392" spans="1:24" ht="15" customHeight="1" x14ac:dyDescent="0.2">
      <c r="A392" s="268"/>
      <c r="B392" s="268" t="s">
        <v>108</v>
      </c>
      <c r="C392" s="268" t="s">
        <v>401</v>
      </c>
      <c r="D392" s="431" t="str">
        <f>GC!$B$15</f>
        <v>Termostato empotrado (rough)</v>
      </c>
      <c r="E392" s="249" t="s">
        <v>229</v>
      </c>
      <c r="F392" s="268" t="s">
        <v>354</v>
      </c>
      <c r="G392" s="249" t="s">
        <v>713</v>
      </c>
      <c r="H392" s="249" t="s">
        <v>435</v>
      </c>
      <c r="I392" s="268" t="s">
        <v>410</v>
      </c>
      <c r="J392" s="249">
        <v>1</v>
      </c>
      <c r="K392" s="268" t="s">
        <v>153</v>
      </c>
      <c r="L392" s="432">
        <f>GC!$F$15</f>
        <v>313.33</v>
      </c>
      <c r="M392" s="433">
        <f t="shared" si="30"/>
        <v>313.33</v>
      </c>
      <c r="N392" s="249">
        <v>0</v>
      </c>
      <c r="O392" s="433">
        <f t="shared" si="31"/>
        <v>0</v>
      </c>
      <c r="P392" s="434">
        <v>0.16</v>
      </c>
      <c r="Q392" s="433">
        <f t="shared" si="32"/>
        <v>50.132799999999996</v>
      </c>
      <c r="R392" s="433">
        <f t="shared" si="33"/>
        <v>363.46279999999996</v>
      </c>
      <c r="S392" s="433">
        <f>INDEX('Glosario Partidas'!$M$8:$M$10,MATCH(K392,'Glosario Partidas'!$L$8:$L$10,0))</f>
        <v>17.5</v>
      </c>
      <c r="T392" s="433">
        <f t="shared" si="34"/>
        <v>6360.5989999999993</v>
      </c>
      <c r="U392" s="268"/>
      <c r="V392" s="249" t="s">
        <v>12</v>
      </c>
      <c r="W392" s="249" t="s">
        <v>491</v>
      </c>
      <c r="X392" s="249"/>
    </row>
    <row r="393" spans="1:24" ht="15" customHeight="1" x14ac:dyDescent="0.2">
      <c r="A393" s="268"/>
      <c r="B393" s="268" t="s">
        <v>108</v>
      </c>
      <c r="C393" s="268" t="s">
        <v>401</v>
      </c>
      <c r="D393" s="431" t="str">
        <f>GC!$B$10</f>
        <v>Soporte para papel higiénico sin cubierta</v>
      </c>
      <c r="E393" s="249" t="s">
        <v>229</v>
      </c>
      <c r="F393" s="268" t="s">
        <v>354</v>
      </c>
      <c r="G393" s="249" t="s">
        <v>713</v>
      </c>
      <c r="H393" s="249" t="s">
        <v>435</v>
      </c>
      <c r="I393" s="268" t="s">
        <v>410</v>
      </c>
      <c r="J393" s="249">
        <v>1</v>
      </c>
      <c r="K393" s="268" t="s">
        <v>153</v>
      </c>
      <c r="L393" s="432">
        <f>GC!$F$10</f>
        <v>238.874348</v>
      </c>
      <c r="M393" s="433">
        <f t="shared" si="30"/>
        <v>238.874348</v>
      </c>
      <c r="N393" s="249">
        <v>0</v>
      </c>
      <c r="O393" s="433">
        <f t="shared" si="31"/>
        <v>0</v>
      </c>
      <c r="P393" s="434">
        <v>0.16</v>
      </c>
      <c r="Q393" s="433">
        <f t="shared" si="32"/>
        <v>38.21989568</v>
      </c>
      <c r="R393" s="433">
        <f t="shared" si="33"/>
        <v>277.09424367999998</v>
      </c>
      <c r="S393" s="433">
        <f>INDEX('Glosario Partidas'!$M$8:$M$10,MATCH(K393,'Glosario Partidas'!$L$8:$L$10,0))</f>
        <v>17.5</v>
      </c>
      <c r="T393" s="433">
        <f t="shared" si="34"/>
        <v>4849.1492644</v>
      </c>
      <c r="U393" s="268"/>
      <c r="V393" s="249" t="s">
        <v>12</v>
      </c>
      <c r="W393" s="249" t="s">
        <v>491</v>
      </c>
      <c r="X393" s="249"/>
    </row>
    <row r="394" spans="1:24" ht="15" customHeight="1" x14ac:dyDescent="0.2">
      <c r="A394" s="268"/>
      <c r="B394" s="268" t="s">
        <v>108</v>
      </c>
      <c r="C394" s="268" t="s">
        <v>401</v>
      </c>
      <c r="D394" s="431" t="str">
        <f>GC!$B$9</f>
        <v>Barra de agarre / Toallero chico 45cm</v>
      </c>
      <c r="E394" s="249" t="s">
        <v>229</v>
      </c>
      <c r="F394" s="268" t="s">
        <v>354</v>
      </c>
      <c r="G394" s="249" t="s">
        <v>713</v>
      </c>
      <c r="H394" s="249" t="s">
        <v>435</v>
      </c>
      <c r="I394" s="268" t="s">
        <v>410</v>
      </c>
      <c r="J394" s="249">
        <v>2</v>
      </c>
      <c r="K394" s="268" t="s">
        <v>153</v>
      </c>
      <c r="L394" s="432">
        <f>GC!$F$9</f>
        <v>471.15</v>
      </c>
      <c r="M394" s="433">
        <f t="shared" si="30"/>
        <v>942.3</v>
      </c>
      <c r="N394" s="249">
        <v>0</v>
      </c>
      <c r="O394" s="433">
        <f t="shared" si="31"/>
        <v>0</v>
      </c>
      <c r="P394" s="434">
        <v>0.16</v>
      </c>
      <c r="Q394" s="433">
        <f t="shared" si="32"/>
        <v>150.768</v>
      </c>
      <c r="R394" s="433">
        <f t="shared" si="33"/>
        <v>1093.068</v>
      </c>
      <c r="S394" s="433">
        <f>INDEX('Glosario Partidas'!$M$8:$M$10,MATCH(K394,'Glosario Partidas'!$L$8:$L$10,0))</f>
        <v>17.5</v>
      </c>
      <c r="T394" s="433">
        <f t="shared" si="34"/>
        <v>19128.689999999999</v>
      </c>
      <c r="U394" s="268"/>
      <c r="V394" s="249" t="s">
        <v>12</v>
      </c>
      <c r="W394" s="249" t="s">
        <v>491</v>
      </c>
      <c r="X394" s="249"/>
    </row>
    <row r="395" spans="1:24" ht="15" customHeight="1" x14ac:dyDescent="0.2">
      <c r="A395" s="268"/>
      <c r="B395" s="268" t="s">
        <v>108</v>
      </c>
      <c r="C395" s="268" t="s">
        <v>401</v>
      </c>
      <c r="D395" s="431" t="str">
        <f>GC!$B$11</f>
        <v>Gancho</v>
      </c>
      <c r="E395" s="249" t="s">
        <v>229</v>
      </c>
      <c r="F395" s="268" t="s">
        <v>354</v>
      </c>
      <c r="G395" s="249" t="s">
        <v>713</v>
      </c>
      <c r="H395" s="249" t="s">
        <v>435</v>
      </c>
      <c r="I395" s="268" t="s">
        <v>410</v>
      </c>
      <c r="J395" s="249">
        <v>4</v>
      </c>
      <c r="K395" s="268" t="s">
        <v>153</v>
      </c>
      <c r="L395" s="432">
        <f>GC!$F$11</f>
        <v>61.111086999999998</v>
      </c>
      <c r="M395" s="433">
        <f t="shared" si="30"/>
        <v>244.44434799999999</v>
      </c>
      <c r="N395" s="249">
        <v>0</v>
      </c>
      <c r="O395" s="433">
        <f t="shared" si="31"/>
        <v>0</v>
      </c>
      <c r="P395" s="434">
        <v>0.16</v>
      </c>
      <c r="Q395" s="433">
        <f t="shared" si="32"/>
        <v>39.111095679999998</v>
      </c>
      <c r="R395" s="433">
        <f t="shared" si="33"/>
        <v>283.55544368</v>
      </c>
      <c r="S395" s="433">
        <f>INDEX('Glosario Partidas'!$M$8:$M$10,MATCH(K395,'Glosario Partidas'!$L$8:$L$10,0))</f>
        <v>17.5</v>
      </c>
      <c r="T395" s="433">
        <f t="shared" si="34"/>
        <v>4962.2202643999999</v>
      </c>
      <c r="U395" s="268"/>
      <c r="V395" s="249" t="s">
        <v>12</v>
      </c>
      <c r="W395" s="249" t="s">
        <v>491</v>
      </c>
      <c r="X395" s="249"/>
    </row>
    <row r="396" spans="1:24" ht="15" customHeight="1" x14ac:dyDescent="0.2">
      <c r="A396" s="268"/>
      <c r="B396" s="268" t="s">
        <v>108</v>
      </c>
      <c r="C396" s="268" t="s">
        <v>402</v>
      </c>
      <c r="D396" s="431" t="str">
        <f>GC!$B$7</f>
        <v>Inodoro a piso de una pieza (Starck 3)</v>
      </c>
      <c r="E396" s="249" t="s">
        <v>229</v>
      </c>
      <c r="F396" s="268" t="s">
        <v>221</v>
      </c>
      <c r="G396" s="249" t="s">
        <v>708</v>
      </c>
      <c r="H396" s="249" t="s">
        <v>435</v>
      </c>
      <c r="I396" s="268" t="s">
        <v>410</v>
      </c>
      <c r="J396" s="249">
        <v>1</v>
      </c>
      <c r="K396" s="268" t="s">
        <v>153</v>
      </c>
      <c r="L396" s="432">
        <f>GC!$F$7</f>
        <v>667.07</v>
      </c>
      <c r="M396" s="433">
        <f t="shared" si="30"/>
        <v>667.07</v>
      </c>
      <c r="N396" s="249">
        <v>0</v>
      </c>
      <c r="O396" s="433">
        <f t="shared" si="31"/>
        <v>0</v>
      </c>
      <c r="P396" s="434">
        <v>0.16</v>
      </c>
      <c r="Q396" s="433">
        <f t="shared" si="32"/>
        <v>106.73120000000002</v>
      </c>
      <c r="R396" s="433">
        <f t="shared" si="33"/>
        <v>773.80120000000011</v>
      </c>
      <c r="S396" s="433">
        <f>INDEX('Glosario Partidas'!$M$8:$M$10,MATCH(K396,'Glosario Partidas'!$L$8:$L$10,0))</f>
        <v>17.5</v>
      </c>
      <c r="T396" s="433">
        <f t="shared" si="34"/>
        <v>13541.521000000002</v>
      </c>
      <c r="U396" s="268"/>
      <c r="V396" s="249" t="s">
        <v>12</v>
      </c>
      <c r="W396" s="249" t="s">
        <v>491</v>
      </c>
      <c r="X396" s="249"/>
    </row>
    <row r="397" spans="1:24" ht="15" customHeight="1" x14ac:dyDescent="0.2">
      <c r="A397" s="268"/>
      <c r="B397" s="268" t="s">
        <v>108</v>
      </c>
      <c r="C397" s="268" t="s">
        <v>402</v>
      </c>
      <c r="D397" s="431" t="str">
        <f>GC!$B$8</f>
        <v>Monomando de lavabo con válvula automática</v>
      </c>
      <c r="E397" s="249" t="s">
        <v>229</v>
      </c>
      <c r="F397" s="268" t="s">
        <v>221</v>
      </c>
      <c r="G397" s="249" t="s">
        <v>708</v>
      </c>
      <c r="H397" s="249" t="s">
        <v>435</v>
      </c>
      <c r="I397" s="268" t="s">
        <v>410</v>
      </c>
      <c r="J397" s="249">
        <v>2</v>
      </c>
      <c r="K397" s="268" t="s">
        <v>153</v>
      </c>
      <c r="L397" s="432">
        <f>GC!$F$8</f>
        <v>975.99151900000004</v>
      </c>
      <c r="M397" s="433">
        <f t="shared" si="30"/>
        <v>1951.9830380000001</v>
      </c>
      <c r="N397" s="249">
        <v>0</v>
      </c>
      <c r="O397" s="433">
        <f t="shared" si="31"/>
        <v>0</v>
      </c>
      <c r="P397" s="434">
        <v>0.16</v>
      </c>
      <c r="Q397" s="433">
        <f t="shared" si="32"/>
        <v>312.31728608000003</v>
      </c>
      <c r="R397" s="433">
        <f t="shared" si="33"/>
        <v>2264.3003240799999</v>
      </c>
      <c r="S397" s="433">
        <f>INDEX('Glosario Partidas'!$M$8:$M$10,MATCH(K397,'Glosario Partidas'!$L$8:$L$10,0))</f>
        <v>17.5</v>
      </c>
      <c r="T397" s="433">
        <f t="shared" si="34"/>
        <v>39625.255671399995</v>
      </c>
      <c r="U397" s="268"/>
      <c r="V397" s="249" t="s">
        <v>12</v>
      </c>
      <c r="W397" s="249" t="s">
        <v>491</v>
      </c>
      <c r="X397" s="249"/>
    </row>
    <row r="398" spans="1:24" ht="15" customHeight="1" x14ac:dyDescent="0.2">
      <c r="A398" s="268"/>
      <c r="B398" s="268" t="s">
        <v>108</v>
      </c>
      <c r="C398" s="268" t="s">
        <v>402</v>
      </c>
      <c r="D398" s="431" t="str">
        <f>GC!$B$21</f>
        <v>Soporte para vidrio (SERIES SPECIFIC, XS-081077, Brushed Dark Platinum)</v>
      </c>
      <c r="E398" s="249" t="s">
        <v>229</v>
      </c>
      <c r="F398" s="268" t="s">
        <v>221</v>
      </c>
      <c r="G398" s="249" t="s">
        <v>708</v>
      </c>
      <c r="H398" s="249" t="s">
        <v>435</v>
      </c>
      <c r="I398" s="268" t="s">
        <v>410</v>
      </c>
      <c r="J398" s="249">
        <v>2</v>
      </c>
      <c r="K398" s="268" t="s">
        <v>153</v>
      </c>
      <c r="L398" s="432">
        <f>GC!$F$21</f>
        <v>281.02</v>
      </c>
      <c r="M398" s="433">
        <f t="shared" si="30"/>
        <v>562.04</v>
      </c>
      <c r="N398" s="249">
        <v>0</v>
      </c>
      <c r="O398" s="433">
        <f t="shared" si="31"/>
        <v>0</v>
      </c>
      <c r="P398" s="434">
        <v>0.16</v>
      </c>
      <c r="Q398" s="433">
        <f t="shared" si="32"/>
        <v>89.926400000000001</v>
      </c>
      <c r="R398" s="433">
        <f t="shared" si="33"/>
        <v>651.96640000000002</v>
      </c>
      <c r="S398" s="433">
        <f>INDEX('Glosario Partidas'!$M$8:$M$10,MATCH(K398,'Glosario Partidas'!$L$8:$L$10,0))</f>
        <v>17.5</v>
      </c>
      <c r="T398" s="433">
        <f t="shared" si="34"/>
        <v>11409.412</v>
      </c>
      <c r="U398" s="268" t="s">
        <v>1084</v>
      </c>
      <c r="V398" s="249" t="s">
        <v>12</v>
      </c>
      <c r="W398" s="249" t="s">
        <v>491</v>
      </c>
      <c r="X398" s="249"/>
    </row>
    <row r="399" spans="1:24" ht="15" customHeight="1" x14ac:dyDescent="0.2">
      <c r="A399" s="268"/>
      <c r="B399" s="268" t="s">
        <v>108</v>
      </c>
      <c r="C399" s="268" t="s">
        <v>402</v>
      </c>
      <c r="D399" s="431" t="str">
        <f>GC!$B$12</f>
        <v>Set de ducha de mano con soporte de pared integrado</v>
      </c>
      <c r="E399" s="249" t="s">
        <v>229</v>
      </c>
      <c r="F399" s="268" t="s">
        <v>221</v>
      </c>
      <c r="G399" s="249" t="s">
        <v>708</v>
      </c>
      <c r="H399" s="249" t="s">
        <v>435</v>
      </c>
      <c r="I399" s="268" t="s">
        <v>410</v>
      </c>
      <c r="J399" s="249">
        <v>1</v>
      </c>
      <c r="K399" s="268" t="s">
        <v>153</v>
      </c>
      <c r="L399" s="432">
        <f>GC!$F$12</f>
        <v>325.25947400000001</v>
      </c>
      <c r="M399" s="433">
        <f t="shared" si="30"/>
        <v>325.25947400000001</v>
      </c>
      <c r="N399" s="249">
        <v>0</v>
      </c>
      <c r="O399" s="433">
        <f t="shared" si="31"/>
        <v>0</v>
      </c>
      <c r="P399" s="434">
        <v>0.16</v>
      </c>
      <c r="Q399" s="433">
        <f t="shared" si="32"/>
        <v>52.041515840000002</v>
      </c>
      <c r="R399" s="433">
        <f t="shared" si="33"/>
        <v>377.30098984</v>
      </c>
      <c r="S399" s="433">
        <f>INDEX('Glosario Partidas'!$M$8:$M$10,MATCH(K399,'Glosario Partidas'!$L$8:$L$10,0))</f>
        <v>17.5</v>
      </c>
      <c r="T399" s="433">
        <f t="shared" si="34"/>
        <v>6602.7673222000003</v>
      </c>
      <c r="U399" s="268"/>
      <c r="V399" s="249" t="s">
        <v>12</v>
      </c>
      <c r="W399" s="249" t="s">
        <v>491</v>
      </c>
      <c r="X399" s="249"/>
    </row>
    <row r="400" spans="1:24" ht="15" customHeight="1" x14ac:dyDescent="0.2">
      <c r="A400" s="268"/>
      <c r="B400" s="268" t="s">
        <v>108</v>
      </c>
      <c r="C400" s="268" t="s">
        <v>402</v>
      </c>
      <c r="D400" s="431" t="str">
        <f>GC!$B$13</f>
        <v>Ducha efecto lluvia con fijación a pared 400 mm</v>
      </c>
      <c r="E400" s="249" t="s">
        <v>229</v>
      </c>
      <c r="F400" s="268" t="s">
        <v>221</v>
      </c>
      <c r="G400" s="249" t="s">
        <v>708</v>
      </c>
      <c r="H400" s="249" t="s">
        <v>435</v>
      </c>
      <c r="I400" s="268" t="s">
        <v>410</v>
      </c>
      <c r="J400" s="249">
        <v>1</v>
      </c>
      <c r="K400" s="268" t="s">
        <v>153</v>
      </c>
      <c r="L400" s="432">
        <f>GC!$F$13</f>
        <v>1807.197105</v>
      </c>
      <c r="M400" s="433">
        <f t="shared" si="30"/>
        <v>1807.197105</v>
      </c>
      <c r="N400" s="249">
        <v>0</v>
      </c>
      <c r="O400" s="433">
        <f t="shared" si="31"/>
        <v>0</v>
      </c>
      <c r="P400" s="434">
        <v>0.16</v>
      </c>
      <c r="Q400" s="433">
        <f t="shared" si="32"/>
        <v>289.15153679999997</v>
      </c>
      <c r="R400" s="433">
        <f t="shared" si="33"/>
        <v>2096.3486417999998</v>
      </c>
      <c r="S400" s="433">
        <f>INDEX('Glosario Partidas'!$M$8:$M$10,MATCH(K400,'Glosario Partidas'!$L$8:$L$10,0))</f>
        <v>17.5</v>
      </c>
      <c r="T400" s="433">
        <f t="shared" si="34"/>
        <v>36686.101231499997</v>
      </c>
      <c r="U400" s="268"/>
      <c r="V400" s="249" t="s">
        <v>12</v>
      </c>
      <c r="W400" s="249" t="s">
        <v>491</v>
      </c>
      <c r="X400" s="249"/>
    </row>
    <row r="401" spans="1:24" ht="15" customHeight="1" x14ac:dyDescent="0.2">
      <c r="A401" s="268"/>
      <c r="B401" s="268" t="s">
        <v>108</v>
      </c>
      <c r="C401" s="268" t="s">
        <v>402</v>
      </c>
      <c r="D401" s="431" t="str">
        <f>GC!$B$22</f>
        <v>Canaleta de ducha para piedra natural TECE showerline (15201082)</v>
      </c>
      <c r="E401" s="249" t="s">
        <v>229</v>
      </c>
      <c r="F401" s="268" t="s">
        <v>221</v>
      </c>
      <c r="G401" s="249" t="s">
        <v>708</v>
      </c>
      <c r="H401" s="249" t="s">
        <v>435</v>
      </c>
      <c r="I401" s="268" t="s">
        <v>410</v>
      </c>
      <c r="J401" s="249">
        <v>1</v>
      </c>
      <c r="K401" s="268" t="s">
        <v>153</v>
      </c>
      <c r="L401" s="432">
        <f>GC!$F$22</f>
        <v>290.33763199999999</v>
      </c>
      <c r="M401" s="433">
        <f t="shared" si="30"/>
        <v>290.33763199999999</v>
      </c>
      <c r="N401" s="249">
        <v>0</v>
      </c>
      <c r="O401" s="433">
        <f t="shared" si="31"/>
        <v>0</v>
      </c>
      <c r="P401" s="434">
        <v>0.16</v>
      </c>
      <c r="Q401" s="433">
        <f t="shared" si="32"/>
        <v>46.45402112</v>
      </c>
      <c r="R401" s="433">
        <f t="shared" si="33"/>
        <v>336.79165311999998</v>
      </c>
      <c r="S401" s="433">
        <f>INDEX('Glosario Partidas'!$M$8:$M$10,MATCH(K401,'Glosario Partidas'!$L$8:$L$10,0))</f>
        <v>17.5</v>
      </c>
      <c r="T401" s="433">
        <f t="shared" si="34"/>
        <v>5893.8539295999999</v>
      </c>
      <c r="U401" s="268" t="s">
        <v>1085</v>
      </c>
      <c r="V401" s="249" t="s">
        <v>12</v>
      </c>
      <c r="W401" s="249" t="s">
        <v>491</v>
      </c>
      <c r="X401" s="249"/>
    </row>
    <row r="402" spans="1:24" ht="15" customHeight="1" x14ac:dyDescent="0.2">
      <c r="A402" s="268"/>
      <c r="B402" s="268" t="s">
        <v>108</v>
      </c>
      <c r="C402" s="268" t="s">
        <v>402</v>
      </c>
      <c r="D402" s="431" t="str">
        <f>GC!$B$14</f>
        <v>Termostato oculto con control de volumen bidireccional</v>
      </c>
      <c r="E402" s="249" t="s">
        <v>229</v>
      </c>
      <c r="F402" s="268" t="s">
        <v>221</v>
      </c>
      <c r="G402" s="249" t="s">
        <v>708</v>
      </c>
      <c r="H402" s="249" t="s">
        <v>435</v>
      </c>
      <c r="I402" s="268" t="s">
        <v>410</v>
      </c>
      <c r="J402" s="249">
        <v>1</v>
      </c>
      <c r="K402" s="268" t="s">
        <v>153</v>
      </c>
      <c r="L402" s="432">
        <f>GC!$F$14</f>
        <v>350.19605300000001</v>
      </c>
      <c r="M402" s="433">
        <f t="shared" si="30"/>
        <v>350.19605300000001</v>
      </c>
      <c r="N402" s="249">
        <v>0</v>
      </c>
      <c r="O402" s="433">
        <f t="shared" si="31"/>
        <v>0</v>
      </c>
      <c r="P402" s="434">
        <v>0.16</v>
      </c>
      <c r="Q402" s="433">
        <f t="shared" si="32"/>
        <v>56.031368480000005</v>
      </c>
      <c r="R402" s="433">
        <f t="shared" si="33"/>
        <v>406.22742148000003</v>
      </c>
      <c r="S402" s="433">
        <f>INDEX('Glosario Partidas'!$M$8:$M$10,MATCH(K402,'Glosario Partidas'!$L$8:$L$10,0))</f>
        <v>17.5</v>
      </c>
      <c r="T402" s="433">
        <f t="shared" si="34"/>
        <v>7108.9798759000005</v>
      </c>
      <c r="U402" s="268"/>
      <c r="V402" s="249" t="s">
        <v>12</v>
      </c>
      <c r="W402" s="249" t="s">
        <v>491</v>
      </c>
      <c r="X402" s="249"/>
    </row>
    <row r="403" spans="1:24" ht="15" customHeight="1" x14ac:dyDescent="0.2">
      <c r="A403" s="268"/>
      <c r="B403" s="268" t="s">
        <v>108</v>
      </c>
      <c r="C403" s="268" t="s">
        <v>402</v>
      </c>
      <c r="D403" s="431" t="str">
        <f>GC!$B$15</f>
        <v>Termostato empotrado (rough)</v>
      </c>
      <c r="E403" s="249" t="s">
        <v>229</v>
      </c>
      <c r="F403" s="268" t="s">
        <v>221</v>
      </c>
      <c r="G403" s="249" t="s">
        <v>708</v>
      </c>
      <c r="H403" s="249" t="s">
        <v>435</v>
      </c>
      <c r="I403" s="268" t="s">
        <v>410</v>
      </c>
      <c r="J403" s="249">
        <v>1</v>
      </c>
      <c r="K403" s="268" t="s">
        <v>153</v>
      </c>
      <c r="L403" s="432">
        <f>GC!$F$15</f>
        <v>313.33</v>
      </c>
      <c r="M403" s="433">
        <f t="shared" si="30"/>
        <v>313.33</v>
      </c>
      <c r="N403" s="249">
        <v>0</v>
      </c>
      <c r="O403" s="433">
        <f t="shared" si="31"/>
        <v>0</v>
      </c>
      <c r="P403" s="434">
        <v>0.16</v>
      </c>
      <c r="Q403" s="433">
        <f t="shared" si="32"/>
        <v>50.132799999999996</v>
      </c>
      <c r="R403" s="433">
        <f t="shared" si="33"/>
        <v>363.46279999999996</v>
      </c>
      <c r="S403" s="433">
        <f>INDEX('Glosario Partidas'!$M$8:$M$10,MATCH(K403,'Glosario Partidas'!$L$8:$L$10,0))</f>
        <v>17.5</v>
      </c>
      <c r="T403" s="433">
        <f t="shared" si="34"/>
        <v>6360.5989999999993</v>
      </c>
      <c r="U403" s="268"/>
      <c r="V403" s="249" t="s">
        <v>12</v>
      </c>
      <c r="W403" s="249" t="s">
        <v>491</v>
      </c>
      <c r="X403" s="249"/>
    </row>
    <row r="404" spans="1:24" ht="15" customHeight="1" x14ac:dyDescent="0.2">
      <c r="A404" s="268"/>
      <c r="B404" s="268" t="s">
        <v>108</v>
      </c>
      <c r="C404" s="268" t="s">
        <v>402</v>
      </c>
      <c r="D404" s="431" t="str">
        <f>GC!$B$10</f>
        <v>Soporte para papel higiénico sin cubierta</v>
      </c>
      <c r="E404" s="249" t="s">
        <v>229</v>
      </c>
      <c r="F404" s="268" t="s">
        <v>221</v>
      </c>
      <c r="G404" s="249" t="s">
        <v>708</v>
      </c>
      <c r="H404" s="249" t="s">
        <v>435</v>
      </c>
      <c r="I404" s="268" t="s">
        <v>410</v>
      </c>
      <c r="J404" s="249">
        <v>1</v>
      </c>
      <c r="K404" s="268" t="s">
        <v>153</v>
      </c>
      <c r="L404" s="432">
        <f>GC!$F$10</f>
        <v>238.874348</v>
      </c>
      <c r="M404" s="433">
        <f t="shared" si="30"/>
        <v>238.874348</v>
      </c>
      <c r="N404" s="249">
        <v>0</v>
      </c>
      <c r="O404" s="433">
        <f t="shared" si="31"/>
        <v>0</v>
      </c>
      <c r="P404" s="434">
        <v>0.16</v>
      </c>
      <c r="Q404" s="433">
        <f t="shared" si="32"/>
        <v>38.21989568</v>
      </c>
      <c r="R404" s="433">
        <f t="shared" si="33"/>
        <v>277.09424367999998</v>
      </c>
      <c r="S404" s="433">
        <f>INDEX('Glosario Partidas'!$M$8:$M$10,MATCH(K404,'Glosario Partidas'!$L$8:$L$10,0))</f>
        <v>17.5</v>
      </c>
      <c r="T404" s="433">
        <f t="shared" si="34"/>
        <v>4849.1492644</v>
      </c>
      <c r="U404" s="268"/>
      <c r="V404" s="249" t="s">
        <v>12</v>
      </c>
      <c r="W404" s="249" t="s">
        <v>491</v>
      </c>
      <c r="X404" s="249"/>
    </row>
    <row r="405" spans="1:24" ht="15" customHeight="1" x14ac:dyDescent="0.2">
      <c r="A405" s="268"/>
      <c r="B405" s="268" t="s">
        <v>108</v>
      </c>
      <c r="C405" s="268" t="s">
        <v>402</v>
      </c>
      <c r="D405" s="431" t="str">
        <f>GC!$B$9</f>
        <v>Barra de agarre / Toallero chico 45cm</v>
      </c>
      <c r="E405" s="249" t="s">
        <v>229</v>
      </c>
      <c r="F405" s="268" t="s">
        <v>221</v>
      </c>
      <c r="G405" s="249" t="s">
        <v>708</v>
      </c>
      <c r="H405" s="249" t="s">
        <v>435</v>
      </c>
      <c r="I405" s="268" t="s">
        <v>410</v>
      </c>
      <c r="J405" s="249">
        <v>2</v>
      </c>
      <c r="K405" s="268" t="s">
        <v>153</v>
      </c>
      <c r="L405" s="432">
        <f>GC!$F$9</f>
        <v>471.15</v>
      </c>
      <c r="M405" s="433">
        <f t="shared" si="30"/>
        <v>942.3</v>
      </c>
      <c r="N405" s="249">
        <v>0</v>
      </c>
      <c r="O405" s="433">
        <f t="shared" si="31"/>
        <v>0</v>
      </c>
      <c r="P405" s="434">
        <v>0.16</v>
      </c>
      <c r="Q405" s="433">
        <f t="shared" si="32"/>
        <v>150.768</v>
      </c>
      <c r="R405" s="433">
        <f t="shared" si="33"/>
        <v>1093.068</v>
      </c>
      <c r="S405" s="433">
        <f>INDEX('Glosario Partidas'!$M$8:$M$10,MATCH(K405,'Glosario Partidas'!$L$8:$L$10,0))</f>
        <v>17.5</v>
      </c>
      <c r="T405" s="433">
        <f t="shared" si="34"/>
        <v>19128.689999999999</v>
      </c>
      <c r="U405" s="268"/>
      <c r="V405" s="249" t="s">
        <v>12</v>
      </c>
      <c r="W405" s="249" t="s">
        <v>491</v>
      </c>
      <c r="X405" s="249"/>
    </row>
    <row r="406" spans="1:24" ht="15" customHeight="1" x14ac:dyDescent="0.2">
      <c r="A406" s="268"/>
      <c r="B406" s="268" t="s">
        <v>108</v>
      </c>
      <c r="C406" s="268" t="s">
        <v>402</v>
      </c>
      <c r="D406" s="431" t="str">
        <f>GC!$B$11</f>
        <v>Gancho</v>
      </c>
      <c r="E406" s="249" t="s">
        <v>229</v>
      </c>
      <c r="F406" s="268" t="s">
        <v>221</v>
      </c>
      <c r="G406" s="249" t="s">
        <v>708</v>
      </c>
      <c r="H406" s="249" t="s">
        <v>435</v>
      </c>
      <c r="I406" s="268" t="s">
        <v>410</v>
      </c>
      <c r="J406" s="249">
        <v>2</v>
      </c>
      <c r="K406" s="268" t="s">
        <v>153</v>
      </c>
      <c r="L406" s="432">
        <f>GC!$F$11</f>
        <v>61.111086999999998</v>
      </c>
      <c r="M406" s="433">
        <f t="shared" si="30"/>
        <v>122.222174</v>
      </c>
      <c r="N406" s="249">
        <v>0</v>
      </c>
      <c r="O406" s="433">
        <f t="shared" si="31"/>
        <v>0</v>
      </c>
      <c r="P406" s="434">
        <v>0.16</v>
      </c>
      <c r="Q406" s="433">
        <f t="shared" si="32"/>
        <v>19.555547839999999</v>
      </c>
      <c r="R406" s="433">
        <f t="shared" si="33"/>
        <v>141.77772184</v>
      </c>
      <c r="S406" s="433">
        <f>INDEX('Glosario Partidas'!$M$8:$M$10,MATCH(K406,'Glosario Partidas'!$L$8:$L$10,0))</f>
        <v>17.5</v>
      </c>
      <c r="T406" s="433">
        <f t="shared" si="34"/>
        <v>2481.1101322</v>
      </c>
      <c r="U406" s="268"/>
      <c r="V406" s="249" t="s">
        <v>12</v>
      </c>
      <c r="W406" s="249" t="s">
        <v>491</v>
      </c>
      <c r="X406" s="249"/>
    </row>
    <row r="407" spans="1:24" ht="15" customHeight="1" x14ac:dyDescent="0.2">
      <c r="A407" s="268"/>
      <c r="B407" s="268" t="s">
        <v>108</v>
      </c>
      <c r="C407" s="268" t="s">
        <v>402</v>
      </c>
      <c r="D407" s="431" t="str">
        <f>GC!$B$7</f>
        <v>Inodoro a piso de una pieza (Starck 3)</v>
      </c>
      <c r="E407" s="249" t="s">
        <v>229</v>
      </c>
      <c r="F407" s="268" t="s">
        <v>354</v>
      </c>
      <c r="G407" s="249" t="s">
        <v>711</v>
      </c>
      <c r="H407" s="249" t="s">
        <v>435</v>
      </c>
      <c r="I407" s="268" t="s">
        <v>410</v>
      </c>
      <c r="J407" s="249">
        <v>1</v>
      </c>
      <c r="K407" s="268" t="s">
        <v>153</v>
      </c>
      <c r="L407" s="432">
        <f>GC!$F$7</f>
        <v>667.07</v>
      </c>
      <c r="M407" s="433">
        <f t="shared" si="30"/>
        <v>667.07</v>
      </c>
      <c r="N407" s="249">
        <v>0</v>
      </c>
      <c r="O407" s="433">
        <f t="shared" si="31"/>
        <v>0</v>
      </c>
      <c r="P407" s="434">
        <v>0.16</v>
      </c>
      <c r="Q407" s="433">
        <f t="shared" si="32"/>
        <v>106.73120000000002</v>
      </c>
      <c r="R407" s="433">
        <f t="shared" si="33"/>
        <v>773.80120000000011</v>
      </c>
      <c r="S407" s="433">
        <f>INDEX('Glosario Partidas'!$M$8:$M$10,MATCH(K407,'Glosario Partidas'!$L$8:$L$10,0))</f>
        <v>17.5</v>
      </c>
      <c r="T407" s="433">
        <f t="shared" si="34"/>
        <v>13541.521000000002</v>
      </c>
      <c r="U407" s="268"/>
      <c r="V407" s="249" t="s">
        <v>12</v>
      </c>
      <c r="W407" s="249" t="s">
        <v>491</v>
      </c>
      <c r="X407" s="249"/>
    </row>
    <row r="408" spans="1:24" ht="15" customHeight="1" x14ac:dyDescent="0.2">
      <c r="A408" s="268"/>
      <c r="B408" s="268" t="s">
        <v>108</v>
      </c>
      <c r="C408" s="268" t="s">
        <v>402</v>
      </c>
      <c r="D408" s="431" t="str">
        <f>GC!$B$8</f>
        <v>Monomando de lavabo con válvula automática</v>
      </c>
      <c r="E408" s="249" t="s">
        <v>229</v>
      </c>
      <c r="F408" s="268" t="s">
        <v>354</v>
      </c>
      <c r="G408" s="249" t="s">
        <v>711</v>
      </c>
      <c r="H408" s="249" t="s">
        <v>435</v>
      </c>
      <c r="I408" s="268" t="s">
        <v>410</v>
      </c>
      <c r="J408" s="249">
        <v>2</v>
      </c>
      <c r="K408" s="268" t="s">
        <v>153</v>
      </c>
      <c r="L408" s="432">
        <f>GC!$F$8</f>
        <v>975.99151900000004</v>
      </c>
      <c r="M408" s="433">
        <f t="shared" si="30"/>
        <v>1951.9830380000001</v>
      </c>
      <c r="N408" s="249">
        <v>0</v>
      </c>
      <c r="O408" s="433">
        <f t="shared" si="31"/>
        <v>0</v>
      </c>
      <c r="P408" s="434">
        <v>0.16</v>
      </c>
      <c r="Q408" s="433">
        <f t="shared" si="32"/>
        <v>312.31728608000003</v>
      </c>
      <c r="R408" s="433">
        <f t="shared" si="33"/>
        <v>2264.3003240799999</v>
      </c>
      <c r="S408" s="433">
        <f>INDEX('Glosario Partidas'!$M$8:$M$10,MATCH(K408,'Glosario Partidas'!$L$8:$L$10,0))</f>
        <v>17.5</v>
      </c>
      <c r="T408" s="433">
        <f t="shared" si="34"/>
        <v>39625.255671399995</v>
      </c>
      <c r="U408" s="268"/>
      <c r="V408" s="249" t="s">
        <v>12</v>
      </c>
      <c r="W408" s="249" t="s">
        <v>491</v>
      </c>
      <c r="X408" s="249"/>
    </row>
    <row r="409" spans="1:24" ht="15" customHeight="1" x14ac:dyDescent="0.2">
      <c r="A409" s="268"/>
      <c r="B409" s="268" t="s">
        <v>108</v>
      </c>
      <c r="C409" s="268" t="s">
        <v>402</v>
      </c>
      <c r="D409" s="431" t="str">
        <f>GC!$B$21</f>
        <v>Soporte para vidrio (SERIES SPECIFIC, XS-081077, Brushed Dark Platinum)</v>
      </c>
      <c r="E409" s="249" t="s">
        <v>229</v>
      </c>
      <c r="F409" s="268" t="s">
        <v>354</v>
      </c>
      <c r="G409" s="249" t="s">
        <v>711</v>
      </c>
      <c r="H409" s="249" t="s">
        <v>435</v>
      </c>
      <c r="I409" s="268" t="s">
        <v>410</v>
      </c>
      <c r="J409" s="249">
        <v>2</v>
      </c>
      <c r="K409" s="268" t="s">
        <v>153</v>
      </c>
      <c r="L409" s="432">
        <f>GC!$F$21</f>
        <v>281.02</v>
      </c>
      <c r="M409" s="433">
        <f t="shared" si="30"/>
        <v>562.04</v>
      </c>
      <c r="N409" s="249">
        <v>0</v>
      </c>
      <c r="O409" s="433">
        <f t="shared" si="31"/>
        <v>0</v>
      </c>
      <c r="P409" s="434">
        <v>0.16</v>
      </c>
      <c r="Q409" s="433">
        <f t="shared" si="32"/>
        <v>89.926400000000001</v>
      </c>
      <c r="R409" s="433">
        <f t="shared" si="33"/>
        <v>651.96640000000002</v>
      </c>
      <c r="S409" s="433">
        <f>INDEX('Glosario Partidas'!$M$8:$M$10,MATCH(K409,'Glosario Partidas'!$L$8:$L$10,0))</f>
        <v>17.5</v>
      </c>
      <c r="T409" s="433">
        <f t="shared" si="34"/>
        <v>11409.412</v>
      </c>
      <c r="U409" s="268" t="s">
        <v>1084</v>
      </c>
      <c r="V409" s="249" t="s">
        <v>12</v>
      </c>
      <c r="W409" s="249" t="s">
        <v>491</v>
      </c>
      <c r="X409" s="249"/>
    </row>
    <row r="410" spans="1:24" ht="15" customHeight="1" x14ac:dyDescent="0.2">
      <c r="A410" s="268"/>
      <c r="B410" s="268" t="s">
        <v>108</v>
      </c>
      <c r="C410" s="268" t="s">
        <v>402</v>
      </c>
      <c r="D410" s="431" t="str">
        <f>GC!$B$12</f>
        <v>Set de ducha de mano con soporte de pared integrado</v>
      </c>
      <c r="E410" s="249" t="s">
        <v>229</v>
      </c>
      <c r="F410" s="268" t="s">
        <v>354</v>
      </c>
      <c r="G410" s="249" t="s">
        <v>711</v>
      </c>
      <c r="H410" s="249" t="s">
        <v>435</v>
      </c>
      <c r="I410" s="268" t="s">
        <v>410</v>
      </c>
      <c r="J410" s="249">
        <v>1</v>
      </c>
      <c r="K410" s="268" t="s">
        <v>153</v>
      </c>
      <c r="L410" s="432">
        <f>GC!$F$12</f>
        <v>325.25947400000001</v>
      </c>
      <c r="M410" s="433">
        <f t="shared" si="30"/>
        <v>325.25947400000001</v>
      </c>
      <c r="N410" s="249">
        <v>0</v>
      </c>
      <c r="O410" s="433">
        <f t="shared" si="31"/>
        <v>0</v>
      </c>
      <c r="P410" s="434">
        <v>0.16</v>
      </c>
      <c r="Q410" s="433">
        <f t="shared" si="32"/>
        <v>52.041515840000002</v>
      </c>
      <c r="R410" s="433">
        <f t="shared" si="33"/>
        <v>377.30098984</v>
      </c>
      <c r="S410" s="433">
        <f>INDEX('Glosario Partidas'!$M$8:$M$10,MATCH(K410,'Glosario Partidas'!$L$8:$L$10,0))</f>
        <v>17.5</v>
      </c>
      <c r="T410" s="433">
        <f t="shared" si="34"/>
        <v>6602.7673222000003</v>
      </c>
      <c r="U410" s="268"/>
      <c r="V410" s="249" t="s">
        <v>12</v>
      </c>
      <c r="W410" s="249" t="s">
        <v>491</v>
      </c>
      <c r="X410" s="249"/>
    </row>
    <row r="411" spans="1:24" ht="15" customHeight="1" x14ac:dyDescent="0.2">
      <c r="A411" s="268"/>
      <c r="B411" s="268" t="s">
        <v>108</v>
      </c>
      <c r="C411" s="268" t="s">
        <v>402</v>
      </c>
      <c r="D411" s="431" t="str">
        <f>GC!$B$13</f>
        <v>Ducha efecto lluvia con fijación a pared 400 mm</v>
      </c>
      <c r="E411" s="249" t="s">
        <v>229</v>
      </c>
      <c r="F411" s="268" t="s">
        <v>354</v>
      </c>
      <c r="G411" s="249" t="s">
        <v>711</v>
      </c>
      <c r="H411" s="249" t="s">
        <v>435</v>
      </c>
      <c r="I411" s="268" t="s">
        <v>410</v>
      </c>
      <c r="J411" s="249">
        <v>1</v>
      </c>
      <c r="K411" s="268" t="s">
        <v>153</v>
      </c>
      <c r="L411" s="432">
        <f>GC!$F$13</f>
        <v>1807.197105</v>
      </c>
      <c r="M411" s="433">
        <f t="shared" si="30"/>
        <v>1807.197105</v>
      </c>
      <c r="N411" s="249">
        <v>0</v>
      </c>
      <c r="O411" s="433">
        <f t="shared" si="31"/>
        <v>0</v>
      </c>
      <c r="P411" s="434">
        <v>0.16</v>
      </c>
      <c r="Q411" s="433">
        <f t="shared" si="32"/>
        <v>289.15153679999997</v>
      </c>
      <c r="R411" s="433">
        <f t="shared" si="33"/>
        <v>2096.3486417999998</v>
      </c>
      <c r="S411" s="433">
        <f>INDEX('Glosario Partidas'!$M$8:$M$10,MATCH(K411,'Glosario Partidas'!$L$8:$L$10,0))</f>
        <v>17.5</v>
      </c>
      <c r="T411" s="433">
        <f t="shared" si="34"/>
        <v>36686.101231499997</v>
      </c>
      <c r="U411" s="268"/>
      <c r="V411" s="249" t="s">
        <v>12</v>
      </c>
      <c r="W411" s="249" t="s">
        <v>491</v>
      </c>
      <c r="X411" s="249"/>
    </row>
    <row r="412" spans="1:24" ht="15" customHeight="1" x14ac:dyDescent="0.2">
      <c r="A412" s="268"/>
      <c r="B412" s="268" t="s">
        <v>108</v>
      </c>
      <c r="C412" s="268" t="s">
        <v>402</v>
      </c>
      <c r="D412" s="431" t="str">
        <f>GC!$B$22</f>
        <v>Canaleta de ducha para piedra natural TECE showerline (15201082)</v>
      </c>
      <c r="E412" s="249" t="s">
        <v>229</v>
      </c>
      <c r="F412" s="268" t="s">
        <v>354</v>
      </c>
      <c r="G412" s="249" t="s">
        <v>711</v>
      </c>
      <c r="H412" s="249" t="s">
        <v>435</v>
      </c>
      <c r="I412" s="268" t="s">
        <v>410</v>
      </c>
      <c r="J412" s="249">
        <v>1</v>
      </c>
      <c r="K412" s="268" t="s">
        <v>153</v>
      </c>
      <c r="L412" s="432">
        <f>GC!$F$22</f>
        <v>290.33763199999999</v>
      </c>
      <c r="M412" s="433">
        <f t="shared" si="30"/>
        <v>290.33763199999999</v>
      </c>
      <c r="N412" s="249">
        <v>0</v>
      </c>
      <c r="O412" s="433">
        <f t="shared" si="31"/>
        <v>0</v>
      </c>
      <c r="P412" s="434">
        <v>0.16</v>
      </c>
      <c r="Q412" s="433">
        <f t="shared" si="32"/>
        <v>46.45402112</v>
      </c>
      <c r="R412" s="433">
        <f t="shared" si="33"/>
        <v>336.79165311999998</v>
      </c>
      <c r="S412" s="433">
        <f>INDEX('Glosario Partidas'!$M$8:$M$10,MATCH(K412,'Glosario Partidas'!$L$8:$L$10,0))</f>
        <v>17.5</v>
      </c>
      <c r="T412" s="433">
        <f t="shared" si="34"/>
        <v>5893.8539295999999</v>
      </c>
      <c r="U412" s="268" t="s">
        <v>1085</v>
      </c>
      <c r="V412" s="249" t="s">
        <v>12</v>
      </c>
      <c r="W412" s="249" t="s">
        <v>491</v>
      </c>
      <c r="X412" s="249"/>
    </row>
    <row r="413" spans="1:24" ht="15" customHeight="1" x14ac:dyDescent="0.2">
      <c r="A413" s="268"/>
      <c r="B413" s="268" t="s">
        <v>108</v>
      </c>
      <c r="C413" s="268" t="s">
        <v>402</v>
      </c>
      <c r="D413" s="431" t="str">
        <f>GC!$B$14</f>
        <v>Termostato oculto con control de volumen bidireccional</v>
      </c>
      <c r="E413" s="249" t="s">
        <v>229</v>
      </c>
      <c r="F413" s="268" t="s">
        <v>354</v>
      </c>
      <c r="G413" s="249" t="s">
        <v>711</v>
      </c>
      <c r="H413" s="249" t="s">
        <v>435</v>
      </c>
      <c r="I413" s="268" t="s">
        <v>410</v>
      </c>
      <c r="J413" s="249">
        <v>1</v>
      </c>
      <c r="K413" s="268" t="s">
        <v>153</v>
      </c>
      <c r="L413" s="432">
        <f>GC!$F$14</f>
        <v>350.19605300000001</v>
      </c>
      <c r="M413" s="433">
        <f t="shared" si="30"/>
        <v>350.19605300000001</v>
      </c>
      <c r="N413" s="249">
        <v>0</v>
      </c>
      <c r="O413" s="433">
        <f t="shared" si="31"/>
        <v>0</v>
      </c>
      <c r="P413" s="434">
        <v>0.16</v>
      </c>
      <c r="Q413" s="433">
        <f t="shared" si="32"/>
        <v>56.031368480000005</v>
      </c>
      <c r="R413" s="433">
        <f t="shared" si="33"/>
        <v>406.22742148000003</v>
      </c>
      <c r="S413" s="433">
        <f>INDEX('Glosario Partidas'!$M$8:$M$10,MATCH(K413,'Glosario Partidas'!$L$8:$L$10,0))</f>
        <v>17.5</v>
      </c>
      <c r="T413" s="433">
        <f t="shared" si="34"/>
        <v>7108.9798759000005</v>
      </c>
      <c r="U413" s="268"/>
      <c r="V413" s="249" t="s">
        <v>12</v>
      </c>
      <c r="W413" s="249" t="s">
        <v>491</v>
      </c>
      <c r="X413" s="249"/>
    </row>
    <row r="414" spans="1:24" ht="15" customHeight="1" x14ac:dyDescent="0.2">
      <c r="A414" s="268"/>
      <c r="B414" s="268" t="s">
        <v>108</v>
      </c>
      <c r="C414" s="268" t="s">
        <v>402</v>
      </c>
      <c r="D414" s="431" t="str">
        <f>GC!$B$15</f>
        <v>Termostato empotrado (rough)</v>
      </c>
      <c r="E414" s="249" t="s">
        <v>229</v>
      </c>
      <c r="F414" s="268" t="s">
        <v>354</v>
      </c>
      <c r="G414" s="249" t="s">
        <v>711</v>
      </c>
      <c r="H414" s="249" t="s">
        <v>435</v>
      </c>
      <c r="I414" s="268" t="s">
        <v>410</v>
      </c>
      <c r="J414" s="249">
        <v>1</v>
      </c>
      <c r="K414" s="268" t="s">
        <v>153</v>
      </c>
      <c r="L414" s="432">
        <f>GC!$F$15</f>
        <v>313.33</v>
      </c>
      <c r="M414" s="433">
        <f t="shared" si="30"/>
        <v>313.33</v>
      </c>
      <c r="N414" s="249">
        <v>0</v>
      </c>
      <c r="O414" s="433">
        <f t="shared" si="31"/>
        <v>0</v>
      </c>
      <c r="P414" s="434">
        <v>0.16</v>
      </c>
      <c r="Q414" s="433">
        <f t="shared" si="32"/>
        <v>50.132799999999996</v>
      </c>
      <c r="R414" s="433">
        <f t="shared" si="33"/>
        <v>363.46279999999996</v>
      </c>
      <c r="S414" s="433">
        <f>INDEX('Glosario Partidas'!$M$8:$M$10,MATCH(K414,'Glosario Partidas'!$L$8:$L$10,0))</f>
        <v>17.5</v>
      </c>
      <c r="T414" s="433">
        <f t="shared" si="34"/>
        <v>6360.5989999999993</v>
      </c>
      <c r="U414" s="268"/>
      <c r="V414" s="249" t="s">
        <v>12</v>
      </c>
      <c r="W414" s="249" t="s">
        <v>491</v>
      </c>
      <c r="X414" s="249"/>
    </row>
    <row r="415" spans="1:24" ht="15" customHeight="1" x14ac:dyDescent="0.2">
      <c r="A415" s="268"/>
      <c r="B415" s="268" t="s">
        <v>108</v>
      </c>
      <c r="C415" s="268" t="s">
        <v>402</v>
      </c>
      <c r="D415" s="431" t="str">
        <f>GC!$B$10</f>
        <v>Soporte para papel higiénico sin cubierta</v>
      </c>
      <c r="E415" s="249" t="s">
        <v>229</v>
      </c>
      <c r="F415" s="268" t="s">
        <v>354</v>
      </c>
      <c r="G415" s="249" t="s">
        <v>711</v>
      </c>
      <c r="H415" s="249" t="s">
        <v>435</v>
      </c>
      <c r="I415" s="268" t="s">
        <v>410</v>
      </c>
      <c r="J415" s="249">
        <v>1</v>
      </c>
      <c r="K415" s="268" t="s">
        <v>153</v>
      </c>
      <c r="L415" s="432">
        <f>GC!$F$10</f>
        <v>238.874348</v>
      </c>
      <c r="M415" s="433">
        <f t="shared" si="30"/>
        <v>238.874348</v>
      </c>
      <c r="N415" s="249">
        <v>0</v>
      </c>
      <c r="O415" s="433">
        <f t="shared" si="31"/>
        <v>0</v>
      </c>
      <c r="P415" s="434">
        <v>0.16</v>
      </c>
      <c r="Q415" s="433">
        <f t="shared" si="32"/>
        <v>38.21989568</v>
      </c>
      <c r="R415" s="433">
        <f t="shared" si="33"/>
        <v>277.09424367999998</v>
      </c>
      <c r="S415" s="433">
        <f>INDEX('Glosario Partidas'!$M$8:$M$10,MATCH(K415,'Glosario Partidas'!$L$8:$L$10,0))</f>
        <v>17.5</v>
      </c>
      <c r="T415" s="433">
        <f t="shared" si="34"/>
        <v>4849.1492644</v>
      </c>
      <c r="U415" s="268"/>
      <c r="V415" s="249" t="s">
        <v>12</v>
      </c>
      <c r="W415" s="249" t="s">
        <v>491</v>
      </c>
      <c r="X415" s="249"/>
    </row>
    <row r="416" spans="1:24" ht="15" customHeight="1" x14ac:dyDescent="0.2">
      <c r="A416" s="268"/>
      <c r="B416" s="268" t="s">
        <v>108</v>
      </c>
      <c r="C416" s="268" t="s">
        <v>402</v>
      </c>
      <c r="D416" s="431" t="str">
        <f>GC!$B$9</f>
        <v>Barra de agarre / Toallero chico 45cm</v>
      </c>
      <c r="E416" s="249" t="s">
        <v>229</v>
      </c>
      <c r="F416" s="268" t="s">
        <v>354</v>
      </c>
      <c r="G416" s="249" t="s">
        <v>711</v>
      </c>
      <c r="H416" s="249" t="s">
        <v>435</v>
      </c>
      <c r="I416" s="268" t="s">
        <v>410</v>
      </c>
      <c r="J416" s="249">
        <v>2</v>
      </c>
      <c r="K416" s="268" t="s">
        <v>153</v>
      </c>
      <c r="L416" s="432">
        <f>GC!$F$9</f>
        <v>471.15</v>
      </c>
      <c r="M416" s="433">
        <f t="shared" si="30"/>
        <v>942.3</v>
      </c>
      <c r="N416" s="249">
        <v>0</v>
      </c>
      <c r="O416" s="433">
        <f t="shared" si="31"/>
        <v>0</v>
      </c>
      <c r="P416" s="434">
        <v>0.16</v>
      </c>
      <c r="Q416" s="433">
        <f t="shared" si="32"/>
        <v>150.768</v>
      </c>
      <c r="R416" s="433">
        <f t="shared" si="33"/>
        <v>1093.068</v>
      </c>
      <c r="S416" s="433">
        <f>INDEX('Glosario Partidas'!$M$8:$M$10,MATCH(K416,'Glosario Partidas'!$L$8:$L$10,0))</f>
        <v>17.5</v>
      </c>
      <c r="T416" s="433">
        <f t="shared" si="34"/>
        <v>19128.689999999999</v>
      </c>
      <c r="U416" s="268"/>
      <c r="V416" s="249" t="s">
        <v>12</v>
      </c>
      <c r="W416" s="249" t="s">
        <v>491</v>
      </c>
      <c r="X416" s="249"/>
    </row>
    <row r="417" spans="1:24" ht="15" customHeight="1" x14ac:dyDescent="0.2">
      <c r="A417" s="268"/>
      <c r="B417" s="268" t="s">
        <v>108</v>
      </c>
      <c r="C417" s="268" t="s">
        <v>402</v>
      </c>
      <c r="D417" s="431" t="str">
        <f>GC!$B$11</f>
        <v>Gancho</v>
      </c>
      <c r="E417" s="249" t="s">
        <v>229</v>
      </c>
      <c r="F417" s="268" t="s">
        <v>354</v>
      </c>
      <c r="G417" s="249" t="s">
        <v>711</v>
      </c>
      <c r="H417" s="249" t="s">
        <v>435</v>
      </c>
      <c r="I417" s="268" t="s">
        <v>410</v>
      </c>
      <c r="J417" s="249">
        <v>2</v>
      </c>
      <c r="K417" s="268" t="s">
        <v>153</v>
      </c>
      <c r="L417" s="432">
        <f>GC!$F$11</f>
        <v>61.111086999999998</v>
      </c>
      <c r="M417" s="433">
        <f t="shared" si="30"/>
        <v>122.222174</v>
      </c>
      <c r="N417" s="249">
        <v>0</v>
      </c>
      <c r="O417" s="433">
        <f t="shared" si="31"/>
        <v>0</v>
      </c>
      <c r="P417" s="434">
        <v>0.16</v>
      </c>
      <c r="Q417" s="433">
        <f t="shared" si="32"/>
        <v>19.555547839999999</v>
      </c>
      <c r="R417" s="433">
        <f t="shared" si="33"/>
        <v>141.77772184</v>
      </c>
      <c r="S417" s="433">
        <f>INDEX('Glosario Partidas'!$M$8:$M$10,MATCH(K417,'Glosario Partidas'!$L$8:$L$10,0))</f>
        <v>17.5</v>
      </c>
      <c r="T417" s="433">
        <f t="shared" si="34"/>
        <v>2481.1101322</v>
      </c>
      <c r="U417" s="268"/>
      <c r="V417" s="249" t="s">
        <v>12</v>
      </c>
      <c r="W417" s="249" t="s">
        <v>491</v>
      </c>
      <c r="X417" s="249"/>
    </row>
    <row r="418" spans="1:24" ht="15" customHeight="1" x14ac:dyDescent="0.2">
      <c r="A418" s="268"/>
      <c r="B418" s="268" t="s">
        <v>108</v>
      </c>
      <c r="C418" s="268" t="s">
        <v>402</v>
      </c>
      <c r="D418" s="431" t="str">
        <f>GC!$B$7</f>
        <v>Inodoro a piso de una pieza (Starck 3)</v>
      </c>
      <c r="E418" s="249" t="s">
        <v>229</v>
      </c>
      <c r="F418" s="268" t="s">
        <v>221</v>
      </c>
      <c r="G418" s="249" t="s">
        <v>710</v>
      </c>
      <c r="H418" s="249" t="s">
        <v>435</v>
      </c>
      <c r="I418" s="268" t="s">
        <v>410</v>
      </c>
      <c r="J418" s="249">
        <v>1</v>
      </c>
      <c r="K418" s="268" t="s">
        <v>153</v>
      </c>
      <c r="L418" s="432">
        <f>GC!$F$7</f>
        <v>667.07</v>
      </c>
      <c r="M418" s="433">
        <f t="shared" si="30"/>
        <v>667.07</v>
      </c>
      <c r="N418" s="249">
        <v>0</v>
      </c>
      <c r="O418" s="433">
        <f t="shared" si="31"/>
        <v>0</v>
      </c>
      <c r="P418" s="434">
        <v>0.16</v>
      </c>
      <c r="Q418" s="433">
        <f t="shared" si="32"/>
        <v>106.73120000000002</v>
      </c>
      <c r="R418" s="433">
        <f t="shared" si="33"/>
        <v>773.80120000000011</v>
      </c>
      <c r="S418" s="433">
        <f>INDEX('Glosario Partidas'!$M$8:$M$10,MATCH(K418,'Glosario Partidas'!$L$8:$L$10,0))</f>
        <v>17.5</v>
      </c>
      <c r="T418" s="433">
        <f t="shared" si="34"/>
        <v>13541.521000000002</v>
      </c>
      <c r="U418" s="268"/>
      <c r="V418" s="249" t="s">
        <v>12</v>
      </c>
      <c r="W418" s="249" t="s">
        <v>491</v>
      </c>
      <c r="X418" s="249"/>
    </row>
    <row r="419" spans="1:24" ht="15" customHeight="1" x14ac:dyDescent="0.2">
      <c r="A419" s="268"/>
      <c r="B419" s="268" t="s">
        <v>108</v>
      </c>
      <c r="C419" s="268" t="s">
        <v>402</v>
      </c>
      <c r="D419" s="431" t="str">
        <f>GC!$B$8</f>
        <v>Monomando de lavabo con válvula automática</v>
      </c>
      <c r="E419" s="249" t="s">
        <v>229</v>
      </c>
      <c r="F419" s="268" t="s">
        <v>221</v>
      </c>
      <c r="G419" s="249" t="s">
        <v>710</v>
      </c>
      <c r="H419" s="249" t="s">
        <v>435</v>
      </c>
      <c r="I419" s="268" t="s">
        <v>410</v>
      </c>
      <c r="J419" s="249">
        <v>2</v>
      </c>
      <c r="K419" s="268" t="s">
        <v>153</v>
      </c>
      <c r="L419" s="432">
        <f>GC!$F$8</f>
        <v>975.99151900000004</v>
      </c>
      <c r="M419" s="433">
        <f t="shared" si="30"/>
        <v>1951.9830380000001</v>
      </c>
      <c r="N419" s="249">
        <v>0</v>
      </c>
      <c r="O419" s="433">
        <f t="shared" si="31"/>
        <v>0</v>
      </c>
      <c r="P419" s="434">
        <v>0.16</v>
      </c>
      <c r="Q419" s="433">
        <f t="shared" si="32"/>
        <v>312.31728608000003</v>
      </c>
      <c r="R419" s="433">
        <f t="shared" si="33"/>
        <v>2264.3003240799999</v>
      </c>
      <c r="S419" s="433">
        <f>INDEX('Glosario Partidas'!$M$8:$M$10,MATCH(K419,'Glosario Partidas'!$L$8:$L$10,0))</f>
        <v>17.5</v>
      </c>
      <c r="T419" s="433">
        <f t="shared" si="34"/>
        <v>39625.255671399995</v>
      </c>
      <c r="U419" s="268"/>
      <c r="V419" s="249" t="s">
        <v>12</v>
      </c>
      <c r="W419" s="249" t="s">
        <v>491</v>
      </c>
      <c r="X419" s="249"/>
    </row>
    <row r="420" spans="1:24" ht="15" customHeight="1" x14ac:dyDescent="0.2">
      <c r="A420" s="268"/>
      <c r="B420" s="268" t="s">
        <v>108</v>
      </c>
      <c r="C420" s="268" t="s">
        <v>402</v>
      </c>
      <c r="D420" s="431" t="str">
        <f>GC!$B$21</f>
        <v>Soporte para vidrio (SERIES SPECIFIC, XS-081077, Brushed Dark Platinum)</v>
      </c>
      <c r="E420" s="249" t="s">
        <v>229</v>
      </c>
      <c r="F420" s="268" t="s">
        <v>221</v>
      </c>
      <c r="G420" s="249" t="s">
        <v>710</v>
      </c>
      <c r="H420" s="249" t="s">
        <v>435</v>
      </c>
      <c r="I420" s="268" t="s">
        <v>410</v>
      </c>
      <c r="J420" s="249">
        <v>2</v>
      </c>
      <c r="K420" s="268" t="s">
        <v>153</v>
      </c>
      <c r="L420" s="432">
        <f>GC!$F$21</f>
        <v>281.02</v>
      </c>
      <c r="M420" s="433">
        <f t="shared" si="30"/>
        <v>562.04</v>
      </c>
      <c r="N420" s="249">
        <v>0</v>
      </c>
      <c r="O420" s="433">
        <f t="shared" si="31"/>
        <v>0</v>
      </c>
      <c r="P420" s="434">
        <v>0.16</v>
      </c>
      <c r="Q420" s="433">
        <f t="shared" si="32"/>
        <v>89.926400000000001</v>
      </c>
      <c r="R420" s="433">
        <f t="shared" si="33"/>
        <v>651.96640000000002</v>
      </c>
      <c r="S420" s="433">
        <f>INDEX('Glosario Partidas'!$M$8:$M$10,MATCH(K420,'Glosario Partidas'!$L$8:$L$10,0))</f>
        <v>17.5</v>
      </c>
      <c r="T420" s="433">
        <f t="shared" si="34"/>
        <v>11409.412</v>
      </c>
      <c r="U420" s="268" t="s">
        <v>1084</v>
      </c>
      <c r="V420" s="249" t="s">
        <v>12</v>
      </c>
      <c r="W420" s="249" t="s">
        <v>491</v>
      </c>
      <c r="X420" s="249"/>
    </row>
    <row r="421" spans="1:24" ht="15" customHeight="1" x14ac:dyDescent="0.2">
      <c r="A421" s="268"/>
      <c r="B421" s="268" t="s">
        <v>108</v>
      </c>
      <c r="C421" s="268" t="s">
        <v>402</v>
      </c>
      <c r="D421" s="431" t="str">
        <f>GC!$B$12</f>
        <v>Set de ducha de mano con soporte de pared integrado</v>
      </c>
      <c r="E421" s="249" t="s">
        <v>229</v>
      </c>
      <c r="F421" s="268" t="s">
        <v>221</v>
      </c>
      <c r="G421" s="249" t="s">
        <v>710</v>
      </c>
      <c r="H421" s="249" t="s">
        <v>435</v>
      </c>
      <c r="I421" s="268" t="s">
        <v>410</v>
      </c>
      <c r="J421" s="249">
        <v>1</v>
      </c>
      <c r="K421" s="268" t="s">
        <v>153</v>
      </c>
      <c r="L421" s="432">
        <f>GC!$F$12</f>
        <v>325.25947400000001</v>
      </c>
      <c r="M421" s="433">
        <f t="shared" si="30"/>
        <v>325.25947400000001</v>
      </c>
      <c r="N421" s="249">
        <v>0</v>
      </c>
      <c r="O421" s="433">
        <f t="shared" si="31"/>
        <v>0</v>
      </c>
      <c r="P421" s="434">
        <v>0.16</v>
      </c>
      <c r="Q421" s="433">
        <f t="shared" si="32"/>
        <v>52.041515840000002</v>
      </c>
      <c r="R421" s="433">
        <f t="shared" si="33"/>
        <v>377.30098984</v>
      </c>
      <c r="S421" s="433">
        <f>INDEX('Glosario Partidas'!$M$8:$M$10,MATCH(K421,'Glosario Partidas'!$L$8:$L$10,0))</f>
        <v>17.5</v>
      </c>
      <c r="T421" s="433">
        <f t="shared" si="34"/>
        <v>6602.7673222000003</v>
      </c>
      <c r="U421" s="268"/>
      <c r="V421" s="249" t="s">
        <v>12</v>
      </c>
      <c r="W421" s="249" t="s">
        <v>491</v>
      </c>
      <c r="X421" s="249"/>
    </row>
    <row r="422" spans="1:24" ht="15" customHeight="1" x14ac:dyDescent="0.2">
      <c r="A422" s="268"/>
      <c r="B422" s="268" t="s">
        <v>108</v>
      </c>
      <c r="C422" s="268" t="s">
        <v>402</v>
      </c>
      <c r="D422" s="431" t="str">
        <f>GC!$B$13</f>
        <v>Ducha efecto lluvia con fijación a pared 400 mm</v>
      </c>
      <c r="E422" s="249" t="s">
        <v>229</v>
      </c>
      <c r="F422" s="268" t="s">
        <v>221</v>
      </c>
      <c r="G422" s="249" t="s">
        <v>710</v>
      </c>
      <c r="H422" s="249" t="s">
        <v>435</v>
      </c>
      <c r="I422" s="268" t="s">
        <v>410</v>
      </c>
      <c r="J422" s="249">
        <v>1</v>
      </c>
      <c r="K422" s="268" t="s">
        <v>153</v>
      </c>
      <c r="L422" s="432">
        <f>GC!$F$13</f>
        <v>1807.197105</v>
      </c>
      <c r="M422" s="433">
        <f t="shared" si="30"/>
        <v>1807.197105</v>
      </c>
      <c r="N422" s="249">
        <v>0</v>
      </c>
      <c r="O422" s="433">
        <f t="shared" si="31"/>
        <v>0</v>
      </c>
      <c r="P422" s="434">
        <v>0.16</v>
      </c>
      <c r="Q422" s="433">
        <f t="shared" si="32"/>
        <v>289.15153679999997</v>
      </c>
      <c r="R422" s="433">
        <f t="shared" si="33"/>
        <v>2096.3486417999998</v>
      </c>
      <c r="S422" s="433">
        <f>INDEX('Glosario Partidas'!$M$8:$M$10,MATCH(K422,'Glosario Partidas'!$L$8:$L$10,0))</f>
        <v>17.5</v>
      </c>
      <c r="T422" s="433">
        <f t="shared" si="34"/>
        <v>36686.101231499997</v>
      </c>
      <c r="U422" s="268"/>
      <c r="V422" s="249" t="s">
        <v>12</v>
      </c>
      <c r="W422" s="249" t="s">
        <v>491</v>
      </c>
      <c r="X422" s="249"/>
    </row>
    <row r="423" spans="1:24" ht="15" customHeight="1" x14ac:dyDescent="0.2">
      <c r="A423" s="268"/>
      <c r="B423" s="268" t="s">
        <v>108</v>
      </c>
      <c r="C423" s="268" t="s">
        <v>402</v>
      </c>
      <c r="D423" s="431" t="str">
        <f>GC!$B$22</f>
        <v>Canaleta de ducha para piedra natural TECE showerline (15201082)</v>
      </c>
      <c r="E423" s="249" t="s">
        <v>229</v>
      </c>
      <c r="F423" s="268" t="s">
        <v>221</v>
      </c>
      <c r="G423" s="249" t="s">
        <v>710</v>
      </c>
      <c r="H423" s="249" t="s">
        <v>435</v>
      </c>
      <c r="I423" s="268" t="s">
        <v>410</v>
      </c>
      <c r="J423" s="249">
        <v>1</v>
      </c>
      <c r="K423" s="268" t="s">
        <v>153</v>
      </c>
      <c r="L423" s="432">
        <f>GC!$F$22</f>
        <v>290.33763199999999</v>
      </c>
      <c r="M423" s="433">
        <f t="shared" si="30"/>
        <v>290.33763199999999</v>
      </c>
      <c r="N423" s="249">
        <v>0</v>
      </c>
      <c r="O423" s="433">
        <f t="shared" si="31"/>
        <v>0</v>
      </c>
      <c r="P423" s="434">
        <v>0.16</v>
      </c>
      <c r="Q423" s="433">
        <f t="shared" si="32"/>
        <v>46.45402112</v>
      </c>
      <c r="R423" s="433">
        <f t="shared" si="33"/>
        <v>336.79165311999998</v>
      </c>
      <c r="S423" s="433">
        <f>INDEX('Glosario Partidas'!$M$8:$M$10,MATCH(K423,'Glosario Partidas'!$L$8:$L$10,0))</f>
        <v>17.5</v>
      </c>
      <c r="T423" s="433">
        <f t="shared" si="34"/>
        <v>5893.8539295999999</v>
      </c>
      <c r="U423" s="268" t="s">
        <v>1085</v>
      </c>
      <c r="V423" s="249" t="s">
        <v>12</v>
      </c>
      <c r="W423" s="249" t="s">
        <v>491</v>
      </c>
      <c r="X423" s="249"/>
    </row>
    <row r="424" spans="1:24" ht="15" customHeight="1" x14ac:dyDescent="0.2">
      <c r="A424" s="268"/>
      <c r="B424" s="268" t="s">
        <v>108</v>
      </c>
      <c r="C424" s="268" t="s">
        <v>402</v>
      </c>
      <c r="D424" s="431" t="str">
        <f>GC!$B$14</f>
        <v>Termostato oculto con control de volumen bidireccional</v>
      </c>
      <c r="E424" s="249" t="s">
        <v>229</v>
      </c>
      <c r="F424" s="268" t="s">
        <v>221</v>
      </c>
      <c r="G424" s="249" t="s">
        <v>710</v>
      </c>
      <c r="H424" s="249" t="s">
        <v>435</v>
      </c>
      <c r="I424" s="268" t="s">
        <v>410</v>
      </c>
      <c r="J424" s="249">
        <v>1</v>
      </c>
      <c r="K424" s="268" t="s">
        <v>153</v>
      </c>
      <c r="L424" s="432">
        <f>GC!$F$14</f>
        <v>350.19605300000001</v>
      </c>
      <c r="M424" s="433">
        <f t="shared" si="30"/>
        <v>350.19605300000001</v>
      </c>
      <c r="N424" s="249">
        <v>0</v>
      </c>
      <c r="O424" s="433">
        <f t="shared" si="31"/>
        <v>0</v>
      </c>
      <c r="P424" s="434">
        <v>0.16</v>
      </c>
      <c r="Q424" s="433">
        <f t="shared" si="32"/>
        <v>56.031368480000005</v>
      </c>
      <c r="R424" s="433">
        <f t="shared" si="33"/>
        <v>406.22742148000003</v>
      </c>
      <c r="S424" s="433">
        <f>INDEX('Glosario Partidas'!$M$8:$M$10,MATCH(K424,'Glosario Partidas'!$L$8:$L$10,0))</f>
        <v>17.5</v>
      </c>
      <c r="T424" s="433">
        <f t="shared" si="34"/>
        <v>7108.9798759000005</v>
      </c>
      <c r="U424" s="268"/>
      <c r="V424" s="249" t="s">
        <v>12</v>
      </c>
      <c r="W424" s="249" t="s">
        <v>491</v>
      </c>
      <c r="X424" s="249"/>
    </row>
    <row r="425" spans="1:24" ht="15" customHeight="1" x14ac:dyDescent="0.2">
      <c r="A425" s="268"/>
      <c r="B425" s="268" t="s">
        <v>108</v>
      </c>
      <c r="C425" s="268" t="s">
        <v>402</v>
      </c>
      <c r="D425" s="431" t="str">
        <f>GC!$B$15</f>
        <v>Termostato empotrado (rough)</v>
      </c>
      <c r="E425" s="249" t="s">
        <v>229</v>
      </c>
      <c r="F425" s="268" t="s">
        <v>221</v>
      </c>
      <c r="G425" s="249" t="s">
        <v>710</v>
      </c>
      <c r="H425" s="249" t="s">
        <v>435</v>
      </c>
      <c r="I425" s="268" t="s">
        <v>410</v>
      </c>
      <c r="J425" s="249">
        <v>1</v>
      </c>
      <c r="K425" s="268" t="s">
        <v>153</v>
      </c>
      <c r="L425" s="432">
        <f>GC!$F$15</f>
        <v>313.33</v>
      </c>
      <c r="M425" s="433">
        <f t="shared" si="30"/>
        <v>313.33</v>
      </c>
      <c r="N425" s="249">
        <v>0</v>
      </c>
      <c r="O425" s="433">
        <f t="shared" si="31"/>
        <v>0</v>
      </c>
      <c r="P425" s="434">
        <v>0.16</v>
      </c>
      <c r="Q425" s="433">
        <f t="shared" si="32"/>
        <v>50.132799999999996</v>
      </c>
      <c r="R425" s="433">
        <f t="shared" si="33"/>
        <v>363.46279999999996</v>
      </c>
      <c r="S425" s="433">
        <f>INDEX('Glosario Partidas'!$M$8:$M$10,MATCH(K425,'Glosario Partidas'!$L$8:$L$10,0))</f>
        <v>17.5</v>
      </c>
      <c r="T425" s="433">
        <f t="shared" si="34"/>
        <v>6360.5989999999993</v>
      </c>
      <c r="U425" s="268"/>
      <c r="V425" s="249" t="s">
        <v>12</v>
      </c>
      <c r="W425" s="249" t="s">
        <v>491</v>
      </c>
      <c r="X425" s="249"/>
    </row>
    <row r="426" spans="1:24" ht="15" customHeight="1" x14ac:dyDescent="0.2">
      <c r="A426" s="268"/>
      <c r="B426" s="268" t="s">
        <v>108</v>
      </c>
      <c r="C426" s="268" t="s">
        <v>402</v>
      </c>
      <c r="D426" s="431" t="str">
        <f>GC!$B$10</f>
        <v>Soporte para papel higiénico sin cubierta</v>
      </c>
      <c r="E426" s="249" t="s">
        <v>229</v>
      </c>
      <c r="F426" s="268" t="s">
        <v>221</v>
      </c>
      <c r="G426" s="249" t="s">
        <v>710</v>
      </c>
      <c r="H426" s="249" t="s">
        <v>435</v>
      </c>
      <c r="I426" s="268" t="s">
        <v>410</v>
      </c>
      <c r="J426" s="249">
        <v>1</v>
      </c>
      <c r="K426" s="268" t="s">
        <v>153</v>
      </c>
      <c r="L426" s="432">
        <f>GC!$F$10</f>
        <v>238.874348</v>
      </c>
      <c r="M426" s="433">
        <f t="shared" si="30"/>
        <v>238.874348</v>
      </c>
      <c r="N426" s="249">
        <v>0</v>
      </c>
      <c r="O426" s="433">
        <f t="shared" si="31"/>
        <v>0</v>
      </c>
      <c r="P426" s="434">
        <v>0.16</v>
      </c>
      <c r="Q426" s="433">
        <f t="shared" si="32"/>
        <v>38.21989568</v>
      </c>
      <c r="R426" s="433">
        <f t="shared" si="33"/>
        <v>277.09424367999998</v>
      </c>
      <c r="S426" s="433">
        <f>INDEX('Glosario Partidas'!$M$8:$M$10,MATCH(K426,'Glosario Partidas'!$L$8:$L$10,0))</f>
        <v>17.5</v>
      </c>
      <c r="T426" s="433">
        <f t="shared" si="34"/>
        <v>4849.1492644</v>
      </c>
      <c r="U426" s="268"/>
      <c r="V426" s="249" t="s">
        <v>12</v>
      </c>
      <c r="W426" s="249" t="s">
        <v>491</v>
      </c>
      <c r="X426" s="249"/>
    </row>
    <row r="427" spans="1:24" ht="15" customHeight="1" x14ac:dyDescent="0.2">
      <c r="A427" s="268"/>
      <c r="B427" s="268" t="s">
        <v>108</v>
      </c>
      <c r="C427" s="268" t="s">
        <v>402</v>
      </c>
      <c r="D427" s="431" t="str">
        <f>GC!$B$9</f>
        <v>Barra de agarre / Toallero chico 45cm</v>
      </c>
      <c r="E427" s="249" t="s">
        <v>229</v>
      </c>
      <c r="F427" s="268" t="s">
        <v>221</v>
      </c>
      <c r="G427" s="249" t="s">
        <v>710</v>
      </c>
      <c r="H427" s="249" t="s">
        <v>435</v>
      </c>
      <c r="I427" s="268" t="s">
        <v>410</v>
      </c>
      <c r="J427" s="249">
        <v>2</v>
      </c>
      <c r="K427" s="268" t="s">
        <v>153</v>
      </c>
      <c r="L427" s="432">
        <f>GC!$F$9</f>
        <v>471.15</v>
      </c>
      <c r="M427" s="433">
        <f t="shared" si="30"/>
        <v>942.3</v>
      </c>
      <c r="N427" s="249">
        <v>0</v>
      </c>
      <c r="O427" s="433">
        <f t="shared" si="31"/>
        <v>0</v>
      </c>
      <c r="P427" s="434">
        <v>0.16</v>
      </c>
      <c r="Q427" s="433">
        <f t="shared" si="32"/>
        <v>150.768</v>
      </c>
      <c r="R427" s="433">
        <f t="shared" si="33"/>
        <v>1093.068</v>
      </c>
      <c r="S427" s="433">
        <f>INDEX('Glosario Partidas'!$M$8:$M$10,MATCH(K427,'Glosario Partidas'!$L$8:$L$10,0))</f>
        <v>17.5</v>
      </c>
      <c r="T427" s="433">
        <f t="shared" si="34"/>
        <v>19128.689999999999</v>
      </c>
      <c r="U427" s="268"/>
      <c r="V427" s="249" t="s">
        <v>12</v>
      </c>
      <c r="W427" s="249" t="s">
        <v>491</v>
      </c>
      <c r="X427" s="249"/>
    </row>
    <row r="428" spans="1:24" ht="15" customHeight="1" x14ac:dyDescent="0.2">
      <c r="A428" s="268"/>
      <c r="B428" s="268" t="s">
        <v>108</v>
      </c>
      <c r="C428" s="268" t="s">
        <v>402</v>
      </c>
      <c r="D428" s="431" t="str">
        <f>GC!$B$11</f>
        <v>Gancho</v>
      </c>
      <c r="E428" s="249" t="s">
        <v>229</v>
      </c>
      <c r="F428" s="268" t="s">
        <v>221</v>
      </c>
      <c r="G428" s="249" t="s">
        <v>710</v>
      </c>
      <c r="H428" s="249" t="s">
        <v>435</v>
      </c>
      <c r="I428" s="268" t="s">
        <v>410</v>
      </c>
      <c r="J428" s="249">
        <v>2</v>
      </c>
      <c r="K428" s="268" t="s">
        <v>153</v>
      </c>
      <c r="L428" s="432">
        <f>GC!$F$11</f>
        <v>61.111086999999998</v>
      </c>
      <c r="M428" s="433">
        <f t="shared" si="30"/>
        <v>122.222174</v>
      </c>
      <c r="N428" s="249">
        <v>0</v>
      </c>
      <c r="O428" s="433">
        <f t="shared" si="31"/>
        <v>0</v>
      </c>
      <c r="P428" s="434">
        <v>0.16</v>
      </c>
      <c r="Q428" s="433">
        <f t="shared" si="32"/>
        <v>19.555547839999999</v>
      </c>
      <c r="R428" s="433">
        <f t="shared" si="33"/>
        <v>141.77772184</v>
      </c>
      <c r="S428" s="433">
        <f>INDEX('Glosario Partidas'!$M$8:$M$10,MATCH(K428,'Glosario Partidas'!$L$8:$L$10,0))</f>
        <v>17.5</v>
      </c>
      <c r="T428" s="433">
        <f t="shared" si="34"/>
        <v>2481.1101322</v>
      </c>
      <c r="U428" s="268"/>
      <c r="V428" s="249" t="s">
        <v>12</v>
      </c>
      <c r="W428" s="249" t="s">
        <v>491</v>
      </c>
      <c r="X428" s="249"/>
    </row>
    <row r="429" spans="1:24" ht="15" customHeight="1" x14ac:dyDescent="0.2">
      <c r="A429" s="268"/>
      <c r="B429" s="268" t="s">
        <v>108</v>
      </c>
      <c r="C429" s="268" t="s">
        <v>402</v>
      </c>
      <c r="D429" s="431" t="str">
        <f>GC!$B$7</f>
        <v>Inodoro a piso de una pieza (Starck 3)</v>
      </c>
      <c r="E429" s="249" t="s">
        <v>229</v>
      </c>
      <c r="F429" s="268" t="s">
        <v>354</v>
      </c>
      <c r="G429" s="249" t="s">
        <v>713</v>
      </c>
      <c r="H429" s="249" t="s">
        <v>435</v>
      </c>
      <c r="I429" s="268" t="s">
        <v>410</v>
      </c>
      <c r="J429" s="249">
        <v>1</v>
      </c>
      <c r="K429" s="268" t="s">
        <v>153</v>
      </c>
      <c r="L429" s="432">
        <f>GC!$F$7</f>
        <v>667.07</v>
      </c>
      <c r="M429" s="433">
        <f t="shared" si="30"/>
        <v>667.07</v>
      </c>
      <c r="N429" s="249">
        <v>0</v>
      </c>
      <c r="O429" s="433">
        <f t="shared" si="31"/>
        <v>0</v>
      </c>
      <c r="P429" s="434">
        <v>0.16</v>
      </c>
      <c r="Q429" s="433">
        <f t="shared" si="32"/>
        <v>106.73120000000002</v>
      </c>
      <c r="R429" s="433">
        <f t="shared" si="33"/>
        <v>773.80120000000011</v>
      </c>
      <c r="S429" s="433">
        <f>INDEX('Glosario Partidas'!$M$8:$M$10,MATCH(K429,'Glosario Partidas'!$L$8:$L$10,0))</f>
        <v>17.5</v>
      </c>
      <c r="T429" s="433">
        <f t="shared" si="34"/>
        <v>13541.521000000002</v>
      </c>
      <c r="U429" s="268"/>
      <c r="V429" s="249" t="s">
        <v>12</v>
      </c>
      <c r="W429" s="249" t="s">
        <v>491</v>
      </c>
      <c r="X429" s="249"/>
    </row>
    <row r="430" spans="1:24" ht="15" customHeight="1" x14ac:dyDescent="0.2">
      <c r="A430" s="268"/>
      <c r="B430" s="268" t="s">
        <v>108</v>
      </c>
      <c r="C430" s="268" t="s">
        <v>402</v>
      </c>
      <c r="D430" s="431" t="str">
        <f>GC!$B$8</f>
        <v>Monomando de lavabo con válvula automática</v>
      </c>
      <c r="E430" s="249" t="s">
        <v>229</v>
      </c>
      <c r="F430" s="268" t="s">
        <v>354</v>
      </c>
      <c r="G430" s="249" t="s">
        <v>713</v>
      </c>
      <c r="H430" s="249" t="s">
        <v>435</v>
      </c>
      <c r="I430" s="268" t="s">
        <v>410</v>
      </c>
      <c r="J430" s="249">
        <v>2</v>
      </c>
      <c r="K430" s="268" t="s">
        <v>153</v>
      </c>
      <c r="L430" s="432">
        <f>GC!$F$8</f>
        <v>975.99151900000004</v>
      </c>
      <c r="M430" s="433">
        <f t="shared" si="30"/>
        <v>1951.9830380000001</v>
      </c>
      <c r="N430" s="249">
        <v>0</v>
      </c>
      <c r="O430" s="433">
        <f t="shared" si="31"/>
        <v>0</v>
      </c>
      <c r="P430" s="434">
        <v>0.16</v>
      </c>
      <c r="Q430" s="433">
        <f t="shared" si="32"/>
        <v>312.31728608000003</v>
      </c>
      <c r="R430" s="433">
        <f t="shared" si="33"/>
        <v>2264.3003240799999</v>
      </c>
      <c r="S430" s="433">
        <f>INDEX('Glosario Partidas'!$M$8:$M$10,MATCH(K430,'Glosario Partidas'!$L$8:$L$10,0))</f>
        <v>17.5</v>
      </c>
      <c r="T430" s="433">
        <f t="shared" si="34"/>
        <v>39625.255671399995</v>
      </c>
      <c r="U430" s="268"/>
      <c r="V430" s="249" t="s">
        <v>12</v>
      </c>
      <c r="W430" s="249" t="s">
        <v>491</v>
      </c>
      <c r="X430" s="249"/>
    </row>
    <row r="431" spans="1:24" ht="15" customHeight="1" x14ac:dyDescent="0.2">
      <c r="A431" s="268"/>
      <c r="B431" s="268" t="s">
        <v>108</v>
      </c>
      <c r="C431" s="268" t="s">
        <v>402</v>
      </c>
      <c r="D431" s="431" t="str">
        <f>GC!$B$21</f>
        <v>Soporte para vidrio (SERIES SPECIFIC, XS-081077, Brushed Dark Platinum)</v>
      </c>
      <c r="E431" s="249" t="s">
        <v>229</v>
      </c>
      <c r="F431" s="268" t="s">
        <v>354</v>
      </c>
      <c r="G431" s="249" t="s">
        <v>713</v>
      </c>
      <c r="H431" s="249" t="s">
        <v>435</v>
      </c>
      <c r="I431" s="268" t="s">
        <v>410</v>
      </c>
      <c r="J431" s="249">
        <v>2</v>
      </c>
      <c r="K431" s="268" t="s">
        <v>153</v>
      </c>
      <c r="L431" s="432">
        <f>GC!$F$21</f>
        <v>281.02</v>
      </c>
      <c r="M431" s="433">
        <f t="shared" si="30"/>
        <v>562.04</v>
      </c>
      <c r="N431" s="249">
        <v>0</v>
      </c>
      <c r="O431" s="433">
        <f t="shared" si="31"/>
        <v>0</v>
      </c>
      <c r="P431" s="434">
        <v>0.16</v>
      </c>
      <c r="Q431" s="433">
        <f t="shared" si="32"/>
        <v>89.926400000000001</v>
      </c>
      <c r="R431" s="433">
        <f t="shared" si="33"/>
        <v>651.96640000000002</v>
      </c>
      <c r="S431" s="433">
        <f>INDEX('Glosario Partidas'!$M$8:$M$10,MATCH(K431,'Glosario Partidas'!$L$8:$L$10,0))</f>
        <v>17.5</v>
      </c>
      <c r="T431" s="433">
        <f t="shared" si="34"/>
        <v>11409.412</v>
      </c>
      <c r="U431" s="268" t="s">
        <v>1084</v>
      </c>
      <c r="V431" s="249" t="s">
        <v>12</v>
      </c>
      <c r="W431" s="249" t="s">
        <v>491</v>
      </c>
      <c r="X431" s="249"/>
    </row>
    <row r="432" spans="1:24" ht="15" customHeight="1" x14ac:dyDescent="0.2">
      <c r="A432" s="268"/>
      <c r="B432" s="268" t="s">
        <v>108</v>
      </c>
      <c r="C432" s="268" t="s">
        <v>402</v>
      </c>
      <c r="D432" s="431" t="str">
        <f>GC!$B$12</f>
        <v>Set de ducha de mano con soporte de pared integrado</v>
      </c>
      <c r="E432" s="249" t="s">
        <v>229</v>
      </c>
      <c r="F432" s="268" t="s">
        <v>354</v>
      </c>
      <c r="G432" s="249" t="s">
        <v>713</v>
      </c>
      <c r="H432" s="249" t="s">
        <v>435</v>
      </c>
      <c r="I432" s="268" t="s">
        <v>410</v>
      </c>
      <c r="J432" s="249">
        <v>1</v>
      </c>
      <c r="K432" s="268" t="s">
        <v>153</v>
      </c>
      <c r="L432" s="432">
        <f>GC!$F$12</f>
        <v>325.25947400000001</v>
      </c>
      <c r="M432" s="433">
        <f t="shared" si="30"/>
        <v>325.25947400000001</v>
      </c>
      <c r="N432" s="249">
        <v>0</v>
      </c>
      <c r="O432" s="433">
        <f t="shared" si="31"/>
        <v>0</v>
      </c>
      <c r="P432" s="434">
        <v>0.16</v>
      </c>
      <c r="Q432" s="433">
        <f t="shared" si="32"/>
        <v>52.041515840000002</v>
      </c>
      <c r="R432" s="433">
        <f t="shared" si="33"/>
        <v>377.30098984</v>
      </c>
      <c r="S432" s="433">
        <f>INDEX('Glosario Partidas'!$M$8:$M$10,MATCH(K432,'Glosario Partidas'!$L$8:$L$10,0))</f>
        <v>17.5</v>
      </c>
      <c r="T432" s="433">
        <f t="shared" si="34"/>
        <v>6602.7673222000003</v>
      </c>
      <c r="U432" s="268"/>
      <c r="V432" s="249" t="s">
        <v>12</v>
      </c>
      <c r="W432" s="249" t="s">
        <v>491</v>
      </c>
      <c r="X432" s="249"/>
    </row>
    <row r="433" spans="1:24" ht="15" customHeight="1" x14ac:dyDescent="0.2">
      <c r="A433" s="268"/>
      <c r="B433" s="268" t="s">
        <v>108</v>
      </c>
      <c r="C433" s="268" t="s">
        <v>402</v>
      </c>
      <c r="D433" s="431" t="str">
        <f>GC!$B$13</f>
        <v>Ducha efecto lluvia con fijación a pared 400 mm</v>
      </c>
      <c r="E433" s="249" t="s">
        <v>229</v>
      </c>
      <c r="F433" s="268" t="s">
        <v>354</v>
      </c>
      <c r="G433" s="249" t="s">
        <v>713</v>
      </c>
      <c r="H433" s="249" t="s">
        <v>435</v>
      </c>
      <c r="I433" s="268" t="s">
        <v>410</v>
      </c>
      <c r="J433" s="249">
        <v>1</v>
      </c>
      <c r="K433" s="268" t="s">
        <v>153</v>
      </c>
      <c r="L433" s="432">
        <f>GC!$F$13</f>
        <v>1807.197105</v>
      </c>
      <c r="M433" s="433">
        <f t="shared" si="30"/>
        <v>1807.197105</v>
      </c>
      <c r="N433" s="249">
        <v>0</v>
      </c>
      <c r="O433" s="433">
        <f t="shared" si="31"/>
        <v>0</v>
      </c>
      <c r="P433" s="434">
        <v>0.16</v>
      </c>
      <c r="Q433" s="433">
        <f t="shared" si="32"/>
        <v>289.15153679999997</v>
      </c>
      <c r="R433" s="433">
        <f t="shared" si="33"/>
        <v>2096.3486417999998</v>
      </c>
      <c r="S433" s="433">
        <f>INDEX('Glosario Partidas'!$M$8:$M$10,MATCH(K433,'Glosario Partidas'!$L$8:$L$10,0))</f>
        <v>17.5</v>
      </c>
      <c r="T433" s="433">
        <f t="shared" si="34"/>
        <v>36686.101231499997</v>
      </c>
      <c r="U433" s="268"/>
      <c r="V433" s="249" t="s">
        <v>12</v>
      </c>
      <c r="W433" s="249" t="s">
        <v>491</v>
      </c>
      <c r="X433" s="249"/>
    </row>
    <row r="434" spans="1:24" ht="15" customHeight="1" x14ac:dyDescent="0.2">
      <c r="A434" s="268"/>
      <c r="B434" s="268" t="s">
        <v>108</v>
      </c>
      <c r="C434" s="268" t="s">
        <v>402</v>
      </c>
      <c r="D434" s="431" t="str">
        <f>GC!$B$22</f>
        <v>Canaleta de ducha para piedra natural TECE showerline (15201082)</v>
      </c>
      <c r="E434" s="249" t="s">
        <v>229</v>
      </c>
      <c r="F434" s="268" t="s">
        <v>354</v>
      </c>
      <c r="G434" s="249" t="s">
        <v>713</v>
      </c>
      <c r="H434" s="249" t="s">
        <v>435</v>
      </c>
      <c r="I434" s="268" t="s">
        <v>410</v>
      </c>
      <c r="J434" s="249">
        <v>1</v>
      </c>
      <c r="K434" s="268" t="s">
        <v>153</v>
      </c>
      <c r="L434" s="432">
        <f>GC!$F$22</f>
        <v>290.33763199999999</v>
      </c>
      <c r="M434" s="433">
        <f t="shared" si="30"/>
        <v>290.33763199999999</v>
      </c>
      <c r="N434" s="249">
        <v>0</v>
      </c>
      <c r="O434" s="433">
        <f t="shared" si="31"/>
        <v>0</v>
      </c>
      <c r="P434" s="434">
        <v>0.16</v>
      </c>
      <c r="Q434" s="433">
        <f t="shared" si="32"/>
        <v>46.45402112</v>
      </c>
      <c r="R434" s="433">
        <f t="shared" si="33"/>
        <v>336.79165311999998</v>
      </c>
      <c r="S434" s="433">
        <f>INDEX('Glosario Partidas'!$M$8:$M$10,MATCH(K434,'Glosario Partidas'!$L$8:$L$10,0))</f>
        <v>17.5</v>
      </c>
      <c r="T434" s="433">
        <f t="shared" si="34"/>
        <v>5893.8539295999999</v>
      </c>
      <c r="U434" s="268" t="s">
        <v>1085</v>
      </c>
      <c r="V434" s="249" t="s">
        <v>12</v>
      </c>
      <c r="W434" s="249" t="s">
        <v>491</v>
      </c>
      <c r="X434" s="249"/>
    </row>
    <row r="435" spans="1:24" ht="15" customHeight="1" x14ac:dyDescent="0.2">
      <c r="A435" s="268"/>
      <c r="B435" s="268" t="s">
        <v>108</v>
      </c>
      <c r="C435" s="268" t="s">
        <v>402</v>
      </c>
      <c r="D435" s="431" t="str">
        <f>GC!$B$14</f>
        <v>Termostato oculto con control de volumen bidireccional</v>
      </c>
      <c r="E435" s="249" t="s">
        <v>229</v>
      </c>
      <c r="F435" s="268" t="s">
        <v>354</v>
      </c>
      <c r="G435" s="249" t="s">
        <v>713</v>
      </c>
      <c r="H435" s="249" t="s">
        <v>435</v>
      </c>
      <c r="I435" s="268" t="s">
        <v>410</v>
      </c>
      <c r="J435" s="249">
        <v>1</v>
      </c>
      <c r="K435" s="268" t="s">
        <v>153</v>
      </c>
      <c r="L435" s="432">
        <f>GC!$F$14</f>
        <v>350.19605300000001</v>
      </c>
      <c r="M435" s="433">
        <f t="shared" si="30"/>
        <v>350.19605300000001</v>
      </c>
      <c r="N435" s="249">
        <v>0</v>
      </c>
      <c r="O435" s="433">
        <f t="shared" si="31"/>
        <v>0</v>
      </c>
      <c r="P435" s="434">
        <v>0.16</v>
      </c>
      <c r="Q435" s="433">
        <f t="shared" si="32"/>
        <v>56.031368480000005</v>
      </c>
      <c r="R435" s="433">
        <f t="shared" si="33"/>
        <v>406.22742148000003</v>
      </c>
      <c r="S435" s="433">
        <f>INDEX('Glosario Partidas'!$M$8:$M$10,MATCH(K435,'Glosario Partidas'!$L$8:$L$10,0))</f>
        <v>17.5</v>
      </c>
      <c r="T435" s="433">
        <f t="shared" si="34"/>
        <v>7108.9798759000005</v>
      </c>
      <c r="U435" s="268"/>
      <c r="V435" s="249" t="s">
        <v>12</v>
      </c>
      <c r="W435" s="249" t="s">
        <v>491</v>
      </c>
      <c r="X435" s="249"/>
    </row>
    <row r="436" spans="1:24" ht="15" customHeight="1" x14ac:dyDescent="0.2">
      <c r="A436" s="268"/>
      <c r="B436" s="268" t="s">
        <v>108</v>
      </c>
      <c r="C436" s="268" t="s">
        <v>402</v>
      </c>
      <c r="D436" s="431" t="str">
        <f>GC!$B$15</f>
        <v>Termostato empotrado (rough)</v>
      </c>
      <c r="E436" s="249" t="s">
        <v>229</v>
      </c>
      <c r="F436" s="268" t="s">
        <v>354</v>
      </c>
      <c r="G436" s="249" t="s">
        <v>713</v>
      </c>
      <c r="H436" s="249" t="s">
        <v>435</v>
      </c>
      <c r="I436" s="268" t="s">
        <v>410</v>
      </c>
      <c r="J436" s="249">
        <v>1</v>
      </c>
      <c r="K436" s="268" t="s">
        <v>153</v>
      </c>
      <c r="L436" s="432">
        <f>GC!$F$15</f>
        <v>313.33</v>
      </c>
      <c r="M436" s="433">
        <f t="shared" si="30"/>
        <v>313.33</v>
      </c>
      <c r="N436" s="249">
        <v>0</v>
      </c>
      <c r="O436" s="433">
        <f t="shared" si="31"/>
        <v>0</v>
      </c>
      <c r="P436" s="434">
        <v>0.16</v>
      </c>
      <c r="Q436" s="433">
        <f t="shared" si="32"/>
        <v>50.132799999999996</v>
      </c>
      <c r="R436" s="433">
        <f t="shared" si="33"/>
        <v>363.46279999999996</v>
      </c>
      <c r="S436" s="433">
        <f>INDEX('Glosario Partidas'!$M$8:$M$10,MATCH(K436,'Glosario Partidas'!$L$8:$L$10,0))</f>
        <v>17.5</v>
      </c>
      <c r="T436" s="433">
        <f t="shared" si="34"/>
        <v>6360.5989999999993</v>
      </c>
      <c r="U436" s="268"/>
      <c r="V436" s="249" t="s">
        <v>12</v>
      </c>
      <c r="W436" s="249" t="s">
        <v>491</v>
      </c>
      <c r="X436" s="249"/>
    </row>
    <row r="437" spans="1:24" ht="15" customHeight="1" x14ac:dyDescent="0.2">
      <c r="A437" s="268"/>
      <c r="B437" s="268" t="s">
        <v>108</v>
      </c>
      <c r="C437" s="268" t="s">
        <v>402</v>
      </c>
      <c r="D437" s="431" t="str">
        <f>GC!$B$10</f>
        <v>Soporte para papel higiénico sin cubierta</v>
      </c>
      <c r="E437" s="249" t="s">
        <v>229</v>
      </c>
      <c r="F437" s="268" t="s">
        <v>354</v>
      </c>
      <c r="G437" s="249" t="s">
        <v>713</v>
      </c>
      <c r="H437" s="249" t="s">
        <v>435</v>
      </c>
      <c r="I437" s="268" t="s">
        <v>410</v>
      </c>
      <c r="J437" s="249">
        <v>1</v>
      </c>
      <c r="K437" s="268" t="s">
        <v>153</v>
      </c>
      <c r="L437" s="432">
        <f>GC!$F$10</f>
        <v>238.874348</v>
      </c>
      <c r="M437" s="433">
        <f t="shared" si="30"/>
        <v>238.874348</v>
      </c>
      <c r="N437" s="249">
        <v>0</v>
      </c>
      <c r="O437" s="433">
        <f t="shared" si="31"/>
        <v>0</v>
      </c>
      <c r="P437" s="434">
        <v>0.16</v>
      </c>
      <c r="Q437" s="433">
        <f t="shared" si="32"/>
        <v>38.21989568</v>
      </c>
      <c r="R437" s="433">
        <f t="shared" si="33"/>
        <v>277.09424367999998</v>
      </c>
      <c r="S437" s="433">
        <f>INDEX('Glosario Partidas'!$M$8:$M$10,MATCH(K437,'Glosario Partidas'!$L$8:$L$10,0))</f>
        <v>17.5</v>
      </c>
      <c r="T437" s="433">
        <f t="shared" si="34"/>
        <v>4849.1492644</v>
      </c>
      <c r="U437" s="268"/>
      <c r="V437" s="249" t="s">
        <v>12</v>
      </c>
      <c r="W437" s="249" t="s">
        <v>491</v>
      </c>
      <c r="X437" s="249"/>
    </row>
    <row r="438" spans="1:24" ht="15" customHeight="1" x14ac:dyDescent="0.2">
      <c r="A438" s="268"/>
      <c r="B438" s="268" t="s">
        <v>108</v>
      </c>
      <c r="C438" s="268" t="s">
        <v>402</v>
      </c>
      <c r="D438" s="431" t="str">
        <f>GC!$B$9</f>
        <v>Barra de agarre / Toallero chico 45cm</v>
      </c>
      <c r="E438" s="249" t="s">
        <v>229</v>
      </c>
      <c r="F438" s="268" t="s">
        <v>354</v>
      </c>
      <c r="G438" s="249" t="s">
        <v>713</v>
      </c>
      <c r="H438" s="249" t="s">
        <v>435</v>
      </c>
      <c r="I438" s="268" t="s">
        <v>410</v>
      </c>
      <c r="J438" s="249">
        <v>2</v>
      </c>
      <c r="K438" s="268" t="s">
        <v>153</v>
      </c>
      <c r="L438" s="432">
        <f>GC!$F$9</f>
        <v>471.15</v>
      </c>
      <c r="M438" s="433">
        <f t="shared" si="30"/>
        <v>942.3</v>
      </c>
      <c r="N438" s="249">
        <v>0</v>
      </c>
      <c r="O438" s="433">
        <f t="shared" si="31"/>
        <v>0</v>
      </c>
      <c r="P438" s="434">
        <v>0.16</v>
      </c>
      <c r="Q438" s="433">
        <f t="shared" si="32"/>
        <v>150.768</v>
      </c>
      <c r="R438" s="433">
        <f t="shared" si="33"/>
        <v>1093.068</v>
      </c>
      <c r="S438" s="433">
        <f>INDEX('Glosario Partidas'!$M$8:$M$10,MATCH(K438,'Glosario Partidas'!$L$8:$L$10,0))</f>
        <v>17.5</v>
      </c>
      <c r="T438" s="433">
        <f t="shared" si="34"/>
        <v>19128.689999999999</v>
      </c>
      <c r="U438" s="268"/>
      <c r="V438" s="249" t="s">
        <v>12</v>
      </c>
      <c r="W438" s="249" t="s">
        <v>491</v>
      </c>
      <c r="X438" s="249"/>
    </row>
    <row r="439" spans="1:24" s="435" customFormat="1" ht="15" customHeight="1" x14ac:dyDescent="0.2">
      <c r="A439" s="268"/>
      <c r="B439" s="268" t="s">
        <v>108</v>
      </c>
      <c r="C439" s="268" t="s">
        <v>402</v>
      </c>
      <c r="D439" s="431" t="str">
        <f>GC!$B$11</f>
        <v>Gancho</v>
      </c>
      <c r="E439" s="249" t="s">
        <v>229</v>
      </c>
      <c r="F439" s="268" t="s">
        <v>354</v>
      </c>
      <c r="G439" s="249" t="s">
        <v>713</v>
      </c>
      <c r="H439" s="249" t="s">
        <v>435</v>
      </c>
      <c r="I439" s="268" t="s">
        <v>410</v>
      </c>
      <c r="J439" s="249">
        <v>2</v>
      </c>
      <c r="K439" s="268" t="s">
        <v>153</v>
      </c>
      <c r="L439" s="432">
        <f>GC!$F$11</f>
        <v>61.111086999999998</v>
      </c>
      <c r="M439" s="433">
        <f t="shared" si="30"/>
        <v>122.222174</v>
      </c>
      <c r="N439" s="249">
        <v>0</v>
      </c>
      <c r="O439" s="433">
        <f t="shared" si="31"/>
        <v>0</v>
      </c>
      <c r="P439" s="434">
        <v>0.16</v>
      </c>
      <c r="Q439" s="433">
        <f t="shared" si="32"/>
        <v>19.555547839999999</v>
      </c>
      <c r="R439" s="433">
        <f t="shared" si="33"/>
        <v>141.77772184</v>
      </c>
      <c r="S439" s="433">
        <f>INDEX('Glosario Partidas'!$M$8:$M$10,MATCH(K439,'Glosario Partidas'!$L$8:$L$10,0))</f>
        <v>17.5</v>
      </c>
      <c r="T439" s="433">
        <f t="shared" si="34"/>
        <v>2481.1101322</v>
      </c>
      <c r="U439" s="268"/>
      <c r="V439" s="249" t="s">
        <v>12</v>
      </c>
      <c r="W439" s="249" t="s">
        <v>491</v>
      </c>
      <c r="X439" s="249"/>
    </row>
    <row r="440" spans="1:24" s="435" customFormat="1" ht="15" customHeight="1" x14ac:dyDescent="0.2">
      <c r="A440" s="268"/>
      <c r="B440" s="268" t="s">
        <v>108</v>
      </c>
      <c r="C440" s="268" t="s">
        <v>403</v>
      </c>
      <c r="D440" s="431" t="str">
        <f>GC!$B$7</f>
        <v>Inodoro a piso de una pieza (Starck 3)</v>
      </c>
      <c r="E440" s="249" t="s">
        <v>229</v>
      </c>
      <c r="F440" s="268" t="s">
        <v>221</v>
      </c>
      <c r="G440" s="249" t="s">
        <v>710</v>
      </c>
      <c r="H440" s="249" t="s">
        <v>435</v>
      </c>
      <c r="I440" s="268" t="s">
        <v>410</v>
      </c>
      <c r="J440" s="249">
        <v>1</v>
      </c>
      <c r="K440" s="268" t="s">
        <v>153</v>
      </c>
      <c r="L440" s="432">
        <f>GC!$F$7</f>
        <v>667.07</v>
      </c>
      <c r="M440" s="433">
        <f t="shared" si="30"/>
        <v>667.07</v>
      </c>
      <c r="N440" s="249">
        <v>0</v>
      </c>
      <c r="O440" s="433">
        <f t="shared" si="31"/>
        <v>0</v>
      </c>
      <c r="P440" s="434">
        <v>0.16</v>
      </c>
      <c r="Q440" s="433">
        <f t="shared" si="32"/>
        <v>106.73120000000002</v>
      </c>
      <c r="R440" s="433">
        <f t="shared" si="33"/>
        <v>773.80120000000011</v>
      </c>
      <c r="S440" s="433">
        <f>INDEX('Glosario Partidas'!$M$8:$M$10,MATCH(K440,'Glosario Partidas'!$L$8:$L$10,0))</f>
        <v>17.5</v>
      </c>
      <c r="T440" s="433">
        <f t="shared" si="34"/>
        <v>13541.521000000002</v>
      </c>
      <c r="U440" s="268"/>
      <c r="V440" s="249" t="s">
        <v>12</v>
      </c>
      <c r="W440" s="249" t="s">
        <v>491</v>
      </c>
      <c r="X440" s="249"/>
    </row>
    <row r="441" spans="1:24" s="435" customFormat="1" ht="15" customHeight="1" x14ac:dyDescent="0.2">
      <c r="A441" s="268"/>
      <c r="B441" s="268" t="s">
        <v>108</v>
      </c>
      <c r="C441" s="268" t="s">
        <v>403</v>
      </c>
      <c r="D441" s="431" t="str">
        <f>GC!$B$8</f>
        <v>Monomando de lavabo con válvula automática</v>
      </c>
      <c r="E441" s="249" t="s">
        <v>229</v>
      </c>
      <c r="F441" s="268" t="s">
        <v>221</v>
      </c>
      <c r="G441" s="249" t="s">
        <v>710</v>
      </c>
      <c r="H441" s="249" t="s">
        <v>435</v>
      </c>
      <c r="I441" s="268" t="s">
        <v>410</v>
      </c>
      <c r="J441" s="249">
        <v>2</v>
      </c>
      <c r="K441" s="268" t="s">
        <v>153</v>
      </c>
      <c r="L441" s="432">
        <f>GC!$F$8</f>
        <v>975.99151900000004</v>
      </c>
      <c r="M441" s="433">
        <f t="shared" si="30"/>
        <v>1951.9830380000001</v>
      </c>
      <c r="N441" s="249">
        <v>0</v>
      </c>
      <c r="O441" s="433">
        <f t="shared" si="31"/>
        <v>0</v>
      </c>
      <c r="P441" s="434">
        <v>0.16</v>
      </c>
      <c r="Q441" s="433">
        <f t="shared" si="32"/>
        <v>312.31728608000003</v>
      </c>
      <c r="R441" s="433">
        <f t="shared" si="33"/>
        <v>2264.3003240799999</v>
      </c>
      <c r="S441" s="433">
        <f>INDEX('Glosario Partidas'!$M$8:$M$10,MATCH(K441,'Glosario Partidas'!$L$8:$L$10,0))</f>
        <v>17.5</v>
      </c>
      <c r="T441" s="433">
        <f t="shared" si="34"/>
        <v>39625.255671399995</v>
      </c>
      <c r="U441" s="268"/>
      <c r="V441" s="249" t="s">
        <v>12</v>
      </c>
      <c r="W441" s="249" t="s">
        <v>491</v>
      </c>
      <c r="X441" s="249"/>
    </row>
    <row r="442" spans="1:24" s="435" customFormat="1" ht="15" customHeight="1" x14ac:dyDescent="0.2">
      <c r="A442" s="268"/>
      <c r="B442" s="268" t="s">
        <v>108</v>
      </c>
      <c r="C442" s="268" t="s">
        <v>403</v>
      </c>
      <c r="D442" s="431" t="str">
        <f>GC!$B$21</f>
        <v>Soporte para vidrio (SERIES SPECIFIC, XS-081077, Brushed Dark Platinum)</v>
      </c>
      <c r="E442" s="249" t="s">
        <v>229</v>
      </c>
      <c r="F442" s="268" t="s">
        <v>221</v>
      </c>
      <c r="G442" s="249" t="s">
        <v>710</v>
      </c>
      <c r="H442" s="249" t="s">
        <v>435</v>
      </c>
      <c r="I442" s="268" t="s">
        <v>410</v>
      </c>
      <c r="J442" s="249">
        <v>2</v>
      </c>
      <c r="K442" s="268" t="s">
        <v>153</v>
      </c>
      <c r="L442" s="432">
        <f>GC!$F$21</f>
        <v>281.02</v>
      </c>
      <c r="M442" s="433">
        <f t="shared" si="30"/>
        <v>562.04</v>
      </c>
      <c r="N442" s="249">
        <v>0</v>
      </c>
      <c r="O442" s="433">
        <f t="shared" si="31"/>
        <v>0</v>
      </c>
      <c r="P442" s="434">
        <v>0.16</v>
      </c>
      <c r="Q442" s="433">
        <f t="shared" si="32"/>
        <v>89.926400000000001</v>
      </c>
      <c r="R442" s="433">
        <f t="shared" si="33"/>
        <v>651.96640000000002</v>
      </c>
      <c r="S442" s="433">
        <f>INDEX('Glosario Partidas'!$M$8:$M$10,MATCH(K442,'Glosario Partidas'!$L$8:$L$10,0))</f>
        <v>17.5</v>
      </c>
      <c r="T442" s="433">
        <f t="shared" si="34"/>
        <v>11409.412</v>
      </c>
      <c r="U442" s="268" t="s">
        <v>1084</v>
      </c>
      <c r="V442" s="249" t="s">
        <v>12</v>
      </c>
      <c r="W442" s="249" t="s">
        <v>491</v>
      </c>
      <c r="X442" s="249"/>
    </row>
    <row r="443" spans="1:24" s="435" customFormat="1" ht="15" customHeight="1" x14ac:dyDescent="0.2">
      <c r="A443" s="268"/>
      <c r="B443" s="268" t="s">
        <v>108</v>
      </c>
      <c r="C443" s="268" t="s">
        <v>403</v>
      </c>
      <c r="D443" s="431" t="str">
        <f>GC!$B$12</f>
        <v>Set de ducha de mano con soporte de pared integrado</v>
      </c>
      <c r="E443" s="249" t="s">
        <v>229</v>
      </c>
      <c r="F443" s="268" t="s">
        <v>221</v>
      </c>
      <c r="G443" s="249" t="s">
        <v>710</v>
      </c>
      <c r="H443" s="249" t="s">
        <v>435</v>
      </c>
      <c r="I443" s="268" t="s">
        <v>410</v>
      </c>
      <c r="J443" s="249">
        <v>1</v>
      </c>
      <c r="K443" s="268" t="s">
        <v>153</v>
      </c>
      <c r="L443" s="432">
        <f>GC!$F$12</f>
        <v>325.25947400000001</v>
      </c>
      <c r="M443" s="433">
        <f t="shared" si="30"/>
        <v>325.25947400000001</v>
      </c>
      <c r="N443" s="249">
        <v>0</v>
      </c>
      <c r="O443" s="433">
        <f t="shared" si="31"/>
        <v>0</v>
      </c>
      <c r="P443" s="434">
        <v>0.16</v>
      </c>
      <c r="Q443" s="433">
        <f t="shared" si="32"/>
        <v>52.041515840000002</v>
      </c>
      <c r="R443" s="433">
        <f t="shared" si="33"/>
        <v>377.30098984</v>
      </c>
      <c r="S443" s="433">
        <f>INDEX('Glosario Partidas'!$M$8:$M$10,MATCH(K443,'Glosario Partidas'!$L$8:$L$10,0))</f>
        <v>17.5</v>
      </c>
      <c r="T443" s="433">
        <f t="shared" si="34"/>
        <v>6602.7673222000003</v>
      </c>
      <c r="U443" s="268"/>
      <c r="V443" s="249" t="s">
        <v>12</v>
      </c>
      <c r="W443" s="249" t="s">
        <v>491</v>
      </c>
      <c r="X443" s="249"/>
    </row>
    <row r="444" spans="1:24" s="435" customFormat="1" ht="15" customHeight="1" x14ac:dyDescent="0.2">
      <c r="A444" s="268"/>
      <c r="B444" s="268" t="s">
        <v>108</v>
      </c>
      <c r="C444" s="268" t="s">
        <v>403</v>
      </c>
      <c r="D444" s="431" t="str">
        <f>GC!$B$13</f>
        <v>Ducha efecto lluvia con fijación a pared 400 mm</v>
      </c>
      <c r="E444" s="249" t="s">
        <v>229</v>
      </c>
      <c r="F444" s="268" t="s">
        <v>221</v>
      </c>
      <c r="G444" s="249" t="s">
        <v>710</v>
      </c>
      <c r="H444" s="249" t="s">
        <v>435</v>
      </c>
      <c r="I444" s="268" t="s">
        <v>410</v>
      </c>
      <c r="J444" s="249">
        <v>1</v>
      </c>
      <c r="K444" s="268" t="s">
        <v>153</v>
      </c>
      <c r="L444" s="432">
        <f>GC!$F$13</f>
        <v>1807.197105</v>
      </c>
      <c r="M444" s="433">
        <f t="shared" si="30"/>
        <v>1807.197105</v>
      </c>
      <c r="N444" s="249">
        <v>0</v>
      </c>
      <c r="O444" s="433">
        <f t="shared" si="31"/>
        <v>0</v>
      </c>
      <c r="P444" s="434">
        <v>0.16</v>
      </c>
      <c r="Q444" s="433">
        <f t="shared" si="32"/>
        <v>289.15153679999997</v>
      </c>
      <c r="R444" s="433">
        <f t="shared" si="33"/>
        <v>2096.3486417999998</v>
      </c>
      <c r="S444" s="433">
        <f>INDEX('Glosario Partidas'!$M$8:$M$10,MATCH(K444,'Glosario Partidas'!$L$8:$L$10,0))</f>
        <v>17.5</v>
      </c>
      <c r="T444" s="433">
        <f t="shared" si="34"/>
        <v>36686.101231499997</v>
      </c>
      <c r="U444" s="268"/>
      <c r="V444" s="249" t="s">
        <v>12</v>
      </c>
      <c r="W444" s="249" t="s">
        <v>491</v>
      </c>
      <c r="X444" s="249"/>
    </row>
    <row r="445" spans="1:24" s="435" customFormat="1" ht="15" customHeight="1" x14ac:dyDescent="0.2">
      <c r="A445" s="268"/>
      <c r="B445" s="268" t="s">
        <v>108</v>
      </c>
      <c r="C445" s="268" t="s">
        <v>403</v>
      </c>
      <c r="D445" s="431" t="str">
        <f>GC!$B$22</f>
        <v>Canaleta de ducha para piedra natural TECE showerline (15201082)</v>
      </c>
      <c r="E445" s="249" t="s">
        <v>229</v>
      </c>
      <c r="F445" s="268" t="s">
        <v>221</v>
      </c>
      <c r="G445" s="249" t="s">
        <v>710</v>
      </c>
      <c r="H445" s="249" t="s">
        <v>435</v>
      </c>
      <c r="I445" s="268" t="s">
        <v>410</v>
      </c>
      <c r="J445" s="249">
        <v>1</v>
      </c>
      <c r="K445" s="268" t="s">
        <v>153</v>
      </c>
      <c r="L445" s="432">
        <f>GC!$F$22</f>
        <v>290.33763199999999</v>
      </c>
      <c r="M445" s="433">
        <f t="shared" si="30"/>
        <v>290.33763199999999</v>
      </c>
      <c r="N445" s="249">
        <v>0</v>
      </c>
      <c r="O445" s="433">
        <f t="shared" si="31"/>
        <v>0</v>
      </c>
      <c r="P445" s="434">
        <v>0.16</v>
      </c>
      <c r="Q445" s="433">
        <f t="shared" si="32"/>
        <v>46.45402112</v>
      </c>
      <c r="R445" s="433">
        <f t="shared" si="33"/>
        <v>336.79165311999998</v>
      </c>
      <c r="S445" s="433">
        <f>INDEX('Glosario Partidas'!$M$8:$M$10,MATCH(K445,'Glosario Partidas'!$L$8:$L$10,0))</f>
        <v>17.5</v>
      </c>
      <c r="T445" s="433">
        <f t="shared" si="34"/>
        <v>5893.8539295999999</v>
      </c>
      <c r="U445" s="268" t="s">
        <v>1085</v>
      </c>
      <c r="V445" s="249" t="s">
        <v>12</v>
      </c>
      <c r="W445" s="249" t="s">
        <v>491</v>
      </c>
      <c r="X445" s="249"/>
    </row>
    <row r="446" spans="1:24" s="435" customFormat="1" ht="15" customHeight="1" x14ac:dyDescent="0.2">
      <c r="A446" s="268"/>
      <c r="B446" s="268" t="s">
        <v>108</v>
      </c>
      <c r="C446" s="268" t="s">
        <v>403</v>
      </c>
      <c r="D446" s="431" t="str">
        <f>GC!$B$14</f>
        <v>Termostato oculto con control de volumen bidireccional</v>
      </c>
      <c r="E446" s="249" t="s">
        <v>229</v>
      </c>
      <c r="F446" s="268" t="s">
        <v>221</v>
      </c>
      <c r="G446" s="249" t="s">
        <v>710</v>
      </c>
      <c r="H446" s="249" t="s">
        <v>435</v>
      </c>
      <c r="I446" s="268" t="s">
        <v>410</v>
      </c>
      <c r="J446" s="249">
        <v>1</v>
      </c>
      <c r="K446" s="268" t="s">
        <v>153</v>
      </c>
      <c r="L446" s="432">
        <f>GC!$F$14</f>
        <v>350.19605300000001</v>
      </c>
      <c r="M446" s="433">
        <f t="shared" si="30"/>
        <v>350.19605300000001</v>
      </c>
      <c r="N446" s="249">
        <v>0</v>
      </c>
      <c r="O446" s="433">
        <f t="shared" si="31"/>
        <v>0</v>
      </c>
      <c r="P446" s="434">
        <v>0.16</v>
      </c>
      <c r="Q446" s="433">
        <f t="shared" si="32"/>
        <v>56.031368480000005</v>
      </c>
      <c r="R446" s="433">
        <f t="shared" si="33"/>
        <v>406.22742148000003</v>
      </c>
      <c r="S446" s="433">
        <f>INDEX('Glosario Partidas'!$M$8:$M$10,MATCH(K446,'Glosario Partidas'!$L$8:$L$10,0))</f>
        <v>17.5</v>
      </c>
      <c r="T446" s="433">
        <f t="shared" si="34"/>
        <v>7108.9798759000005</v>
      </c>
      <c r="U446" s="268"/>
      <c r="V446" s="249" t="s">
        <v>12</v>
      </c>
      <c r="W446" s="249" t="s">
        <v>491</v>
      </c>
      <c r="X446" s="249"/>
    </row>
    <row r="447" spans="1:24" s="435" customFormat="1" ht="15" customHeight="1" x14ac:dyDescent="0.2">
      <c r="A447" s="268"/>
      <c r="B447" s="268" t="s">
        <v>108</v>
      </c>
      <c r="C447" s="268" t="s">
        <v>403</v>
      </c>
      <c r="D447" s="431" t="str">
        <f>GC!$B$15</f>
        <v>Termostato empotrado (rough)</v>
      </c>
      <c r="E447" s="249" t="s">
        <v>229</v>
      </c>
      <c r="F447" s="268" t="s">
        <v>221</v>
      </c>
      <c r="G447" s="249" t="s">
        <v>710</v>
      </c>
      <c r="H447" s="249" t="s">
        <v>435</v>
      </c>
      <c r="I447" s="268" t="s">
        <v>410</v>
      </c>
      <c r="J447" s="249">
        <v>1</v>
      </c>
      <c r="K447" s="268" t="s">
        <v>153</v>
      </c>
      <c r="L447" s="432">
        <f>GC!$F$15</f>
        <v>313.33</v>
      </c>
      <c r="M447" s="433">
        <f t="shared" si="30"/>
        <v>313.33</v>
      </c>
      <c r="N447" s="249">
        <v>0</v>
      </c>
      <c r="O447" s="433">
        <f t="shared" si="31"/>
        <v>0</v>
      </c>
      <c r="P447" s="434">
        <v>0.16</v>
      </c>
      <c r="Q447" s="433">
        <f t="shared" si="32"/>
        <v>50.132799999999996</v>
      </c>
      <c r="R447" s="433">
        <f t="shared" si="33"/>
        <v>363.46279999999996</v>
      </c>
      <c r="S447" s="433">
        <f>INDEX('Glosario Partidas'!$M$8:$M$10,MATCH(K447,'Glosario Partidas'!$L$8:$L$10,0))</f>
        <v>17.5</v>
      </c>
      <c r="T447" s="433">
        <f t="shared" si="34"/>
        <v>6360.5989999999993</v>
      </c>
      <c r="U447" s="268"/>
      <c r="V447" s="249" t="s">
        <v>12</v>
      </c>
      <c r="W447" s="249" t="s">
        <v>491</v>
      </c>
      <c r="X447" s="249"/>
    </row>
    <row r="448" spans="1:24" ht="15" customHeight="1" x14ac:dyDescent="0.2">
      <c r="A448" s="268"/>
      <c r="B448" s="268" t="s">
        <v>108</v>
      </c>
      <c r="C448" s="268" t="s">
        <v>403</v>
      </c>
      <c r="D448" s="431" t="str">
        <f>GC!$B$10</f>
        <v>Soporte para papel higiénico sin cubierta</v>
      </c>
      <c r="E448" s="249" t="s">
        <v>229</v>
      </c>
      <c r="F448" s="268" t="s">
        <v>221</v>
      </c>
      <c r="G448" s="249" t="s">
        <v>710</v>
      </c>
      <c r="H448" s="249" t="s">
        <v>435</v>
      </c>
      <c r="I448" s="268" t="s">
        <v>410</v>
      </c>
      <c r="J448" s="249">
        <v>1</v>
      </c>
      <c r="K448" s="268" t="s">
        <v>153</v>
      </c>
      <c r="L448" s="432">
        <f>GC!$F$10</f>
        <v>238.874348</v>
      </c>
      <c r="M448" s="433">
        <f t="shared" si="30"/>
        <v>238.874348</v>
      </c>
      <c r="N448" s="249">
        <v>0</v>
      </c>
      <c r="O448" s="433">
        <f t="shared" si="31"/>
        <v>0</v>
      </c>
      <c r="P448" s="434">
        <v>0.16</v>
      </c>
      <c r="Q448" s="433">
        <f t="shared" si="32"/>
        <v>38.21989568</v>
      </c>
      <c r="R448" s="433">
        <f t="shared" si="33"/>
        <v>277.09424367999998</v>
      </c>
      <c r="S448" s="433">
        <f>INDEX('Glosario Partidas'!$M$8:$M$10,MATCH(K448,'Glosario Partidas'!$L$8:$L$10,0))</f>
        <v>17.5</v>
      </c>
      <c r="T448" s="433">
        <f t="shared" si="34"/>
        <v>4849.1492644</v>
      </c>
      <c r="U448" s="268"/>
      <c r="V448" s="249" t="s">
        <v>12</v>
      </c>
      <c r="W448" s="249" t="s">
        <v>491</v>
      </c>
      <c r="X448" s="249"/>
    </row>
    <row r="449" spans="1:24" ht="15" customHeight="1" x14ac:dyDescent="0.2">
      <c r="A449" s="268"/>
      <c r="B449" s="268" t="s">
        <v>108</v>
      </c>
      <c r="C449" s="268" t="s">
        <v>403</v>
      </c>
      <c r="D449" s="431" t="str">
        <f>GC!$B$9</f>
        <v>Barra de agarre / Toallero chico 45cm</v>
      </c>
      <c r="E449" s="249" t="s">
        <v>229</v>
      </c>
      <c r="F449" s="268" t="s">
        <v>221</v>
      </c>
      <c r="G449" s="249" t="s">
        <v>710</v>
      </c>
      <c r="H449" s="249" t="s">
        <v>435</v>
      </c>
      <c r="I449" s="268" t="s">
        <v>410</v>
      </c>
      <c r="J449" s="249">
        <v>2</v>
      </c>
      <c r="K449" s="268" t="s">
        <v>153</v>
      </c>
      <c r="L449" s="432">
        <f>GC!$F$9</f>
        <v>471.15</v>
      </c>
      <c r="M449" s="433">
        <f t="shared" si="30"/>
        <v>942.3</v>
      </c>
      <c r="N449" s="249">
        <v>0</v>
      </c>
      <c r="O449" s="433">
        <f t="shared" si="31"/>
        <v>0</v>
      </c>
      <c r="P449" s="434">
        <v>0.16</v>
      </c>
      <c r="Q449" s="433">
        <f t="shared" si="32"/>
        <v>150.768</v>
      </c>
      <c r="R449" s="433">
        <f t="shared" si="33"/>
        <v>1093.068</v>
      </c>
      <c r="S449" s="433">
        <f>INDEX('Glosario Partidas'!$M$8:$M$10,MATCH(K449,'Glosario Partidas'!$L$8:$L$10,0))</f>
        <v>17.5</v>
      </c>
      <c r="T449" s="433">
        <f t="shared" si="34"/>
        <v>19128.689999999999</v>
      </c>
      <c r="U449" s="268"/>
      <c r="V449" s="249" t="s">
        <v>12</v>
      </c>
      <c r="W449" s="249" t="s">
        <v>491</v>
      </c>
      <c r="X449" s="249"/>
    </row>
    <row r="450" spans="1:24" ht="15" customHeight="1" x14ac:dyDescent="0.2">
      <c r="A450" s="268"/>
      <c r="B450" s="268" t="s">
        <v>108</v>
      </c>
      <c r="C450" s="268" t="s">
        <v>403</v>
      </c>
      <c r="D450" s="431" t="str">
        <f>GC!$B$11</f>
        <v>Gancho</v>
      </c>
      <c r="E450" s="249" t="s">
        <v>229</v>
      </c>
      <c r="F450" s="268" t="s">
        <v>221</v>
      </c>
      <c r="G450" s="249" t="s">
        <v>710</v>
      </c>
      <c r="H450" s="249" t="s">
        <v>435</v>
      </c>
      <c r="I450" s="268" t="s">
        <v>410</v>
      </c>
      <c r="J450" s="249">
        <v>2</v>
      </c>
      <c r="K450" s="268" t="s">
        <v>153</v>
      </c>
      <c r="L450" s="432">
        <f>GC!$F$11</f>
        <v>61.111086999999998</v>
      </c>
      <c r="M450" s="433">
        <f t="shared" ref="M450:M513" si="35">J450*L450</f>
        <v>122.222174</v>
      </c>
      <c r="N450" s="249">
        <v>0</v>
      </c>
      <c r="O450" s="433">
        <f t="shared" ref="O450:O513" si="36">M450*N450</f>
        <v>0</v>
      </c>
      <c r="P450" s="434">
        <v>0.16</v>
      </c>
      <c r="Q450" s="433">
        <f t="shared" ref="Q450:Q513" si="37">(M450+O450)*P450</f>
        <v>19.555547839999999</v>
      </c>
      <c r="R450" s="433">
        <f t="shared" ref="R450:R513" si="38">M450+O450+Q450</f>
        <v>141.77772184</v>
      </c>
      <c r="S450" s="433">
        <f>INDEX('Glosario Partidas'!$M$8:$M$10,MATCH(K450,'Glosario Partidas'!$L$8:$L$10,0))</f>
        <v>17.5</v>
      </c>
      <c r="T450" s="433">
        <f t="shared" ref="T450:T513" si="39">R450*S450</f>
        <v>2481.1101322</v>
      </c>
      <c r="U450" s="268"/>
      <c r="V450" s="249" t="s">
        <v>12</v>
      </c>
      <c r="W450" s="249" t="s">
        <v>491</v>
      </c>
      <c r="X450" s="249"/>
    </row>
    <row r="451" spans="1:24" ht="15" customHeight="1" x14ac:dyDescent="0.2">
      <c r="A451" s="268"/>
      <c r="B451" s="268" t="s">
        <v>108</v>
      </c>
      <c r="C451" s="268" t="s">
        <v>403</v>
      </c>
      <c r="D451" s="431" t="str">
        <f>GC!$B$7</f>
        <v>Inodoro a piso de una pieza (Starck 3)</v>
      </c>
      <c r="E451" s="249" t="s">
        <v>229</v>
      </c>
      <c r="F451" s="268" t="s">
        <v>355</v>
      </c>
      <c r="G451" s="249" t="s">
        <v>767</v>
      </c>
      <c r="H451" s="249" t="s">
        <v>435</v>
      </c>
      <c r="I451" s="268" t="s">
        <v>410</v>
      </c>
      <c r="J451" s="249">
        <v>1</v>
      </c>
      <c r="K451" s="268" t="s">
        <v>153</v>
      </c>
      <c r="L451" s="432">
        <f>GC!$F$7</f>
        <v>667.07</v>
      </c>
      <c r="M451" s="433">
        <f t="shared" si="35"/>
        <v>667.07</v>
      </c>
      <c r="N451" s="249">
        <v>0</v>
      </c>
      <c r="O451" s="433">
        <f t="shared" si="36"/>
        <v>0</v>
      </c>
      <c r="P451" s="434">
        <v>0.16</v>
      </c>
      <c r="Q451" s="433">
        <f t="shared" si="37"/>
        <v>106.73120000000002</v>
      </c>
      <c r="R451" s="433">
        <f t="shared" si="38"/>
        <v>773.80120000000011</v>
      </c>
      <c r="S451" s="433">
        <f>INDEX('Glosario Partidas'!$M$8:$M$10,MATCH(K451,'Glosario Partidas'!$L$8:$L$10,0))</f>
        <v>17.5</v>
      </c>
      <c r="T451" s="433">
        <f t="shared" si="39"/>
        <v>13541.521000000002</v>
      </c>
      <c r="U451" s="268"/>
      <c r="V451" s="249" t="s">
        <v>12</v>
      </c>
      <c r="W451" s="249" t="s">
        <v>491</v>
      </c>
      <c r="X451" s="249"/>
    </row>
    <row r="452" spans="1:24" ht="15" customHeight="1" x14ac:dyDescent="0.2">
      <c r="A452" s="268"/>
      <c r="B452" s="268" t="s">
        <v>108</v>
      </c>
      <c r="C452" s="268" t="s">
        <v>403</v>
      </c>
      <c r="D452" s="431" t="str">
        <f>GC!$B$8</f>
        <v>Monomando de lavabo con válvula automática</v>
      </c>
      <c r="E452" s="249" t="s">
        <v>229</v>
      </c>
      <c r="F452" s="268" t="s">
        <v>355</v>
      </c>
      <c r="G452" s="249" t="s">
        <v>767</v>
      </c>
      <c r="H452" s="249" t="s">
        <v>435</v>
      </c>
      <c r="I452" s="268" t="s">
        <v>410</v>
      </c>
      <c r="J452" s="249">
        <v>1</v>
      </c>
      <c r="K452" s="268" t="s">
        <v>153</v>
      </c>
      <c r="L452" s="432">
        <f>GC!$F$8</f>
        <v>975.99151900000004</v>
      </c>
      <c r="M452" s="433">
        <f t="shared" si="35"/>
        <v>975.99151900000004</v>
      </c>
      <c r="N452" s="249">
        <v>0</v>
      </c>
      <c r="O452" s="433">
        <f t="shared" si="36"/>
        <v>0</v>
      </c>
      <c r="P452" s="434">
        <v>0.16</v>
      </c>
      <c r="Q452" s="433">
        <f t="shared" si="37"/>
        <v>156.15864304000002</v>
      </c>
      <c r="R452" s="433">
        <f t="shared" si="38"/>
        <v>1132.1501620399999</v>
      </c>
      <c r="S452" s="433">
        <f>INDEX('Glosario Partidas'!$M$8:$M$10,MATCH(K452,'Glosario Partidas'!$L$8:$L$10,0))</f>
        <v>17.5</v>
      </c>
      <c r="T452" s="433">
        <f t="shared" si="39"/>
        <v>19812.627835699997</v>
      </c>
      <c r="U452" s="268"/>
      <c r="V452" s="249" t="s">
        <v>12</v>
      </c>
      <c r="W452" s="249" t="s">
        <v>491</v>
      </c>
      <c r="X452" s="249"/>
    </row>
    <row r="453" spans="1:24" ht="15" customHeight="1" x14ac:dyDescent="0.2">
      <c r="A453" s="268"/>
      <c r="B453" s="268" t="s">
        <v>108</v>
      </c>
      <c r="C453" s="268" t="s">
        <v>403</v>
      </c>
      <c r="D453" s="431" t="str">
        <f>GC!$B$21</f>
        <v>Soporte para vidrio (SERIES SPECIFIC, XS-081077, Brushed Dark Platinum)</v>
      </c>
      <c r="E453" s="249" t="s">
        <v>229</v>
      </c>
      <c r="F453" s="268" t="s">
        <v>355</v>
      </c>
      <c r="G453" s="249" t="s">
        <v>767</v>
      </c>
      <c r="H453" s="249" t="s">
        <v>435</v>
      </c>
      <c r="I453" s="268" t="s">
        <v>410</v>
      </c>
      <c r="J453" s="249">
        <v>1</v>
      </c>
      <c r="K453" s="268" t="s">
        <v>153</v>
      </c>
      <c r="L453" s="432">
        <f>GC!$F$21</f>
        <v>281.02</v>
      </c>
      <c r="M453" s="433">
        <f t="shared" si="35"/>
        <v>281.02</v>
      </c>
      <c r="N453" s="249">
        <v>0</v>
      </c>
      <c r="O453" s="433">
        <f t="shared" si="36"/>
        <v>0</v>
      </c>
      <c r="P453" s="434">
        <v>0.16</v>
      </c>
      <c r="Q453" s="433">
        <f t="shared" si="37"/>
        <v>44.963200000000001</v>
      </c>
      <c r="R453" s="433">
        <f t="shared" si="38"/>
        <v>325.98320000000001</v>
      </c>
      <c r="S453" s="433">
        <f>INDEX('Glosario Partidas'!$M$8:$M$10,MATCH(K453,'Glosario Partidas'!$L$8:$L$10,0))</f>
        <v>17.5</v>
      </c>
      <c r="T453" s="433">
        <f t="shared" si="39"/>
        <v>5704.7060000000001</v>
      </c>
      <c r="U453" s="268" t="s">
        <v>1084</v>
      </c>
      <c r="V453" s="249" t="s">
        <v>12</v>
      </c>
      <c r="W453" s="249" t="s">
        <v>491</v>
      </c>
      <c r="X453" s="249"/>
    </row>
    <row r="454" spans="1:24" ht="15" customHeight="1" x14ac:dyDescent="0.2">
      <c r="A454" s="268"/>
      <c r="B454" s="268" t="s">
        <v>108</v>
      </c>
      <c r="C454" s="268" t="s">
        <v>403</v>
      </c>
      <c r="D454" s="431" t="str">
        <f>GC!$B$12</f>
        <v>Set de ducha de mano con soporte de pared integrado</v>
      </c>
      <c r="E454" s="249" t="s">
        <v>229</v>
      </c>
      <c r="F454" s="268" t="s">
        <v>355</v>
      </c>
      <c r="G454" s="249" t="s">
        <v>767</v>
      </c>
      <c r="H454" s="249" t="s">
        <v>435</v>
      </c>
      <c r="I454" s="268" t="s">
        <v>410</v>
      </c>
      <c r="J454" s="249">
        <v>1</v>
      </c>
      <c r="K454" s="268" t="s">
        <v>153</v>
      </c>
      <c r="L454" s="432">
        <f>GC!$F$12</f>
        <v>325.25947400000001</v>
      </c>
      <c r="M454" s="433">
        <f t="shared" si="35"/>
        <v>325.25947400000001</v>
      </c>
      <c r="N454" s="249">
        <v>0</v>
      </c>
      <c r="O454" s="433">
        <f t="shared" si="36"/>
        <v>0</v>
      </c>
      <c r="P454" s="434">
        <v>0.16</v>
      </c>
      <c r="Q454" s="433">
        <f t="shared" si="37"/>
        <v>52.041515840000002</v>
      </c>
      <c r="R454" s="433">
        <f t="shared" si="38"/>
        <v>377.30098984</v>
      </c>
      <c r="S454" s="433">
        <f>INDEX('Glosario Partidas'!$M$8:$M$10,MATCH(K454,'Glosario Partidas'!$L$8:$L$10,0))</f>
        <v>17.5</v>
      </c>
      <c r="T454" s="433">
        <f t="shared" si="39"/>
        <v>6602.7673222000003</v>
      </c>
      <c r="U454" s="268"/>
      <c r="V454" s="249" t="s">
        <v>12</v>
      </c>
      <c r="W454" s="249" t="s">
        <v>491</v>
      </c>
      <c r="X454" s="249"/>
    </row>
    <row r="455" spans="1:24" ht="15" customHeight="1" x14ac:dyDescent="0.2">
      <c r="A455" s="268"/>
      <c r="B455" s="268" t="s">
        <v>108</v>
      </c>
      <c r="C455" s="268" t="s">
        <v>403</v>
      </c>
      <c r="D455" s="431" t="str">
        <f>GC!$B$13</f>
        <v>Ducha efecto lluvia con fijación a pared 400 mm</v>
      </c>
      <c r="E455" s="249" t="s">
        <v>229</v>
      </c>
      <c r="F455" s="268" t="s">
        <v>355</v>
      </c>
      <c r="G455" s="249" t="s">
        <v>767</v>
      </c>
      <c r="H455" s="249" t="s">
        <v>435</v>
      </c>
      <c r="I455" s="268" t="s">
        <v>410</v>
      </c>
      <c r="J455" s="249">
        <v>1</v>
      </c>
      <c r="K455" s="268" t="s">
        <v>153</v>
      </c>
      <c r="L455" s="432">
        <f>GC!$F$13</f>
        <v>1807.197105</v>
      </c>
      <c r="M455" s="433">
        <f t="shared" si="35"/>
        <v>1807.197105</v>
      </c>
      <c r="N455" s="249">
        <v>0</v>
      </c>
      <c r="O455" s="433">
        <f t="shared" si="36"/>
        <v>0</v>
      </c>
      <c r="P455" s="434">
        <v>0.16</v>
      </c>
      <c r="Q455" s="433">
        <f t="shared" si="37"/>
        <v>289.15153679999997</v>
      </c>
      <c r="R455" s="433">
        <f t="shared" si="38"/>
        <v>2096.3486417999998</v>
      </c>
      <c r="S455" s="433">
        <f>INDEX('Glosario Partidas'!$M$8:$M$10,MATCH(K455,'Glosario Partidas'!$L$8:$L$10,0))</f>
        <v>17.5</v>
      </c>
      <c r="T455" s="433">
        <f t="shared" si="39"/>
        <v>36686.101231499997</v>
      </c>
      <c r="U455" s="268"/>
      <c r="V455" s="249" t="s">
        <v>12</v>
      </c>
      <c r="W455" s="249" t="s">
        <v>491</v>
      </c>
      <c r="X455" s="249"/>
    </row>
    <row r="456" spans="1:24" ht="15" customHeight="1" x14ac:dyDescent="0.2">
      <c r="A456" s="268"/>
      <c r="B456" s="268" t="s">
        <v>108</v>
      </c>
      <c r="C456" s="268" t="s">
        <v>403</v>
      </c>
      <c r="D456" s="431" t="str">
        <f>GC!$B$22</f>
        <v>Canaleta de ducha para piedra natural TECE showerline (15201082)</v>
      </c>
      <c r="E456" s="249" t="s">
        <v>229</v>
      </c>
      <c r="F456" s="268" t="s">
        <v>355</v>
      </c>
      <c r="G456" s="249" t="s">
        <v>767</v>
      </c>
      <c r="H456" s="249" t="s">
        <v>435</v>
      </c>
      <c r="I456" s="268" t="s">
        <v>410</v>
      </c>
      <c r="J456" s="249">
        <v>1</v>
      </c>
      <c r="K456" s="268" t="s">
        <v>153</v>
      </c>
      <c r="L456" s="432">
        <f>GC!$F$22</f>
        <v>290.33763199999999</v>
      </c>
      <c r="M456" s="433">
        <f t="shared" si="35"/>
        <v>290.33763199999999</v>
      </c>
      <c r="N456" s="249">
        <v>0</v>
      </c>
      <c r="O456" s="433">
        <f t="shared" si="36"/>
        <v>0</v>
      </c>
      <c r="P456" s="434">
        <v>0.16</v>
      </c>
      <c r="Q456" s="433">
        <f t="shared" si="37"/>
        <v>46.45402112</v>
      </c>
      <c r="R456" s="433">
        <f t="shared" si="38"/>
        <v>336.79165311999998</v>
      </c>
      <c r="S456" s="433">
        <f>INDEX('Glosario Partidas'!$M$8:$M$10,MATCH(K456,'Glosario Partidas'!$L$8:$L$10,0))</f>
        <v>17.5</v>
      </c>
      <c r="T456" s="433">
        <f t="shared" si="39"/>
        <v>5893.8539295999999</v>
      </c>
      <c r="U456" s="268" t="s">
        <v>1085</v>
      </c>
      <c r="V456" s="249" t="s">
        <v>12</v>
      </c>
      <c r="W456" s="249" t="s">
        <v>491</v>
      </c>
      <c r="X456" s="249"/>
    </row>
    <row r="457" spans="1:24" ht="15" customHeight="1" x14ac:dyDescent="0.2">
      <c r="A457" s="268"/>
      <c r="B457" s="268" t="s">
        <v>108</v>
      </c>
      <c r="C457" s="268" t="s">
        <v>403</v>
      </c>
      <c r="D457" s="431" t="str">
        <f>GC!$B$14</f>
        <v>Termostato oculto con control de volumen bidireccional</v>
      </c>
      <c r="E457" s="249" t="s">
        <v>229</v>
      </c>
      <c r="F457" s="268" t="s">
        <v>355</v>
      </c>
      <c r="G457" s="249" t="s">
        <v>767</v>
      </c>
      <c r="H457" s="249" t="s">
        <v>435</v>
      </c>
      <c r="I457" s="268" t="s">
        <v>410</v>
      </c>
      <c r="J457" s="249">
        <v>1</v>
      </c>
      <c r="K457" s="268" t="s">
        <v>153</v>
      </c>
      <c r="L457" s="432">
        <f>GC!$F$14</f>
        <v>350.19605300000001</v>
      </c>
      <c r="M457" s="433">
        <f t="shared" si="35"/>
        <v>350.19605300000001</v>
      </c>
      <c r="N457" s="249">
        <v>0</v>
      </c>
      <c r="O457" s="433">
        <f t="shared" si="36"/>
        <v>0</v>
      </c>
      <c r="P457" s="434">
        <v>0.16</v>
      </c>
      <c r="Q457" s="433">
        <f t="shared" si="37"/>
        <v>56.031368480000005</v>
      </c>
      <c r="R457" s="433">
        <f t="shared" si="38"/>
        <v>406.22742148000003</v>
      </c>
      <c r="S457" s="433">
        <f>INDEX('Glosario Partidas'!$M$8:$M$10,MATCH(K457,'Glosario Partidas'!$L$8:$L$10,0))</f>
        <v>17.5</v>
      </c>
      <c r="T457" s="433">
        <f t="shared" si="39"/>
        <v>7108.9798759000005</v>
      </c>
      <c r="U457" s="268"/>
      <c r="V457" s="249" t="s">
        <v>12</v>
      </c>
      <c r="W457" s="249" t="s">
        <v>491</v>
      </c>
      <c r="X457" s="249"/>
    </row>
    <row r="458" spans="1:24" ht="15" customHeight="1" x14ac:dyDescent="0.2">
      <c r="A458" s="268"/>
      <c r="B458" s="268" t="s">
        <v>108</v>
      </c>
      <c r="C458" s="268" t="s">
        <v>403</v>
      </c>
      <c r="D458" s="431" t="str">
        <f>GC!$B$15</f>
        <v>Termostato empotrado (rough)</v>
      </c>
      <c r="E458" s="249" t="s">
        <v>229</v>
      </c>
      <c r="F458" s="268" t="s">
        <v>355</v>
      </c>
      <c r="G458" s="249" t="s">
        <v>767</v>
      </c>
      <c r="H458" s="249" t="s">
        <v>435</v>
      </c>
      <c r="I458" s="268" t="s">
        <v>410</v>
      </c>
      <c r="J458" s="249">
        <v>1</v>
      </c>
      <c r="K458" s="268" t="s">
        <v>153</v>
      </c>
      <c r="L458" s="432">
        <f>GC!$F$15</f>
        <v>313.33</v>
      </c>
      <c r="M458" s="433">
        <f t="shared" si="35"/>
        <v>313.33</v>
      </c>
      <c r="N458" s="249">
        <v>0</v>
      </c>
      <c r="O458" s="433">
        <f t="shared" si="36"/>
        <v>0</v>
      </c>
      <c r="P458" s="434">
        <v>0.16</v>
      </c>
      <c r="Q458" s="433">
        <f t="shared" si="37"/>
        <v>50.132799999999996</v>
      </c>
      <c r="R458" s="433">
        <f t="shared" si="38"/>
        <v>363.46279999999996</v>
      </c>
      <c r="S458" s="433">
        <f>INDEX('Glosario Partidas'!$M$8:$M$10,MATCH(K458,'Glosario Partidas'!$L$8:$L$10,0))</f>
        <v>17.5</v>
      </c>
      <c r="T458" s="433">
        <f t="shared" si="39"/>
        <v>6360.5989999999993</v>
      </c>
      <c r="U458" s="268"/>
      <c r="V458" s="249" t="s">
        <v>12</v>
      </c>
      <c r="W458" s="249" t="s">
        <v>491</v>
      </c>
      <c r="X458" s="249"/>
    </row>
    <row r="459" spans="1:24" ht="15" customHeight="1" x14ac:dyDescent="0.2">
      <c r="A459" s="268"/>
      <c r="B459" s="268" t="s">
        <v>108</v>
      </c>
      <c r="C459" s="268" t="s">
        <v>403</v>
      </c>
      <c r="D459" s="431" t="str">
        <f>GC!$B$10</f>
        <v>Soporte para papel higiénico sin cubierta</v>
      </c>
      <c r="E459" s="249" t="s">
        <v>229</v>
      </c>
      <c r="F459" s="268" t="s">
        <v>355</v>
      </c>
      <c r="G459" s="249" t="s">
        <v>767</v>
      </c>
      <c r="H459" s="249" t="s">
        <v>435</v>
      </c>
      <c r="I459" s="268" t="s">
        <v>410</v>
      </c>
      <c r="J459" s="249">
        <v>1</v>
      </c>
      <c r="K459" s="268" t="s">
        <v>153</v>
      </c>
      <c r="L459" s="432">
        <f>GC!$F$10</f>
        <v>238.874348</v>
      </c>
      <c r="M459" s="433">
        <f t="shared" si="35"/>
        <v>238.874348</v>
      </c>
      <c r="N459" s="249">
        <v>0</v>
      </c>
      <c r="O459" s="433">
        <f t="shared" si="36"/>
        <v>0</v>
      </c>
      <c r="P459" s="434">
        <v>0.16</v>
      </c>
      <c r="Q459" s="433">
        <f t="shared" si="37"/>
        <v>38.21989568</v>
      </c>
      <c r="R459" s="433">
        <f t="shared" si="38"/>
        <v>277.09424367999998</v>
      </c>
      <c r="S459" s="433">
        <f>INDEX('Glosario Partidas'!$M$8:$M$10,MATCH(K459,'Glosario Partidas'!$L$8:$L$10,0))</f>
        <v>17.5</v>
      </c>
      <c r="T459" s="433">
        <f t="shared" si="39"/>
        <v>4849.1492644</v>
      </c>
      <c r="U459" s="268"/>
      <c r="V459" s="249" t="s">
        <v>12</v>
      </c>
      <c r="W459" s="249" t="s">
        <v>491</v>
      </c>
      <c r="X459" s="249"/>
    </row>
    <row r="460" spans="1:24" ht="15" customHeight="1" x14ac:dyDescent="0.2">
      <c r="A460" s="268"/>
      <c r="B460" s="268" t="s">
        <v>108</v>
      </c>
      <c r="C460" s="268" t="s">
        <v>403</v>
      </c>
      <c r="D460" s="431" t="str">
        <f>GC!$B$9</f>
        <v>Barra de agarre / Toallero chico 45cm</v>
      </c>
      <c r="E460" s="249" t="s">
        <v>229</v>
      </c>
      <c r="F460" s="268" t="s">
        <v>355</v>
      </c>
      <c r="G460" s="249" t="s">
        <v>767</v>
      </c>
      <c r="H460" s="249" t="s">
        <v>435</v>
      </c>
      <c r="I460" s="268" t="s">
        <v>410</v>
      </c>
      <c r="J460" s="249">
        <v>1</v>
      </c>
      <c r="K460" s="268" t="s">
        <v>153</v>
      </c>
      <c r="L460" s="432">
        <f>GC!$F$9</f>
        <v>471.15</v>
      </c>
      <c r="M460" s="433">
        <f t="shared" si="35"/>
        <v>471.15</v>
      </c>
      <c r="N460" s="249">
        <v>0</v>
      </c>
      <c r="O460" s="433">
        <f t="shared" si="36"/>
        <v>0</v>
      </c>
      <c r="P460" s="434">
        <v>0.16</v>
      </c>
      <c r="Q460" s="433">
        <f t="shared" si="37"/>
        <v>75.384</v>
      </c>
      <c r="R460" s="433">
        <f t="shared" si="38"/>
        <v>546.53399999999999</v>
      </c>
      <c r="S460" s="433">
        <f>INDEX('Glosario Partidas'!$M$8:$M$10,MATCH(K460,'Glosario Partidas'!$L$8:$L$10,0))</f>
        <v>17.5</v>
      </c>
      <c r="T460" s="433">
        <f t="shared" si="39"/>
        <v>9564.3449999999993</v>
      </c>
      <c r="U460" s="268"/>
      <c r="V460" s="249" t="s">
        <v>12</v>
      </c>
      <c r="W460" s="249" t="s">
        <v>491</v>
      </c>
      <c r="X460" s="249"/>
    </row>
    <row r="461" spans="1:24" ht="15" customHeight="1" x14ac:dyDescent="0.2">
      <c r="A461" s="268"/>
      <c r="B461" s="268" t="s">
        <v>108</v>
      </c>
      <c r="C461" s="268" t="s">
        <v>403</v>
      </c>
      <c r="D461" s="431" t="str">
        <f>GC!$B$11</f>
        <v>Gancho</v>
      </c>
      <c r="E461" s="249" t="s">
        <v>229</v>
      </c>
      <c r="F461" s="268" t="s">
        <v>355</v>
      </c>
      <c r="G461" s="249" t="s">
        <v>767</v>
      </c>
      <c r="H461" s="249" t="s">
        <v>435</v>
      </c>
      <c r="I461" s="268" t="s">
        <v>410</v>
      </c>
      <c r="J461" s="249">
        <v>2</v>
      </c>
      <c r="K461" s="268" t="s">
        <v>153</v>
      </c>
      <c r="L461" s="432">
        <f>GC!$F$11</f>
        <v>61.111086999999998</v>
      </c>
      <c r="M461" s="433">
        <f t="shared" si="35"/>
        <v>122.222174</v>
      </c>
      <c r="N461" s="249">
        <v>0</v>
      </c>
      <c r="O461" s="433">
        <f t="shared" si="36"/>
        <v>0</v>
      </c>
      <c r="P461" s="434">
        <v>0.16</v>
      </c>
      <c r="Q461" s="433">
        <f t="shared" si="37"/>
        <v>19.555547839999999</v>
      </c>
      <c r="R461" s="433">
        <f t="shared" si="38"/>
        <v>141.77772184</v>
      </c>
      <c r="S461" s="433">
        <f>INDEX('Glosario Partidas'!$M$8:$M$10,MATCH(K461,'Glosario Partidas'!$L$8:$L$10,0))</f>
        <v>17.5</v>
      </c>
      <c r="T461" s="433">
        <f t="shared" si="39"/>
        <v>2481.1101322</v>
      </c>
      <c r="U461" s="268"/>
      <c r="V461" s="249" t="s">
        <v>12</v>
      </c>
      <c r="W461" s="249" t="s">
        <v>491</v>
      </c>
      <c r="X461" s="249"/>
    </row>
    <row r="462" spans="1:24" ht="15" customHeight="1" x14ac:dyDescent="0.2">
      <c r="A462" s="268"/>
      <c r="B462" s="268" t="s">
        <v>108</v>
      </c>
      <c r="C462" s="268" t="s">
        <v>1088</v>
      </c>
      <c r="D462" s="431" t="str">
        <f>GC!$B$7</f>
        <v>Inodoro a piso de una pieza (Starck 3)</v>
      </c>
      <c r="E462" s="249" t="s">
        <v>229</v>
      </c>
      <c r="F462" s="268" t="s">
        <v>355</v>
      </c>
      <c r="G462" s="249" t="s">
        <v>766</v>
      </c>
      <c r="H462" s="249" t="s">
        <v>435</v>
      </c>
      <c r="I462" s="268" t="s">
        <v>410</v>
      </c>
      <c r="J462" s="249">
        <v>1</v>
      </c>
      <c r="K462" s="268" t="s">
        <v>153</v>
      </c>
      <c r="L462" s="432">
        <f>GC!$F$7</f>
        <v>667.07</v>
      </c>
      <c r="M462" s="433">
        <f t="shared" si="35"/>
        <v>667.07</v>
      </c>
      <c r="N462" s="249">
        <v>0</v>
      </c>
      <c r="O462" s="433">
        <f t="shared" si="36"/>
        <v>0</v>
      </c>
      <c r="P462" s="434">
        <v>0.16</v>
      </c>
      <c r="Q462" s="433">
        <f t="shared" si="37"/>
        <v>106.73120000000002</v>
      </c>
      <c r="R462" s="433">
        <f t="shared" si="38"/>
        <v>773.80120000000011</v>
      </c>
      <c r="S462" s="433">
        <f>INDEX('Glosario Partidas'!$M$8:$M$10,MATCH(K462,'Glosario Partidas'!$L$8:$L$10,0))</f>
        <v>17.5</v>
      </c>
      <c r="T462" s="433">
        <f t="shared" si="39"/>
        <v>13541.521000000002</v>
      </c>
      <c r="U462" s="268"/>
      <c r="V462" s="249" t="s">
        <v>12</v>
      </c>
      <c r="W462" s="249" t="s">
        <v>491</v>
      </c>
      <c r="X462" s="249"/>
    </row>
    <row r="463" spans="1:24" ht="15" customHeight="1" x14ac:dyDescent="0.2">
      <c r="A463" s="268"/>
      <c r="B463" s="268" t="s">
        <v>108</v>
      </c>
      <c r="C463" s="268" t="s">
        <v>1088</v>
      </c>
      <c r="D463" s="431" t="str">
        <f>GC!$B$8</f>
        <v>Monomando de lavabo con válvula automática</v>
      </c>
      <c r="E463" s="249" t="s">
        <v>229</v>
      </c>
      <c r="F463" s="268" t="s">
        <v>355</v>
      </c>
      <c r="G463" s="249" t="s">
        <v>766</v>
      </c>
      <c r="H463" s="249" t="s">
        <v>435</v>
      </c>
      <c r="I463" s="268" t="s">
        <v>410</v>
      </c>
      <c r="J463" s="249">
        <v>1</v>
      </c>
      <c r="K463" s="268" t="s">
        <v>153</v>
      </c>
      <c r="L463" s="432">
        <f>GC!$F$8</f>
        <v>975.99151900000004</v>
      </c>
      <c r="M463" s="433">
        <f t="shared" si="35"/>
        <v>975.99151900000004</v>
      </c>
      <c r="N463" s="249">
        <v>0</v>
      </c>
      <c r="O463" s="433">
        <f t="shared" si="36"/>
        <v>0</v>
      </c>
      <c r="P463" s="434">
        <v>0.16</v>
      </c>
      <c r="Q463" s="433">
        <f t="shared" si="37"/>
        <v>156.15864304000002</v>
      </c>
      <c r="R463" s="433">
        <f t="shared" si="38"/>
        <v>1132.1501620399999</v>
      </c>
      <c r="S463" s="433">
        <f>INDEX('Glosario Partidas'!$M$8:$M$10,MATCH(K463,'Glosario Partidas'!$L$8:$L$10,0))</f>
        <v>17.5</v>
      </c>
      <c r="T463" s="433">
        <f t="shared" si="39"/>
        <v>19812.627835699997</v>
      </c>
      <c r="U463" s="268"/>
      <c r="V463" s="249" t="s">
        <v>12</v>
      </c>
      <c r="W463" s="249" t="s">
        <v>491</v>
      </c>
      <c r="X463" s="249"/>
    </row>
    <row r="464" spans="1:24" ht="15" customHeight="1" x14ac:dyDescent="0.2">
      <c r="A464" s="268"/>
      <c r="B464" s="268" t="s">
        <v>108</v>
      </c>
      <c r="C464" s="268" t="s">
        <v>1088</v>
      </c>
      <c r="D464" s="431" t="str">
        <f>GC!$B$21</f>
        <v>Soporte para vidrio (SERIES SPECIFIC, XS-081077, Brushed Dark Platinum)</v>
      </c>
      <c r="E464" s="249" t="s">
        <v>229</v>
      </c>
      <c r="F464" s="268" t="s">
        <v>355</v>
      </c>
      <c r="G464" s="249" t="s">
        <v>766</v>
      </c>
      <c r="H464" s="249" t="s">
        <v>435</v>
      </c>
      <c r="I464" s="268" t="s">
        <v>410</v>
      </c>
      <c r="J464" s="249">
        <v>1</v>
      </c>
      <c r="K464" s="268" t="s">
        <v>153</v>
      </c>
      <c r="L464" s="432">
        <f>GC!$F$21</f>
        <v>281.02</v>
      </c>
      <c r="M464" s="433">
        <f t="shared" si="35"/>
        <v>281.02</v>
      </c>
      <c r="N464" s="249">
        <v>0</v>
      </c>
      <c r="O464" s="433">
        <f t="shared" si="36"/>
        <v>0</v>
      </c>
      <c r="P464" s="434">
        <v>0.16</v>
      </c>
      <c r="Q464" s="433">
        <f t="shared" si="37"/>
        <v>44.963200000000001</v>
      </c>
      <c r="R464" s="433">
        <f t="shared" si="38"/>
        <v>325.98320000000001</v>
      </c>
      <c r="S464" s="433">
        <f>INDEX('Glosario Partidas'!$M$8:$M$10,MATCH(K464,'Glosario Partidas'!$L$8:$L$10,0))</f>
        <v>17.5</v>
      </c>
      <c r="T464" s="433">
        <f t="shared" si="39"/>
        <v>5704.7060000000001</v>
      </c>
      <c r="U464" s="268" t="s">
        <v>1084</v>
      </c>
      <c r="V464" s="249" t="s">
        <v>12</v>
      </c>
      <c r="W464" s="249" t="s">
        <v>491</v>
      </c>
      <c r="X464" s="249"/>
    </row>
    <row r="465" spans="1:24" ht="15" customHeight="1" x14ac:dyDescent="0.2">
      <c r="A465" s="268"/>
      <c r="B465" s="268" t="s">
        <v>108</v>
      </c>
      <c r="C465" s="268" t="s">
        <v>1088</v>
      </c>
      <c r="D465" s="431" t="str">
        <f>GC!$B$12</f>
        <v>Set de ducha de mano con soporte de pared integrado</v>
      </c>
      <c r="E465" s="249" t="s">
        <v>229</v>
      </c>
      <c r="F465" s="268" t="s">
        <v>355</v>
      </c>
      <c r="G465" s="249" t="s">
        <v>766</v>
      </c>
      <c r="H465" s="249" t="s">
        <v>435</v>
      </c>
      <c r="I465" s="268" t="s">
        <v>410</v>
      </c>
      <c r="J465" s="249">
        <v>1</v>
      </c>
      <c r="K465" s="268" t="s">
        <v>153</v>
      </c>
      <c r="L465" s="432">
        <f>GC!$F$12</f>
        <v>325.25947400000001</v>
      </c>
      <c r="M465" s="433">
        <f t="shared" si="35"/>
        <v>325.25947400000001</v>
      </c>
      <c r="N465" s="249">
        <v>0</v>
      </c>
      <c r="O465" s="433">
        <f t="shared" si="36"/>
        <v>0</v>
      </c>
      <c r="P465" s="434">
        <v>0.16</v>
      </c>
      <c r="Q465" s="433">
        <f t="shared" si="37"/>
        <v>52.041515840000002</v>
      </c>
      <c r="R465" s="433">
        <f t="shared" si="38"/>
        <v>377.30098984</v>
      </c>
      <c r="S465" s="433">
        <f>INDEX('Glosario Partidas'!$M$8:$M$10,MATCH(K465,'Glosario Partidas'!$L$8:$L$10,0))</f>
        <v>17.5</v>
      </c>
      <c r="T465" s="433">
        <f t="shared" si="39"/>
        <v>6602.7673222000003</v>
      </c>
      <c r="U465" s="268"/>
      <c r="V465" s="249" t="s">
        <v>12</v>
      </c>
      <c r="W465" s="249" t="s">
        <v>491</v>
      </c>
      <c r="X465" s="249"/>
    </row>
    <row r="466" spans="1:24" ht="15" customHeight="1" x14ac:dyDescent="0.2">
      <c r="A466" s="268"/>
      <c r="B466" s="268" t="s">
        <v>108</v>
      </c>
      <c r="C466" s="268" t="s">
        <v>1088</v>
      </c>
      <c r="D466" s="431" t="str">
        <f>GC!$B$13</f>
        <v>Ducha efecto lluvia con fijación a pared 400 mm</v>
      </c>
      <c r="E466" s="249" t="s">
        <v>229</v>
      </c>
      <c r="F466" s="268" t="s">
        <v>355</v>
      </c>
      <c r="G466" s="249" t="s">
        <v>766</v>
      </c>
      <c r="H466" s="249" t="s">
        <v>435</v>
      </c>
      <c r="I466" s="268" t="s">
        <v>410</v>
      </c>
      <c r="J466" s="249">
        <v>1</v>
      </c>
      <c r="K466" s="268" t="s">
        <v>153</v>
      </c>
      <c r="L466" s="432">
        <f>GC!$F$13</f>
        <v>1807.197105</v>
      </c>
      <c r="M466" s="433">
        <f t="shared" si="35"/>
        <v>1807.197105</v>
      </c>
      <c r="N466" s="249">
        <v>0</v>
      </c>
      <c r="O466" s="433">
        <f t="shared" si="36"/>
        <v>0</v>
      </c>
      <c r="P466" s="434">
        <v>0.16</v>
      </c>
      <c r="Q466" s="433">
        <f t="shared" si="37"/>
        <v>289.15153679999997</v>
      </c>
      <c r="R466" s="433">
        <f t="shared" si="38"/>
        <v>2096.3486417999998</v>
      </c>
      <c r="S466" s="433">
        <f>INDEX('Glosario Partidas'!$M$8:$M$10,MATCH(K466,'Glosario Partidas'!$L$8:$L$10,0))</f>
        <v>17.5</v>
      </c>
      <c r="T466" s="433">
        <f t="shared" si="39"/>
        <v>36686.101231499997</v>
      </c>
      <c r="U466" s="268"/>
      <c r="V466" s="249" t="s">
        <v>12</v>
      </c>
      <c r="W466" s="249" t="s">
        <v>491</v>
      </c>
      <c r="X466" s="249"/>
    </row>
    <row r="467" spans="1:24" ht="15" customHeight="1" x14ac:dyDescent="0.2">
      <c r="A467" s="268"/>
      <c r="B467" s="268" t="s">
        <v>108</v>
      </c>
      <c r="C467" s="268" t="s">
        <v>1088</v>
      </c>
      <c r="D467" s="431" t="str">
        <f>GC!$B$22</f>
        <v>Canaleta de ducha para piedra natural TECE showerline (15201082)</v>
      </c>
      <c r="E467" s="249" t="s">
        <v>229</v>
      </c>
      <c r="F467" s="268" t="s">
        <v>355</v>
      </c>
      <c r="G467" s="249" t="s">
        <v>766</v>
      </c>
      <c r="H467" s="249" t="s">
        <v>435</v>
      </c>
      <c r="I467" s="268" t="s">
        <v>410</v>
      </c>
      <c r="J467" s="249">
        <v>1</v>
      </c>
      <c r="K467" s="268" t="s">
        <v>153</v>
      </c>
      <c r="L467" s="432">
        <f>GC!$F$22</f>
        <v>290.33763199999999</v>
      </c>
      <c r="M467" s="433">
        <f t="shared" si="35"/>
        <v>290.33763199999999</v>
      </c>
      <c r="N467" s="249">
        <v>0</v>
      </c>
      <c r="O467" s="433">
        <f t="shared" si="36"/>
        <v>0</v>
      </c>
      <c r="P467" s="434">
        <v>0.16</v>
      </c>
      <c r="Q467" s="433">
        <f t="shared" si="37"/>
        <v>46.45402112</v>
      </c>
      <c r="R467" s="433">
        <f t="shared" si="38"/>
        <v>336.79165311999998</v>
      </c>
      <c r="S467" s="433">
        <f>INDEX('Glosario Partidas'!$M$8:$M$10,MATCH(K467,'Glosario Partidas'!$L$8:$L$10,0))</f>
        <v>17.5</v>
      </c>
      <c r="T467" s="433">
        <f t="shared" si="39"/>
        <v>5893.8539295999999</v>
      </c>
      <c r="U467" s="268" t="s">
        <v>1085</v>
      </c>
      <c r="V467" s="249" t="s">
        <v>12</v>
      </c>
      <c r="W467" s="249" t="s">
        <v>491</v>
      </c>
      <c r="X467" s="249"/>
    </row>
    <row r="468" spans="1:24" ht="15" customHeight="1" x14ac:dyDescent="0.2">
      <c r="A468" s="268"/>
      <c r="B468" s="268" t="s">
        <v>108</v>
      </c>
      <c r="C468" s="268" t="s">
        <v>1088</v>
      </c>
      <c r="D468" s="431" t="str">
        <f>GC!$B$14</f>
        <v>Termostato oculto con control de volumen bidireccional</v>
      </c>
      <c r="E468" s="249" t="s">
        <v>229</v>
      </c>
      <c r="F468" s="268" t="s">
        <v>355</v>
      </c>
      <c r="G468" s="249" t="s">
        <v>766</v>
      </c>
      <c r="H468" s="249" t="s">
        <v>435</v>
      </c>
      <c r="I468" s="268" t="s">
        <v>410</v>
      </c>
      <c r="J468" s="249">
        <v>1</v>
      </c>
      <c r="K468" s="268" t="s">
        <v>153</v>
      </c>
      <c r="L468" s="432">
        <f>GC!$F$14</f>
        <v>350.19605300000001</v>
      </c>
      <c r="M468" s="433">
        <f t="shared" si="35"/>
        <v>350.19605300000001</v>
      </c>
      <c r="N468" s="249">
        <v>0</v>
      </c>
      <c r="O468" s="433">
        <f t="shared" si="36"/>
        <v>0</v>
      </c>
      <c r="P468" s="434">
        <v>0.16</v>
      </c>
      <c r="Q468" s="433">
        <f t="shared" si="37"/>
        <v>56.031368480000005</v>
      </c>
      <c r="R468" s="433">
        <f t="shared" si="38"/>
        <v>406.22742148000003</v>
      </c>
      <c r="S468" s="433">
        <f>INDEX('Glosario Partidas'!$M$8:$M$10,MATCH(K468,'Glosario Partidas'!$L$8:$L$10,0))</f>
        <v>17.5</v>
      </c>
      <c r="T468" s="433">
        <f t="shared" si="39"/>
        <v>7108.9798759000005</v>
      </c>
      <c r="U468" s="268"/>
      <c r="V468" s="249" t="s">
        <v>12</v>
      </c>
      <c r="W468" s="249" t="s">
        <v>491</v>
      </c>
      <c r="X468" s="249"/>
    </row>
    <row r="469" spans="1:24" ht="15" customHeight="1" x14ac:dyDescent="0.2">
      <c r="A469" s="268"/>
      <c r="B469" s="268" t="s">
        <v>108</v>
      </c>
      <c r="C469" s="268" t="s">
        <v>1088</v>
      </c>
      <c r="D469" s="431" t="str">
        <f>GC!$B$15</f>
        <v>Termostato empotrado (rough)</v>
      </c>
      <c r="E469" s="249" t="s">
        <v>229</v>
      </c>
      <c r="F469" s="268" t="s">
        <v>355</v>
      </c>
      <c r="G469" s="249" t="s">
        <v>766</v>
      </c>
      <c r="H469" s="249" t="s">
        <v>435</v>
      </c>
      <c r="I469" s="268" t="s">
        <v>410</v>
      </c>
      <c r="J469" s="249">
        <v>1</v>
      </c>
      <c r="K469" s="268" t="s">
        <v>153</v>
      </c>
      <c r="L469" s="432">
        <f>GC!$F$15</f>
        <v>313.33</v>
      </c>
      <c r="M469" s="433">
        <f t="shared" si="35"/>
        <v>313.33</v>
      </c>
      <c r="N469" s="249">
        <v>0</v>
      </c>
      <c r="O469" s="433">
        <f t="shared" si="36"/>
        <v>0</v>
      </c>
      <c r="P469" s="434">
        <v>0.16</v>
      </c>
      <c r="Q469" s="433">
        <f t="shared" si="37"/>
        <v>50.132799999999996</v>
      </c>
      <c r="R469" s="433">
        <f t="shared" si="38"/>
        <v>363.46279999999996</v>
      </c>
      <c r="S469" s="433">
        <f>INDEX('Glosario Partidas'!$M$8:$M$10,MATCH(K469,'Glosario Partidas'!$L$8:$L$10,0))</f>
        <v>17.5</v>
      </c>
      <c r="T469" s="433">
        <f t="shared" si="39"/>
        <v>6360.5989999999993</v>
      </c>
      <c r="U469" s="268"/>
      <c r="V469" s="249" t="s">
        <v>12</v>
      </c>
      <c r="W469" s="249" t="s">
        <v>491</v>
      </c>
      <c r="X469" s="249"/>
    </row>
    <row r="470" spans="1:24" ht="15" customHeight="1" x14ac:dyDescent="0.2">
      <c r="A470" s="268"/>
      <c r="B470" s="268" t="s">
        <v>108</v>
      </c>
      <c r="C470" s="268" t="s">
        <v>1088</v>
      </c>
      <c r="D470" s="431" t="str">
        <f>GC!$B$10</f>
        <v>Soporte para papel higiénico sin cubierta</v>
      </c>
      <c r="E470" s="249" t="s">
        <v>229</v>
      </c>
      <c r="F470" s="268" t="s">
        <v>355</v>
      </c>
      <c r="G470" s="249" t="s">
        <v>766</v>
      </c>
      <c r="H470" s="249" t="s">
        <v>435</v>
      </c>
      <c r="I470" s="268" t="s">
        <v>410</v>
      </c>
      <c r="J470" s="249">
        <v>1</v>
      </c>
      <c r="K470" s="268" t="s">
        <v>153</v>
      </c>
      <c r="L470" s="432">
        <f>GC!$F$10</f>
        <v>238.874348</v>
      </c>
      <c r="M470" s="433">
        <f t="shared" si="35"/>
        <v>238.874348</v>
      </c>
      <c r="N470" s="249">
        <v>0</v>
      </c>
      <c r="O470" s="433">
        <f t="shared" si="36"/>
        <v>0</v>
      </c>
      <c r="P470" s="434">
        <v>0.16</v>
      </c>
      <c r="Q470" s="433">
        <f t="shared" si="37"/>
        <v>38.21989568</v>
      </c>
      <c r="R470" s="433">
        <f t="shared" si="38"/>
        <v>277.09424367999998</v>
      </c>
      <c r="S470" s="433">
        <f>INDEX('Glosario Partidas'!$M$8:$M$10,MATCH(K470,'Glosario Partidas'!$L$8:$L$10,0))</f>
        <v>17.5</v>
      </c>
      <c r="T470" s="433">
        <f t="shared" si="39"/>
        <v>4849.1492644</v>
      </c>
      <c r="U470" s="268"/>
      <c r="V470" s="249" t="s">
        <v>12</v>
      </c>
      <c r="W470" s="249" t="s">
        <v>491</v>
      </c>
      <c r="X470" s="249"/>
    </row>
    <row r="471" spans="1:24" ht="15" customHeight="1" x14ac:dyDescent="0.2">
      <c r="A471" s="268"/>
      <c r="B471" s="268" t="s">
        <v>108</v>
      </c>
      <c r="C471" s="268" t="s">
        <v>1088</v>
      </c>
      <c r="D471" s="431" t="str">
        <f>GC!$B$9</f>
        <v>Barra de agarre / Toallero chico 45cm</v>
      </c>
      <c r="E471" s="249" t="s">
        <v>229</v>
      </c>
      <c r="F471" s="268" t="s">
        <v>355</v>
      </c>
      <c r="G471" s="249" t="s">
        <v>766</v>
      </c>
      <c r="H471" s="249" t="s">
        <v>435</v>
      </c>
      <c r="I471" s="268" t="s">
        <v>410</v>
      </c>
      <c r="J471" s="249">
        <v>1</v>
      </c>
      <c r="K471" s="268" t="s">
        <v>153</v>
      </c>
      <c r="L471" s="432">
        <f>GC!$F$9</f>
        <v>471.15</v>
      </c>
      <c r="M471" s="433">
        <f t="shared" si="35"/>
        <v>471.15</v>
      </c>
      <c r="N471" s="249">
        <v>0</v>
      </c>
      <c r="O471" s="433">
        <f t="shared" si="36"/>
        <v>0</v>
      </c>
      <c r="P471" s="434">
        <v>0.16</v>
      </c>
      <c r="Q471" s="433">
        <f t="shared" si="37"/>
        <v>75.384</v>
      </c>
      <c r="R471" s="433">
        <f t="shared" si="38"/>
        <v>546.53399999999999</v>
      </c>
      <c r="S471" s="433">
        <f>INDEX('Glosario Partidas'!$M$8:$M$10,MATCH(K471,'Glosario Partidas'!$L$8:$L$10,0))</f>
        <v>17.5</v>
      </c>
      <c r="T471" s="433">
        <f t="shared" si="39"/>
        <v>9564.3449999999993</v>
      </c>
      <c r="U471" s="268"/>
      <c r="V471" s="249" t="s">
        <v>12</v>
      </c>
      <c r="W471" s="249" t="s">
        <v>491</v>
      </c>
      <c r="X471" s="249"/>
    </row>
    <row r="472" spans="1:24" ht="15" customHeight="1" x14ac:dyDescent="0.2">
      <c r="A472" s="268"/>
      <c r="B472" s="268" t="s">
        <v>108</v>
      </c>
      <c r="C472" s="268" t="s">
        <v>1088</v>
      </c>
      <c r="D472" s="431" t="str">
        <f>GC!$B$11</f>
        <v>Gancho</v>
      </c>
      <c r="E472" s="249" t="s">
        <v>229</v>
      </c>
      <c r="F472" s="268" t="s">
        <v>355</v>
      </c>
      <c r="G472" s="249" t="s">
        <v>766</v>
      </c>
      <c r="H472" s="249" t="s">
        <v>435</v>
      </c>
      <c r="I472" s="268" t="s">
        <v>410</v>
      </c>
      <c r="J472" s="249">
        <v>2</v>
      </c>
      <c r="K472" s="268" t="s">
        <v>153</v>
      </c>
      <c r="L472" s="432">
        <f>GC!$F$11</f>
        <v>61.111086999999998</v>
      </c>
      <c r="M472" s="433">
        <f t="shared" si="35"/>
        <v>122.222174</v>
      </c>
      <c r="N472" s="249">
        <v>0</v>
      </c>
      <c r="O472" s="433">
        <f t="shared" si="36"/>
        <v>0</v>
      </c>
      <c r="P472" s="434">
        <v>0.16</v>
      </c>
      <c r="Q472" s="433">
        <f t="shared" si="37"/>
        <v>19.555547839999999</v>
      </c>
      <c r="R472" s="433">
        <f t="shared" si="38"/>
        <v>141.77772184</v>
      </c>
      <c r="S472" s="433">
        <f>INDEX('Glosario Partidas'!$M$8:$M$10,MATCH(K472,'Glosario Partidas'!$L$8:$L$10,0))</f>
        <v>17.5</v>
      </c>
      <c r="T472" s="433">
        <f t="shared" si="39"/>
        <v>2481.1101322</v>
      </c>
      <c r="U472" s="268"/>
      <c r="V472" s="249" t="s">
        <v>12</v>
      </c>
      <c r="W472" s="249" t="s">
        <v>491</v>
      </c>
      <c r="X472" s="249"/>
    </row>
    <row r="473" spans="1:24" ht="15" customHeight="1" x14ac:dyDescent="0.2">
      <c r="A473" s="268"/>
      <c r="B473" s="268" t="s">
        <v>108</v>
      </c>
      <c r="C473" s="268" t="s">
        <v>1088</v>
      </c>
      <c r="D473" s="431" t="str">
        <f>GC!$B$7</f>
        <v>Inodoro a piso de una pieza (Starck 3)</v>
      </c>
      <c r="E473" s="249" t="s">
        <v>229</v>
      </c>
      <c r="F473" s="268" t="s">
        <v>355</v>
      </c>
      <c r="G473" s="249" t="s">
        <v>767</v>
      </c>
      <c r="H473" s="249" t="s">
        <v>435</v>
      </c>
      <c r="I473" s="268" t="s">
        <v>410</v>
      </c>
      <c r="J473" s="249">
        <v>1</v>
      </c>
      <c r="K473" s="268" t="s">
        <v>153</v>
      </c>
      <c r="L473" s="432">
        <f>GC!$F$7</f>
        <v>667.07</v>
      </c>
      <c r="M473" s="433">
        <f t="shared" si="35"/>
        <v>667.07</v>
      </c>
      <c r="N473" s="249">
        <v>0</v>
      </c>
      <c r="O473" s="433">
        <f t="shared" si="36"/>
        <v>0</v>
      </c>
      <c r="P473" s="434">
        <v>0.16</v>
      </c>
      <c r="Q473" s="433">
        <f t="shared" si="37"/>
        <v>106.73120000000002</v>
      </c>
      <c r="R473" s="433">
        <f t="shared" si="38"/>
        <v>773.80120000000011</v>
      </c>
      <c r="S473" s="433">
        <f>INDEX('Glosario Partidas'!$M$8:$M$10,MATCH(K473,'Glosario Partidas'!$L$8:$L$10,0))</f>
        <v>17.5</v>
      </c>
      <c r="T473" s="433">
        <f t="shared" si="39"/>
        <v>13541.521000000002</v>
      </c>
      <c r="U473" s="268"/>
      <c r="V473" s="249" t="s">
        <v>12</v>
      </c>
      <c r="W473" s="249" t="s">
        <v>491</v>
      </c>
      <c r="X473" s="249"/>
    </row>
    <row r="474" spans="1:24" ht="15" customHeight="1" x14ac:dyDescent="0.2">
      <c r="A474" s="268"/>
      <c r="B474" s="268" t="s">
        <v>108</v>
      </c>
      <c r="C474" s="268" t="s">
        <v>1088</v>
      </c>
      <c r="D474" s="431" t="str">
        <f>GC!$B$8</f>
        <v>Monomando de lavabo con válvula automática</v>
      </c>
      <c r="E474" s="249" t="s">
        <v>229</v>
      </c>
      <c r="F474" s="268" t="s">
        <v>355</v>
      </c>
      <c r="G474" s="249" t="s">
        <v>767</v>
      </c>
      <c r="H474" s="249" t="s">
        <v>435</v>
      </c>
      <c r="I474" s="268" t="s">
        <v>410</v>
      </c>
      <c r="J474" s="249">
        <v>1</v>
      </c>
      <c r="K474" s="268" t="s">
        <v>153</v>
      </c>
      <c r="L474" s="432">
        <f>GC!$F$8</f>
        <v>975.99151900000004</v>
      </c>
      <c r="M474" s="433">
        <f t="shared" si="35"/>
        <v>975.99151900000004</v>
      </c>
      <c r="N474" s="249">
        <v>0</v>
      </c>
      <c r="O474" s="433">
        <f t="shared" si="36"/>
        <v>0</v>
      </c>
      <c r="P474" s="434">
        <v>0.16</v>
      </c>
      <c r="Q474" s="433">
        <f t="shared" si="37"/>
        <v>156.15864304000002</v>
      </c>
      <c r="R474" s="433">
        <f t="shared" si="38"/>
        <v>1132.1501620399999</v>
      </c>
      <c r="S474" s="433">
        <f>INDEX('Glosario Partidas'!$M$8:$M$10,MATCH(K474,'Glosario Partidas'!$L$8:$L$10,0))</f>
        <v>17.5</v>
      </c>
      <c r="T474" s="433">
        <f t="shared" si="39"/>
        <v>19812.627835699997</v>
      </c>
      <c r="U474" s="268"/>
      <c r="V474" s="249" t="s">
        <v>12</v>
      </c>
      <c r="W474" s="249" t="s">
        <v>491</v>
      </c>
      <c r="X474" s="249"/>
    </row>
    <row r="475" spans="1:24" ht="15" customHeight="1" x14ac:dyDescent="0.2">
      <c r="A475" s="268"/>
      <c r="B475" s="268" t="s">
        <v>108</v>
      </c>
      <c r="C475" s="268" t="s">
        <v>1088</v>
      </c>
      <c r="D475" s="431" t="str">
        <f>GC!$B$21</f>
        <v>Soporte para vidrio (SERIES SPECIFIC, XS-081077, Brushed Dark Platinum)</v>
      </c>
      <c r="E475" s="249" t="s">
        <v>229</v>
      </c>
      <c r="F475" s="268" t="s">
        <v>355</v>
      </c>
      <c r="G475" s="249" t="s">
        <v>767</v>
      </c>
      <c r="H475" s="249" t="s">
        <v>435</v>
      </c>
      <c r="I475" s="268" t="s">
        <v>410</v>
      </c>
      <c r="J475" s="249">
        <v>1</v>
      </c>
      <c r="K475" s="268" t="s">
        <v>153</v>
      </c>
      <c r="L475" s="432">
        <f>GC!$F$21</f>
        <v>281.02</v>
      </c>
      <c r="M475" s="433">
        <f t="shared" si="35"/>
        <v>281.02</v>
      </c>
      <c r="N475" s="249">
        <v>0</v>
      </c>
      <c r="O475" s="433">
        <f t="shared" si="36"/>
        <v>0</v>
      </c>
      <c r="P475" s="434">
        <v>0.16</v>
      </c>
      <c r="Q475" s="433">
        <f t="shared" si="37"/>
        <v>44.963200000000001</v>
      </c>
      <c r="R475" s="433">
        <f t="shared" si="38"/>
        <v>325.98320000000001</v>
      </c>
      <c r="S475" s="433">
        <f>INDEX('Glosario Partidas'!$M$8:$M$10,MATCH(K475,'Glosario Partidas'!$L$8:$L$10,0))</f>
        <v>17.5</v>
      </c>
      <c r="T475" s="433">
        <f t="shared" si="39"/>
        <v>5704.7060000000001</v>
      </c>
      <c r="U475" s="268" t="s">
        <v>1084</v>
      </c>
      <c r="V475" s="249" t="s">
        <v>12</v>
      </c>
      <c r="W475" s="249" t="s">
        <v>491</v>
      </c>
      <c r="X475" s="249"/>
    </row>
    <row r="476" spans="1:24" ht="15" customHeight="1" x14ac:dyDescent="0.2">
      <c r="A476" s="268"/>
      <c r="B476" s="268" t="s">
        <v>108</v>
      </c>
      <c r="C476" s="268" t="s">
        <v>1088</v>
      </c>
      <c r="D476" s="431" t="str">
        <f>GC!$B$12</f>
        <v>Set de ducha de mano con soporte de pared integrado</v>
      </c>
      <c r="E476" s="249" t="s">
        <v>229</v>
      </c>
      <c r="F476" s="268" t="s">
        <v>355</v>
      </c>
      <c r="G476" s="249" t="s">
        <v>767</v>
      </c>
      <c r="H476" s="249" t="s">
        <v>435</v>
      </c>
      <c r="I476" s="268" t="s">
        <v>410</v>
      </c>
      <c r="J476" s="249">
        <v>1</v>
      </c>
      <c r="K476" s="268" t="s">
        <v>153</v>
      </c>
      <c r="L476" s="432">
        <f>GC!$F$12</f>
        <v>325.25947400000001</v>
      </c>
      <c r="M476" s="433">
        <f t="shared" si="35"/>
        <v>325.25947400000001</v>
      </c>
      <c r="N476" s="249">
        <v>0</v>
      </c>
      <c r="O476" s="433">
        <f t="shared" si="36"/>
        <v>0</v>
      </c>
      <c r="P476" s="434">
        <v>0.16</v>
      </c>
      <c r="Q476" s="433">
        <f t="shared" si="37"/>
        <v>52.041515840000002</v>
      </c>
      <c r="R476" s="433">
        <f t="shared" si="38"/>
        <v>377.30098984</v>
      </c>
      <c r="S476" s="433">
        <f>INDEX('Glosario Partidas'!$M$8:$M$10,MATCH(K476,'Glosario Partidas'!$L$8:$L$10,0))</f>
        <v>17.5</v>
      </c>
      <c r="T476" s="433">
        <f t="shared" si="39"/>
        <v>6602.7673222000003</v>
      </c>
      <c r="U476" s="268"/>
      <c r="V476" s="249" t="s">
        <v>12</v>
      </c>
      <c r="W476" s="249" t="s">
        <v>491</v>
      </c>
      <c r="X476" s="249"/>
    </row>
    <row r="477" spans="1:24" ht="15" customHeight="1" x14ac:dyDescent="0.2">
      <c r="A477" s="268"/>
      <c r="B477" s="268" t="s">
        <v>108</v>
      </c>
      <c r="C477" s="268" t="s">
        <v>1088</v>
      </c>
      <c r="D477" s="431" t="str">
        <f>GC!$B$13</f>
        <v>Ducha efecto lluvia con fijación a pared 400 mm</v>
      </c>
      <c r="E477" s="249" t="s">
        <v>229</v>
      </c>
      <c r="F477" s="268" t="s">
        <v>355</v>
      </c>
      <c r="G477" s="249" t="s">
        <v>767</v>
      </c>
      <c r="H477" s="249" t="s">
        <v>435</v>
      </c>
      <c r="I477" s="268" t="s">
        <v>410</v>
      </c>
      <c r="J477" s="249">
        <v>1</v>
      </c>
      <c r="K477" s="268" t="s">
        <v>153</v>
      </c>
      <c r="L477" s="432">
        <f>GC!$F$13</f>
        <v>1807.197105</v>
      </c>
      <c r="M477" s="433">
        <f t="shared" si="35"/>
        <v>1807.197105</v>
      </c>
      <c r="N477" s="249">
        <v>0</v>
      </c>
      <c r="O477" s="433">
        <f t="shared" si="36"/>
        <v>0</v>
      </c>
      <c r="P477" s="434">
        <v>0.16</v>
      </c>
      <c r="Q477" s="433">
        <f t="shared" si="37"/>
        <v>289.15153679999997</v>
      </c>
      <c r="R477" s="433">
        <f t="shared" si="38"/>
        <v>2096.3486417999998</v>
      </c>
      <c r="S477" s="433">
        <f>INDEX('Glosario Partidas'!$M$8:$M$10,MATCH(K477,'Glosario Partidas'!$L$8:$L$10,0))</f>
        <v>17.5</v>
      </c>
      <c r="T477" s="433">
        <f t="shared" si="39"/>
        <v>36686.101231499997</v>
      </c>
      <c r="U477" s="268"/>
      <c r="V477" s="249" t="s">
        <v>12</v>
      </c>
      <c r="W477" s="249" t="s">
        <v>491</v>
      </c>
      <c r="X477" s="249"/>
    </row>
    <row r="478" spans="1:24" ht="15" customHeight="1" x14ac:dyDescent="0.2">
      <c r="A478" s="268"/>
      <c r="B478" s="268" t="s">
        <v>108</v>
      </c>
      <c r="C478" s="268" t="s">
        <v>1088</v>
      </c>
      <c r="D478" s="431" t="str">
        <f>GC!$B$22</f>
        <v>Canaleta de ducha para piedra natural TECE showerline (15201082)</v>
      </c>
      <c r="E478" s="249" t="s">
        <v>229</v>
      </c>
      <c r="F478" s="268" t="s">
        <v>355</v>
      </c>
      <c r="G478" s="249" t="s">
        <v>767</v>
      </c>
      <c r="H478" s="249" t="s">
        <v>435</v>
      </c>
      <c r="I478" s="268" t="s">
        <v>410</v>
      </c>
      <c r="J478" s="249">
        <v>1</v>
      </c>
      <c r="K478" s="268" t="s">
        <v>153</v>
      </c>
      <c r="L478" s="432">
        <f>GC!$F$22</f>
        <v>290.33763199999999</v>
      </c>
      <c r="M478" s="433">
        <f t="shared" si="35"/>
        <v>290.33763199999999</v>
      </c>
      <c r="N478" s="249">
        <v>0</v>
      </c>
      <c r="O478" s="433">
        <f t="shared" si="36"/>
        <v>0</v>
      </c>
      <c r="P478" s="434">
        <v>0.16</v>
      </c>
      <c r="Q478" s="433">
        <f t="shared" si="37"/>
        <v>46.45402112</v>
      </c>
      <c r="R478" s="433">
        <f t="shared" si="38"/>
        <v>336.79165311999998</v>
      </c>
      <c r="S478" s="433">
        <f>INDEX('Glosario Partidas'!$M$8:$M$10,MATCH(K478,'Glosario Partidas'!$L$8:$L$10,0))</f>
        <v>17.5</v>
      </c>
      <c r="T478" s="433">
        <f t="shared" si="39"/>
        <v>5893.8539295999999</v>
      </c>
      <c r="U478" s="268" t="s">
        <v>1085</v>
      </c>
      <c r="V478" s="249" t="s">
        <v>12</v>
      </c>
      <c r="W478" s="249" t="s">
        <v>491</v>
      </c>
      <c r="X478" s="249"/>
    </row>
    <row r="479" spans="1:24" ht="15" customHeight="1" x14ac:dyDescent="0.2">
      <c r="A479" s="268"/>
      <c r="B479" s="268" t="s">
        <v>108</v>
      </c>
      <c r="C479" s="268" t="s">
        <v>1088</v>
      </c>
      <c r="D479" s="431" t="str">
        <f>GC!$B$14</f>
        <v>Termostato oculto con control de volumen bidireccional</v>
      </c>
      <c r="E479" s="249" t="s">
        <v>229</v>
      </c>
      <c r="F479" s="268" t="s">
        <v>355</v>
      </c>
      <c r="G479" s="249" t="s">
        <v>767</v>
      </c>
      <c r="H479" s="249" t="s">
        <v>435</v>
      </c>
      <c r="I479" s="268" t="s">
        <v>410</v>
      </c>
      <c r="J479" s="249">
        <v>1</v>
      </c>
      <c r="K479" s="268" t="s">
        <v>153</v>
      </c>
      <c r="L479" s="432">
        <f>GC!$F$14</f>
        <v>350.19605300000001</v>
      </c>
      <c r="M479" s="433">
        <f t="shared" si="35"/>
        <v>350.19605300000001</v>
      </c>
      <c r="N479" s="249">
        <v>0</v>
      </c>
      <c r="O479" s="433">
        <f t="shared" si="36"/>
        <v>0</v>
      </c>
      <c r="P479" s="434">
        <v>0.16</v>
      </c>
      <c r="Q479" s="433">
        <f t="shared" si="37"/>
        <v>56.031368480000005</v>
      </c>
      <c r="R479" s="433">
        <f t="shared" si="38"/>
        <v>406.22742148000003</v>
      </c>
      <c r="S479" s="433">
        <f>INDEX('Glosario Partidas'!$M$8:$M$10,MATCH(K479,'Glosario Partidas'!$L$8:$L$10,0))</f>
        <v>17.5</v>
      </c>
      <c r="T479" s="433">
        <f t="shared" si="39"/>
        <v>7108.9798759000005</v>
      </c>
      <c r="U479" s="268"/>
      <c r="V479" s="249" t="s">
        <v>12</v>
      </c>
      <c r="W479" s="249" t="s">
        <v>491</v>
      </c>
      <c r="X479" s="249"/>
    </row>
    <row r="480" spans="1:24" ht="15" customHeight="1" x14ac:dyDescent="0.2">
      <c r="A480" s="268"/>
      <c r="B480" s="268" t="s">
        <v>108</v>
      </c>
      <c r="C480" s="268" t="s">
        <v>1088</v>
      </c>
      <c r="D480" s="431" t="str">
        <f>GC!$B$15</f>
        <v>Termostato empotrado (rough)</v>
      </c>
      <c r="E480" s="249" t="s">
        <v>229</v>
      </c>
      <c r="F480" s="268" t="s">
        <v>355</v>
      </c>
      <c r="G480" s="249" t="s">
        <v>767</v>
      </c>
      <c r="H480" s="249" t="s">
        <v>435</v>
      </c>
      <c r="I480" s="268" t="s">
        <v>410</v>
      </c>
      <c r="J480" s="249">
        <v>1</v>
      </c>
      <c r="K480" s="268" t="s">
        <v>153</v>
      </c>
      <c r="L480" s="432">
        <f>GC!$F$15</f>
        <v>313.33</v>
      </c>
      <c r="M480" s="433">
        <f t="shared" si="35"/>
        <v>313.33</v>
      </c>
      <c r="N480" s="249">
        <v>0</v>
      </c>
      <c r="O480" s="433">
        <f t="shared" si="36"/>
        <v>0</v>
      </c>
      <c r="P480" s="434">
        <v>0.16</v>
      </c>
      <c r="Q480" s="433">
        <f t="shared" si="37"/>
        <v>50.132799999999996</v>
      </c>
      <c r="R480" s="433">
        <f t="shared" si="38"/>
        <v>363.46279999999996</v>
      </c>
      <c r="S480" s="433">
        <f>INDEX('Glosario Partidas'!$M$8:$M$10,MATCH(K480,'Glosario Partidas'!$L$8:$L$10,0))</f>
        <v>17.5</v>
      </c>
      <c r="T480" s="433">
        <f t="shared" si="39"/>
        <v>6360.5989999999993</v>
      </c>
      <c r="U480" s="268"/>
      <c r="V480" s="249" t="s">
        <v>12</v>
      </c>
      <c r="W480" s="249" t="s">
        <v>491</v>
      </c>
      <c r="X480" s="249"/>
    </row>
    <row r="481" spans="1:24" ht="15" customHeight="1" x14ac:dyDescent="0.2">
      <c r="A481" s="268"/>
      <c r="B481" s="268" t="s">
        <v>108</v>
      </c>
      <c r="C481" s="268" t="s">
        <v>1088</v>
      </c>
      <c r="D481" s="431" t="str">
        <f>GC!$B$10</f>
        <v>Soporte para papel higiénico sin cubierta</v>
      </c>
      <c r="E481" s="249" t="s">
        <v>229</v>
      </c>
      <c r="F481" s="268" t="s">
        <v>355</v>
      </c>
      <c r="G481" s="249" t="s">
        <v>767</v>
      </c>
      <c r="H481" s="249" t="s">
        <v>435</v>
      </c>
      <c r="I481" s="268" t="s">
        <v>410</v>
      </c>
      <c r="J481" s="249">
        <v>1</v>
      </c>
      <c r="K481" s="268" t="s">
        <v>153</v>
      </c>
      <c r="L481" s="432">
        <f>GC!$F$10</f>
        <v>238.874348</v>
      </c>
      <c r="M481" s="433">
        <f t="shared" si="35"/>
        <v>238.874348</v>
      </c>
      <c r="N481" s="249">
        <v>0</v>
      </c>
      <c r="O481" s="433">
        <f t="shared" si="36"/>
        <v>0</v>
      </c>
      <c r="P481" s="434">
        <v>0.16</v>
      </c>
      <c r="Q481" s="433">
        <f t="shared" si="37"/>
        <v>38.21989568</v>
      </c>
      <c r="R481" s="433">
        <f t="shared" si="38"/>
        <v>277.09424367999998</v>
      </c>
      <c r="S481" s="433">
        <f>INDEX('Glosario Partidas'!$M$8:$M$10,MATCH(K481,'Glosario Partidas'!$L$8:$L$10,0))</f>
        <v>17.5</v>
      </c>
      <c r="T481" s="433">
        <f t="shared" si="39"/>
        <v>4849.1492644</v>
      </c>
      <c r="U481" s="268"/>
      <c r="V481" s="249" t="s">
        <v>12</v>
      </c>
      <c r="W481" s="249" t="s">
        <v>491</v>
      </c>
      <c r="X481" s="249"/>
    </row>
    <row r="482" spans="1:24" ht="15" customHeight="1" x14ac:dyDescent="0.2">
      <c r="A482" s="268"/>
      <c r="B482" s="268" t="s">
        <v>108</v>
      </c>
      <c r="C482" s="268" t="s">
        <v>1088</v>
      </c>
      <c r="D482" s="431" t="str">
        <f>GC!$B$9</f>
        <v>Barra de agarre / Toallero chico 45cm</v>
      </c>
      <c r="E482" s="249" t="s">
        <v>229</v>
      </c>
      <c r="F482" s="268" t="s">
        <v>355</v>
      </c>
      <c r="G482" s="249" t="s">
        <v>767</v>
      </c>
      <c r="H482" s="249" t="s">
        <v>435</v>
      </c>
      <c r="I482" s="268" t="s">
        <v>410</v>
      </c>
      <c r="J482" s="249">
        <v>1</v>
      </c>
      <c r="K482" s="268" t="s">
        <v>153</v>
      </c>
      <c r="L482" s="432">
        <f>GC!$F$9</f>
        <v>471.15</v>
      </c>
      <c r="M482" s="433">
        <f t="shared" si="35"/>
        <v>471.15</v>
      </c>
      <c r="N482" s="249">
        <v>0</v>
      </c>
      <c r="O482" s="433">
        <f t="shared" si="36"/>
        <v>0</v>
      </c>
      <c r="P482" s="434">
        <v>0.16</v>
      </c>
      <c r="Q482" s="433">
        <f t="shared" si="37"/>
        <v>75.384</v>
      </c>
      <c r="R482" s="433">
        <f t="shared" si="38"/>
        <v>546.53399999999999</v>
      </c>
      <c r="S482" s="433">
        <f>INDEX('Glosario Partidas'!$M$8:$M$10,MATCH(K482,'Glosario Partidas'!$L$8:$L$10,0))</f>
        <v>17.5</v>
      </c>
      <c r="T482" s="433">
        <f t="shared" si="39"/>
        <v>9564.3449999999993</v>
      </c>
      <c r="U482" s="268"/>
      <c r="V482" s="249" t="s">
        <v>12</v>
      </c>
      <c r="W482" s="249" t="s">
        <v>491</v>
      </c>
      <c r="X482" s="249"/>
    </row>
    <row r="483" spans="1:24" ht="15" customHeight="1" x14ac:dyDescent="0.2">
      <c r="A483" s="268"/>
      <c r="B483" s="268" t="s">
        <v>108</v>
      </c>
      <c r="C483" s="268" t="s">
        <v>1088</v>
      </c>
      <c r="D483" s="431" t="str">
        <f>GC!$B$11</f>
        <v>Gancho</v>
      </c>
      <c r="E483" s="249" t="s">
        <v>229</v>
      </c>
      <c r="F483" s="268" t="s">
        <v>355</v>
      </c>
      <c r="G483" s="249" t="s">
        <v>767</v>
      </c>
      <c r="H483" s="249" t="s">
        <v>435</v>
      </c>
      <c r="I483" s="268" t="s">
        <v>410</v>
      </c>
      <c r="J483" s="249">
        <v>2</v>
      </c>
      <c r="K483" s="268" t="s">
        <v>153</v>
      </c>
      <c r="L483" s="432">
        <f>GC!$F$11</f>
        <v>61.111086999999998</v>
      </c>
      <c r="M483" s="433">
        <f t="shared" si="35"/>
        <v>122.222174</v>
      </c>
      <c r="N483" s="249">
        <v>0</v>
      </c>
      <c r="O483" s="433">
        <f t="shared" si="36"/>
        <v>0</v>
      </c>
      <c r="P483" s="434">
        <v>0.16</v>
      </c>
      <c r="Q483" s="433">
        <f t="shared" si="37"/>
        <v>19.555547839999999</v>
      </c>
      <c r="R483" s="433">
        <f t="shared" si="38"/>
        <v>141.77772184</v>
      </c>
      <c r="S483" s="433">
        <f>INDEX('Glosario Partidas'!$M$8:$M$10,MATCH(K483,'Glosario Partidas'!$L$8:$L$10,0))</f>
        <v>17.5</v>
      </c>
      <c r="T483" s="433">
        <f t="shared" si="39"/>
        <v>2481.1101322</v>
      </c>
      <c r="U483" s="268"/>
      <c r="V483" s="249" t="s">
        <v>12</v>
      </c>
      <c r="W483" s="249" t="s">
        <v>491</v>
      </c>
      <c r="X483" s="249"/>
    </row>
    <row r="484" spans="1:24" ht="15" customHeight="1" x14ac:dyDescent="0.2">
      <c r="A484" s="268"/>
      <c r="B484" s="268" t="s">
        <v>108</v>
      </c>
      <c r="C484" s="268" t="s">
        <v>470</v>
      </c>
      <c r="D484" s="431" t="str">
        <f>GC!$B$7</f>
        <v>Inodoro a piso de una pieza (Starck 3)</v>
      </c>
      <c r="E484" s="249" t="s">
        <v>229</v>
      </c>
      <c r="F484" s="268" t="s">
        <v>221</v>
      </c>
      <c r="G484" s="249" t="s">
        <v>708</v>
      </c>
      <c r="H484" s="249" t="s">
        <v>435</v>
      </c>
      <c r="I484" s="268" t="s">
        <v>410</v>
      </c>
      <c r="J484" s="249">
        <v>1</v>
      </c>
      <c r="K484" s="268" t="s">
        <v>153</v>
      </c>
      <c r="L484" s="432">
        <f>GC!$F$7</f>
        <v>667.07</v>
      </c>
      <c r="M484" s="433">
        <f t="shared" si="35"/>
        <v>667.07</v>
      </c>
      <c r="N484" s="249">
        <v>0</v>
      </c>
      <c r="O484" s="433">
        <f t="shared" si="36"/>
        <v>0</v>
      </c>
      <c r="P484" s="434">
        <v>0.16</v>
      </c>
      <c r="Q484" s="433">
        <f t="shared" si="37"/>
        <v>106.73120000000002</v>
      </c>
      <c r="R484" s="433">
        <f t="shared" si="38"/>
        <v>773.80120000000011</v>
      </c>
      <c r="S484" s="433">
        <f>INDEX('Glosario Partidas'!$M$8:$M$10,MATCH(K484,'Glosario Partidas'!$L$8:$L$10,0))</f>
        <v>17.5</v>
      </c>
      <c r="T484" s="433">
        <f t="shared" si="39"/>
        <v>13541.521000000002</v>
      </c>
      <c r="U484" s="268"/>
      <c r="V484" s="249" t="s">
        <v>12</v>
      </c>
      <c r="W484" s="249" t="s">
        <v>491</v>
      </c>
      <c r="X484" s="249"/>
    </row>
    <row r="485" spans="1:24" ht="15" customHeight="1" x14ac:dyDescent="0.2">
      <c r="A485" s="268"/>
      <c r="B485" s="268" t="s">
        <v>108</v>
      </c>
      <c r="C485" s="268" t="s">
        <v>470</v>
      </c>
      <c r="D485" s="431" t="str">
        <f>GC!$B$8</f>
        <v>Monomando de lavabo con válvula automática</v>
      </c>
      <c r="E485" s="249" t="s">
        <v>229</v>
      </c>
      <c r="F485" s="268" t="s">
        <v>221</v>
      </c>
      <c r="G485" s="249" t="s">
        <v>708</v>
      </c>
      <c r="H485" s="249" t="s">
        <v>435</v>
      </c>
      <c r="I485" s="268" t="s">
        <v>410</v>
      </c>
      <c r="J485" s="249">
        <v>1</v>
      </c>
      <c r="K485" s="268" t="s">
        <v>153</v>
      </c>
      <c r="L485" s="432">
        <f>GC!$F$8</f>
        <v>975.99151900000004</v>
      </c>
      <c r="M485" s="433">
        <f t="shared" si="35"/>
        <v>975.99151900000004</v>
      </c>
      <c r="N485" s="249">
        <v>0</v>
      </c>
      <c r="O485" s="433">
        <f t="shared" si="36"/>
        <v>0</v>
      </c>
      <c r="P485" s="434">
        <v>0.16</v>
      </c>
      <c r="Q485" s="433">
        <f t="shared" si="37"/>
        <v>156.15864304000002</v>
      </c>
      <c r="R485" s="433">
        <f t="shared" si="38"/>
        <v>1132.1501620399999</v>
      </c>
      <c r="S485" s="433">
        <f>INDEX('Glosario Partidas'!$M$8:$M$10,MATCH(K485,'Glosario Partidas'!$L$8:$L$10,0))</f>
        <v>17.5</v>
      </c>
      <c r="T485" s="433">
        <f t="shared" si="39"/>
        <v>19812.627835699997</v>
      </c>
      <c r="U485" s="268"/>
      <c r="V485" s="249" t="s">
        <v>12</v>
      </c>
      <c r="W485" s="249" t="s">
        <v>491</v>
      </c>
      <c r="X485" s="249"/>
    </row>
    <row r="486" spans="1:24" ht="15" customHeight="1" x14ac:dyDescent="0.2">
      <c r="A486" s="268"/>
      <c r="B486" s="268" t="s">
        <v>108</v>
      </c>
      <c r="C486" s="268" t="s">
        <v>470</v>
      </c>
      <c r="D486" s="431" t="str">
        <f>GC!$B$21</f>
        <v>Soporte para vidrio (SERIES SPECIFIC, XS-081077, Brushed Dark Platinum)</v>
      </c>
      <c r="E486" s="249" t="s">
        <v>229</v>
      </c>
      <c r="F486" s="268" t="s">
        <v>221</v>
      </c>
      <c r="G486" s="249" t="s">
        <v>708</v>
      </c>
      <c r="H486" s="249" t="s">
        <v>435</v>
      </c>
      <c r="I486" s="268" t="s">
        <v>410</v>
      </c>
      <c r="J486" s="249">
        <v>1</v>
      </c>
      <c r="K486" s="268" t="s">
        <v>153</v>
      </c>
      <c r="L486" s="432">
        <f>GC!$F$21</f>
        <v>281.02</v>
      </c>
      <c r="M486" s="433">
        <f t="shared" si="35"/>
        <v>281.02</v>
      </c>
      <c r="N486" s="249">
        <v>0</v>
      </c>
      <c r="O486" s="433">
        <f t="shared" si="36"/>
        <v>0</v>
      </c>
      <c r="P486" s="434">
        <v>0.16</v>
      </c>
      <c r="Q486" s="433">
        <f t="shared" si="37"/>
        <v>44.963200000000001</v>
      </c>
      <c r="R486" s="433">
        <f t="shared" si="38"/>
        <v>325.98320000000001</v>
      </c>
      <c r="S486" s="433">
        <f>INDEX('Glosario Partidas'!$M$8:$M$10,MATCH(K486,'Glosario Partidas'!$L$8:$L$10,0))</f>
        <v>17.5</v>
      </c>
      <c r="T486" s="433">
        <f t="shared" si="39"/>
        <v>5704.7060000000001</v>
      </c>
      <c r="U486" s="268" t="s">
        <v>1084</v>
      </c>
      <c r="V486" s="249" t="s">
        <v>12</v>
      </c>
      <c r="W486" s="249" t="s">
        <v>491</v>
      </c>
      <c r="X486" s="249"/>
    </row>
    <row r="487" spans="1:24" ht="15" customHeight="1" x14ac:dyDescent="0.2">
      <c r="A487" s="268"/>
      <c r="B487" s="268" t="s">
        <v>108</v>
      </c>
      <c r="C487" s="268" t="s">
        <v>470</v>
      </c>
      <c r="D487" s="431" t="str">
        <f>GC!$B$10</f>
        <v>Soporte para papel higiénico sin cubierta</v>
      </c>
      <c r="E487" s="249" t="s">
        <v>229</v>
      </c>
      <c r="F487" s="268" t="s">
        <v>221</v>
      </c>
      <c r="G487" s="249" t="s">
        <v>708</v>
      </c>
      <c r="H487" s="249" t="s">
        <v>435</v>
      </c>
      <c r="I487" s="268" t="s">
        <v>410</v>
      </c>
      <c r="J487" s="249">
        <v>1</v>
      </c>
      <c r="K487" s="268" t="s">
        <v>153</v>
      </c>
      <c r="L487" s="432">
        <f>GC!$F$10</f>
        <v>238.874348</v>
      </c>
      <c r="M487" s="433">
        <f t="shared" si="35"/>
        <v>238.874348</v>
      </c>
      <c r="N487" s="249">
        <v>0</v>
      </c>
      <c r="O487" s="433">
        <f t="shared" si="36"/>
        <v>0</v>
      </c>
      <c r="P487" s="434">
        <v>0.16</v>
      </c>
      <c r="Q487" s="433">
        <f t="shared" si="37"/>
        <v>38.21989568</v>
      </c>
      <c r="R487" s="433">
        <f t="shared" si="38"/>
        <v>277.09424367999998</v>
      </c>
      <c r="S487" s="433">
        <f>INDEX('Glosario Partidas'!$M$8:$M$10,MATCH(K487,'Glosario Partidas'!$L$8:$L$10,0))</f>
        <v>17.5</v>
      </c>
      <c r="T487" s="433">
        <f t="shared" si="39"/>
        <v>4849.1492644</v>
      </c>
      <c r="U487" s="268"/>
      <c r="V487" s="249" t="s">
        <v>12</v>
      </c>
      <c r="W487" s="249" t="s">
        <v>491</v>
      </c>
      <c r="X487" s="249"/>
    </row>
    <row r="488" spans="1:24" ht="15" customHeight="1" x14ac:dyDescent="0.2">
      <c r="A488" s="268"/>
      <c r="B488" s="268" t="s">
        <v>108</v>
      </c>
      <c r="C488" s="268" t="s">
        <v>470</v>
      </c>
      <c r="D488" s="431" t="str">
        <f>GC!$B$9</f>
        <v>Barra de agarre / Toallero chico 45cm</v>
      </c>
      <c r="E488" s="249" t="s">
        <v>229</v>
      </c>
      <c r="F488" s="268" t="s">
        <v>221</v>
      </c>
      <c r="G488" s="249" t="s">
        <v>708</v>
      </c>
      <c r="H488" s="249" t="s">
        <v>435</v>
      </c>
      <c r="I488" s="268" t="s">
        <v>410</v>
      </c>
      <c r="J488" s="249">
        <v>1</v>
      </c>
      <c r="K488" s="268" t="s">
        <v>153</v>
      </c>
      <c r="L488" s="432">
        <f>GC!$F$9</f>
        <v>471.15</v>
      </c>
      <c r="M488" s="433">
        <f t="shared" si="35"/>
        <v>471.15</v>
      </c>
      <c r="N488" s="249">
        <v>0</v>
      </c>
      <c r="O488" s="433">
        <f t="shared" si="36"/>
        <v>0</v>
      </c>
      <c r="P488" s="434">
        <v>0.16</v>
      </c>
      <c r="Q488" s="433">
        <f t="shared" si="37"/>
        <v>75.384</v>
      </c>
      <c r="R488" s="433">
        <f t="shared" si="38"/>
        <v>546.53399999999999</v>
      </c>
      <c r="S488" s="433">
        <f>INDEX('Glosario Partidas'!$M$8:$M$10,MATCH(K488,'Glosario Partidas'!$L$8:$L$10,0))</f>
        <v>17.5</v>
      </c>
      <c r="T488" s="433">
        <f t="shared" si="39"/>
        <v>9564.3449999999993</v>
      </c>
      <c r="U488" s="268"/>
      <c r="V488" s="249" t="s">
        <v>12</v>
      </c>
      <c r="W488" s="249" t="s">
        <v>491</v>
      </c>
      <c r="X488" s="249"/>
    </row>
    <row r="489" spans="1:24" ht="15" customHeight="1" x14ac:dyDescent="0.2">
      <c r="A489" s="268"/>
      <c r="B489" s="268" t="s">
        <v>108</v>
      </c>
      <c r="C489" s="268" t="s">
        <v>470</v>
      </c>
      <c r="D489" s="431" t="str">
        <f>GC!$B$7</f>
        <v>Inodoro a piso de una pieza (Starck 3)</v>
      </c>
      <c r="E489" s="249" t="s">
        <v>229</v>
      </c>
      <c r="F489" s="268" t="s">
        <v>354</v>
      </c>
      <c r="G489" s="249" t="s">
        <v>711</v>
      </c>
      <c r="H489" s="249" t="s">
        <v>435</v>
      </c>
      <c r="I489" s="268" t="s">
        <v>410</v>
      </c>
      <c r="J489" s="249">
        <v>1</v>
      </c>
      <c r="K489" s="268" t="s">
        <v>153</v>
      </c>
      <c r="L489" s="432">
        <f>GC!$F$7</f>
        <v>667.07</v>
      </c>
      <c r="M489" s="433">
        <f t="shared" si="35"/>
        <v>667.07</v>
      </c>
      <c r="N489" s="249">
        <v>0</v>
      </c>
      <c r="O489" s="433">
        <f t="shared" si="36"/>
        <v>0</v>
      </c>
      <c r="P489" s="434">
        <v>0.16</v>
      </c>
      <c r="Q489" s="433">
        <f t="shared" si="37"/>
        <v>106.73120000000002</v>
      </c>
      <c r="R489" s="433">
        <f t="shared" si="38"/>
        <v>773.80120000000011</v>
      </c>
      <c r="S489" s="433">
        <f>INDEX('Glosario Partidas'!$M$8:$M$10,MATCH(K489,'Glosario Partidas'!$L$8:$L$10,0))</f>
        <v>17.5</v>
      </c>
      <c r="T489" s="433">
        <f t="shared" si="39"/>
        <v>13541.521000000002</v>
      </c>
      <c r="U489" s="268"/>
      <c r="V489" s="249" t="s">
        <v>12</v>
      </c>
      <c r="W489" s="249" t="s">
        <v>491</v>
      </c>
      <c r="X489" s="249"/>
    </row>
    <row r="490" spans="1:24" ht="15" customHeight="1" x14ac:dyDescent="0.2">
      <c r="A490" s="268"/>
      <c r="B490" s="268" t="s">
        <v>108</v>
      </c>
      <c r="C490" s="268" t="s">
        <v>470</v>
      </c>
      <c r="D490" s="431" t="str">
        <f>GC!$B$8</f>
        <v>Monomando de lavabo con válvula automática</v>
      </c>
      <c r="E490" s="249" t="s">
        <v>229</v>
      </c>
      <c r="F490" s="268" t="s">
        <v>354</v>
      </c>
      <c r="G490" s="249" t="s">
        <v>711</v>
      </c>
      <c r="H490" s="249" t="s">
        <v>435</v>
      </c>
      <c r="I490" s="268" t="s">
        <v>410</v>
      </c>
      <c r="J490" s="249">
        <v>1</v>
      </c>
      <c r="K490" s="268" t="s">
        <v>153</v>
      </c>
      <c r="L490" s="432">
        <f>GC!$F$8</f>
        <v>975.99151900000004</v>
      </c>
      <c r="M490" s="433">
        <f t="shared" si="35"/>
        <v>975.99151900000004</v>
      </c>
      <c r="N490" s="249">
        <v>0</v>
      </c>
      <c r="O490" s="433">
        <f t="shared" si="36"/>
        <v>0</v>
      </c>
      <c r="P490" s="434">
        <v>0.16</v>
      </c>
      <c r="Q490" s="433">
        <f t="shared" si="37"/>
        <v>156.15864304000002</v>
      </c>
      <c r="R490" s="433">
        <f t="shared" si="38"/>
        <v>1132.1501620399999</v>
      </c>
      <c r="S490" s="433">
        <f>INDEX('Glosario Partidas'!$M$8:$M$10,MATCH(K490,'Glosario Partidas'!$L$8:$L$10,0))</f>
        <v>17.5</v>
      </c>
      <c r="T490" s="433">
        <f t="shared" si="39"/>
        <v>19812.627835699997</v>
      </c>
      <c r="U490" s="268"/>
      <c r="V490" s="249" t="s">
        <v>12</v>
      </c>
      <c r="W490" s="249" t="s">
        <v>491</v>
      </c>
      <c r="X490" s="249"/>
    </row>
    <row r="491" spans="1:24" ht="15" customHeight="1" x14ac:dyDescent="0.2">
      <c r="A491" s="268"/>
      <c r="B491" s="268" t="s">
        <v>108</v>
      </c>
      <c r="C491" s="268" t="s">
        <v>470</v>
      </c>
      <c r="D491" s="431" t="str">
        <f>GC!$B$21</f>
        <v>Soporte para vidrio (SERIES SPECIFIC, XS-081077, Brushed Dark Platinum)</v>
      </c>
      <c r="E491" s="249" t="s">
        <v>229</v>
      </c>
      <c r="F491" s="268" t="s">
        <v>354</v>
      </c>
      <c r="G491" s="249" t="s">
        <v>711</v>
      </c>
      <c r="H491" s="249" t="s">
        <v>435</v>
      </c>
      <c r="I491" s="268" t="s">
        <v>410</v>
      </c>
      <c r="J491" s="249">
        <v>1</v>
      </c>
      <c r="K491" s="268" t="s">
        <v>153</v>
      </c>
      <c r="L491" s="432">
        <f>GC!$F$21</f>
        <v>281.02</v>
      </c>
      <c r="M491" s="433">
        <f t="shared" si="35"/>
        <v>281.02</v>
      </c>
      <c r="N491" s="249">
        <v>0</v>
      </c>
      <c r="O491" s="433">
        <f t="shared" si="36"/>
        <v>0</v>
      </c>
      <c r="P491" s="434">
        <v>0.16</v>
      </c>
      <c r="Q491" s="433">
        <f t="shared" si="37"/>
        <v>44.963200000000001</v>
      </c>
      <c r="R491" s="433">
        <f t="shared" si="38"/>
        <v>325.98320000000001</v>
      </c>
      <c r="S491" s="433">
        <f>INDEX('Glosario Partidas'!$M$8:$M$10,MATCH(K491,'Glosario Partidas'!$L$8:$L$10,0))</f>
        <v>17.5</v>
      </c>
      <c r="T491" s="433">
        <f t="shared" si="39"/>
        <v>5704.7060000000001</v>
      </c>
      <c r="U491" s="268" t="s">
        <v>1084</v>
      </c>
      <c r="V491" s="249" t="s">
        <v>12</v>
      </c>
      <c r="W491" s="249" t="s">
        <v>491</v>
      </c>
      <c r="X491" s="249"/>
    </row>
    <row r="492" spans="1:24" ht="15" customHeight="1" x14ac:dyDescent="0.2">
      <c r="A492" s="268"/>
      <c r="B492" s="268" t="s">
        <v>108</v>
      </c>
      <c r="C492" s="268" t="s">
        <v>470</v>
      </c>
      <c r="D492" s="431" t="str">
        <f>GC!$B$10</f>
        <v>Soporte para papel higiénico sin cubierta</v>
      </c>
      <c r="E492" s="249" t="s">
        <v>229</v>
      </c>
      <c r="F492" s="268" t="s">
        <v>354</v>
      </c>
      <c r="G492" s="249" t="s">
        <v>711</v>
      </c>
      <c r="H492" s="249" t="s">
        <v>435</v>
      </c>
      <c r="I492" s="268" t="s">
        <v>410</v>
      </c>
      <c r="J492" s="249">
        <v>1</v>
      </c>
      <c r="K492" s="268" t="s">
        <v>153</v>
      </c>
      <c r="L492" s="432">
        <f>GC!$F$10</f>
        <v>238.874348</v>
      </c>
      <c r="M492" s="433">
        <f t="shared" si="35"/>
        <v>238.874348</v>
      </c>
      <c r="N492" s="249">
        <v>0</v>
      </c>
      <c r="O492" s="433">
        <f t="shared" si="36"/>
        <v>0</v>
      </c>
      <c r="P492" s="434">
        <v>0.16</v>
      </c>
      <c r="Q492" s="433">
        <f t="shared" si="37"/>
        <v>38.21989568</v>
      </c>
      <c r="R492" s="433">
        <f t="shared" si="38"/>
        <v>277.09424367999998</v>
      </c>
      <c r="S492" s="433">
        <f>INDEX('Glosario Partidas'!$M$8:$M$10,MATCH(K492,'Glosario Partidas'!$L$8:$L$10,0))</f>
        <v>17.5</v>
      </c>
      <c r="T492" s="433">
        <f t="shared" si="39"/>
        <v>4849.1492644</v>
      </c>
      <c r="U492" s="268"/>
      <c r="V492" s="249" t="s">
        <v>12</v>
      </c>
      <c r="W492" s="249" t="s">
        <v>491</v>
      </c>
      <c r="X492" s="249"/>
    </row>
    <row r="493" spans="1:24" ht="15" customHeight="1" x14ac:dyDescent="0.2">
      <c r="A493" s="268"/>
      <c r="B493" s="268" t="s">
        <v>108</v>
      </c>
      <c r="C493" s="268" t="s">
        <v>470</v>
      </c>
      <c r="D493" s="431" t="str">
        <f>GC!$B$9</f>
        <v>Barra de agarre / Toallero chico 45cm</v>
      </c>
      <c r="E493" s="249" t="s">
        <v>229</v>
      </c>
      <c r="F493" s="268" t="s">
        <v>354</v>
      </c>
      <c r="G493" s="249" t="s">
        <v>711</v>
      </c>
      <c r="H493" s="249" t="s">
        <v>435</v>
      </c>
      <c r="I493" s="268" t="s">
        <v>410</v>
      </c>
      <c r="J493" s="249">
        <v>1</v>
      </c>
      <c r="K493" s="268" t="s">
        <v>153</v>
      </c>
      <c r="L493" s="432">
        <f>GC!$F$9</f>
        <v>471.15</v>
      </c>
      <c r="M493" s="433">
        <f t="shared" si="35"/>
        <v>471.15</v>
      </c>
      <c r="N493" s="249">
        <v>0</v>
      </c>
      <c r="O493" s="433">
        <f t="shared" si="36"/>
        <v>0</v>
      </c>
      <c r="P493" s="434">
        <v>0.16</v>
      </c>
      <c r="Q493" s="433">
        <f t="shared" si="37"/>
        <v>75.384</v>
      </c>
      <c r="R493" s="433">
        <f t="shared" si="38"/>
        <v>546.53399999999999</v>
      </c>
      <c r="S493" s="433">
        <f>INDEX('Glosario Partidas'!$M$8:$M$10,MATCH(K493,'Glosario Partidas'!$L$8:$L$10,0))</f>
        <v>17.5</v>
      </c>
      <c r="T493" s="433">
        <f t="shared" si="39"/>
        <v>9564.3449999999993</v>
      </c>
      <c r="U493" s="268"/>
      <c r="V493" s="249" t="s">
        <v>12</v>
      </c>
      <c r="W493" s="249" t="s">
        <v>491</v>
      </c>
      <c r="X493" s="249"/>
    </row>
    <row r="494" spans="1:24" ht="15" customHeight="1" x14ac:dyDescent="0.2">
      <c r="A494" s="268"/>
      <c r="B494" s="268" t="s">
        <v>108</v>
      </c>
      <c r="C494" s="268" t="s">
        <v>470</v>
      </c>
      <c r="D494" s="431" t="str">
        <f>GC!$B$7</f>
        <v>Inodoro a piso de una pieza (Starck 3)</v>
      </c>
      <c r="E494" s="249" t="s">
        <v>229</v>
      </c>
      <c r="F494" s="268" t="s">
        <v>221</v>
      </c>
      <c r="G494" s="249" t="s">
        <v>710</v>
      </c>
      <c r="H494" s="249" t="s">
        <v>435</v>
      </c>
      <c r="I494" s="268" t="s">
        <v>410</v>
      </c>
      <c r="J494" s="249">
        <v>1</v>
      </c>
      <c r="K494" s="268" t="s">
        <v>153</v>
      </c>
      <c r="L494" s="432">
        <f>GC!$F$7</f>
        <v>667.07</v>
      </c>
      <c r="M494" s="433">
        <f t="shared" si="35"/>
        <v>667.07</v>
      </c>
      <c r="N494" s="249">
        <v>0</v>
      </c>
      <c r="O494" s="433">
        <f t="shared" si="36"/>
        <v>0</v>
      </c>
      <c r="P494" s="434">
        <v>0.16</v>
      </c>
      <c r="Q494" s="433">
        <f t="shared" si="37"/>
        <v>106.73120000000002</v>
      </c>
      <c r="R494" s="433">
        <f t="shared" si="38"/>
        <v>773.80120000000011</v>
      </c>
      <c r="S494" s="433">
        <f>INDEX('Glosario Partidas'!$M$8:$M$10,MATCH(K494,'Glosario Partidas'!$L$8:$L$10,0))</f>
        <v>17.5</v>
      </c>
      <c r="T494" s="433">
        <f t="shared" si="39"/>
        <v>13541.521000000002</v>
      </c>
      <c r="U494" s="268"/>
      <c r="V494" s="249" t="s">
        <v>12</v>
      </c>
      <c r="W494" s="249" t="s">
        <v>491</v>
      </c>
      <c r="X494" s="249"/>
    </row>
    <row r="495" spans="1:24" ht="15" customHeight="1" x14ac:dyDescent="0.2">
      <c r="A495" s="268"/>
      <c r="B495" s="268" t="s">
        <v>108</v>
      </c>
      <c r="C495" s="268" t="s">
        <v>470</v>
      </c>
      <c r="D495" s="431" t="str">
        <f>GC!$B$8</f>
        <v>Monomando de lavabo con válvula automática</v>
      </c>
      <c r="E495" s="249" t="s">
        <v>229</v>
      </c>
      <c r="F495" s="268" t="s">
        <v>221</v>
      </c>
      <c r="G495" s="249" t="s">
        <v>710</v>
      </c>
      <c r="H495" s="249" t="s">
        <v>435</v>
      </c>
      <c r="I495" s="268" t="s">
        <v>410</v>
      </c>
      <c r="J495" s="249">
        <v>1</v>
      </c>
      <c r="K495" s="268" t="s">
        <v>153</v>
      </c>
      <c r="L495" s="432">
        <f>GC!$F$8</f>
        <v>975.99151900000004</v>
      </c>
      <c r="M495" s="433">
        <f t="shared" si="35"/>
        <v>975.99151900000004</v>
      </c>
      <c r="N495" s="249">
        <v>0</v>
      </c>
      <c r="O495" s="433">
        <f t="shared" si="36"/>
        <v>0</v>
      </c>
      <c r="P495" s="434">
        <v>0.16</v>
      </c>
      <c r="Q495" s="433">
        <f t="shared" si="37"/>
        <v>156.15864304000002</v>
      </c>
      <c r="R495" s="433">
        <f t="shared" si="38"/>
        <v>1132.1501620399999</v>
      </c>
      <c r="S495" s="433">
        <f>INDEX('Glosario Partidas'!$M$8:$M$10,MATCH(K495,'Glosario Partidas'!$L$8:$L$10,0))</f>
        <v>17.5</v>
      </c>
      <c r="T495" s="433">
        <f t="shared" si="39"/>
        <v>19812.627835699997</v>
      </c>
      <c r="U495" s="268"/>
      <c r="V495" s="249" t="s">
        <v>12</v>
      </c>
      <c r="W495" s="249" t="s">
        <v>491</v>
      </c>
      <c r="X495" s="249"/>
    </row>
    <row r="496" spans="1:24" ht="15" customHeight="1" x14ac:dyDescent="0.2">
      <c r="A496" s="268"/>
      <c r="B496" s="268" t="s">
        <v>108</v>
      </c>
      <c r="C496" s="268" t="s">
        <v>470</v>
      </c>
      <c r="D496" s="431" t="str">
        <f>GC!$B$21</f>
        <v>Soporte para vidrio (SERIES SPECIFIC, XS-081077, Brushed Dark Platinum)</v>
      </c>
      <c r="E496" s="249" t="s">
        <v>229</v>
      </c>
      <c r="F496" s="268" t="s">
        <v>221</v>
      </c>
      <c r="G496" s="249" t="s">
        <v>710</v>
      </c>
      <c r="H496" s="249" t="s">
        <v>435</v>
      </c>
      <c r="I496" s="268" t="s">
        <v>410</v>
      </c>
      <c r="J496" s="249">
        <v>1</v>
      </c>
      <c r="K496" s="268" t="s">
        <v>153</v>
      </c>
      <c r="L496" s="432">
        <f>GC!$F$21</f>
        <v>281.02</v>
      </c>
      <c r="M496" s="433">
        <f t="shared" si="35"/>
        <v>281.02</v>
      </c>
      <c r="N496" s="249">
        <v>0</v>
      </c>
      <c r="O496" s="433">
        <f t="shared" si="36"/>
        <v>0</v>
      </c>
      <c r="P496" s="434">
        <v>0.16</v>
      </c>
      <c r="Q496" s="433">
        <f t="shared" si="37"/>
        <v>44.963200000000001</v>
      </c>
      <c r="R496" s="433">
        <f t="shared" si="38"/>
        <v>325.98320000000001</v>
      </c>
      <c r="S496" s="433">
        <f>INDEX('Glosario Partidas'!$M$8:$M$10,MATCH(K496,'Glosario Partidas'!$L$8:$L$10,0))</f>
        <v>17.5</v>
      </c>
      <c r="T496" s="433">
        <f t="shared" si="39"/>
        <v>5704.7060000000001</v>
      </c>
      <c r="U496" s="268" t="s">
        <v>1084</v>
      </c>
      <c r="V496" s="249" t="s">
        <v>12</v>
      </c>
      <c r="W496" s="249" t="s">
        <v>491</v>
      </c>
      <c r="X496" s="249"/>
    </row>
    <row r="497" spans="1:24" ht="15" customHeight="1" x14ac:dyDescent="0.2">
      <c r="A497" s="268"/>
      <c r="B497" s="268" t="s">
        <v>108</v>
      </c>
      <c r="C497" s="268" t="s">
        <v>470</v>
      </c>
      <c r="D497" s="431" t="str">
        <f>GC!$B$10</f>
        <v>Soporte para papel higiénico sin cubierta</v>
      </c>
      <c r="E497" s="249" t="s">
        <v>229</v>
      </c>
      <c r="F497" s="268" t="s">
        <v>221</v>
      </c>
      <c r="G497" s="249" t="s">
        <v>710</v>
      </c>
      <c r="H497" s="249" t="s">
        <v>435</v>
      </c>
      <c r="I497" s="268" t="s">
        <v>410</v>
      </c>
      <c r="J497" s="249">
        <v>1</v>
      </c>
      <c r="K497" s="268" t="s">
        <v>153</v>
      </c>
      <c r="L497" s="432">
        <f>GC!$F$10</f>
        <v>238.874348</v>
      </c>
      <c r="M497" s="433">
        <f t="shared" si="35"/>
        <v>238.874348</v>
      </c>
      <c r="N497" s="249">
        <v>0</v>
      </c>
      <c r="O497" s="433">
        <f t="shared" si="36"/>
        <v>0</v>
      </c>
      <c r="P497" s="434">
        <v>0.16</v>
      </c>
      <c r="Q497" s="433">
        <f t="shared" si="37"/>
        <v>38.21989568</v>
      </c>
      <c r="R497" s="433">
        <f t="shared" si="38"/>
        <v>277.09424367999998</v>
      </c>
      <c r="S497" s="433">
        <f>INDEX('Glosario Partidas'!$M$8:$M$10,MATCH(K497,'Glosario Partidas'!$L$8:$L$10,0))</f>
        <v>17.5</v>
      </c>
      <c r="T497" s="433">
        <f t="shared" si="39"/>
        <v>4849.1492644</v>
      </c>
      <c r="U497" s="268"/>
      <c r="V497" s="249" t="s">
        <v>12</v>
      </c>
      <c r="W497" s="249" t="s">
        <v>491</v>
      </c>
      <c r="X497" s="249"/>
    </row>
    <row r="498" spans="1:24" ht="15" customHeight="1" x14ac:dyDescent="0.2">
      <c r="A498" s="268"/>
      <c r="B498" s="268" t="s">
        <v>108</v>
      </c>
      <c r="C498" s="268" t="s">
        <v>470</v>
      </c>
      <c r="D498" s="431" t="str">
        <f>GC!$B$9</f>
        <v>Barra de agarre / Toallero chico 45cm</v>
      </c>
      <c r="E498" s="249" t="s">
        <v>229</v>
      </c>
      <c r="F498" s="268" t="s">
        <v>221</v>
      </c>
      <c r="G498" s="249" t="s">
        <v>710</v>
      </c>
      <c r="H498" s="249" t="s">
        <v>435</v>
      </c>
      <c r="I498" s="268" t="s">
        <v>410</v>
      </c>
      <c r="J498" s="249">
        <v>1</v>
      </c>
      <c r="K498" s="268" t="s">
        <v>153</v>
      </c>
      <c r="L498" s="432">
        <f>GC!$F$9</f>
        <v>471.15</v>
      </c>
      <c r="M498" s="433">
        <f t="shared" si="35"/>
        <v>471.15</v>
      </c>
      <c r="N498" s="249">
        <v>0</v>
      </c>
      <c r="O498" s="433">
        <f t="shared" si="36"/>
        <v>0</v>
      </c>
      <c r="P498" s="434">
        <v>0.16</v>
      </c>
      <c r="Q498" s="433">
        <f t="shared" si="37"/>
        <v>75.384</v>
      </c>
      <c r="R498" s="433">
        <f t="shared" si="38"/>
        <v>546.53399999999999</v>
      </c>
      <c r="S498" s="433">
        <f>INDEX('Glosario Partidas'!$M$8:$M$10,MATCH(K498,'Glosario Partidas'!$L$8:$L$10,0))</f>
        <v>17.5</v>
      </c>
      <c r="T498" s="433">
        <f t="shared" si="39"/>
        <v>9564.3449999999993</v>
      </c>
      <c r="U498" s="268"/>
      <c r="V498" s="249" t="s">
        <v>12</v>
      </c>
      <c r="W498" s="249" t="s">
        <v>491</v>
      </c>
      <c r="X498" s="249"/>
    </row>
    <row r="499" spans="1:24" ht="15" customHeight="1" x14ac:dyDescent="0.2">
      <c r="A499" s="268"/>
      <c r="B499" s="268" t="s">
        <v>108</v>
      </c>
      <c r="C499" s="268" t="s">
        <v>470</v>
      </c>
      <c r="D499" s="431" t="str">
        <f>GC!$B$7</f>
        <v>Inodoro a piso de una pieza (Starck 3)</v>
      </c>
      <c r="E499" s="249" t="s">
        <v>229</v>
      </c>
      <c r="F499" s="268" t="s">
        <v>354</v>
      </c>
      <c r="G499" s="249" t="s">
        <v>713</v>
      </c>
      <c r="H499" s="249" t="s">
        <v>435</v>
      </c>
      <c r="I499" s="268" t="s">
        <v>410</v>
      </c>
      <c r="J499" s="249">
        <v>1</v>
      </c>
      <c r="K499" s="268" t="s">
        <v>153</v>
      </c>
      <c r="L499" s="432">
        <f>GC!$F$7</f>
        <v>667.07</v>
      </c>
      <c r="M499" s="433">
        <f t="shared" si="35"/>
        <v>667.07</v>
      </c>
      <c r="N499" s="249">
        <v>0</v>
      </c>
      <c r="O499" s="433">
        <f t="shared" si="36"/>
        <v>0</v>
      </c>
      <c r="P499" s="434">
        <v>0.16</v>
      </c>
      <c r="Q499" s="433">
        <f t="shared" si="37"/>
        <v>106.73120000000002</v>
      </c>
      <c r="R499" s="433">
        <f t="shared" si="38"/>
        <v>773.80120000000011</v>
      </c>
      <c r="S499" s="433">
        <f>INDEX('Glosario Partidas'!$M$8:$M$10,MATCH(K499,'Glosario Partidas'!$L$8:$L$10,0))</f>
        <v>17.5</v>
      </c>
      <c r="T499" s="433">
        <f t="shared" si="39"/>
        <v>13541.521000000002</v>
      </c>
      <c r="U499" s="268"/>
      <c r="V499" s="249" t="s">
        <v>12</v>
      </c>
      <c r="W499" s="249" t="s">
        <v>491</v>
      </c>
      <c r="X499" s="249"/>
    </row>
    <row r="500" spans="1:24" ht="15" customHeight="1" x14ac:dyDescent="0.2">
      <c r="A500" s="268"/>
      <c r="B500" s="268" t="s">
        <v>108</v>
      </c>
      <c r="C500" s="268" t="s">
        <v>470</v>
      </c>
      <c r="D500" s="431" t="str">
        <f>GC!$B$8</f>
        <v>Monomando de lavabo con válvula automática</v>
      </c>
      <c r="E500" s="249" t="s">
        <v>229</v>
      </c>
      <c r="F500" s="268" t="s">
        <v>354</v>
      </c>
      <c r="G500" s="249" t="s">
        <v>713</v>
      </c>
      <c r="H500" s="249" t="s">
        <v>435</v>
      </c>
      <c r="I500" s="268" t="s">
        <v>410</v>
      </c>
      <c r="J500" s="249">
        <v>1</v>
      </c>
      <c r="K500" s="268" t="s">
        <v>153</v>
      </c>
      <c r="L500" s="432">
        <f>GC!$F$8</f>
        <v>975.99151900000004</v>
      </c>
      <c r="M500" s="433">
        <f t="shared" si="35"/>
        <v>975.99151900000004</v>
      </c>
      <c r="N500" s="249">
        <v>0</v>
      </c>
      <c r="O500" s="433">
        <f t="shared" si="36"/>
        <v>0</v>
      </c>
      <c r="P500" s="434">
        <v>0.16</v>
      </c>
      <c r="Q500" s="433">
        <f t="shared" si="37"/>
        <v>156.15864304000002</v>
      </c>
      <c r="R500" s="433">
        <f t="shared" si="38"/>
        <v>1132.1501620399999</v>
      </c>
      <c r="S500" s="433">
        <f>INDEX('Glosario Partidas'!$M$8:$M$10,MATCH(K500,'Glosario Partidas'!$L$8:$L$10,0))</f>
        <v>17.5</v>
      </c>
      <c r="T500" s="433">
        <f t="shared" si="39"/>
        <v>19812.627835699997</v>
      </c>
      <c r="U500" s="268"/>
      <c r="V500" s="249" t="s">
        <v>12</v>
      </c>
      <c r="W500" s="249" t="s">
        <v>491</v>
      </c>
      <c r="X500" s="249"/>
    </row>
    <row r="501" spans="1:24" ht="15" customHeight="1" x14ac:dyDescent="0.2">
      <c r="A501" s="268"/>
      <c r="B501" s="268" t="s">
        <v>108</v>
      </c>
      <c r="C501" s="268" t="s">
        <v>470</v>
      </c>
      <c r="D501" s="431" t="str">
        <f>GC!$B$21</f>
        <v>Soporte para vidrio (SERIES SPECIFIC, XS-081077, Brushed Dark Platinum)</v>
      </c>
      <c r="E501" s="249" t="s">
        <v>229</v>
      </c>
      <c r="F501" s="268" t="s">
        <v>354</v>
      </c>
      <c r="G501" s="249" t="s">
        <v>713</v>
      </c>
      <c r="H501" s="249" t="s">
        <v>435</v>
      </c>
      <c r="I501" s="268" t="s">
        <v>410</v>
      </c>
      <c r="J501" s="249">
        <v>1</v>
      </c>
      <c r="K501" s="268" t="s">
        <v>153</v>
      </c>
      <c r="L501" s="432">
        <f>GC!$F$21</f>
        <v>281.02</v>
      </c>
      <c r="M501" s="433">
        <f t="shared" si="35"/>
        <v>281.02</v>
      </c>
      <c r="N501" s="249">
        <v>0</v>
      </c>
      <c r="O501" s="433">
        <f t="shared" si="36"/>
        <v>0</v>
      </c>
      <c r="P501" s="434">
        <v>0.16</v>
      </c>
      <c r="Q501" s="433">
        <f t="shared" si="37"/>
        <v>44.963200000000001</v>
      </c>
      <c r="R501" s="433">
        <f t="shared" si="38"/>
        <v>325.98320000000001</v>
      </c>
      <c r="S501" s="433">
        <f>INDEX('Glosario Partidas'!$M$8:$M$10,MATCH(K501,'Glosario Partidas'!$L$8:$L$10,0))</f>
        <v>17.5</v>
      </c>
      <c r="T501" s="433">
        <f t="shared" si="39"/>
        <v>5704.7060000000001</v>
      </c>
      <c r="U501" s="268" t="s">
        <v>1084</v>
      </c>
      <c r="V501" s="249" t="s">
        <v>12</v>
      </c>
      <c r="W501" s="249" t="s">
        <v>491</v>
      </c>
      <c r="X501" s="249"/>
    </row>
    <row r="502" spans="1:24" ht="15" customHeight="1" x14ac:dyDescent="0.2">
      <c r="A502" s="268"/>
      <c r="B502" s="268" t="s">
        <v>108</v>
      </c>
      <c r="C502" s="268" t="s">
        <v>470</v>
      </c>
      <c r="D502" s="431" t="str">
        <f>GC!$B$10</f>
        <v>Soporte para papel higiénico sin cubierta</v>
      </c>
      <c r="E502" s="249" t="s">
        <v>229</v>
      </c>
      <c r="F502" s="268" t="s">
        <v>354</v>
      </c>
      <c r="G502" s="249" t="s">
        <v>713</v>
      </c>
      <c r="H502" s="249" t="s">
        <v>435</v>
      </c>
      <c r="I502" s="268" t="s">
        <v>410</v>
      </c>
      <c r="J502" s="249">
        <v>1</v>
      </c>
      <c r="K502" s="268" t="s">
        <v>153</v>
      </c>
      <c r="L502" s="432">
        <f>GC!$F$10</f>
        <v>238.874348</v>
      </c>
      <c r="M502" s="433">
        <f t="shared" si="35"/>
        <v>238.874348</v>
      </c>
      <c r="N502" s="249">
        <v>0</v>
      </c>
      <c r="O502" s="433">
        <f t="shared" si="36"/>
        <v>0</v>
      </c>
      <c r="P502" s="434">
        <v>0.16</v>
      </c>
      <c r="Q502" s="433">
        <f t="shared" si="37"/>
        <v>38.21989568</v>
      </c>
      <c r="R502" s="433">
        <f t="shared" si="38"/>
        <v>277.09424367999998</v>
      </c>
      <c r="S502" s="433">
        <f>INDEX('Glosario Partidas'!$M$8:$M$10,MATCH(K502,'Glosario Partidas'!$L$8:$L$10,0))</f>
        <v>17.5</v>
      </c>
      <c r="T502" s="433">
        <f t="shared" si="39"/>
        <v>4849.1492644</v>
      </c>
      <c r="U502" s="268"/>
      <c r="V502" s="249" t="s">
        <v>12</v>
      </c>
      <c r="W502" s="249" t="s">
        <v>491</v>
      </c>
      <c r="X502" s="249"/>
    </row>
    <row r="503" spans="1:24" ht="15" customHeight="1" x14ac:dyDescent="0.2">
      <c r="A503" s="268"/>
      <c r="B503" s="268" t="s">
        <v>108</v>
      </c>
      <c r="C503" s="268" t="s">
        <v>470</v>
      </c>
      <c r="D503" s="431" t="str">
        <f>GC!$B$9</f>
        <v>Barra de agarre / Toallero chico 45cm</v>
      </c>
      <c r="E503" s="249" t="s">
        <v>229</v>
      </c>
      <c r="F503" s="268" t="s">
        <v>354</v>
      </c>
      <c r="G503" s="249" t="s">
        <v>713</v>
      </c>
      <c r="H503" s="249" t="s">
        <v>435</v>
      </c>
      <c r="I503" s="268" t="s">
        <v>410</v>
      </c>
      <c r="J503" s="249">
        <v>1</v>
      </c>
      <c r="K503" s="268" t="s">
        <v>153</v>
      </c>
      <c r="L503" s="432">
        <f>GC!$F$9</f>
        <v>471.15</v>
      </c>
      <c r="M503" s="433">
        <f t="shared" si="35"/>
        <v>471.15</v>
      </c>
      <c r="N503" s="249">
        <v>0</v>
      </c>
      <c r="O503" s="433">
        <f t="shared" si="36"/>
        <v>0</v>
      </c>
      <c r="P503" s="434">
        <v>0.16</v>
      </c>
      <c r="Q503" s="433">
        <f t="shared" si="37"/>
        <v>75.384</v>
      </c>
      <c r="R503" s="433">
        <f t="shared" si="38"/>
        <v>546.53399999999999</v>
      </c>
      <c r="S503" s="433">
        <f>INDEX('Glosario Partidas'!$M$8:$M$10,MATCH(K503,'Glosario Partidas'!$L$8:$L$10,0))</f>
        <v>17.5</v>
      </c>
      <c r="T503" s="433">
        <f t="shared" si="39"/>
        <v>9564.3449999999993</v>
      </c>
      <c r="U503" s="268"/>
      <c r="V503" s="249" t="s">
        <v>12</v>
      </c>
      <c r="W503" s="249" t="s">
        <v>491</v>
      </c>
      <c r="X503" s="249"/>
    </row>
    <row r="504" spans="1:24" ht="15" customHeight="1" x14ac:dyDescent="0.2">
      <c r="A504" s="268"/>
      <c r="B504" s="268" t="s">
        <v>108</v>
      </c>
      <c r="C504" s="268" t="s">
        <v>102</v>
      </c>
      <c r="D504" s="431" t="str">
        <f>GC!$B$19</f>
        <v>TARA ULTRA Single-lever mixer Pull-down (cocina)</v>
      </c>
      <c r="E504" s="249" t="s">
        <v>229</v>
      </c>
      <c r="F504" s="268" t="s">
        <v>221</v>
      </c>
      <c r="G504" s="249" t="s">
        <v>708</v>
      </c>
      <c r="H504" s="249" t="s">
        <v>435</v>
      </c>
      <c r="I504" s="268" t="s">
        <v>410</v>
      </c>
      <c r="J504" s="249">
        <v>1</v>
      </c>
      <c r="K504" s="268" t="s">
        <v>153</v>
      </c>
      <c r="L504" s="432">
        <f>GC!$F$19</f>
        <v>1226.4168749999999</v>
      </c>
      <c r="M504" s="433">
        <f t="shared" si="35"/>
        <v>1226.4168749999999</v>
      </c>
      <c r="N504" s="249">
        <v>0</v>
      </c>
      <c r="O504" s="433">
        <f t="shared" si="36"/>
        <v>0</v>
      </c>
      <c r="P504" s="434">
        <v>0.16</v>
      </c>
      <c r="Q504" s="433">
        <f t="shared" si="37"/>
        <v>196.22669999999999</v>
      </c>
      <c r="R504" s="433">
        <f t="shared" si="38"/>
        <v>1422.6435749999998</v>
      </c>
      <c r="S504" s="433">
        <f>INDEX('Glosario Partidas'!$M$8:$M$10,MATCH(K504,'Glosario Partidas'!$L$8:$L$10,0))</f>
        <v>17.5</v>
      </c>
      <c r="T504" s="433">
        <f t="shared" si="39"/>
        <v>24896.262562499996</v>
      </c>
      <c r="U504" s="268"/>
      <c r="V504" s="249" t="s">
        <v>12</v>
      </c>
      <c r="W504" s="249" t="s">
        <v>491</v>
      </c>
      <c r="X504" s="249"/>
    </row>
    <row r="505" spans="1:24" ht="15" customHeight="1" x14ac:dyDescent="0.2">
      <c r="A505" s="268"/>
      <c r="B505" s="268" t="s">
        <v>108</v>
      </c>
      <c r="C505" s="268" t="s">
        <v>102</v>
      </c>
      <c r="D505" s="431" t="str">
        <f>GC!$B$20</f>
        <v>TARA ULTRA HOT &amp; COLD WATER DISPENSER</v>
      </c>
      <c r="E505" s="249" t="s">
        <v>229</v>
      </c>
      <c r="F505" s="268" t="s">
        <v>221</v>
      </c>
      <c r="G505" s="249" t="s">
        <v>708</v>
      </c>
      <c r="H505" s="249" t="s">
        <v>435</v>
      </c>
      <c r="I505" s="268" t="s">
        <v>410</v>
      </c>
      <c r="J505" s="249">
        <v>2</v>
      </c>
      <c r="K505" s="268" t="s">
        <v>153</v>
      </c>
      <c r="L505" s="432">
        <f>GC!$F$20</f>
        <v>1392.4637499999999</v>
      </c>
      <c r="M505" s="433">
        <f t="shared" si="35"/>
        <v>2784.9274999999998</v>
      </c>
      <c r="N505" s="249">
        <v>0</v>
      </c>
      <c r="O505" s="433">
        <f t="shared" si="36"/>
        <v>0</v>
      </c>
      <c r="P505" s="434">
        <v>0.16</v>
      </c>
      <c r="Q505" s="433">
        <f t="shared" si="37"/>
        <v>445.58839999999998</v>
      </c>
      <c r="R505" s="433">
        <f t="shared" si="38"/>
        <v>3230.5158999999999</v>
      </c>
      <c r="S505" s="433">
        <f>INDEX('Glosario Partidas'!$M$8:$M$10,MATCH(K505,'Glosario Partidas'!$L$8:$L$10,0))</f>
        <v>17.5</v>
      </c>
      <c r="T505" s="433">
        <f t="shared" si="39"/>
        <v>56534.028249999996</v>
      </c>
      <c r="U505" s="268"/>
      <c r="V505" s="249" t="s">
        <v>12</v>
      </c>
      <c r="W505" s="249" t="s">
        <v>491</v>
      </c>
      <c r="X505" s="249"/>
    </row>
    <row r="506" spans="1:24" ht="15" customHeight="1" x14ac:dyDescent="0.2">
      <c r="A506" s="268"/>
      <c r="B506" s="268" t="s">
        <v>108</v>
      </c>
      <c r="C506" s="268" t="s">
        <v>102</v>
      </c>
      <c r="D506" s="431" t="str">
        <f>GC!$B$19</f>
        <v>TARA ULTRA Single-lever mixer Pull-down (cocina)</v>
      </c>
      <c r="E506" s="249" t="s">
        <v>229</v>
      </c>
      <c r="F506" s="268" t="s">
        <v>354</v>
      </c>
      <c r="G506" s="249" t="s">
        <v>711</v>
      </c>
      <c r="H506" s="249" t="s">
        <v>435</v>
      </c>
      <c r="I506" s="268" t="s">
        <v>410</v>
      </c>
      <c r="J506" s="249">
        <v>1</v>
      </c>
      <c r="K506" s="268" t="s">
        <v>153</v>
      </c>
      <c r="L506" s="432">
        <f>GC!$F$19</f>
        <v>1226.4168749999999</v>
      </c>
      <c r="M506" s="433">
        <f t="shared" si="35"/>
        <v>1226.4168749999999</v>
      </c>
      <c r="N506" s="249">
        <v>0</v>
      </c>
      <c r="O506" s="433">
        <f t="shared" si="36"/>
        <v>0</v>
      </c>
      <c r="P506" s="434">
        <v>0.16</v>
      </c>
      <c r="Q506" s="433">
        <f t="shared" si="37"/>
        <v>196.22669999999999</v>
      </c>
      <c r="R506" s="433">
        <f t="shared" si="38"/>
        <v>1422.6435749999998</v>
      </c>
      <c r="S506" s="433">
        <f>INDEX('Glosario Partidas'!$M$8:$M$10,MATCH(K506,'Glosario Partidas'!$L$8:$L$10,0))</f>
        <v>17.5</v>
      </c>
      <c r="T506" s="433">
        <f t="shared" si="39"/>
        <v>24896.262562499996</v>
      </c>
      <c r="U506" s="268"/>
      <c r="V506" s="249" t="s">
        <v>12</v>
      </c>
      <c r="W506" s="249" t="s">
        <v>491</v>
      </c>
      <c r="X506" s="249"/>
    </row>
    <row r="507" spans="1:24" ht="15" customHeight="1" x14ac:dyDescent="0.2">
      <c r="A507" s="268"/>
      <c r="B507" s="268" t="s">
        <v>108</v>
      </c>
      <c r="C507" s="268" t="s">
        <v>102</v>
      </c>
      <c r="D507" s="431" t="str">
        <f>GC!$B$20</f>
        <v>TARA ULTRA HOT &amp; COLD WATER DISPENSER</v>
      </c>
      <c r="E507" s="249" t="s">
        <v>229</v>
      </c>
      <c r="F507" s="268" t="s">
        <v>355</v>
      </c>
      <c r="G507" s="249" t="s">
        <v>766</v>
      </c>
      <c r="H507" s="249" t="s">
        <v>435</v>
      </c>
      <c r="I507" s="268" t="s">
        <v>410</v>
      </c>
      <c r="J507" s="249">
        <v>2</v>
      </c>
      <c r="K507" s="268" t="s">
        <v>153</v>
      </c>
      <c r="L507" s="432">
        <f>GC!$F$20</f>
        <v>1392.4637499999999</v>
      </c>
      <c r="M507" s="433">
        <f t="shared" si="35"/>
        <v>2784.9274999999998</v>
      </c>
      <c r="N507" s="249">
        <v>0</v>
      </c>
      <c r="O507" s="433">
        <f t="shared" si="36"/>
        <v>0</v>
      </c>
      <c r="P507" s="434">
        <v>0.16</v>
      </c>
      <c r="Q507" s="433">
        <f t="shared" si="37"/>
        <v>445.58839999999998</v>
      </c>
      <c r="R507" s="433">
        <f t="shared" si="38"/>
        <v>3230.5158999999999</v>
      </c>
      <c r="S507" s="433">
        <f>INDEX('Glosario Partidas'!$M$8:$M$10,MATCH(K507,'Glosario Partidas'!$L$8:$L$10,0))</f>
        <v>17.5</v>
      </c>
      <c r="T507" s="433">
        <f t="shared" si="39"/>
        <v>56534.028249999996</v>
      </c>
      <c r="U507" s="268"/>
      <c r="V507" s="249" t="s">
        <v>12</v>
      </c>
      <c r="W507" s="249" t="s">
        <v>491</v>
      </c>
      <c r="X507" s="249"/>
    </row>
    <row r="508" spans="1:24" ht="15" customHeight="1" x14ac:dyDescent="0.2">
      <c r="A508" s="268"/>
      <c r="B508" s="268" t="s">
        <v>108</v>
      </c>
      <c r="C508" s="268" t="s">
        <v>102</v>
      </c>
      <c r="D508" s="431" t="str">
        <f>GC!$B$19</f>
        <v>TARA ULTRA Single-lever mixer Pull-down (cocina)</v>
      </c>
      <c r="E508" s="249" t="s">
        <v>229</v>
      </c>
      <c r="F508" s="268" t="s">
        <v>221</v>
      </c>
      <c r="G508" s="249" t="s">
        <v>710</v>
      </c>
      <c r="H508" s="249" t="s">
        <v>435</v>
      </c>
      <c r="I508" s="268" t="s">
        <v>410</v>
      </c>
      <c r="J508" s="249">
        <v>1</v>
      </c>
      <c r="K508" s="268" t="s">
        <v>153</v>
      </c>
      <c r="L508" s="432">
        <f>GC!$F$19</f>
        <v>1226.4168749999999</v>
      </c>
      <c r="M508" s="433">
        <f t="shared" si="35"/>
        <v>1226.4168749999999</v>
      </c>
      <c r="N508" s="249">
        <v>0</v>
      </c>
      <c r="O508" s="433">
        <f t="shared" si="36"/>
        <v>0</v>
      </c>
      <c r="P508" s="434">
        <v>0.16</v>
      </c>
      <c r="Q508" s="433">
        <f t="shared" si="37"/>
        <v>196.22669999999999</v>
      </c>
      <c r="R508" s="433">
        <f t="shared" si="38"/>
        <v>1422.6435749999998</v>
      </c>
      <c r="S508" s="433">
        <f>INDEX('Glosario Partidas'!$M$8:$M$10,MATCH(K508,'Glosario Partidas'!$L$8:$L$10,0))</f>
        <v>17.5</v>
      </c>
      <c r="T508" s="433">
        <f t="shared" si="39"/>
        <v>24896.262562499996</v>
      </c>
      <c r="U508" s="268"/>
      <c r="V508" s="249" t="s">
        <v>12</v>
      </c>
      <c r="W508" s="249" t="s">
        <v>491</v>
      </c>
      <c r="X508" s="249"/>
    </row>
    <row r="509" spans="1:24" ht="15" customHeight="1" x14ac:dyDescent="0.2">
      <c r="A509" s="268"/>
      <c r="B509" s="268" t="s">
        <v>108</v>
      </c>
      <c r="C509" s="268" t="s">
        <v>102</v>
      </c>
      <c r="D509" s="431" t="str">
        <f>GC!$B$20</f>
        <v>TARA ULTRA HOT &amp; COLD WATER DISPENSER</v>
      </c>
      <c r="E509" s="249" t="s">
        <v>229</v>
      </c>
      <c r="F509" s="268" t="s">
        <v>221</v>
      </c>
      <c r="G509" s="249" t="s">
        <v>710</v>
      </c>
      <c r="H509" s="249" t="s">
        <v>435</v>
      </c>
      <c r="I509" s="268" t="s">
        <v>410</v>
      </c>
      <c r="J509" s="249">
        <v>2</v>
      </c>
      <c r="K509" s="268" t="s">
        <v>153</v>
      </c>
      <c r="L509" s="432">
        <f>GC!$F$20</f>
        <v>1392.4637499999999</v>
      </c>
      <c r="M509" s="433">
        <f t="shared" si="35"/>
        <v>2784.9274999999998</v>
      </c>
      <c r="N509" s="249">
        <v>0</v>
      </c>
      <c r="O509" s="433">
        <f t="shared" si="36"/>
        <v>0</v>
      </c>
      <c r="P509" s="434">
        <v>0.16</v>
      </c>
      <c r="Q509" s="433">
        <f t="shared" si="37"/>
        <v>445.58839999999998</v>
      </c>
      <c r="R509" s="433">
        <f t="shared" si="38"/>
        <v>3230.5158999999999</v>
      </c>
      <c r="S509" s="433">
        <f>INDEX('Glosario Partidas'!$M$8:$M$10,MATCH(K509,'Glosario Partidas'!$L$8:$L$10,0))</f>
        <v>17.5</v>
      </c>
      <c r="T509" s="433">
        <f t="shared" si="39"/>
        <v>56534.028249999996</v>
      </c>
      <c r="U509" s="268"/>
      <c r="V509" s="249" t="s">
        <v>12</v>
      </c>
      <c r="W509" s="249" t="s">
        <v>491</v>
      </c>
      <c r="X509" s="249"/>
    </row>
    <row r="510" spans="1:24" ht="15" customHeight="1" x14ac:dyDescent="0.2">
      <c r="A510" s="268"/>
      <c r="B510" s="268" t="s">
        <v>108</v>
      </c>
      <c r="C510" s="268" t="s">
        <v>102</v>
      </c>
      <c r="D510" s="431" t="str">
        <f>GC!$B$19</f>
        <v>TARA ULTRA Single-lever mixer Pull-down (cocina)</v>
      </c>
      <c r="E510" s="249" t="s">
        <v>229</v>
      </c>
      <c r="F510" s="268" t="s">
        <v>354</v>
      </c>
      <c r="G510" s="249" t="s">
        <v>713</v>
      </c>
      <c r="H510" s="249" t="s">
        <v>435</v>
      </c>
      <c r="I510" s="268" t="s">
        <v>410</v>
      </c>
      <c r="J510" s="249">
        <v>1</v>
      </c>
      <c r="K510" s="268" t="s">
        <v>153</v>
      </c>
      <c r="L510" s="432">
        <f>GC!$F$19</f>
        <v>1226.4168749999999</v>
      </c>
      <c r="M510" s="433">
        <f t="shared" si="35"/>
        <v>1226.4168749999999</v>
      </c>
      <c r="N510" s="249">
        <v>0</v>
      </c>
      <c r="O510" s="433">
        <f t="shared" si="36"/>
        <v>0</v>
      </c>
      <c r="P510" s="434">
        <v>0.16</v>
      </c>
      <c r="Q510" s="433">
        <f t="shared" si="37"/>
        <v>196.22669999999999</v>
      </c>
      <c r="R510" s="433">
        <f t="shared" si="38"/>
        <v>1422.6435749999998</v>
      </c>
      <c r="S510" s="433">
        <f>INDEX('Glosario Partidas'!$M$8:$M$10,MATCH(K510,'Glosario Partidas'!$L$8:$L$10,0))</f>
        <v>17.5</v>
      </c>
      <c r="T510" s="433">
        <f t="shared" si="39"/>
        <v>24896.262562499996</v>
      </c>
      <c r="U510" s="268"/>
      <c r="V510" s="249" t="s">
        <v>12</v>
      </c>
      <c r="W510" s="249" t="s">
        <v>491</v>
      </c>
      <c r="X510" s="249"/>
    </row>
    <row r="511" spans="1:24" ht="15" customHeight="1" x14ac:dyDescent="0.2">
      <c r="A511" s="268"/>
      <c r="B511" s="268" t="s">
        <v>108</v>
      </c>
      <c r="C511" s="268" t="s">
        <v>102</v>
      </c>
      <c r="D511" s="431" t="str">
        <f>GC!$B$20</f>
        <v>TARA ULTRA HOT &amp; COLD WATER DISPENSER</v>
      </c>
      <c r="E511" s="249" t="s">
        <v>229</v>
      </c>
      <c r="F511" s="268" t="s">
        <v>355</v>
      </c>
      <c r="G511" s="249" t="s">
        <v>767</v>
      </c>
      <c r="H511" s="249" t="s">
        <v>435</v>
      </c>
      <c r="I511" s="268" t="s">
        <v>410</v>
      </c>
      <c r="J511" s="249">
        <v>2</v>
      </c>
      <c r="K511" s="268" t="s">
        <v>153</v>
      </c>
      <c r="L511" s="432">
        <f>GC!$F$20</f>
        <v>1392.4637499999999</v>
      </c>
      <c r="M511" s="433">
        <f t="shared" si="35"/>
        <v>2784.9274999999998</v>
      </c>
      <c r="N511" s="249">
        <v>0</v>
      </c>
      <c r="O511" s="433">
        <f t="shared" si="36"/>
        <v>0</v>
      </c>
      <c r="P511" s="434">
        <v>0.16</v>
      </c>
      <c r="Q511" s="433">
        <f t="shared" si="37"/>
        <v>445.58839999999998</v>
      </c>
      <c r="R511" s="433">
        <f t="shared" si="38"/>
        <v>3230.5158999999999</v>
      </c>
      <c r="S511" s="433">
        <f>INDEX('Glosario Partidas'!$M$8:$M$10,MATCH(K511,'Glosario Partidas'!$L$8:$L$10,0))</f>
        <v>17.5</v>
      </c>
      <c r="T511" s="433">
        <f t="shared" si="39"/>
        <v>56534.028249999996</v>
      </c>
      <c r="U511" s="268"/>
      <c r="V511" s="249" t="s">
        <v>12</v>
      </c>
      <c r="W511" s="249" t="s">
        <v>491</v>
      </c>
      <c r="X511" s="249"/>
    </row>
    <row r="512" spans="1:24" ht="15" customHeight="1" x14ac:dyDescent="0.2">
      <c r="A512" s="268"/>
      <c r="B512" s="268" t="s">
        <v>108</v>
      </c>
      <c r="C512" s="268" t="s">
        <v>104</v>
      </c>
      <c r="D512" s="431" t="str">
        <f>GC!$B$19</f>
        <v>TARA ULTRA Single-lever mixer Pull-down (cocina)</v>
      </c>
      <c r="E512" s="249" t="s">
        <v>229</v>
      </c>
      <c r="F512" s="268" t="s">
        <v>221</v>
      </c>
      <c r="G512" s="249" t="s">
        <v>708</v>
      </c>
      <c r="H512" s="249" t="s">
        <v>435</v>
      </c>
      <c r="I512" s="268" t="s">
        <v>410</v>
      </c>
      <c r="J512" s="249">
        <v>1</v>
      </c>
      <c r="K512" s="268" t="s">
        <v>153</v>
      </c>
      <c r="L512" s="432">
        <f>GC!$F$19</f>
        <v>1226.4168749999999</v>
      </c>
      <c r="M512" s="433">
        <f t="shared" si="35"/>
        <v>1226.4168749999999</v>
      </c>
      <c r="N512" s="249">
        <v>0</v>
      </c>
      <c r="O512" s="433">
        <f t="shared" si="36"/>
        <v>0</v>
      </c>
      <c r="P512" s="434">
        <v>0.16</v>
      </c>
      <c r="Q512" s="433">
        <f t="shared" si="37"/>
        <v>196.22669999999999</v>
      </c>
      <c r="R512" s="433">
        <f t="shared" si="38"/>
        <v>1422.6435749999998</v>
      </c>
      <c r="S512" s="433">
        <f>INDEX('Glosario Partidas'!$M$8:$M$10,MATCH(K512,'Glosario Partidas'!$L$8:$L$10,0))</f>
        <v>17.5</v>
      </c>
      <c r="T512" s="433">
        <f t="shared" si="39"/>
        <v>24896.262562499996</v>
      </c>
      <c r="U512" s="268"/>
      <c r="V512" s="249" t="s">
        <v>12</v>
      </c>
      <c r="W512" s="249" t="s">
        <v>491</v>
      </c>
      <c r="X512" s="249"/>
    </row>
    <row r="513" spans="1:29" ht="15" customHeight="1" x14ac:dyDescent="0.2">
      <c r="A513" s="268"/>
      <c r="B513" s="268" t="s">
        <v>108</v>
      </c>
      <c r="C513" s="268" t="s">
        <v>104</v>
      </c>
      <c r="D513" s="431" t="str">
        <f>GC!$B$19</f>
        <v>TARA ULTRA Single-lever mixer Pull-down (cocina)</v>
      </c>
      <c r="E513" s="249" t="s">
        <v>229</v>
      </c>
      <c r="F513" s="268" t="s">
        <v>355</v>
      </c>
      <c r="G513" s="249" t="s">
        <v>766</v>
      </c>
      <c r="H513" s="249" t="s">
        <v>435</v>
      </c>
      <c r="I513" s="268" t="s">
        <v>410</v>
      </c>
      <c r="J513" s="249">
        <v>1</v>
      </c>
      <c r="K513" s="268" t="s">
        <v>153</v>
      </c>
      <c r="L513" s="432">
        <f>GC!$F$19</f>
        <v>1226.4168749999999</v>
      </c>
      <c r="M513" s="433">
        <f t="shared" si="35"/>
        <v>1226.4168749999999</v>
      </c>
      <c r="N513" s="249">
        <v>0</v>
      </c>
      <c r="O513" s="433">
        <f t="shared" si="36"/>
        <v>0</v>
      </c>
      <c r="P513" s="434">
        <v>0.16</v>
      </c>
      <c r="Q513" s="433">
        <f t="shared" si="37"/>
        <v>196.22669999999999</v>
      </c>
      <c r="R513" s="433">
        <f t="shared" si="38"/>
        <v>1422.6435749999998</v>
      </c>
      <c r="S513" s="433">
        <f>INDEX('Glosario Partidas'!$M$8:$M$10,MATCH(K513,'Glosario Partidas'!$L$8:$L$10,0))</f>
        <v>17.5</v>
      </c>
      <c r="T513" s="433">
        <f t="shared" si="39"/>
        <v>24896.262562499996</v>
      </c>
      <c r="U513" s="268"/>
      <c r="V513" s="249" t="s">
        <v>12</v>
      </c>
      <c r="W513" s="249" t="s">
        <v>491</v>
      </c>
      <c r="X513" s="249"/>
    </row>
    <row r="514" spans="1:29" ht="15" customHeight="1" x14ac:dyDescent="0.2">
      <c r="A514" s="268"/>
      <c r="B514" s="268" t="s">
        <v>108</v>
      </c>
      <c r="C514" s="268" t="s">
        <v>104</v>
      </c>
      <c r="D514" s="431" t="str">
        <f>GC!$B$19</f>
        <v>TARA ULTRA Single-lever mixer Pull-down (cocina)</v>
      </c>
      <c r="E514" s="249" t="s">
        <v>229</v>
      </c>
      <c r="F514" s="268" t="s">
        <v>221</v>
      </c>
      <c r="G514" s="249" t="s">
        <v>710</v>
      </c>
      <c r="H514" s="249" t="s">
        <v>435</v>
      </c>
      <c r="I514" s="268" t="s">
        <v>410</v>
      </c>
      <c r="J514" s="249">
        <v>1</v>
      </c>
      <c r="K514" s="268" t="s">
        <v>153</v>
      </c>
      <c r="L514" s="432">
        <f>GC!$F$19</f>
        <v>1226.4168749999999</v>
      </c>
      <c r="M514" s="433">
        <f t="shared" ref="M514:M515" si="40">J514*L514</f>
        <v>1226.4168749999999</v>
      </c>
      <c r="N514" s="249">
        <v>0</v>
      </c>
      <c r="O514" s="433">
        <f t="shared" ref="O514:O515" si="41">M514*N514</f>
        <v>0</v>
      </c>
      <c r="P514" s="434">
        <v>0.16</v>
      </c>
      <c r="Q514" s="433">
        <f t="shared" ref="Q514:Q515" si="42">(M514+O514)*P514</f>
        <v>196.22669999999999</v>
      </c>
      <c r="R514" s="433">
        <f t="shared" ref="R514:R515" si="43">M514+O514+Q514</f>
        <v>1422.6435749999998</v>
      </c>
      <c r="S514" s="433">
        <f>INDEX('Glosario Partidas'!$M$8:$M$10,MATCH(K514,'Glosario Partidas'!$L$8:$L$10,0))</f>
        <v>17.5</v>
      </c>
      <c r="T514" s="433">
        <f t="shared" ref="T514:T515" si="44">R514*S514</f>
        <v>24896.262562499996</v>
      </c>
      <c r="U514" s="268"/>
      <c r="V514" s="249" t="s">
        <v>12</v>
      </c>
      <c r="W514" s="249" t="s">
        <v>491</v>
      </c>
      <c r="X514" s="249"/>
    </row>
    <row r="515" spans="1:29" ht="15" customHeight="1" x14ac:dyDescent="0.2">
      <c r="A515" s="268"/>
      <c r="B515" s="268" t="s">
        <v>108</v>
      </c>
      <c r="C515" s="268" t="s">
        <v>104</v>
      </c>
      <c r="D515" s="431" t="str">
        <f>GC!$B$19</f>
        <v>TARA ULTRA Single-lever mixer Pull-down (cocina)</v>
      </c>
      <c r="E515" s="249" t="s">
        <v>229</v>
      </c>
      <c r="F515" s="268" t="s">
        <v>355</v>
      </c>
      <c r="G515" s="249" t="s">
        <v>767</v>
      </c>
      <c r="H515" s="249" t="s">
        <v>435</v>
      </c>
      <c r="I515" s="268" t="s">
        <v>410</v>
      </c>
      <c r="J515" s="249">
        <v>1</v>
      </c>
      <c r="K515" s="268" t="s">
        <v>153</v>
      </c>
      <c r="L515" s="432">
        <f>GC!$F$19</f>
        <v>1226.4168749999999</v>
      </c>
      <c r="M515" s="433">
        <f t="shared" si="40"/>
        <v>1226.4168749999999</v>
      </c>
      <c r="N515" s="249">
        <v>0</v>
      </c>
      <c r="O515" s="433">
        <f t="shared" si="41"/>
        <v>0</v>
      </c>
      <c r="P515" s="434">
        <v>0.16</v>
      </c>
      <c r="Q515" s="433">
        <f t="shared" si="42"/>
        <v>196.22669999999999</v>
      </c>
      <c r="R515" s="433">
        <f t="shared" si="43"/>
        <v>1422.6435749999998</v>
      </c>
      <c r="S515" s="433">
        <f>INDEX('Glosario Partidas'!$M$8:$M$10,MATCH(K515,'Glosario Partidas'!$L$8:$L$10,0))</f>
        <v>17.5</v>
      </c>
      <c r="T515" s="433">
        <f t="shared" si="44"/>
        <v>24896.262562499996</v>
      </c>
      <c r="U515" s="268"/>
      <c r="V515" s="249" t="s">
        <v>12</v>
      </c>
      <c r="W515" s="249" t="s">
        <v>491</v>
      </c>
      <c r="X515" s="249"/>
    </row>
    <row r="516" spans="1:29" ht="15" customHeight="1" x14ac:dyDescent="0.2">
      <c r="A516" s="268"/>
      <c r="B516" s="268"/>
      <c r="C516" s="268" t="s">
        <v>185</v>
      </c>
      <c r="D516" s="268"/>
      <c r="E516" s="249"/>
      <c r="F516" s="268"/>
      <c r="G516" s="249"/>
      <c r="H516" s="249"/>
      <c r="I516" s="268"/>
      <c r="J516" s="249"/>
      <c r="K516" s="268"/>
      <c r="L516" s="436"/>
      <c r="M516" s="433">
        <f>SUM(M2:M515)</f>
        <v>397098.24004500004</v>
      </c>
      <c r="N516" s="249"/>
      <c r="O516" s="433"/>
      <c r="P516" s="434"/>
      <c r="Q516" s="433"/>
      <c r="R516" s="437">
        <f>SUM(R2:R515)</f>
        <v>460633.9584521997</v>
      </c>
      <c r="S516" s="437"/>
      <c r="T516" s="437">
        <f>SUM(T2:T515)</f>
        <v>8061094.2729134839</v>
      </c>
      <c r="U516" s="268"/>
      <c r="V516" s="249"/>
      <c r="AB516" s="254">
        <f>SUMIFS($T:$T,$W:$W,"Contratado")</f>
        <v>0</v>
      </c>
      <c r="AC516" s="254">
        <f>SUMIFS($T:$T,$W:$W,"No Contratado")</f>
        <v>8061094.2729134839</v>
      </c>
    </row>
  </sheetData>
  <autoFilter ref="A1:V448" xr:uid="{00000000-0009-0000-0000-000038000000}"/>
  <dataValidations count="2">
    <dataValidation type="list" allowBlank="1" errorTitle="Valor inválido" error="Selecciona Contratado o No Contratado" promptTitle="Contratado/No Contratado" prompt="Selecciona estado" sqref="W2:W515" xr:uid="{00000000-0002-0000-38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447" xr:uid="{00000000-0002-0000-3800-000001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71"/>
  <sheetViews>
    <sheetView zoomScale="160" zoomScaleNormal="160" workbookViewId="0">
      <selection activeCell="E16" sqref="E16"/>
    </sheetView>
  </sheetViews>
  <sheetFormatPr baseColWidth="10" defaultColWidth="10.83203125" defaultRowHeight="15" x14ac:dyDescent="0.2"/>
  <cols>
    <col min="2" max="2" width="60.83203125" customWidth="1"/>
  </cols>
  <sheetData>
    <row r="1" spans="1:8" ht="15" customHeight="1" x14ac:dyDescent="0.2">
      <c r="A1" s="405" t="s">
        <v>818</v>
      </c>
      <c r="B1" s="405" t="s">
        <v>1089</v>
      </c>
    </row>
    <row r="2" spans="1:8" ht="15" customHeight="1" x14ac:dyDescent="0.2">
      <c r="A2" s="405" t="s">
        <v>819</v>
      </c>
      <c r="B2" s="405" t="s">
        <v>435</v>
      </c>
    </row>
    <row r="5" spans="1:8" ht="15" customHeight="1" x14ac:dyDescent="0.2">
      <c r="A5" s="409" t="s">
        <v>822</v>
      </c>
      <c r="B5" s="409" t="s">
        <v>823</v>
      </c>
      <c r="C5" s="409" t="s">
        <v>1090</v>
      </c>
      <c r="D5" s="409" t="s">
        <v>824</v>
      </c>
      <c r="E5" s="409" t="s">
        <v>825</v>
      </c>
      <c r="F5" s="410" t="s">
        <v>826</v>
      </c>
      <c r="G5" s="410" t="s">
        <v>827</v>
      </c>
      <c r="H5" s="409" t="s">
        <v>1091</v>
      </c>
    </row>
    <row r="6" spans="1:8" ht="13.5" customHeight="1" x14ac:dyDescent="0.2">
      <c r="A6" s="129"/>
      <c r="B6" s="411" t="s">
        <v>1092</v>
      </c>
      <c r="D6" s="129"/>
      <c r="E6" s="129"/>
      <c r="F6" s="412"/>
      <c r="G6" s="412"/>
      <c r="H6" s="129"/>
    </row>
    <row r="7" spans="1:8" ht="15" customHeight="1" x14ac:dyDescent="0.2">
      <c r="A7" s="413">
        <v>1.01</v>
      </c>
      <c r="B7" s="414" t="s">
        <v>1093</v>
      </c>
      <c r="C7" s="414"/>
      <c r="D7" s="413" t="s">
        <v>843</v>
      </c>
      <c r="E7" s="413">
        <v>46</v>
      </c>
      <c r="F7" s="415">
        <v>667.07</v>
      </c>
      <c r="G7" s="415">
        <f t="shared" ref="G7:G22" si="0">E7*F7</f>
        <v>30685.22</v>
      </c>
      <c r="H7" s="413" t="s">
        <v>153</v>
      </c>
    </row>
    <row r="8" spans="1:8" ht="15" customHeight="1" x14ac:dyDescent="0.2">
      <c r="A8" s="413">
        <v>1.02</v>
      </c>
      <c r="B8" s="414" t="s">
        <v>1094</v>
      </c>
      <c r="C8" s="414"/>
      <c r="D8" s="413" t="s">
        <v>843</v>
      </c>
      <c r="E8" s="413">
        <v>79</v>
      </c>
      <c r="F8" s="415">
        <v>975.99151900000004</v>
      </c>
      <c r="G8" s="415">
        <f t="shared" si="0"/>
        <v>77103.330001000009</v>
      </c>
      <c r="H8" s="413" t="s">
        <v>153</v>
      </c>
    </row>
    <row r="9" spans="1:8" ht="15" customHeight="1" x14ac:dyDescent="0.2">
      <c r="A9" s="413">
        <v>1.03</v>
      </c>
      <c r="B9" s="414" t="s">
        <v>1095</v>
      </c>
      <c r="C9" s="414"/>
      <c r="D9" s="413" t="s">
        <v>843</v>
      </c>
      <c r="E9" s="413">
        <v>79</v>
      </c>
      <c r="F9" s="415">
        <v>471.15</v>
      </c>
      <c r="G9" s="415">
        <f t="shared" si="0"/>
        <v>37220.85</v>
      </c>
      <c r="H9" s="413" t="s">
        <v>153</v>
      </c>
    </row>
    <row r="10" spans="1:8" ht="15" customHeight="1" x14ac:dyDescent="0.2">
      <c r="A10" s="413">
        <v>1.04</v>
      </c>
      <c r="B10" s="414" t="s">
        <v>434</v>
      </c>
      <c r="C10" s="414"/>
      <c r="D10" s="413" t="s">
        <v>843</v>
      </c>
      <c r="E10" s="413">
        <v>46</v>
      </c>
      <c r="F10" s="415">
        <v>238.874348</v>
      </c>
      <c r="G10" s="415">
        <f t="shared" si="0"/>
        <v>10988.220008</v>
      </c>
      <c r="H10" s="413" t="s">
        <v>153</v>
      </c>
    </row>
    <row r="11" spans="1:8" ht="15" customHeight="1" x14ac:dyDescent="0.2">
      <c r="A11" s="413">
        <v>1.05</v>
      </c>
      <c r="B11" s="414" t="s">
        <v>436</v>
      </c>
      <c r="C11" s="414"/>
      <c r="D11" s="413" t="s">
        <v>843</v>
      </c>
      <c r="E11" s="413">
        <v>92</v>
      </c>
      <c r="F11" s="415">
        <v>61.111086999999998</v>
      </c>
      <c r="G11" s="415">
        <f t="shared" si="0"/>
        <v>5622.2200039999998</v>
      </c>
      <c r="H11" s="413" t="s">
        <v>153</v>
      </c>
    </row>
    <row r="12" spans="1:8" ht="15" customHeight="1" x14ac:dyDescent="0.2">
      <c r="A12" s="413">
        <v>1.06</v>
      </c>
      <c r="B12" s="414" t="s">
        <v>439</v>
      </c>
      <c r="C12" s="414"/>
      <c r="D12" s="413" t="s">
        <v>843</v>
      </c>
      <c r="E12" s="413">
        <v>38</v>
      </c>
      <c r="F12" s="415">
        <v>325.25947400000001</v>
      </c>
      <c r="G12" s="415">
        <f t="shared" si="0"/>
        <v>12359.860012000001</v>
      </c>
      <c r="H12" s="413" t="s">
        <v>153</v>
      </c>
    </row>
    <row r="13" spans="1:8" ht="15" customHeight="1" x14ac:dyDescent="0.2">
      <c r="A13" s="413">
        <v>1.07</v>
      </c>
      <c r="B13" s="414" t="s">
        <v>1096</v>
      </c>
      <c r="C13" s="414"/>
      <c r="D13" s="413" t="s">
        <v>843</v>
      </c>
      <c r="E13" s="413">
        <v>38</v>
      </c>
      <c r="F13" s="415">
        <v>1807.197105</v>
      </c>
      <c r="G13" s="415">
        <f t="shared" si="0"/>
        <v>68673.489990000002</v>
      </c>
      <c r="H13" s="413" t="s">
        <v>153</v>
      </c>
    </row>
    <row r="14" spans="1:8" ht="15" customHeight="1" x14ac:dyDescent="0.2">
      <c r="A14" s="413">
        <v>1.08</v>
      </c>
      <c r="B14" s="414" t="s">
        <v>441</v>
      </c>
      <c r="C14" s="414"/>
      <c r="D14" s="413" t="s">
        <v>843</v>
      </c>
      <c r="E14" s="413">
        <v>38</v>
      </c>
      <c r="F14" s="415">
        <v>350.19605300000001</v>
      </c>
      <c r="G14" s="415">
        <f t="shared" si="0"/>
        <v>13307.450014</v>
      </c>
      <c r="H14" s="413" t="s">
        <v>153</v>
      </c>
    </row>
    <row r="15" spans="1:8" ht="15" customHeight="1" x14ac:dyDescent="0.2">
      <c r="A15" s="413">
        <v>1.0900000000000001</v>
      </c>
      <c r="B15" s="414" t="s">
        <v>1097</v>
      </c>
      <c r="C15" s="414"/>
      <c r="D15" s="413" t="s">
        <v>843</v>
      </c>
      <c r="E15" s="413">
        <v>38</v>
      </c>
      <c r="F15" s="415">
        <v>313.33</v>
      </c>
      <c r="G15" s="415">
        <f t="shared" si="0"/>
        <v>11906.539999999999</v>
      </c>
      <c r="H15" s="413" t="s">
        <v>153</v>
      </c>
    </row>
    <row r="16" spans="1:8" ht="15" customHeight="1" x14ac:dyDescent="0.2">
      <c r="A16" s="413">
        <v>1.1000000000000001</v>
      </c>
      <c r="B16" s="414" t="s">
        <v>444</v>
      </c>
      <c r="C16" s="414"/>
      <c r="D16" s="413" t="s">
        <v>843</v>
      </c>
      <c r="E16" s="413">
        <v>8</v>
      </c>
      <c r="F16" s="415">
        <v>1904.2149999999999</v>
      </c>
      <c r="G16" s="415">
        <f t="shared" si="0"/>
        <v>15233.72</v>
      </c>
      <c r="H16" s="413" t="s">
        <v>153</v>
      </c>
    </row>
    <row r="17" spans="1:8" ht="15" customHeight="1" x14ac:dyDescent="0.2">
      <c r="A17" s="413">
        <v>1.1100000000000001</v>
      </c>
      <c r="B17" s="414" t="s">
        <v>1098</v>
      </c>
      <c r="C17" s="414"/>
      <c r="D17" s="413" t="s">
        <v>843</v>
      </c>
      <c r="E17" s="413">
        <v>8</v>
      </c>
      <c r="F17" s="415">
        <v>292.73</v>
      </c>
      <c r="G17" s="415">
        <f t="shared" si="0"/>
        <v>2341.84</v>
      </c>
      <c r="H17" s="413" t="s">
        <v>153</v>
      </c>
    </row>
    <row r="18" spans="1:8" ht="15" customHeight="1" x14ac:dyDescent="0.2">
      <c r="A18" s="413">
        <v>1.1200000000000001</v>
      </c>
      <c r="B18" s="414" t="s">
        <v>1099</v>
      </c>
      <c r="C18" s="414"/>
      <c r="D18" s="413" t="s">
        <v>843</v>
      </c>
      <c r="E18" s="413">
        <v>8</v>
      </c>
      <c r="F18" s="415">
        <v>4565</v>
      </c>
      <c r="G18" s="415">
        <f t="shared" si="0"/>
        <v>36520</v>
      </c>
      <c r="H18" s="413" t="s">
        <v>153</v>
      </c>
    </row>
    <row r="19" spans="1:8" ht="15" customHeight="1" x14ac:dyDescent="0.2">
      <c r="A19" s="413">
        <v>1.1299999999999999</v>
      </c>
      <c r="B19" s="414" t="s">
        <v>1100</v>
      </c>
      <c r="C19" s="414"/>
      <c r="D19" s="413" t="s">
        <v>843</v>
      </c>
      <c r="E19" s="413">
        <v>16</v>
      </c>
      <c r="F19" s="415">
        <v>1226.4168749999999</v>
      </c>
      <c r="G19" s="415">
        <f t="shared" si="0"/>
        <v>19622.669999999998</v>
      </c>
      <c r="H19" s="413" t="s">
        <v>153</v>
      </c>
    </row>
    <row r="20" spans="1:8" ht="15" customHeight="1" x14ac:dyDescent="0.2">
      <c r="A20" s="413">
        <v>1.1399999999999999</v>
      </c>
      <c r="B20" s="414" t="s">
        <v>1101</v>
      </c>
      <c r="C20" s="414"/>
      <c r="D20" s="413" t="s">
        <v>843</v>
      </c>
      <c r="E20" s="413">
        <v>16</v>
      </c>
      <c r="F20" s="415">
        <v>1392.4637499999999</v>
      </c>
      <c r="G20" s="415">
        <f t="shared" si="0"/>
        <v>22279.42</v>
      </c>
      <c r="H20" s="413" t="s">
        <v>153</v>
      </c>
    </row>
    <row r="21" spans="1:8" ht="15" customHeight="1" x14ac:dyDescent="0.2">
      <c r="A21" s="413">
        <v>1.1499999999999999</v>
      </c>
      <c r="B21" s="414" t="s">
        <v>1102</v>
      </c>
      <c r="C21" s="414" t="s">
        <v>1103</v>
      </c>
      <c r="D21" s="413" t="s">
        <v>843</v>
      </c>
      <c r="E21" s="413">
        <v>79</v>
      </c>
      <c r="F21" s="415">
        <v>281.02</v>
      </c>
      <c r="G21" s="415">
        <f t="shared" si="0"/>
        <v>22200.579999999998</v>
      </c>
      <c r="H21" s="413" t="s">
        <v>153</v>
      </c>
    </row>
    <row r="22" spans="1:8" ht="15" customHeight="1" x14ac:dyDescent="0.2">
      <c r="A22" s="413">
        <v>1.1599999999999999</v>
      </c>
      <c r="B22" s="414" t="s">
        <v>1104</v>
      </c>
      <c r="C22" s="414" t="s">
        <v>1105</v>
      </c>
      <c r="D22" s="413" t="s">
        <v>843</v>
      </c>
      <c r="E22" s="413">
        <v>38</v>
      </c>
      <c r="F22" s="415">
        <v>290.33763199999999</v>
      </c>
      <c r="G22" s="415">
        <f t="shared" si="0"/>
        <v>11032.830016</v>
      </c>
      <c r="H22" s="413" t="s">
        <v>153</v>
      </c>
    </row>
    <row r="23" spans="1:8" ht="15" customHeight="1" x14ac:dyDescent="0.2">
      <c r="A23" s="417" t="s">
        <v>960</v>
      </c>
      <c r="B23" s="350"/>
      <c r="C23" s="350"/>
      <c r="D23" s="350"/>
      <c r="E23" s="350"/>
      <c r="F23" s="418"/>
      <c r="G23" s="418">
        <f>SUM(G7:G22)</f>
        <v>397098.24004499998</v>
      </c>
      <c r="H23" s="350"/>
    </row>
    <row r="24" spans="1:8" ht="15" customHeight="1" x14ac:dyDescent="0.2">
      <c r="A24" s="414" t="s">
        <v>961</v>
      </c>
      <c r="B24" s="414" t="s">
        <v>1106</v>
      </c>
      <c r="C24" s="414"/>
      <c r="D24" s="414"/>
      <c r="E24" s="414"/>
      <c r="F24" s="414"/>
      <c r="G24" s="415">
        <f>G23*0.16</f>
        <v>63535.718407200002</v>
      </c>
      <c r="H24" s="414"/>
    </row>
    <row r="25" spans="1:8" ht="15" customHeight="1" x14ac:dyDescent="0.2">
      <c r="A25" s="129" t="s">
        <v>962</v>
      </c>
      <c r="B25" s="129" t="s">
        <v>1093</v>
      </c>
      <c r="C25" s="129"/>
      <c r="D25" s="129" t="s">
        <v>843</v>
      </c>
      <c r="E25" s="129">
        <v>10</v>
      </c>
      <c r="F25" s="129">
        <v>667.07</v>
      </c>
      <c r="G25" s="412">
        <f>G23+G24</f>
        <v>460633.95845219999</v>
      </c>
      <c r="H25" s="129" t="s">
        <v>153</v>
      </c>
    </row>
    <row r="26" spans="1:8" ht="15" customHeight="1" x14ac:dyDescent="0.2">
      <c r="A26" s="413"/>
      <c r="B26" s="414"/>
      <c r="C26" s="414"/>
      <c r="D26" s="413"/>
      <c r="E26" s="413"/>
      <c r="F26" s="415"/>
      <c r="G26" s="415"/>
      <c r="H26" s="413"/>
    </row>
    <row r="27" spans="1:8" ht="15" customHeight="1" x14ac:dyDescent="0.2">
      <c r="A27" s="413"/>
      <c r="B27" s="414"/>
      <c r="C27" s="414"/>
      <c r="D27" s="413"/>
      <c r="E27" s="413"/>
      <c r="F27" s="415"/>
      <c r="G27" s="415"/>
      <c r="H27" s="413"/>
    </row>
    <row r="28" spans="1:8" ht="15" customHeight="1" x14ac:dyDescent="0.2">
      <c r="A28" s="413"/>
      <c r="B28" s="414"/>
      <c r="C28" s="414"/>
      <c r="D28" s="413"/>
      <c r="E28" s="413"/>
      <c r="F28" s="415"/>
      <c r="G28" s="415"/>
      <c r="H28" s="413"/>
    </row>
    <row r="29" spans="1:8" ht="15" customHeight="1" x14ac:dyDescent="0.2">
      <c r="A29" s="413"/>
      <c r="B29" s="414"/>
      <c r="C29" s="414"/>
      <c r="D29" s="413"/>
      <c r="E29" s="413"/>
      <c r="F29" s="415"/>
      <c r="G29" s="415"/>
      <c r="H29" s="413"/>
    </row>
    <row r="30" spans="1:8" ht="15" customHeight="1" x14ac:dyDescent="0.2">
      <c r="A30" s="413"/>
      <c r="B30" s="414"/>
      <c r="C30" s="414"/>
      <c r="D30" s="413"/>
      <c r="E30" s="413"/>
      <c r="F30" s="415"/>
      <c r="G30" s="415"/>
      <c r="H30" s="413"/>
    </row>
    <row r="31" spans="1:8" ht="15" customHeight="1" x14ac:dyDescent="0.2">
      <c r="A31" s="413"/>
      <c r="B31" s="414"/>
      <c r="C31" s="414"/>
      <c r="D31" s="413"/>
      <c r="E31" s="413"/>
      <c r="F31" s="415"/>
      <c r="G31" s="415"/>
      <c r="H31" s="413"/>
    </row>
    <row r="32" spans="1:8" ht="15" customHeight="1" x14ac:dyDescent="0.2">
      <c r="A32" s="413"/>
      <c r="B32" s="414"/>
      <c r="C32" s="414"/>
      <c r="D32" s="413"/>
      <c r="E32" s="413"/>
      <c r="F32" s="415"/>
      <c r="G32" s="415"/>
      <c r="H32" s="413"/>
    </row>
    <row r="33" spans="1:8" ht="15" customHeight="1" x14ac:dyDescent="0.2">
      <c r="A33" s="413"/>
      <c r="B33" s="414"/>
      <c r="C33" s="414"/>
      <c r="D33" s="413"/>
      <c r="E33" s="413"/>
      <c r="F33" s="415"/>
      <c r="G33" s="415"/>
      <c r="H33" s="413"/>
    </row>
    <row r="34" spans="1:8" ht="15" customHeight="1" x14ac:dyDescent="0.2">
      <c r="A34" s="413"/>
      <c r="B34" s="414"/>
      <c r="C34" s="414"/>
      <c r="D34" s="413"/>
      <c r="E34" s="413"/>
      <c r="F34" s="415"/>
      <c r="G34" s="415"/>
      <c r="H34" s="413"/>
    </row>
    <row r="35" spans="1:8" ht="15" customHeight="1" x14ac:dyDescent="0.2">
      <c r="A35" s="413"/>
      <c r="B35" s="414"/>
      <c r="C35" s="414"/>
      <c r="D35" s="413"/>
      <c r="E35" s="413"/>
      <c r="F35" s="415"/>
      <c r="G35" s="415"/>
      <c r="H35" s="413"/>
    </row>
    <row r="36" spans="1:8" ht="15" customHeight="1" x14ac:dyDescent="0.2">
      <c r="A36" s="413"/>
      <c r="B36" s="414"/>
      <c r="C36" s="414"/>
      <c r="D36" s="413"/>
      <c r="E36" s="413"/>
      <c r="F36" s="415"/>
      <c r="G36" s="415"/>
      <c r="H36" s="413"/>
    </row>
    <row r="37" spans="1:8" ht="15" customHeight="1" x14ac:dyDescent="0.2">
      <c r="A37" s="413"/>
      <c r="B37" s="414"/>
      <c r="C37" s="414"/>
      <c r="D37" s="413"/>
      <c r="E37" s="413"/>
      <c r="F37" s="415"/>
      <c r="G37" s="415"/>
      <c r="H37" s="413"/>
    </row>
    <row r="38" spans="1:8" ht="15" customHeight="1" x14ac:dyDescent="0.2">
      <c r="A38" s="413"/>
      <c r="B38" s="414"/>
      <c r="C38" s="414"/>
      <c r="D38" s="413"/>
      <c r="E38" s="413"/>
      <c r="F38" s="415"/>
      <c r="G38" s="415"/>
      <c r="H38" s="413"/>
    </row>
    <row r="39" spans="1:8" ht="15" customHeight="1" x14ac:dyDescent="0.2">
      <c r="A39" s="413"/>
      <c r="B39" s="414"/>
      <c r="C39" s="414"/>
      <c r="D39" s="413"/>
      <c r="E39" s="413"/>
      <c r="F39" s="415"/>
      <c r="G39" s="415"/>
      <c r="H39" s="413"/>
    </row>
    <row r="40" spans="1:8" ht="15" customHeight="1" x14ac:dyDescent="0.2">
      <c r="A40" s="417"/>
      <c r="B40" s="350"/>
      <c r="C40" s="350"/>
      <c r="D40" s="350"/>
      <c r="E40" s="350"/>
      <c r="F40" s="418"/>
      <c r="G40" s="418"/>
      <c r="H40" s="350"/>
    </row>
    <row r="42" spans="1:8" ht="15" customHeight="1" x14ac:dyDescent="0.2">
      <c r="A42" s="129"/>
      <c r="B42" s="411"/>
      <c r="D42" s="129"/>
      <c r="E42" s="129"/>
      <c r="F42" s="412"/>
      <c r="G42" s="412"/>
      <c r="H42" s="129"/>
    </row>
    <row r="43" spans="1:8" ht="15" customHeight="1" x14ac:dyDescent="0.2">
      <c r="A43" s="413"/>
      <c r="B43" s="414"/>
      <c r="C43" s="414"/>
      <c r="D43" s="413"/>
      <c r="E43" s="413"/>
      <c r="F43" s="415"/>
      <c r="G43" s="415"/>
      <c r="H43" s="413"/>
    </row>
    <row r="44" spans="1:8" ht="15" customHeight="1" x14ac:dyDescent="0.2">
      <c r="A44" s="413"/>
      <c r="B44" s="414"/>
      <c r="C44" s="414"/>
      <c r="D44" s="413"/>
      <c r="E44" s="413"/>
      <c r="F44" s="415"/>
      <c r="G44" s="415"/>
      <c r="H44" s="413"/>
    </row>
    <row r="45" spans="1:8" ht="15" customHeight="1" x14ac:dyDescent="0.2">
      <c r="A45" s="413"/>
      <c r="B45" s="414"/>
      <c r="C45" s="414"/>
      <c r="D45" s="413"/>
      <c r="E45" s="413"/>
      <c r="F45" s="415"/>
      <c r="G45" s="415"/>
      <c r="H45" s="413"/>
    </row>
    <row r="46" spans="1:8" ht="15" customHeight="1" x14ac:dyDescent="0.2">
      <c r="A46" s="413"/>
      <c r="B46" s="414"/>
      <c r="C46" s="414"/>
      <c r="D46" s="413"/>
      <c r="E46" s="413"/>
      <c r="F46" s="415"/>
      <c r="G46" s="415"/>
      <c r="H46" s="413"/>
    </row>
    <row r="47" spans="1:8" ht="15" customHeight="1" x14ac:dyDescent="0.2">
      <c r="A47" s="413"/>
      <c r="B47" s="414"/>
      <c r="C47" s="414"/>
      <c r="D47" s="413"/>
      <c r="E47" s="413"/>
      <c r="F47" s="415"/>
      <c r="G47" s="415"/>
      <c r="H47" s="413"/>
    </row>
    <row r="48" spans="1:8" ht="15" customHeight="1" x14ac:dyDescent="0.2">
      <c r="A48" s="413"/>
      <c r="B48" s="414"/>
      <c r="C48" s="414"/>
      <c r="D48" s="413"/>
      <c r="E48" s="413"/>
      <c r="F48" s="415"/>
      <c r="G48" s="415"/>
      <c r="H48" s="413"/>
    </row>
    <row r="49" spans="1:8" ht="15" customHeight="1" x14ac:dyDescent="0.2">
      <c r="A49" s="413"/>
      <c r="B49" s="414"/>
      <c r="C49" s="414"/>
      <c r="D49" s="413"/>
      <c r="E49" s="413"/>
      <c r="F49" s="415"/>
      <c r="G49" s="415"/>
      <c r="H49" s="413"/>
    </row>
    <row r="50" spans="1:8" ht="15" customHeight="1" x14ac:dyDescent="0.2">
      <c r="A50" s="413"/>
      <c r="B50" s="414"/>
      <c r="C50" s="414"/>
      <c r="D50" s="413"/>
      <c r="E50" s="413"/>
      <c r="F50" s="415"/>
      <c r="G50" s="415"/>
      <c r="H50" s="413"/>
    </row>
    <row r="51" spans="1:8" ht="15" customHeight="1" x14ac:dyDescent="0.2">
      <c r="A51" s="413"/>
      <c r="B51" s="414"/>
      <c r="C51" s="414"/>
      <c r="D51" s="413"/>
      <c r="E51" s="413"/>
      <c r="F51" s="415"/>
      <c r="G51" s="415"/>
      <c r="H51" s="413"/>
    </row>
    <row r="52" spans="1:8" ht="15" customHeight="1" x14ac:dyDescent="0.2">
      <c r="A52" s="413"/>
      <c r="B52" s="414"/>
      <c r="C52" s="414"/>
      <c r="D52" s="413"/>
      <c r="E52" s="413"/>
      <c r="F52" s="415"/>
      <c r="G52" s="415"/>
      <c r="H52" s="413"/>
    </row>
    <row r="53" spans="1:8" ht="15" customHeight="1" x14ac:dyDescent="0.2">
      <c r="A53" s="413"/>
      <c r="B53" s="414"/>
      <c r="C53" s="414"/>
      <c r="D53" s="413"/>
      <c r="E53" s="413"/>
      <c r="F53" s="415"/>
      <c r="G53" s="415"/>
      <c r="H53" s="413"/>
    </row>
    <row r="54" spans="1:8" ht="15" customHeight="1" x14ac:dyDescent="0.2">
      <c r="A54" s="413"/>
      <c r="B54" s="414"/>
      <c r="C54" s="414"/>
      <c r="D54" s="413"/>
      <c r="E54" s="413"/>
      <c r="F54" s="415"/>
      <c r="G54" s="415"/>
      <c r="H54" s="413"/>
    </row>
    <row r="55" spans="1:8" ht="15" customHeight="1" x14ac:dyDescent="0.2">
      <c r="A55" s="413"/>
      <c r="B55" s="414"/>
      <c r="C55" s="414"/>
      <c r="D55" s="413"/>
      <c r="E55" s="413"/>
      <c r="F55" s="415"/>
      <c r="G55" s="415"/>
      <c r="H55" s="413"/>
    </row>
    <row r="56" spans="1:8" ht="15" customHeight="1" x14ac:dyDescent="0.2">
      <c r="A56" s="413"/>
      <c r="B56" s="414"/>
      <c r="C56" s="414"/>
      <c r="D56" s="413"/>
      <c r="E56" s="413"/>
      <c r="F56" s="415"/>
      <c r="G56" s="415"/>
      <c r="H56" s="413"/>
    </row>
    <row r="57" spans="1:8" ht="15" customHeight="1" x14ac:dyDescent="0.2">
      <c r="A57" s="413"/>
      <c r="B57" s="414"/>
      <c r="C57" s="414"/>
      <c r="D57" s="413"/>
      <c r="E57" s="413"/>
      <c r="F57" s="415"/>
      <c r="G57" s="415"/>
      <c r="H57" s="413"/>
    </row>
    <row r="58" spans="1:8" ht="15" customHeight="1" x14ac:dyDescent="0.2">
      <c r="A58" s="417"/>
      <c r="B58" s="350"/>
      <c r="C58" s="350"/>
      <c r="D58" s="350"/>
      <c r="E58" s="350"/>
      <c r="F58" s="418"/>
      <c r="G58" s="418"/>
      <c r="H58" s="350"/>
    </row>
    <row r="60" spans="1:8" ht="15" customHeight="1" x14ac:dyDescent="0.2">
      <c r="A60" s="129"/>
      <c r="B60" s="411"/>
      <c r="D60" s="129"/>
      <c r="E60" s="129"/>
      <c r="F60" s="412"/>
      <c r="G60" s="412"/>
      <c r="H60" s="129"/>
    </row>
    <row r="61" spans="1:8" ht="15" customHeight="1" x14ac:dyDescent="0.2">
      <c r="A61" s="413"/>
      <c r="B61" s="414"/>
      <c r="C61" s="414"/>
      <c r="D61" s="413"/>
      <c r="E61" s="413"/>
      <c r="F61" s="415"/>
      <c r="G61" s="415"/>
      <c r="H61" s="413"/>
    </row>
    <row r="62" spans="1:8" ht="15" customHeight="1" x14ac:dyDescent="0.2">
      <c r="A62" s="413"/>
      <c r="B62" s="414"/>
      <c r="C62" s="414"/>
      <c r="D62" s="413"/>
      <c r="E62" s="413"/>
      <c r="F62" s="415"/>
      <c r="G62" s="415"/>
      <c r="H62" s="413"/>
    </row>
    <row r="63" spans="1:8" ht="15" customHeight="1" x14ac:dyDescent="0.2">
      <c r="A63" s="413"/>
      <c r="B63" s="414"/>
      <c r="C63" s="414"/>
      <c r="D63" s="413"/>
      <c r="E63" s="413"/>
      <c r="F63" s="415"/>
      <c r="G63" s="415"/>
      <c r="H63" s="413"/>
    </row>
    <row r="64" spans="1:8" ht="15" customHeight="1" x14ac:dyDescent="0.2">
      <c r="A64" s="417"/>
      <c r="B64" s="350"/>
      <c r="C64" s="350"/>
      <c r="D64" s="350"/>
      <c r="E64" s="350"/>
      <c r="F64" s="418"/>
      <c r="G64" s="418"/>
      <c r="H64" s="350"/>
    </row>
    <row r="66" spans="1:8" ht="15" customHeight="1" x14ac:dyDescent="0.2">
      <c r="A66" s="350"/>
      <c r="B66" s="350"/>
      <c r="C66" s="350"/>
      <c r="D66" s="350"/>
      <c r="E66" s="350"/>
      <c r="F66" s="350"/>
      <c r="G66" s="418"/>
      <c r="H66" s="350"/>
    </row>
    <row r="67" spans="1:8" ht="15" customHeight="1" x14ac:dyDescent="0.2">
      <c r="A67" s="414"/>
      <c r="B67" s="414"/>
      <c r="C67" s="414"/>
      <c r="D67" s="414"/>
      <c r="E67" s="414"/>
      <c r="F67" s="414"/>
      <c r="G67" s="415"/>
      <c r="H67" s="414"/>
    </row>
    <row r="69" spans="1:8" ht="15" customHeight="1" x14ac:dyDescent="0.2">
      <c r="A69" s="129"/>
      <c r="B69" s="129"/>
      <c r="C69" s="129"/>
      <c r="D69" s="129"/>
      <c r="E69" s="129"/>
      <c r="F69" s="129"/>
      <c r="G69" s="412"/>
      <c r="H69" s="129"/>
    </row>
    <row r="71" spans="1:8" ht="1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AC6"/>
  <sheetViews>
    <sheetView topLeftCell="B1" zoomScale="150" zoomScaleNormal="150" workbookViewId="0">
      <selection activeCell="W2" sqref="W2"/>
    </sheetView>
  </sheetViews>
  <sheetFormatPr baseColWidth="10" defaultColWidth="8.6640625" defaultRowHeight="15" customHeight="1" x14ac:dyDescent="0.2"/>
  <cols>
    <col min="3" max="3" width="12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196</v>
      </c>
      <c r="C2" s="211" t="s">
        <v>123</v>
      </c>
      <c r="D2" s="78" t="s">
        <v>313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207</v>
      </c>
      <c r="J2" s="315">
        <v>956</v>
      </c>
      <c r="K2" s="211" t="s">
        <v>269</v>
      </c>
      <c r="L2" s="316">
        <v>2500</v>
      </c>
      <c r="M2" s="310">
        <f>J2*L2</f>
        <v>2390000</v>
      </c>
      <c r="N2" s="317">
        <v>0</v>
      </c>
      <c r="O2" s="318">
        <f>M2*N2</f>
        <v>0</v>
      </c>
      <c r="P2" s="317">
        <v>0.16</v>
      </c>
      <c r="Q2" s="310">
        <f>(M2+O2)*P2</f>
        <v>382400</v>
      </c>
      <c r="R2" s="310">
        <f>M2+O2+Q2</f>
        <v>2772400</v>
      </c>
      <c r="S2" s="310">
        <f>INDEX('Glosario Partidas'!$M$8:$M$10,MATCH(K2,'Glosario Partidas'!$L$8:$L$10,0))</f>
        <v>1</v>
      </c>
      <c r="T2" s="310">
        <f>R2*S2</f>
        <v>2772400</v>
      </c>
      <c r="U2" s="307" t="s">
        <v>315</v>
      </c>
      <c r="V2" s="321" t="s">
        <v>13</v>
      </c>
      <c r="W2" s="321" t="s">
        <v>491</v>
      </c>
      <c r="X2" s="321"/>
    </row>
    <row r="3" spans="1:29" ht="15" customHeight="1" x14ac:dyDescent="0.2">
      <c r="A3" s="211"/>
      <c r="B3" s="211" t="s">
        <v>196</v>
      </c>
      <c r="C3" s="211" t="s">
        <v>124</v>
      </c>
      <c r="D3" s="78" t="s">
        <v>313</v>
      </c>
      <c r="E3" s="307" t="s">
        <v>220</v>
      </c>
      <c r="F3" s="78" t="s">
        <v>313</v>
      </c>
      <c r="G3" s="307" t="s">
        <v>313</v>
      </c>
      <c r="H3" s="315" t="s">
        <v>293</v>
      </c>
      <c r="I3" s="211" t="s">
        <v>207</v>
      </c>
      <c r="J3" s="315">
        <v>1</v>
      </c>
      <c r="K3" s="211" t="s">
        <v>269</v>
      </c>
      <c r="L3" s="316">
        <v>800000</v>
      </c>
      <c r="M3" s="310">
        <f>J3*L3</f>
        <v>800000</v>
      </c>
      <c r="N3" s="317">
        <v>0</v>
      </c>
      <c r="O3" s="318">
        <f>M3*N3</f>
        <v>0</v>
      </c>
      <c r="P3" s="317">
        <v>0.16</v>
      </c>
      <c r="Q3" s="310">
        <f>(M3+O3)*P3</f>
        <v>128000</v>
      </c>
      <c r="R3" s="310">
        <f>M3+O3+Q3</f>
        <v>928000</v>
      </c>
      <c r="S3" s="310">
        <f>INDEX('Glosario Partidas'!$M$8:$M$10,MATCH(K3,'Glosario Partidas'!$L$8:$L$10,0))</f>
        <v>1</v>
      </c>
      <c r="T3" s="310">
        <f>R3*S3</f>
        <v>928000</v>
      </c>
      <c r="U3" s="307" t="s">
        <v>315</v>
      </c>
      <c r="V3" s="321" t="s">
        <v>13</v>
      </c>
      <c r="W3" s="321" t="s">
        <v>491</v>
      </c>
      <c r="X3" s="321"/>
    </row>
    <row r="4" spans="1:29" ht="15" customHeight="1" x14ac:dyDescent="0.2">
      <c r="A4" s="211"/>
      <c r="B4" s="211" t="s">
        <v>196</v>
      </c>
      <c r="C4" s="211" t="s">
        <v>123</v>
      </c>
      <c r="D4" s="78" t="s">
        <v>313</v>
      </c>
      <c r="E4" s="307" t="s">
        <v>229</v>
      </c>
      <c r="F4" s="78" t="s">
        <v>313</v>
      </c>
      <c r="G4" s="307" t="s">
        <v>313</v>
      </c>
      <c r="H4" s="315" t="s">
        <v>293</v>
      </c>
      <c r="I4" s="211" t="s">
        <v>207</v>
      </c>
      <c r="J4" s="315">
        <v>956</v>
      </c>
      <c r="K4" s="211" t="s">
        <v>269</v>
      </c>
      <c r="L4" s="316">
        <v>2500</v>
      </c>
      <c r="M4" s="310">
        <f>J4*L4</f>
        <v>2390000</v>
      </c>
      <c r="N4" s="317">
        <v>0</v>
      </c>
      <c r="O4" s="318">
        <f>M4*N4</f>
        <v>0</v>
      </c>
      <c r="P4" s="317">
        <v>0.16</v>
      </c>
      <c r="Q4" s="310">
        <f>(M4+O4)*P4</f>
        <v>382400</v>
      </c>
      <c r="R4" s="310">
        <f>M4+O4+Q4</f>
        <v>2772400</v>
      </c>
      <c r="S4" s="310">
        <f>INDEX('Glosario Partidas'!$M$8:$M$10,MATCH(K4,'Glosario Partidas'!$L$8:$L$10,0))</f>
        <v>1</v>
      </c>
      <c r="T4" s="310">
        <f>R4*S4</f>
        <v>2772400</v>
      </c>
      <c r="U4" s="307" t="s">
        <v>315</v>
      </c>
      <c r="V4" s="321" t="s">
        <v>13</v>
      </c>
      <c r="W4" s="321" t="s">
        <v>491</v>
      </c>
      <c r="X4" s="321"/>
    </row>
    <row r="5" spans="1:29" ht="15" customHeight="1" x14ac:dyDescent="0.2">
      <c r="A5" s="211"/>
      <c r="B5" s="211" t="s">
        <v>196</v>
      </c>
      <c r="C5" s="211" t="s">
        <v>124</v>
      </c>
      <c r="D5" s="78" t="s">
        <v>313</v>
      </c>
      <c r="E5" s="307" t="s">
        <v>229</v>
      </c>
      <c r="F5" s="78" t="s">
        <v>313</v>
      </c>
      <c r="G5" s="307" t="s">
        <v>313</v>
      </c>
      <c r="H5" s="315" t="s">
        <v>293</v>
      </c>
      <c r="I5" s="211" t="s">
        <v>207</v>
      </c>
      <c r="J5" s="315">
        <v>1</v>
      </c>
      <c r="K5" s="211" t="s">
        <v>269</v>
      </c>
      <c r="L5" s="316">
        <v>800000</v>
      </c>
      <c r="M5" s="310">
        <f>J5*L5</f>
        <v>800000</v>
      </c>
      <c r="N5" s="317">
        <v>0</v>
      </c>
      <c r="O5" s="318">
        <f>M5*N5</f>
        <v>0</v>
      </c>
      <c r="P5" s="317">
        <v>0.16</v>
      </c>
      <c r="Q5" s="310">
        <f>(M5+O5)*P5</f>
        <v>128000</v>
      </c>
      <c r="R5" s="310">
        <f>M5+O5+Q5</f>
        <v>928000</v>
      </c>
      <c r="S5" s="310">
        <f>INDEX('Glosario Partidas'!$M$8:$M$10,MATCH(K5,'Glosario Partidas'!$L$8:$L$10,0))</f>
        <v>1</v>
      </c>
      <c r="T5" s="310">
        <f>R5*S5</f>
        <v>928000</v>
      </c>
      <c r="U5" s="307" t="s">
        <v>315</v>
      </c>
      <c r="V5" s="321" t="s">
        <v>13</v>
      </c>
      <c r="W5" s="321" t="s">
        <v>491</v>
      </c>
      <c r="X5" s="321"/>
    </row>
    <row r="6" spans="1:29" ht="15" customHeight="1" x14ac:dyDescent="0.2">
      <c r="A6" s="189"/>
      <c r="B6" s="189" t="s">
        <v>185</v>
      </c>
      <c r="C6" s="189"/>
      <c r="D6" s="189"/>
      <c r="E6" s="189"/>
      <c r="F6" s="189"/>
      <c r="G6" s="189"/>
      <c r="H6" s="189"/>
      <c r="I6" s="189"/>
      <c r="J6" s="189"/>
      <c r="K6" s="189"/>
      <c r="L6" s="303"/>
      <c r="M6" s="303"/>
      <c r="N6" s="304"/>
      <c r="O6" s="304"/>
      <c r="P6" s="304"/>
      <c r="Q6" s="303"/>
      <c r="R6" s="303"/>
      <c r="S6" s="303"/>
      <c r="T6" s="305">
        <f>SUM(T2:T5)</f>
        <v>7400800</v>
      </c>
      <c r="U6" s="189"/>
      <c r="V6" s="253"/>
      <c r="AB6" s="254">
        <f>SUMIFS($T:$T,$W:$W,"Contratado")</f>
        <v>0</v>
      </c>
      <c r="AC6" s="254">
        <f>SUMIFS($T:$T,$W:$W,"No Contratado")</f>
        <v>7400800</v>
      </c>
    </row>
  </sheetData>
  <dataValidations count="2">
    <dataValidation type="list" allowBlank="1" errorTitle="Valor inválido" error="Selecciona Contratado o No Contratado" promptTitle="Contratado/No Contratado" prompt="Selecciona estado" sqref="W2:W5" xr:uid="{00000000-0002-0000-3A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5" xr:uid="{00000000-0002-0000-3A00-000001000000}">
      <formula1>"Sí,No"</formula1>
      <formula2>0</formula2>
    </dataValidation>
  </dataValidations>
  <hyperlinks>
    <hyperlink ref="A1" location="'BUY OUT'!A1" display="⬅ Resumen PU" xr:uid="{00000000-0004-0000-3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AC6"/>
  <sheetViews>
    <sheetView topLeftCell="E1" zoomScale="160" zoomScaleNormal="160" workbookViewId="0">
      <selection activeCell="W6" sqref="W6"/>
    </sheetView>
  </sheetViews>
  <sheetFormatPr baseColWidth="10" defaultColWidth="8.6640625" defaultRowHeight="15" customHeight="1" x14ac:dyDescent="0.2"/>
  <cols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127</v>
      </c>
      <c r="C2" s="211" t="s">
        <v>127</v>
      </c>
      <c r="D2" s="78" t="s">
        <v>127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314</v>
      </c>
      <c r="J2" s="315">
        <v>2</v>
      </c>
      <c r="K2" s="211" t="s">
        <v>153</v>
      </c>
      <c r="L2" s="316">
        <f>109930/4</f>
        <v>27482.5</v>
      </c>
      <c r="M2" s="310">
        <f>J2*L2</f>
        <v>54965</v>
      </c>
      <c r="N2" s="317">
        <v>0</v>
      </c>
      <c r="O2" s="318">
        <f>M2*N2</f>
        <v>0</v>
      </c>
      <c r="P2" s="317">
        <v>0.16</v>
      </c>
      <c r="Q2" s="310">
        <f>(M2+O2)*P2</f>
        <v>8794.4</v>
      </c>
      <c r="R2" s="310">
        <f>M2+O2+Q2</f>
        <v>63759.4</v>
      </c>
      <c r="S2" s="438">
        <f>INDEX('Glosario Partidas'!$M$8:$M$10,MATCH(K2,'Glosario Partidas'!$L$8:$L$10,0))</f>
        <v>17.5</v>
      </c>
      <c r="T2" s="310">
        <f>R2*S2</f>
        <v>1115789.5</v>
      </c>
      <c r="U2" s="307" t="s">
        <v>315</v>
      </c>
      <c r="V2" s="321" t="s">
        <v>13</v>
      </c>
      <c r="W2" s="321" t="s">
        <v>493</v>
      </c>
      <c r="X2" s="321"/>
    </row>
    <row r="3" spans="1:29" ht="15" customHeight="1" x14ac:dyDescent="0.2">
      <c r="A3" s="211"/>
      <c r="B3" s="211" t="s">
        <v>127</v>
      </c>
      <c r="C3" s="211" t="s">
        <v>127</v>
      </c>
      <c r="D3" s="78" t="s">
        <v>1107</v>
      </c>
      <c r="E3" s="307" t="s">
        <v>220</v>
      </c>
      <c r="F3" s="78" t="s">
        <v>313</v>
      </c>
      <c r="G3" s="307" t="s">
        <v>313</v>
      </c>
      <c r="H3" s="315" t="s">
        <v>293</v>
      </c>
      <c r="I3" s="211" t="s">
        <v>314</v>
      </c>
      <c r="J3" s="315">
        <v>2</v>
      </c>
      <c r="K3" s="211" t="s">
        <v>269</v>
      </c>
      <c r="L3" s="316">
        <f>1002948/4</f>
        <v>250737</v>
      </c>
      <c r="M3" s="310">
        <f>J3*L3</f>
        <v>501474</v>
      </c>
      <c r="N3" s="317">
        <v>0</v>
      </c>
      <c r="O3" s="318">
        <f>M3*N3</f>
        <v>0</v>
      </c>
      <c r="P3" s="317">
        <v>0.16</v>
      </c>
      <c r="Q3" s="310">
        <f>(M3+O3)*P3</f>
        <v>80235.839999999997</v>
      </c>
      <c r="R3" s="310">
        <f>M3+O3+Q3</f>
        <v>581709.84</v>
      </c>
      <c r="S3" s="438">
        <f>INDEX('Glosario Partidas'!$M$8:$M$10,MATCH(K3,'Glosario Partidas'!$L$8:$L$10,0))</f>
        <v>1</v>
      </c>
      <c r="T3" s="310">
        <f>R3*S3</f>
        <v>581709.84</v>
      </c>
      <c r="U3" s="307" t="s">
        <v>315</v>
      </c>
      <c r="V3" s="321" t="s">
        <v>13</v>
      </c>
      <c r="W3" s="321" t="s">
        <v>493</v>
      </c>
      <c r="X3" s="321"/>
    </row>
    <row r="4" spans="1:29" ht="15" customHeight="1" x14ac:dyDescent="0.2">
      <c r="A4" s="211"/>
      <c r="B4" s="211" t="s">
        <v>127</v>
      </c>
      <c r="C4" s="211" t="s">
        <v>127</v>
      </c>
      <c r="D4" s="78" t="s">
        <v>127</v>
      </c>
      <c r="E4" s="307" t="s">
        <v>229</v>
      </c>
      <c r="F4" s="78" t="s">
        <v>313</v>
      </c>
      <c r="G4" s="307" t="s">
        <v>313</v>
      </c>
      <c r="H4" s="315" t="s">
        <v>293</v>
      </c>
      <c r="I4" s="211" t="s">
        <v>314</v>
      </c>
      <c r="J4" s="315">
        <v>2</v>
      </c>
      <c r="K4" s="211" t="s">
        <v>153</v>
      </c>
      <c r="L4" s="316">
        <f>109930/4</f>
        <v>27482.5</v>
      </c>
      <c r="M4" s="310">
        <f>J4*L4</f>
        <v>54965</v>
      </c>
      <c r="N4" s="317">
        <v>0</v>
      </c>
      <c r="O4" s="318">
        <f>M4*N4</f>
        <v>0</v>
      </c>
      <c r="P4" s="317">
        <v>0.16</v>
      </c>
      <c r="Q4" s="310">
        <f>(M4+O4)*P4</f>
        <v>8794.4</v>
      </c>
      <c r="R4" s="310">
        <f>M4+O4+Q4</f>
        <v>63759.4</v>
      </c>
      <c r="S4" s="438">
        <f>INDEX('Glosario Partidas'!$M$8:$M$10,MATCH(K4,'Glosario Partidas'!$L$8:$L$10,0))</f>
        <v>17.5</v>
      </c>
      <c r="T4" s="310">
        <f>R4*S4</f>
        <v>1115789.5</v>
      </c>
      <c r="U4" s="307" t="s">
        <v>315</v>
      </c>
      <c r="V4" s="321" t="s">
        <v>13</v>
      </c>
      <c r="W4" s="321" t="s">
        <v>491</v>
      </c>
      <c r="X4" s="321"/>
    </row>
    <row r="5" spans="1:29" ht="15" customHeight="1" x14ac:dyDescent="0.2">
      <c r="A5" s="211"/>
      <c r="B5" s="211" t="s">
        <v>127</v>
      </c>
      <c r="C5" s="211" t="s">
        <v>127</v>
      </c>
      <c r="D5" s="78" t="s">
        <v>1107</v>
      </c>
      <c r="E5" s="307" t="s">
        <v>229</v>
      </c>
      <c r="F5" s="78" t="s">
        <v>313</v>
      </c>
      <c r="G5" s="307" t="s">
        <v>313</v>
      </c>
      <c r="H5" s="315" t="s">
        <v>293</v>
      </c>
      <c r="I5" s="211" t="s">
        <v>314</v>
      </c>
      <c r="J5" s="315">
        <v>2</v>
      </c>
      <c r="K5" s="211" t="s">
        <v>269</v>
      </c>
      <c r="L5" s="316">
        <f>1002948/4</f>
        <v>250737</v>
      </c>
      <c r="M5" s="310">
        <f>J5*L5</f>
        <v>501474</v>
      </c>
      <c r="N5" s="317">
        <v>0</v>
      </c>
      <c r="O5" s="318">
        <f>M5*N5</f>
        <v>0</v>
      </c>
      <c r="P5" s="317">
        <v>0.16</v>
      </c>
      <c r="Q5" s="310">
        <f>(M5+O5)*P5</f>
        <v>80235.839999999997</v>
      </c>
      <c r="R5" s="310">
        <f>M5+O5+Q5</f>
        <v>581709.84</v>
      </c>
      <c r="S5" s="438">
        <f>INDEX('Glosario Partidas'!$M$8:$M$10,MATCH(K5,'Glosario Partidas'!$L$8:$L$10,0))</f>
        <v>1</v>
      </c>
      <c r="T5" s="310">
        <f>R5*S5</f>
        <v>581709.84</v>
      </c>
      <c r="U5" s="307" t="s">
        <v>315</v>
      </c>
      <c r="V5" s="321" t="s">
        <v>13</v>
      </c>
      <c r="W5" s="321" t="s">
        <v>491</v>
      </c>
      <c r="X5" s="321"/>
    </row>
    <row r="6" spans="1:29" ht="15" customHeight="1" x14ac:dyDescent="0.2">
      <c r="A6" s="189"/>
      <c r="B6" s="189" t="s">
        <v>185</v>
      </c>
      <c r="C6" s="189"/>
      <c r="D6" s="189"/>
      <c r="E6" s="189"/>
      <c r="F6" s="189"/>
      <c r="G6" s="189"/>
      <c r="H6" s="189"/>
      <c r="I6" s="189"/>
      <c r="J6" s="189"/>
      <c r="K6" s="189"/>
      <c r="L6" s="303"/>
      <c r="M6" s="303"/>
      <c r="N6" s="304"/>
      <c r="O6" s="304"/>
      <c r="P6" s="304"/>
      <c r="Q6" s="303"/>
      <c r="R6" s="303"/>
      <c r="S6" s="303"/>
      <c r="T6" s="305">
        <f>SUM(T2:T5)</f>
        <v>3394998.6799999997</v>
      </c>
      <c r="U6" s="189"/>
      <c r="V6" s="253"/>
      <c r="AB6" s="254">
        <f>SUMIFS($T:$T,$W:$W,"Contratado")</f>
        <v>1697499.3399999999</v>
      </c>
      <c r="AC6" s="254">
        <f>SUMIFS($T:$T,$W:$W,"No Contratado")</f>
        <v>1697499.3399999999</v>
      </c>
    </row>
  </sheetData>
  <dataValidations count="2">
    <dataValidation type="list" allowBlank="1" errorTitle="Valor inválido" error="Selecciona Contratado o No Contratado" promptTitle="Contratado/No Contratado" prompt="Selecciona estado" sqref="W2:W5" xr:uid="{00000000-0002-0000-3B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5" xr:uid="{00000000-0002-0000-3B00-000001000000}">
      <formula1>"Sí,No"</formula1>
      <formula2>0</formula2>
    </dataValidation>
  </dataValidations>
  <hyperlinks>
    <hyperlink ref="A1" location="'BUY OUT'!A1" display="⬅ Resumen PU" xr:uid="{00000000-0004-0000-3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50"/>
  </sheetPr>
  <dimension ref="A1:AC14"/>
  <sheetViews>
    <sheetView topLeftCell="D1" zoomScale="150" zoomScaleNormal="150" workbookViewId="0">
      <selection activeCell="W13" sqref="W13"/>
    </sheetView>
  </sheetViews>
  <sheetFormatPr baseColWidth="10" defaultColWidth="8.6640625" defaultRowHeight="15" customHeight="1" x14ac:dyDescent="0.2"/>
  <cols>
    <col min="3" max="3" width="18.3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192</v>
      </c>
      <c r="C2" s="211" t="s">
        <v>130</v>
      </c>
      <c r="D2" s="78" t="s">
        <v>313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207</v>
      </c>
      <c r="J2" s="316">
        <f>2005/2</f>
        <v>1002.5</v>
      </c>
      <c r="K2" s="211" t="s">
        <v>269</v>
      </c>
      <c r="L2" s="316">
        <v>3221.7</v>
      </c>
      <c r="M2" s="310">
        <f t="shared" ref="M2:M13" si="0">J2*L2</f>
        <v>3229754.25</v>
      </c>
      <c r="N2" s="317">
        <v>0</v>
      </c>
      <c r="O2" s="318">
        <f t="shared" ref="O2:O13" si="1">M2*N2</f>
        <v>0</v>
      </c>
      <c r="P2" s="317">
        <v>0.16</v>
      </c>
      <c r="Q2" s="310">
        <f t="shared" ref="Q2:Q13" si="2">(M2+O2)*P2</f>
        <v>516760.68</v>
      </c>
      <c r="R2" s="310">
        <f t="shared" ref="R2:R13" si="3">M2+O2+Q2</f>
        <v>3746514.93</v>
      </c>
      <c r="S2" s="310">
        <f>INDEX('Glosario Partidas'!$M$8:$M$10,MATCH(K2,'Glosario Partidas'!$L$8:$L$10,0))</f>
        <v>1</v>
      </c>
      <c r="T2" s="310">
        <f t="shared" ref="T2:T13" si="4">R2*S2</f>
        <v>3746514.93</v>
      </c>
      <c r="U2" s="307" t="s">
        <v>315</v>
      </c>
      <c r="V2" s="321" t="s">
        <v>13</v>
      </c>
      <c r="W2" s="321" t="s">
        <v>491</v>
      </c>
      <c r="X2" s="321"/>
    </row>
    <row r="3" spans="1:29" ht="15" customHeight="1" x14ac:dyDescent="0.2">
      <c r="A3" s="211"/>
      <c r="B3" s="211" t="s">
        <v>192</v>
      </c>
      <c r="C3" s="211" t="s">
        <v>131</v>
      </c>
      <c r="D3" s="78" t="s">
        <v>313</v>
      </c>
      <c r="E3" s="307" t="s">
        <v>220</v>
      </c>
      <c r="F3" s="78" t="s">
        <v>313</v>
      </c>
      <c r="G3" s="307" t="s">
        <v>313</v>
      </c>
      <c r="H3" s="315" t="s">
        <v>293</v>
      </c>
      <c r="I3" s="211" t="s">
        <v>207</v>
      </c>
      <c r="J3" s="316">
        <f>2005/2</f>
        <v>1002.5</v>
      </c>
      <c r="K3" s="211" t="s">
        <v>269</v>
      </c>
      <c r="L3" s="316">
        <v>500</v>
      </c>
      <c r="M3" s="310">
        <f t="shared" si="0"/>
        <v>501250</v>
      </c>
      <c r="N3" s="317">
        <v>0</v>
      </c>
      <c r="O3" s="318">
        <f t="shared" si="1"/>
        <v>0</v>
      </c>
      <c r="P3" s="317">
        <v>0.16</v>
      </c>
      <c r="Q3" s="310">
        <f t="shared" si="2"/>
        <v>80200</v>
      </c>
      <c r="R3" s="310">
        <f t="shared" si="3"/>
        <v>581450</v>
      </c>
      <c r="S3" s="310">
        <f>INDEX('Glosario Partidas'!$M$8:$M$10,MATCH(K3,'Glosario Partidas'!$L$8:$L$10,0))</f>
        <v>1</v>
      </c>
      <c r="T3" s="310">
        <f t="shared" si="4"/>
        <v>581450</v>
      </c>
      <c r="U3" s="307" t="s">
        <v>315</v>
      </c>
      <c r="V3" s="321" t="s">
        <v>13</v>
      </c>
      <c r="W3" s="321" t="s">
        <v>491</v>
      </c>
      <c r="X3" s="321"/>
    </row>
    <row r="4" spans="1:29" ht="15" customHeight="1" x14ac:dyDescent="0.2">
      <c r="A4" s="211"/>
      <c r="B4" s="211" t="s">
        <v>192</v>
      </c>
      <c r="C4" s="211" t="s">
        <v>132</v>
      </c>
      <c r="D4" s="78" t="s">
        <v>313</v>
      </c>
      <c r="E4" s="307" t="s">
        <v>220</v>
      </c>
      <c r="F4" s="78" t="s">
        <v>313</v>
      </c>
      <c r="G4" s="307" t="s">
        <v>313</v>
      </c>
      <c r="H4" s="315" t="s">
        <v>293</v>
      </c>
      <c r="I4" s="211" t="s">
        <v>207</v>
      </c>
      <c r="J4" s="316">
        <v>4</v>
      </c>
      <c r="K4" s="211" t="s">
        <v>269</v>
      </c>
      <c r="L4" s="316">
        <v>250000</v>
      </c>
      <c r="M4" s="310">
        <f t="shared" si="0"/>
        <v>1000000</v>
      </c>
      <c r="N4" s="317">
        <v>0</v>
      </c>
      <c r="O4" s="318">
        <f t="shared" si="1"/>
        <v>0</v>
      </c>
      <c r="P4" s="317">
        <v>0.16</v>
      </c>
      <c r="Q4" s="310">
        <f t="shared" si="2"/>
        <v>160000</v>
      </c>
      <c r="R4" s="310">
        <f t="shared" si="3"/>
        <v>1160000</v>
      </c>
      <c r="S4" s="310">
        <f>INDEX('Glosario Partidas'!$M$8:$M$10,MATCH(K4,'Glosario Partidas'!$L$8:$L$10,0))</f>
        <v>1</v>
      </c>
      <c r="T4" s="310">
        <f t="shared" si="4"/>
        <v>1160000</v>
      </c>
      <c r="U4" s="307" t="s">
        <v>432</v>
      </c>
      <c r="V4" s="321" t="s">
        <v>13</v>
      </c>
      <c r="W4" s="321" t="s">
        <v>491</v>
      </c>
      <c r="X4" s="321"/>
    </row>
    <row r="5" spans="1:29" ht="15" customHeight="1" x14ac:dyDescent="0.2">
      <c r="A5" s="211"/>
      <c r="B5" s="211" t="s">
        <v>192</v>
      </c>
      <c r="C5" s="211" t="s">
        <v>133</v>
      </c>
      <c r="D5" s="78" t="s">
        <v>313</v>
      </c>
      <c r="E5" s="307" t="s">
        <v>220</v>
      </c>
      <c r="F5" s="78" t="s">
        <v>313</v>
      </c>
      <c r="G5" s="307" t="s">
        <v>313</v>
      </c>
      <c r="H5" s="315" t="s">
        <v>293</v>
      </c>
      <c r="I5" s="211" t="s">
        <v>207</v>
      </c>
      <c r="J5" s="316">
        <v>1</v>
      </c>
      <c r="K5" s="211" t="s">
        <v>269</v>
      </c>
      <c r="L5" s="316">
        <v>200000</v>
      </c>
      <c r="M5" s="310">
        <f t="shared" si="0"/>
        <v>200000</v>
      </c>
      <c r="N5" s="317">
        <v>0</v>
      </c>
      <c r="O5" s="318">
        <f t="shared" si="1"/>
        <v>0</v>
      </c>
      <c r="P5" s="317">
        <v>0.16</v>
      </c>
      <c r="Q5" s="310">
        <f t="shared" si="2"/>
        <v>32000</v>
      </c>
      <c r="R5" s="310">
        <f t="shared" si="3"/>
        <v>232000</v>
      </c>
      <c r="S5" s="310">
        <f>INDEX('Glosario Partidas'!$M$8:$M$10,MATCH(K5,'Glosario Partidas'!$L$8:$L$10,0))</f>
        <v>1</v>
      </c>
      <c r="T5" s="310">
        <f t="shared" si="4"/>
        <v>232000</v>
      </c>
      <c r="U5" s="307" t="s">
        <v>432</v>
      </c>
      <c r="V5" s="321" t="s">
        <v>13</v>
      </c>
      <c r="W5" s="321" t="s">
        <v>491</v>
      </c>
      <c r="X5" s="321"/>
    </row>
    <row r="6" spans="1:29" ht="15" customHeight="1" x14ac:dyDescent="0.2">
      <c r="A6" s="211"/>
      <c r="B6" s="211" t="s">
        <v>192</v>
      </c>
      <c r="C6" s="211" t="s">
        <v>135</v>
      </c>
      <c r="D6" s="78" t="s">
        <v>313</v>
      </c>
      <c r="E6" s="307" t="s">
        <v>220</v>
      </c>
      <c r="F6" s="78" t="s">
        <v>313</v>
      </c>
      <c r="G6" s="307" t="s">
        <v>313</v>
      </c>
      <c r="H6" s="315" t="s">
        <v>293</v>
      </c>
      <c r="I6" s="211" t="s">
        <v>207</v>
      </c>
      <c r="J6" s="316">
        <f>229/2</f>
        <v>114.5</v>
      </c>
      <c r="K6" s="211" t="s">
        <v>269</v>
      </c>
      <c r="L6" s="316">
        <v>30000</v>
      </c>
      <c r="M6" s="310">
        <f t="shared" si="0"/>
        <v>3435000</v>
      </c>
      <c r="N6" s="317">
        <v>0</v>
      </c>
      <c r="O6" s="318">
        <f t="shared" si="1"/>
        <v>0</v>
      </c>
      <c r="P6" s="317">
        <v>0.16</v>
      </c>
      <c r="Q6" s="310">
        <f t="shared" si="2"/>
        <v>549600</v>
      </c>
      <c r="R6" s="310">
        <f t="shared" si="3"/>
        <v>3984600</v>
      </c>
      <c r="S6" s="310">
        <f>INDEX('Glosario Partidas'!$M$8:$M$10,MATCH(K6,'Glosario Partidas'!$L$8:$L$10,0))</f>
        <v>1</v>
      </c>
      <c r="T6" s="310">
        <f t="shared" si="4"/>
        <v>3984600</v>
      </c>
      <c r="U6" s="307" t="s">
        <v>432</v>
      </c>
      <c r="V6" s="321" t="s">
        <v>13</v>
      </c>
      <c r="W6" s="321" t="s">
        <v>491</v>
      </c>
      <c r="X6" s="321"/>
    </row>
    <row r="7" spans="1:29" ht="15" customHeight="1" x14ac:dyDescent="0.2">
      <c r="A7" s="211"/>
      <c r="B7" s="211" t="s">
        <v>192</v>
      </c>
      <c r="C7" s="211" t="s">
        <v>134</v>
      </c>
      <c r="D7" s="78" t="s">
        <v>313</v>
      </c>
      <c r="E7" s="307" t="s">
        <v>220</v>
      </c>
      <c r="F7" s="78" t="s">
        <v>313</v>
      </c>
      <c r="G7" s="307" t="s">
        <v>313</v>
      </c>
      <c r="H7" s="315" t="s">
        <v>293</v>
      </c>
      <c r="I7" s="211" t="s">
        <v>314</v>
      </c>
      <c r="J7" s="316">
        <v>1</v>
      </c>
      <c r="K7" s="211" t="s">
        <v>269</v>
      </c>
      <c r="L7" s="316">
        <f>500000/2</f>
        <v>250000</v>
      </c>
      <c r="M7" s="310">
        <f t="shared" si="0"/>
        <v>250000</v>
      </c>
      <c r="N7" s="317">
        <v>0</v>
      </c>
      <c r="O7" s="318">
        <f t="shared" si="1"/>
        <v>0</v>
      </c>
      <c r="P7" s="317">
        <v>0.16</v>
      </c>
      <c r="Q7" s="310">
        <f t="shared" si="2"/>
        <v>40000</v>
      </c>
      <c r="R7" s="310">
        <f t="shared" si="3"/>
        <v>290000</v>
      </c>
      <c r="S7" s="310">
        <f>INDEX('Glosario Partidas'!$M$8:$M$10,MATCH(K7,'Glosario Partidas'!$L$8:$L$10,0))</f>
        <v>1</v>
      </c>
      <c r="T7" s="310">
        <f t="shared" si="4"/>
        <v>290000</v>
      </c>
      <c r="U7" s="307" t="s">
        <v>432</v>
      </c>
      <c r="V7" s="321" t="s">
        <v>13</v>
      </c>
      <c r="W7" s="321" t="s">
        <v>491</v>
      </c>
      <c r="X7" s="321"/>
    </row>
    <row r="8" spans="1:29" ht="15" customHeight="1" x14ac:dyDescent="0.2">
      <c r="A8" s="211"/>
      <c r="B8" s="211" t="s">
        <v>192</v>
      </c>
      <c r="C8" s="211" t="s">
        <v>130</v>
      </c>
      <c r="D8" s="78" t="s">
        <v>313</v>
      </c>
      <c r="E8" s="307" t="s">
        <v>229</v>
      </c>
      <c r="F8" s="78" t="s">
        <v>313</v>
      </c>
      <c r="G8" s="307" t="s">
        <v>313</v>
      </c>
      <c r="H8" s="315" t="s">
        <v>293</v>
      </c>
      <c r="I8" s="211" t="s">
        <v>207</v>
      </c>
      <c r="J8" s="316">
        <f>2005/2</f>
        <v>1002.5</v>
      </c>
      <c r="K8" s="211" t="s">
        <v>269</v>
      </c>
      <c r="L8" s="316">
        <v>3221.7</v>
      </c>
      <c r="M8" s="310">
        <f t="shared" si="0"/>
        <v>3229754.25</v>
      </c>
      <c r="N8" s="317">
        <v>0</v>
      </c>
      <c r="O8" s="318">
        <f t="shared" si="1"/>
        <v>0</v>
      </c>
      <c r="P8" s="317">
        <v>0.16</v>
      </c>
      <c r="Q8" s="310">
        <f t="shared" si="2"/>
        <v>516760.68</v>
      </c>
      <c r="R8" s="310">
        <f t="shared" si="3"/>
        <v>3746514.93</v>
      </c>
      <c r="S8" s="310">
        <f>INDEX('Glosario Partidas'!$M$8:$M$10,MATCH(K8,'Glosario Partidas'!$L$8:$L$10,0))</f>
        <v>1</v>
      </c>
      <c r="T8" s="310">
        <f t="shared" si="4"/>
        <v>3746514.93</v>
      </c>
      <c r="U8" s="307" t="s">
        <v>315</v>
      </c>
      <c r="V8" s="321" t="s">
        <v>13</v>
      </c>
      <c r="W8" s="321" t="s">
        <v>491</v>
      </c>
      <c r="X8" s="321"/>
    </row>
    <row r="9" spans="1:29" ht="15" customHeight="1" x14ac:dyDescent="0.2">
      <c r="A9" s="211"/>
      <c r="B9" s="211" t="s">
        <v>192</v>
      </c>
      <c r="C9" s="211" t="s">
        <v>131</v>
      </c>
      <c r="D9" s="78" t="s">
        <v>313</v>
      </c>
      <c r="E9" s="307" t="s">
        <v>229</v>
      </c>
      <c r="F9" s="78" t="s">
        <v>313</v>
      </c>
      <c r="G9" s="307" t="s">
        <v>313</v>
      </c>
      <c r="H9" s="315" t="s">
        <v>293</v>
      </c>
      <c r="I9" s="211" t="s">
        <v>207</v>
      </c>
      <c r="J9" s="316">
        <f>2005/2</f>
        <v>1002.5</v>
      </c>
      <c r="K9" s="211" t="s">
        <v>269</v>
      </c>
      <c r="L9" s="316">
        <v>500</v>
      </c>
      <c r="M9" s="310">
        <f t="shared" si="0"/>
        <v>501250</v>
      </c>
      <c r="N9" s="317">
        <v>0</v>
      </c>
      <c r="O9" s="318">
        <f t="shared" si="1"/>
        <v>0</v>
      </c>
      <c r="P9" s="317">
        <v>0.16</v>
      </c>
      <c r="Q9" s="310">
        <f t="shared" si="2"/>
        <v>80200</v>
      </c>
      <c r="R9" s="310">
        <f t="shared" si="3"/>
        <v>581450</v>
      </c>
      <c r="S9" s="310">
        <f>INDEX('Glosario Partidas'!$M$8:$M$10,MATCH(K9,'Glosario Partidas'!$L$8:$L$10,0))</f>
        <v>1</v>
      </c>
      <c r="T9" s="310">
        <f t="shared" si="4"/>
        <v>581450</v>
      </c>
      <c r="U9" s="307" t="s">
        <v>315</v>
      </c>
      <c r="V9" s="321" t="s">
        <v>13</v>
      </c>
      <c r="W9" s="321" t="s">
        <v>491</v>
      </c>
      <c r="X9" s="321"/>
    </row>
    <row r="10" spans="1:29" ht="15" customHeight="1" x14ac:dyDescent="0.2">
      <c r="A10" s="211"/>
      <c r="B10" s="211" t="s">
        <v>192</v>
      </c>
      <c r="C10" s="211" t="s">
        <v>132</v>
      </c>
      <c r="D10" s="78" t="s">
        <v>313</v>
      </c>
      <c r="E10" s="307" t="s">
        <v>229</v>
      </c>
      <c r="F10" s="78" t="s">
        <v>313</v>
      </c>
      <c r="G10" s="307" t="s">
        <v>313</v>
      </c>
      <c r="H10" s="315" t="s">
        <v>293</v>
      </c>
      <c r="I10" s="211" t="s">
        <v>207</v>
      </c>
      <c r="J10" s="316">
        <v>4</v>
      </c>
      <c r="K10" s="211" t="s">
        <v>269</v>
      </c>
      <c r="L10" s="316">
        <v>250000</v>
      </c>
      <c r="M10" s="310">
        <f t="shared" si="0"/>
        <v>1000000</v>
      </c>
      <c r="N10" s="317">
        <v>0</v>
      </c>
      <c r="O10" s="318">
        <f t="shared" si="1"/>
        <v>0</v>
      </c>
      <c r="P10" s="317">
        <v>0.16</v>
      </c>
      <c r="Q10" s="310">
        <f t="shared" si="2"/>
        <v>160000</v>
      </c>
      <c r="R10" s="310">
        <f t="shared" si="3"/>
        <v>1160000</v>
      </c>
      <c r="S10" s="310">
        <f>INDEX('Glosario Partidas'!$M$8:$M$10,MATCH(K10,'Glosario Partidas'!$L$8:$L$10,0))</f>
        <v>1</v>
      </c>
      <c r="T10" s="310">
        <f t="shared" si="4"/>
        <v>1160000</v>
      </c>
      <c r="U10" s="307" t="s">
        <v>432</v>
      </c>
      <c r="V10" s="321" t="s">
        <v>13</v>
      </c>
      <c r="W10" s="321" t="s">
        <v>491</v>
      </c>
      <c r="X10" s="321"/>
    </row>
    <row r="11" spans="1:29" ht="15" customHeight="1" x14ac:dyDescent="0.2">
      <c r="A11" s="211"/>
      <c r="B11" s="211" t="s">
        <v>192</v>
      </c>
      <c r="C11" s="211" t="s">
        <v>133</v>
      </c>
      <c r="D11" s="78" t="s">
        <v>313</v>
      </c>
      <c r="E11" s="307" t="s">
        <v>229</v>
      </c>
      <c r="F11" s="78" t="s">
        <v>313</v>
      </c>
      <c r="G11" s="307" t="s">
        <v>313</v>
      </c>
      <c r="H11" s="315" t="s">
        <v>293</v>
      </c>
      <c r="I11" s="211" t="s">
        <v>207</v>
      </c>
      <c r="J11" s="316">
        <v>1</v>
      </c>
      <c r="K11" s="211" t="s">
        <v>269</v>
      </c>
      <c r="L11" s="316">
        <v>200000</v>
      </c>
      <c r="M11" s="310">
        <f t="shared" si="0"/>
        <v>200000</v>
      </c>
      <c r="N11" s="317">
        <v>0</v>
      </c>
      <c r="O11" s="318">
        <f t="shared" si="1"/>
        <v>0</v>
      </c>
      <c r="P11" s="317">
        <v>0.16</v>
      </c>
      <c r="Q11" s="310">
        <f t="shared" si="2"/>
        <v>32000</v>
      </c>
      <c r="R11" s="310">
        <f t="shared" si="3"/>
        <v>232000</v>
      </c>
      <c r="S11" s="310">
        <f>INDEX('Glosario Partidas'!$M$8:$M$10,MATCH(K11,'Glosario Partidas'!$L$8:$L$10,0))</f>
        <v>1</v>
      </c>
      <c r="T11" s="310">
        <f t="shared" si="4"/>
        <v>232000</v>
      </c>
      <c r="U11" s="307" t="s">
        <v>432</v>
      </c>
      <c r="V11" s="321" t="s">
        <v>13</v>
      </c>
      <c r="W11" s="321" t="s">
        <v>491</v>
      </c>
      <c r="X11" s="321"/>
    </row>
    <row r="12" spans="1:29" ht="15" customHeight="1" x14ac:dyDescent="0.2">
      <c r="A12" s="211"/>
      <c r="B12" s="211" t="s">
        <v>192</v>
      </c>
      <c r="C12" s="211" t="s">
        <v>135</v>
      </c>
      <c r="D12" s="78" t="s">
        <v>313</v>
      </c>
      <c r="E12" s="307" t="s">
        <v>229</v>
      </c>
      <c r="F12" s="78" t="s">
        <v>313</v>
      </c>
      <c r="G12" s="307" t="s">
        <v>313</v>
      </c>
      <c r="H12" s="315" t="s">
        <v>293</v>
      </c>
      <c r="I12" s="211" t="s">
        <v>207</v>
      </c>
      <c r="J12" s="316">
        <f>229/2</f>
        <v>114.5</v>
      </c>
      <c r="K12" s="211" t="s">
        <v>269</v>
      </c>
      <c r="L12" s="316">
        <v>30000</v>
      </c>
      <c r="M12" s="310">
        <f t="shared" si="0"/>
        <v>3435000</v>
      </c>
      <c r="N12" s="317">
        <v>0</v>
      </c>
      <c r="O12" s="318">
        <f t="shared" si="1"/>
        <v>0</v>
      </c>
      <c r="P12" s="317">
        <v>0.16</v>
      </c>
      <c r="Q12" s="310">
        <f t="shared" si="2"/>
        <v>549600</v>
      </c>
      <c r="R12" s="310">
        <f t="shared" si="3"/>
        <v>3984600</v>
      </c>
      <c r="S12" s="310">
        <f>INDEX('Glosario Partidas'!$M$8:$M$10,MATCH(K12,'Glosario Partidas'!$L$8:$L$10,0))</f>
        <v>1</v>
      </c>
      <c r="T12" s="310">
        <f t="shared" si="4"/>
        <v>3984600</v>
      </c>
      <c r="U12" s="307" t="s">
        <v>432</v>
      </c>
      <c r="V12" s="321" t="s">
        <v>13</v>
      </c>
      <c r="W12" s="321" t="s">
        <v>491</v>
      </c>
      <c r="X12" s="321"/>
    </row>
    <row r="13" spans="1:29" ht="15" customHeight="1" x14ac:dyDescent="0.2">
      <c r="A13" s="211"/>
      <c r="B13" s="211" t="s">
        <v>192</v>
      </c>
      <c r="C13" s="211" t="s">
        <v>134</v>
      </c>
      <c r="D13" s="78" t="s">
        <v>313</v>
      </c>
      <c r="E13" s="307" t="s">
        <v>229</v>
      </c>
      <c r="F13" s="78" t="s">
        <v>313</v>
      </c>
      <c r="G13" s="307" t="s">
        <v>313</v>
      </c>
      <c r="H13" s="315" t="s">
        <v>293</v>
      </c>
      <c r="I13" s="211" t="s">
        <v>314</v>
      </c>
      <c r="J13" s="316">
        <v>1</v>
      </c>
      <c r="K13" s="211" t="s">
        <v>269</v>
      </c>
      <c r="L13" s="316">
        <f>500000/2</f>
        <v>250000</v>
      </c>
      <c r="M13" s="310">
        <f t="shared" si="0"/>
        <v>250000</v>
      </c>
      <c r="N13" s="317">
        <v>0</v>
      </c>
      <c r="O13" s="318">
        <f t="shared" si="1"/>
        <v>0</v>
      </c>
      <c r="P13" s="317">
        <v>0.16</v>
      </c>
      <c r="Q13" s="310">
        <f t="shared" si="2"/>
        <v>40000</v>
      </c>
      <c r="R13" s="310">
        <f t="shared" si="3"/>
        <v>290000</v>
      </c>
      <c r="S13" s="310">
        <f>INDEX('Glosario Partidas'!$M$8:$M$10,MATCH(K13,'Glosario Partidas'!$L$8:$L$10,0))</f>
        <v>1</v>
      </c>
      <c r="T13" s="310">
        <f t="shared" si="4"/>
        <v>290000</v>
      </c>
      <c r="U13" s="307" t="s">
        <v>432</v>
      </c>
      <c r="V13" s="321" t="s">
        <v>13</v>
      </c>
      <c r="W13" s="321" t="s">
        <v>491</v>
      </c>
      <c r="X13" s="321"/>
    </row>
    <row r="14" spans="1:29" ht="15" customHeight="1" x14ac:dyDescent="0.2">
      <c r="A14" s="189"/>
      <c r="B14" s="189" t="s">
        <v>185</v>
      </c>
      <c r="C14" s="189"/>
      <c r="D14" s="189"/>
      <c r="E14" s="189"/>
      <c r="F14" s="189"/>
      <c r="G14" s="189"/>
      <c r="H14" s="189"/>
      <c r="I14" s="189"/>
      <c r="J14" s="189"/>
      <c r="K14" s="189"/>
      <c r="L14" s="303"/>
      <c r="M14" s="303"/>
      <c r="N14" s="304"/>
      <c r="O14" s="304"/>
      <c r="P14" s="304"/>
      <c r="Q14" s="303"/>
      <c r="R14" s="303"/>
      <c r="S14" s="303"/>
      <c r="T14" s="305">
        <f>SUM(T2:T13)</f>
        <v>19989129.859999999</v>
      </c>
      <c r="U14" s="189"/>
      <c r="V14" s="253"/>
      <c r="AB14" s="254">
        <f>SUMIFS($T:$T,$W:$W,"Contratado")</f>
        <v>0</v>
      </c>
      <c r="AC14" s="254">
        <f>SUMIFS($T:$T,$W:$W,"No Contratado")</f>
        <v>19989129.859999999</v>
      </c>
    </row>
  </sheetData>
  <dataValidations count="2">
    <dataValidation type="list" allowBlank="1" errorTitle="Valor inválido" error="Selecciona Contratado o No Contratado" promptTitle="Contratado/No Contratado" prompt="Selecciona estado" sqref="W2:W13" xr:uid="{00000000-0002-0000-3C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13" xr:uid="{00000000-0002-0000-3C00-000001000000}">
      <formula1>"Sí,No"</formula1>
      <formula2>0</formula2>
    </dataValidation>
  </dataValidations>
  <hyperlinks>
    <hyperlink ref="A1" location="'BUY OUT'!A1" display="⬅ Resumen PU" xr:uid="{00000000-0004-0000-3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50"/>
  </sheetPr>
  <dimension ref="A1:AC8"/>
  <sheetViews>
    <sheetView topLeftCell="E1" zoomScale="160" zoomScaleNormal="160" workbookViewId="0">
      <selection activeCell="W7" sqref="W7"/>
    </sheetView>
  </sheetViews>
  <sheetFormatPr baseColWidth="10" defaultColWidth="8.6640625" defaultRowHeight="15" customHeight="1" x14ac:dyDescent="0.2"/>
  <cols>
    <col min="2" max="2" width="18.1640625" customWidth="1"/>
    <col min="3" max="3" width="18.3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138</v>
      </c>
      <c r="C2" s="211" t="s">
        <v>561</v>
      </c>
      <c r="D2" s="78" t="s">
        <v>1108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1109</v>
      </c>
      <c r="J2" s="315">
        <f>94.06/2</f>
        <v>47.03</v>
      </c>
      <c r="K2" s="211" t="s">
        <v>269</v>
      </c>
      <c r="L2" s="316">
        <v>7610.81</v>
      </c>
      <c r="M2" s="310">
        <f t="shared" ref="M2:M7" si="0">J2*L2</f>
        <v>357936.39430000004</v>
      </c>
      <c r="N2" s="317">
        <v>0</v>
      </c>
      <c r="O2" s="318">
        <f t="shared" ref="O2:O7" si="1">M2*N2</f>
        <v>0</v>
      </c>
      <c r="P2" s="317">
        <v>0.16</v>
      </c>
      <c r="Q2" s="310">
        <f t="shared" ref="Q2:Q7" si="2">(M2+O2)*P2</f>
        <v>57269.823088000005</v>
      </c>
      <c r="R2" s="310">
        <f t="shared" ref="R2:R7" si="3">M2+O2+Q2</f>
        <v>415206.21738800005</v>
      </c>
      <c r="S2" s="310">
        <f>INDEX('Glosario Partidas'!$M$8:$M$10,MATCH(K2,'Glosario Partidas'!$L$8:$L$10,0))</f>
        <v>1</v>
      </c>
      <c r="T2" s="310">
        <f t="shared" ref="T2:T7" si="4">R2*S2</f>
        <v>415206.21738800005</v>
      </c>
      <c r="U2" s="307" t="s">
        <v>315</v>
      </c>
      <c r="V2" s="321" t="s">
        <v>12</v>
      </c>
      <c r="W2" s="321" t="s">
        <v>491</v>
      </c>
      <c r="X2" s="321"/>
    </row>
    <row r="3" spans="1:29" ht="15" customHeight="1" x14ac:dyDescent="0.2">
      <c r="A3" s="211"/>
      <c r="B3" s="211" t="s">
        <v>138</v>
      </c>
      <c r="C3" s="211" t="s">
        <v>561</v>
      </c>
      <c r="D3" s="78" t="s">
        <v>1110</v>
      </c>
      <c r="E3" s="307" t="s">
        <v>220</v>
      </c>
      <c r="F3" s="78" t="s">
        <v>313</v>
      </c>
      <c r="G3" s="307" t="s">
        <v>313</v>
      </c>
      <c r="H3" s="315" t="s">
        <v>293</v>
      </c>
      <c r="I3" s="211" t="s">
        <v>1109</v>
      </c>
      <c r="J3" s="315">
        <f>94.06/2</f>
        <v>47.03</v>
      </c>
      <c r="K3" s="211" t="s">
        <v>269</v>
      </c>
      <c r="L3" s="316">
        <v>1191.44</v>
      </c>
      <c r="M3" s="310">
        <f t="shared" si="0"/>
        <v>56033.423200000005</v>
      </c>
      <c r="N3" s="317">
        <v>0</v>
      </c>
      <c r="O3" s="318">
        <f t="shared" si="1"/>
        <v>0</v>
      </c>
      <c r="P3" s="317">
        <v>0.16</v>
      </c>
      <c r="Q3" s="310">
        <f t="shared" si="2"/>
        <v>8965.3477120000007</v>
      </c>
      <c r="R3" s="310">
        <f t="shared" si="3"/>
        <v>64998.770912000007</v>
      </c>
      <c r="S3" s="310">
        <f>INDEX('Glosario Partidas'!$M$8:$M$10,MATCH(K3,'Glosario Partidas'!$L$8:$L$10,0))</f>
        <v>1</v>
      </c>
      <c r="T3" s="310">
        <f t="shared" si="4"/>
        <v>64998.770912000007</v>
      </c>
      <c r="U3" s="307" t="s">
        <v>315</v>
      </c>
      <c r="V3" s="321" t="s">
        <v>12</v>
      </c>
      <c r="W3" s="321" t="s">
        <v>491</v>
      </c>
      <c r="X3" s="321"/>
    </row>
    <row r="4" spans="1:29" ht="15" customHeight="1" x14ac:dyDescent="0.2">
      <c r="A4" s="211"/>
      <c r="B4" s="211" t="s">
        <v>138</v>
      </c>
      <c r="C4" s="211" t="s">
        <v>561</v>
      </c>
      <c r="D4" s="78" t="s">
        <v>1108</v>
      </c>
      <c r="E4" s="307" t="s">
        <v>229</v>
      </c>
      <c r="F4" s="78" t="s">
        <v>313</v>
      </c>
      <c r="G4" s="307" t="s">
        <v>313</v>
      </c>
      <c r="H4" s="315" t="s">
        <v>293</v>
      </c>
      <c r="I4" s="211" t="s">
        <v>1109</v>
      </c>
      <c r="J4" s="315">
        <f>94.06/2</f>
        <v>47.03</v>
      </c>
      <c r="K4" s="211" t="s">
        <v>269</v>
      </c>
      <c r="L4" s="316">
        <v>7610.81</v>
      </c>
      <c r="M4" s="310">
        <f t="shared" si="0"/>
        <v>357936.39430000004</v>
      </c>
      <c r="N4" s="317">
        <v>0</v>
      </c>
      <c r="O4" s="318">
        <f t="shared" si="1"/>
        <v>0</v>
      </c>
      <c r="P4" s="317">
        <v>0.16</v>
      </c>
      <c r="Q4" s="310">
        <f t="shared" si="2"/>
        <v>57269.823088000005</v>
      </c>
      <c r="R4" s="310">
        <f t="shared" si="3"/>
        <v>415206.21738800005</v>
      </c>
      <c r="S4" s="310">
        <f>INDEX('Glosario Partidas'!$M$8:$M$10,MATCH(K4,'Glosario Partidas'!$L$8:$L$10,0))</f>
        <v>1</v>
      </c>
      <c r="T4" s="310">
        <f t="shared" si="4"/>
        <v>415206.21738800005</v>
      </c>
      <c r="U4" s="307" t="s">
        <v>315</v>
      </c>
      <c r="V4" s="321" t="s">
        <v>12</v>
      </c>
      <c r="W4" s="321" t="s">
        <v>491</v>
      </c>
      <c r="X4" s="321"/>
    </row>
    <row r="5" spans="1:29" ht="15" customHeight="1" x14ac:dyDescent="0.2">
      <c r="A5" s="211"/>
      <c r="B5" s="211" t="s">
        <v>138</v>
      </c>
      <c r="C5" s="211" t="s">
        <v>561</v>
      </c>
      <c r="D5" s="78" t="s">
        <v>1110</v>
      </c>
      <c r="E5" s="307" t="s">
        <v>229</v>
      </c>
      <c r="F5" s="78" t="s">
        <v>313</v>
      </c>
      <c r="G5" s="307" t="s">
        <v>313</v>
      </c>
      <c r="H5" s="315" t="s">
        <v>293</v>
      </c>
      <c r="I5" s="211" t="s">
        <v>1109</v>
      </c>
      <c r="J5" s="315">
        <f>94.06/2</f>
        <v>47.03</v>
      </c>
      <c r="K5" s="211" t="s">
        <v>269</v>
      </c>
      <c r="L5" s="316">
        <v>1191.44</v>
      </c>
      <c r="M5" s="310">
        <f t="shared" si="0"/>
        <v>56033.423200000005</v>
      </c>
      <c r="N5" s="317">
        <v>0</v>
      </c>
      <c r="O5" s="318">
        <f t="shared" si="1"/>
        <v>0</v>
      </c>
      <c r="P5" s="317">
        <v>0.16</v>
      </c>
      <c r="Q5" s="310">
        <f t="shared" si="2"/>
        <v>8965.3477120000007</v>
      </c>
      <c r="R5" s="310">
        <f t="shared" si="3"/>
        <v>64998.770912000007</v>
      </c>
      <c r="S5" s="310">
        <f>INDEX('Glosario Partidas'!$M$8:$M$10,MATCH(K5,'Glosario Partidas'!$L$8:$L$10,0))</f>
        <v>1</v>
      </c>
      <c r="T5" s="310">
        <f t="shared" si="4"/>
        <v>64998.770912000007</v>
      </c>
      <c r="U5" s="307" t="s">
        <v>315</v>
      </c>
      <c r="V5" s="321" t="s">
        <v>12</v>
      </c>
      <c r="W5" s="321" t="s">
        <v>491</v>
      </c>
      <c r="X5" s="321"/>
    </row>
    <row r="6" spans="1:29" ht="15" customHeight="1" x14ac:dyDescent="0.2">
      <c r="A6" s="211"/>
      <c r="B6" s="211" t="s">
        <v>138</v>
      </c>
      <c r="C6" s="211" t="s">
        <v>1111</v>
      </c>
      <c r="D6" s="211" t="s">
        <v>1111</v>
      </c>
      <c r="E6" s="307" t="s">
        <v>220</v>
      </c>
      <c r="F6" s="78" t="s">
        <v>313</v>
      </c>
      <c r="G6" s="307" t="s">
        <v>313</v>
      </c>
      <c r="H6" s="315" t="s">
        <v>293</v>
      </c>
      <c r="I6" s="211" t="s">
        <v>314</v>
      </c>
      <c r="J6" s="315">
        <v>1</v>
      </c>
      <c r="K6" s="211" t="s">
        <v>269</v>
      </c>
      <c r="L6" s="316">
        <f>200000/2</f>
        <v>100000</v>
      </c>
      <c r="M6" s="310">
        <f t="shared" si="0"/>
        <v>100000</v>
      </c>
      <c r="N6" s="317">
        <v>0</v>
      </c>
      <c r="O6" s="318">
        <f t="shared" si="1"/>
        <v>0</v>
      </c>
      <c r="P6" s="317">
        <v>0.16</v>
      </c>
      <c r="Q6" s="310">
        <f t="shared" si="2"/>
        <v>16000</v>
      </c>
      <c r="R6" s="310">
        <f t="shared" si="3"/>
        <v>116000</v>
      </c>
      <c r="S6" s="310">
        <f>INDEX('Glosario Partidas'!$M$8:$M$10,MATCH(K6,'Glosario Partidas'!$L$8:$L$10,0))</f>
        <v>1</v>
      </c>
      <c r="T6" s="310">
        <f t="shared" si="4"/>
        <v>116000</v>
      </c>
      <c r="U6" s="307" t="s">
        <v>315</v>
      </c>
      <c r="V6" s="321" t="s">
        <v>13</v>
      </c>
      <c r="W6" s="321" t="s">
        <v>491</v>
      </c>
      <c r="X6" s="321"/>
    </row>
    <row r="7" spans="1:29" ht="15" customHeight="1" x14ac:dyDescent="0.2">
      <c r="A7" s="211"/>
      <c r="B7" s="211" t="s">
        <v>138</v>
      </c>
      <c r="C7" s="211" t="s">
        <v>1111</v>
      </c>
      <c r="D7" s="211" t="s">
        <v>1111</v>
      </c>
      <c r="E7" s="307" t="s">
        <v>229</v>
      </c>
      <c r="F7" s="78" t="s">
        <v>313</v>
      </c>
      <c r="G7" s="307" t="s">
        <v>313</v>
      </c>
      <c r="H7" s="315" t="s">
        <v>293</v>
      </c>
      <c r="I7" s="211" t="s">
        <v>314</v>
      </c>
      <c r="J7" s="315">
        <v>1</v>
      </c>
      <c r="K7" s="211" t="s">
        <v>269</v>
      </c>
      <c r="L7" s="316">
        <f>200000/2</f>
        <v>100000</v>
      </c>
      <c r="M7" s="310">
        <f t="shared" si="0"/>
        <v>100000</v>
      </c>
      <c r="N7" s="317">
        <v>0</v>
      </c>
      <c r="O7" s="318">
        <f t="shared" si="1"/>
        <v>0</v>
      </c>
      <c r="P7" s="317">
        <v>0.16</v>
      </c>
      <c r="Q7" s="310">
        <f t="shared" si="2"/>
        <v>16000</v>
      </c>
      <c r="R7" s="310">
        <f t="shared" si="3"/>
        <v>116000</v>
      </c>
      <c r="S7" s="310">
        <f>INDEX('Glosario Partidas'!$M$8:$M$10,MATCH(K7,'Glosario Partidas'!$L$8:$L$10,0))</f>
        <v>1</v>
      </c>
      <c r="T7" s="310">
        <f t="shared" si="4"/>
        <v>116000</v>
      </c>
      <c r="U7" s="307" t="s">
        <v>315</v>
      </c>
      <c r="V7" s="321" t="s">
        <v>13</v>
      </c>
      <c r="W7" s="321" t="s">
        <v>491</v>
      </c>
      <c r="X7" s="321"/>
    </row>
    <row r="8" spans="1:29" ht="15" customHeight="1" x14ac:dyDescent="0.2">
      <c r="A8" s="189"/>
      <c r="B8" s="189" t="s">
        <v>185</v>
      </c>
      <c r="C8" s="189"/>
      <c r="D8" s="189"/>
      <c r="E8" s="189"/>
      <c r="F8" s="189"/>
      <c r="G8" s="189"/>
      <c r="H8" s="189"/>
      <c r="I8" s="189"/>
      <c r="J8" s="189"/>
      <c r="K8" s="189"/>
      <c r="L8" s="303"/>
      <c r="M8" s="303"/>
      <c r="N8" s="304"/>
      <c r="O8" s="304"/>
      <c r="P8" s="304"/>
      <c r="Q8" s="303"/>
      <c r="R8" s="303"/>
      <c r="S8" s="303"/>
      <c r="T8" s="305">
        <f>SUM(T2:T7)</f>
        <v>1192409.9766000002</v>
      </c>
      <c r="U8" s="189"/>
      <c r="V8" s="253"/>
      <c r="AB8" s="254">
        <f>SUMIFS($T:$T,$W:$W,"Contratado")</f>
        <v>0</v>
      </c>
      <c r="AC8" s="254">
        <f>SUMIFS($T:$T,$W:$W,"No Contratado")</f>
        <v>1192409.9766000002</v>
      </c>
    </row>
  </sheetData>
  <dataValidations count="2">
    <dataValidation type="list" allowBlank="1" errorTitle="Valor inválido" error="Selecciona Contratado o No Contratado" promptTitle="Contratado/No Contratado" prompt="Selecciona estado" sqref="W2:W7" xr:uid="{00000000-0002-0000-3D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7" xr:uid="{00000000-0002-0000-3D00-000001000000}">
      <formula1>"Sí,No"</formula1>
      <formula2>0</formula2>
    </dataValidation>
  </dataValidations>
  <hyperlinks>
    <hyperlink ref="A1" location="'BUY OUT'!A1" display="⬅ Resumen PU" xr:uid="{00000000-0004-0000-3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50"/>
  </sheetPr>
  <dimension ref="A1:AC4"/>
  <sheetViews>
    <sheetView zoomScaleNormal="100" workbookViewId="0">
      <selection activeCell="W4" sqref="W4"/>
    </sheetView>
  </sheetViews>
  <sheetFormatPr baseColWidth="10" defaultColWidth="8.6640625" defaultRowHeight="15" customHeight="1" x14ac:dyDescent="0.2"/>
  <cols>
    <col min="2" max="2" width="10" customWidth="1"/>
    <col min="3" max="3" width="18.332031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142</v>
      </c>
      <c r="C2" s="211" t="s">
        <v>561</v>
      </c>
      <c r="D2" s="78" t="s">
        <v>313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1109</v>
      </c>
      <c r="J2" s="315">
        <v>0.5</v>
      </c>
      <c r="K2" s="211" t="s">
        <v>269</v>
      </c>
      <c r="L2" s="316">
        <v>700000</v>
      </c>
      <c r="M2" s="310">
        <f>J2*L2</f>
        <v>350000</v>
      </c>
      <c r="N2" s="317">
        <v>0</v>
      </c>
      <c r="O2" s="318">
        <f>M2*N2</f>
        <v>0</v>
      </c>
      <c r="P2" s="317">
        <v>0.16</v>
      </c>
      <c r="Q2" s="310">
        <f>(M2+O2)*P2</f>
        <v>56000</v>
      </c>
      <c r="R2" s="310">
        <f>M2+O2+Q2</f>
        <v>406000</v>
      </c>
      <c r="S2" s="310">
        <f>INDEX('Glosario Partidas'!$M$8:$M$10,MATCH(K2,'Glosario Partidas'!$L$8:$L$10,0))</f>
        <v>1</v>
      </c>
      <c r="T2" s="310">
        <f>R2*S2</f>
        <v>406000</v>
      </c>
      <c r="U2" s="307" t="s">
        <v>315</v>
      </c>
      <c r="V2" s="321" t="s">
        <v>13</v>
      </c>
      <c r="W2" s="321" t="s">
        <v>491</v>
      </c>
      <c r="X2" s="321"/>
    </row>
    <row r="3" spans="1:29" ht="15" customHeight="1" x14ac:dyDescent="0.2">
      <c r="A3" s="211"/>
      <c r="B3" s="211" t="s">
        <v>142</v>
      </c>
      <c r="C3" s="211" t="s">
        <v>561</v>
      </c>
      <c r="D3" s="78" t="s">
        <v>313</v>
      </c>
      <c r="E3" s="307" t="s">
        <v>229</v>
      </c>
      <c r="F3" s="78" t="s">
        <v>313</v>
      </c>
      <c r="G3" s="307" t="s">
        <v>313</v>
      </c>
      <c r="H3" s="315" t="s">
        <v>293</v>
      </c>
      <c r="I3" s="211" t="s">
        <v>1109</v>
      </c>
      <c r="J3" s="315">
        <v>0.5</v>
      </c>
      <c r="K3" s="211" t="s">
        <v>269</v>
      </c>
      <c r="L3" s="316">
        <v>700000</v>
      </c>
      <c r="M3" s="310">
        <f>J3*L3</f>
        <v>350000</v>
      </c>
      <c r="N3" s="317">
        <v>0</v>
      </c>
      <c r="O3" s="318">
        <f>M3*N3</f>
        <v>0</v>
      </c>
      <c r="P3" s="317">
        <v>0.16</v>
      </c>
      <c r="Q3" s="310">
        <f>(M3+O3)*P3</f>
        <v>56000</v>
      </c>
      <c r="R3" s="310">
        <f>M3+O3+Q3</f>
        <v>406000</v>
      </c>
      <c r="S3" s="310">
        <f>INDEX('Glosario Partidas'!$M$8:$M$10,MATCH(K3,'Glosario Partidas'!$L$8:$L$10,0))</f>
        <v>1</v>
      </c>
      <c r="T3" s="310">
        <f>R3*S3</f>
        <v>406000</v>
      </c>
      <c r="U3" s="307" t="s">
        <v>315</v>
      </c>
      <c r="V3" s="321" t="s">
        <v>13</v>
      </c>
      <c r="W3" s="321" t="s">
        <v>491</v>
      </c>
      <c r="X3" s="321"/>
    </row>
    <row r="4" spans="1:29" ht="15" customHeight="1" x14ac:dyDescent="0.2">
      <c r="A4" s="189"/>
      <c r="B4" s="189" t="s">
        <v>185</v>
      </c>
      <c r="C4" s="189"/>
      <c r="D4" s="189"/>
      <c r="E4" s="189"/>
      <c r="F4" s="189"/>
      <c r="G4" s="189"/>
      <c r="H4" s="189"/>
      <c r="I4" s="189"/>
      <c r="J4" s="189"/>
      <c r="K4" s="189"/>
      <c r="L4" s="303"/>
      <c r="M4" s="303"/>
      <c r="N4" s="304"/>
      <c r="O4" s="304"/>
      <c r="P4" s="304"/>
      <c r="Q4" s="303"/>
      <c r="R4" s="303"/>
      <c r="S4" s="303"/>
      <c r="T4" s="305">
        <f>SUM(T2:T3)</f>
        <v>812000</v>
      </c>
      <c r="U4" s="189"/>
      <c r="V4" s="253"/>
      <c r="AB4" s="254">
        <f>SUMIFS($T:$T,$W:$W,"Contratado")</f>
        <v>0</v>
      </c>
      <c r="AC4" s="254">
        <f>SUMIFS($T:$T,$W:$W,"No Contratado")</f>
        <v>812000</v>
      </c>
    </row>
  </sheetData>
  <dataValidations count="2">
    <dataValidation type="list" allowBlank="1" errorTitle="Valor inválido" error="Selecciona Contratado o No Contratado" promptTitle="Contratado/No Contratado" prompt="Selecciona estado" sqref="W2:W3" xr:uid="{00000000-0002-0000-3E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3" xr:uid="{00000000-0002-0000-3E00-000001000000}">
      <formula1>"Sí,No"</formula1>
      <formula2>0</formula2>
    </dataValidation>
  </dataValidations>
  <hyperlinks>
    <hyperlink ref="A1" location="'BUY OUT'!A1" display="⬅ Resumen PU" xr:uid="{00000000-0004-0000-3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50"/>
  </sheetPr>
  <dimension ref="A1:AC6"/>
  <sheetViews>
    <sheetView zoomScaleNormal="100" workbookViewId="0">
      <selection activeCell="W2" sqref="W2"/>
    </sheetView>
  </sheetViews>
  <sheetFormatPr baseColWidth="10" defaultColWidth="8.6640625" defaultRowHeight="15" customHeight="1" x14ac:dyDescent="0.2"/>
  <cols>
    <col min="14" max="14" width="9.5" customWidth="1"/>
    <col min="15" max="15" width="13.6640625" customWidth="1"/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145</v>
      </c>
      <c r="C2" s="211" t="s">
        <v>146</v>
      </c>
      <c r="D2" s="78" t="s">
        <v>313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314</v>
      </c>
      <c r="J2" s="315">
        <v>4</v>
      </c>
      <c r="K2" s="211" t="s">
        <v>269</v>
      </c>
      <c r="L2" s="316">
        <v>80000</v>
      </c>
      <c r="M2" s="310">
        <f>J2*L2</f>
        <v>320000</v>
      </c>
      <c r="N2" s="317"/>
      <c r="O2" s="310">
        <f>M2*N2</f>
        <v>0</v>
      </c>
      <c r="P2" s="317"/>
      <c r="Q2" s="310">
        <f>(M2+O2)*P2</f>
        <v>0</v>
      </c>
      <c r="R2" s="310">
        <f>M2+O2+Q2</f>
        <v>320000</v>
      </c>
      <c r="S2" s="310">
        <f>INDEX('Glosario Partidas'!$M$8:$M$10,MATCH(K2,'Glosario Partidas'!$L$8:$L$10,0))</f>
        <v>1</v>
      </c>
      <c r="T2" s="310">
        <f>R2*S2</f>
        <v>320000</v>
      </c>
      <c r="U2" s="307"/>
      <c r="V2" s="321" t="s">
        <v>13</v>
      </c>
      <c r="W2" s="321" t="s">
        <v>491</v>
      </c>
      <c r="X2" s="321"/>
    </row>
    <row r="3" spans="1:29" ht="15" customHeight="1" x14ac:dyDescent="0.2">
      <c r="A3" s="211"/>
      <c r="B3" s="211" t="s">
        <v>145</v>
      </c>
      <c r="C3" s="211" t="s">
        <v>146</v>
      </c>
      <c r="D3" s="78" t="s">
        <v>313</v>
      </c>
      <c r="E3" s="307" t="s">
        <v>229</v>
      </c>
      <c r="F3" s="78" t="s">
        <v>313</v>
      </c>
      <c r="G3" s="307" t="s">
        <v>313</v>
      </c>
      <c r="H3" s="315" t="s">
        <v>293</v>
      </c>
      <c r="I3" s="211" t="s">
        <v>314</v>
      </c>
      <c r="J3" s="315">
        <v>4</v>
      </c>
      <c r="K3" s="211" t="s">
        <v>269</v>
      </c>
      <c r="L3" s="316">
        <v>80000</v>
      </c>
      <c r="M3" s="310">
        <f>J3*L3</f>
        <v>320000</v>
      </c>
      <c r="N3" s="317"/>
      <c r="O3" s="310">
        <f>M3*N3</f>
        <v>0</v>
      </c>
      <c r="P3" s="317"/>
      <c r="Q3" s="310">
        <f>(M3+O3)*P3</f>
        <v>0</v>
      </c>
      <c r="R3" s="310">
        <f>M3+O3+Q3</f>
        <v>320000</v>
      </c>
      <c r="S3" s="310">
        <f>INDEX('Glosario Partidas'!$M$8:$M$10,MATCH(K3,'Glosario Partidas'!$L$8:$L$10,0))</f>
        <v>1</v>
      </c>
      <c r="T3" s="310">
        <f>R3*S3</f>
        <v>320000</v>
      </c>
      <c r="U3" s="307"/>
      <c r="V3" s="321" t="s">
        <v>13</v>
      </c>
      <c r="W3" s="321" t="s">
        <v>491</v>
      </c>
      <c r="X3" s="321"/>
    </row>
    <row r="4" spans="1:29" ht="15" customHeight="1" x14ac:dyDescent="0.2">
      <c r="A4" s="211"/>
      <c r="B4" s="211" t="s">
        <v>145</v>
      </c>
      <c r="C4" s="211" t="s">
        <v>147</v>
      </c>
      <c r="D4" s="78" t="s">
        <v>313</v>
      </c>
      <c r="E4" s="307" t="s">
        <v>220</v>
      </c>
      <c r="F4" s="78" t="s">
        <v>313</v>
      </c>
      <c r="G4" s="307" t="s">
        <v>313</v>
      </c>
      <c r="H4" s="315" t="s">
        <v>293</v>
      </c>
      <c r="I4" s="211" t="s">
        <v>314</v>
      </c>
      <c r="J4" s="315">
        <v>1</v>
      </c>
      <c r="K4" s="211" t="s">
        <v>269</v>
      </c>
      <c r="L4" s="316">
        <v>1000000</v>
      </c>
      <c r="M4" s="310">
        <f>J4*L4</f>
        <v>1000000</v>
      </c>
      <c r="N4" s="317"/>
      <c r="O4" s="310">
        <f>M4*N4</f>
        <v>0</v>
      </c>
      <c r="P4" s="317"/>
      <c r="Q4" s="310">
        <f>(M4+O4)*P4</f>
        <v>0</v>
      </c>
      <c r="R4" s="310">
        <f>M4+O4+Q4</f>
        <v>1000000</v>
      </c>
      <c r="S4" s="310">
        <f>INDEX('Glosario Partidas'!$M$8:$M$10,MATCH(K4,'Glosario Partidas'!$L$8:$L$10,0))</f>
        <v>1</v>
      </c>
      <c r="T4" s="310">
        <f>R4*S4</f>
        <v>1000000</v>
      </c>
      <c r="U4" s="307"/>
      <c r="V4" s="321" t="s">
        <v>13</v>
      </c>
      <c r="W4" s="321" t="s">
        <v>491</v>
      </c>
      <c r="X4" s="321"/>
    </row>
    <row r="5" spans="1:29" ht="15" customHeight="1" x14ac:dyDescent="0.2">
      <c r="A5" s="211"/>
      <c r="B5" s="211" t="s">
        <v>145</v>
      </c>
      <c r="C5" s="211" t="s">
        <v>147</v>
      </c>
      <c r="D5" s="78" t="s">
        <v>313</v>
      </c>
      <c r="E5" s="307" t="s">
        <v>229</v>
      </c>
      <c r="F5" s="78" t="s">
        <v>313</v>
      </c>
      <c r="G5" s="307" t="s">
        <v>313</v>
      </c>
      <c r="H5" s="315" t="s">
        <v>293</v>
      </c>
      <c r="I5" s="211" t="s">
        <v>314</v>
      </c>
      <c r="J5" s="315">
        <v>1</v>
      </c>
      <c r="K5" s="211" t="s">
        <v>269</v>
      </c>
      <c r="L5" s="316">
        <v>1000000</v>
      </c>
      <c r="M5" s="310">
        <f>J5*L5</f>
        <v>1000000</v>
      </c>
      <c r="N5" s="317"/>
      <c r="O5" s="310">
        <f>M5*N5</f>
        <v>0</v>
      </c>
      <c r="P5" s="317"/>
      <c r="Q5" s="310">
        <f>(M5+O5)*P5</f>
        <v>0</v>
      </c>
      <c r="R5" s="310">
        <f>M5+O5+Q5</f>
        <v>1000000</v>
      </c>
      <c r="S5" s="310">
        <f>INDEX('Glosario Partidas'!$M$8:$M$10,MATCH(K5,'Glosario Partidas'!$L$8:$L$10,0))</f>
        <v>1</v>
      </c>
      <c r="T5" s="310">
        <f>R5*S5</f>
        <v>1000000</v>
      </c>
      <c r="U5" s="307"/>
      <c r="V5" s="321" t="s">
        <v>13</v>
      </c>
      <c r="W5" s="321" t="s">
        <v>491</v>
      </c>
      <c r="X5" s="321"/>
    </row>
    <row r="6" spans="1:29" ht="15" customHeight="1" x14ac:dyDescent="0.2">
      <c r="A6" s="189"/>
      <c r="B6" s="189" t="s">
        <v>185</v>
      </c>
      <c r="C6" s="189"/>
      <c r="D6" s="189"/>
      <c r="E6" s="189"/>
      <c r="F6" s="189"/>
      <c r="G6" s="189"/>
      <c r="H6" s="189"/>
      <c r="I6" s="189"/>
      <c r="J6" s="189"/>
      <c r="K6" s="189"/>
      <c r="L6" s="303"/>
      <c r="M6" s="303"/>
      <c r="N6" s="304"/>
      <c r="O6" s="304"/>
      <c r="P6" s="304"/>
      <c r="Q6" s="303"/>
      <c r="R6" s="303"/>
      <c r="S6" s="303"/>
      <c r="T6" s="305">
        <f>SUM(T2:T5)</f>
        <v>2640000</v>
      </c>
      <c r="U6" s="189"/>
      <c r="V6" s="253"/>
      <c r="AB6" s="254">
        <f>SUMIFS($T:$T,$W:$W,"Contratado")</f>
        <v>0</v>
      </c>
      <c r="AC6" s="254">
        <f>SUMIFS($T:$T,$W:$W,"No Contratado")</f>
        <v>2640000</v>
      </c>
    </row>
  </sheetData>
  <dataValidations count="2">
    <dataValidation type="list" allowBlank="1" errorTitle="Valor inválido" error="Selecciona Contratado o No Contratado" promptTitle="Contratado/No Contratado" prompt="Selecciona estado" sqref="W2:W5" xr:uid="{00000000-0002-0000-3F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5" xr:uid="{00000000-0002-0000-3F00-000001000000}">
      <formula1>"Sí,No"</formula1>
      <formula2>0</formula2>
    </dataValidation>
  </dataValidations>
  <hyperlinks>
    <hyperlink ref="A1" location="'BUY OUT'!A1" display="⬅ Resumen PU" xr:uid="{00000000-0004-0000-3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B050"/>
  </sheetPr>
  <dimension ref="A1:AC4"/>
  <sheetViews>
    <sheetView zoomScaleNormal="100" workbookViewId="0">
      <selection activeCell="W4" sqref="W4"/>
    </sheetView>
  </sheetViews>
  <sheetFormatPr baseColWidth="10" defaultColWidth="8.6640625" defaultRowHeight="15" customHeight="1" x14ac:dyDescent="0.2"/>
  <cols>
    <col min="23" max="23" width="22" customWidth="1"/>
    <col min="24" max="24" width="12" customWidth="1"/>
  </cols>
  <sheetData>
    <row r="1" spans="1:29" ht="15" customHeight="1" x14ac:dyDescent="0.2">
      <c r="A1" s="261" t="s">
        <v>488</v>
      </c>
      <c r="B1" s="262" t="s">
        <v>295</v>
      </c>
      <c r="C1" s="262" t="s">
        <v>2</v>
      </c>
      <c r="D1" s="262" t="s">
        <v>296</v>
      </c>
      <c r="E1" s="262" t="s">
        <v>215</v>
      </c>
      <c r="F1" s="262" t="s">
        <v>297</v>
      </c>
      <c r="G1" s="262" t="s">
        <v>168</v>
      </c>
      <c r="H1" s="262" t="s">
        <v>298</v>
      </c>
      <c r="I1" s="262" t="s">
        <v>299</v>
      </c>
      <c r="J1" s="262" t="s">
        <v>300</v>
      </c>
      <c r="K1" s="262" t="s">
        <v>301</v>
      </c>
      <c r="L1" s="262" t="s">
        <v>302</v>
      </c>
      <c r="M1" s="262" t="s">
        <v>303</v>
      </c>
      <c r="N1" s="262" t="s">
        <v>304</v>
      </c>
      <c r="O1" s="262" t="s">
        <v>305</v>
      </c>
      <c r="P1" s="262" t="s">
        <v>306</v>
      </c>
      <c r="Q1" s="262" t="s">
        <v>307</v>
      </c>
      <c r="R1" s="262" t="s">
        <v>308</v>
      </c>
      <c r="S1" s="262" t="s">
        <v>309</v>
      </c>
      <c r="T1" s="262" t="s">
        <v>310</v>
      </c>
      <c r="U1" s="262" t="s">
        <v>311</v>
      </c>
      <c r="V1" s="262" t="s">
        <v>312</v>
      </c>
      <c r="W1" s="262" t="s">
        <v>489</v>
      </c>
      <c r="X1" s="262" t="s">
        <v>490</v>
      </c>
      <c r="AB1" s="248" t="s">
        <v>14</v>
      </c>
      <c r="AC1" s="248" t="s">
        <v>15</v>
      </c>
    </row>
    <row r="2" spans="1:29" ht="15" customHeight="1" x14ac:dyDescent="0.2">
      <c r="A2" s="211"/>
      <c r="B2" s="211" t="s">
        <v>195</v>
      </c>
      <c r="C2" s="211" t="s">
        <v>150</v>
      </c>
      <c r="D2" s="78" t="s">
        <v>313</v>
      </c>
      <c r="E2" s="307" t="s">
        <v>220</v>
      </c>
      <c r="F2" s="78" t="s">
        <v>313</v>
      </c>
      <c r="G2" s="307" t="s">
        <v>313</v>
      </c>
      <c r="H2" s="315" t="s">
        <v>293</v>
      </c>
      <c r="I2" s="211" t="s">
        <v>314</v>
      </c>
      <c r="J2" s="315">
        <v>1</v>
      </c>
      <c r="K2" s="211" t="s">
        <v>269</v>
      </c>
      <c r="L2" s="316">
        <v>6000000</v>
      </c>
      <c r="M2" s="310">
        <f>J2*L2</f>
        <v>6000000</v>
      </c>
      <c r="N2" s="317"/>
      <c r="O2" s="318">
        <f>M2*N2</f>
        <v>0</v>
      </c>
      <c r="P2" s="317"/>
      <c r="Q2" s="310">
        <f>(M2+O2)*P2</f>
        <v>0</v>
      </c>
      <c r="R2" s="310">
        <f>M2+O2+Q2</f>
        <v>6000000</v>
      </c>
      <c r="S2" s="310">
        <f>INDEX('Glosario Partidas'!$M$8:$M$10,MATCH(K2,'Glosario Partidas'!$L$8:$L$10,0))</f>
        <v>1</v>
      </c>
      <c r="T2" s="310">
        <f>R2*S2</f>
        <v>6000000</v>
      </c>
      <c r="U2" s="307"/>
      <c r="V2" s="321" t="s">
        <v>13</v>
      </c>
      <c r="W2" s="321" t="s">
        <v>491</v>
      </c>
      <c r="X2" s="321"/>
    </row>
    <row r="3" spans="1:29" ht="15" customHeight="1" x14ac:dyDescent="0.2">
      <c r="A3" s="211"/>
      <c r="B3" s="211" t="s">
        <v>195</v>
      </c>
      <c r="C3" s="211" t="s">
        <v>150</v>
      </c>
      <c r="D3" s="78" t="s">
        <v>313</v>
      </c>
      <c r="E3" s="307" t="s">
        <v>229</v>
      </c>
      <c r="F3" s="78" t="s">
        <v>313</v>
      </c>
      <c r="G3" s="307" t="s">
        <v>313</v>
      </c>
      <c r="H3" s="315" t="s">
        <v>293</v>
      </c>
      <c r="I3" s="211" t="s">
        <v>314</v>
      </c>
      <c r="J3" s="315">
        <v>1</v>
      </c>
      <c r="K3" s="211" t="s">
        <v>269</v>
      </c>
      <c r="L3" s="316">
        <v>6000000</v>
      </c>
      <c r="M3" s="310">
        <f>J3*L3</f>
        <v>6000000</v>
      </c>
      <c r="N3" s="317"/>
      <c r="O3" s="318">
        <f>M3*N3</f>
        <v>0</v>
      </c>
      <c r="P3" s="317"/>
      <c r="Q3" s="310">
        <f>(M3+O3)*P3</f>
        <v>0</v>
      </c>
      <c r="R3" s="310">
        <f>M3+O3+Q3</f>
        <v>6000000</v>
      </c>
      <c r="S3" s="310">
        <f>INDEX('Glosario Partidas'!$M$8:$M$10,MATCH(K3,'Glosario Partidas'!$L$8:$L$10,0))</f>
        <v>1</v>
      </c>
      <c r="T3" s="310">
        <f>R3*S3</f>
        <v>6000000</v>
      </c>
      <c r="U3" s="307"/>
      <c r="V3" s="321" t="s">
        <v>13</v>
      </c>
      <c r="W3" s="321" t="s">
        <v>491</v>
      </c>
      <c r="X3" s="321"/>
    </row>
    <row r="4" spans="1:29" ht="15" customHeight="1" x14ac:dyDescent="0.2">
      <c r="A4" s="189"/>
      <c r="B4" s="189" t="s">
        <v>185</v>
      </c>
      <c r="C4" s="189"/>
      <c r="D4" s="189"/>
      <c r="E4" s="189"/>
      <c r="F4" s="189"/>
      <c r="G4" s="189"/>
      <c r="H4" s="189"/>
      <c r="I4" s="189"/>
      <c r="J4" s="189"/>
      <c r="K4" s="189"/>
      <c r="L4" s="303"/>
      <c r="M4" s="303"/>
      <c r="N4" s="304"/>
      <c r="O4" s="304"/>
      <c r="P4" s="304"/>
      <c r="Q4" s="303"/>
      <c r="R4" s="303"/>
      <c r="S4" s="303"/>
      <c r="T4" s="305">
        <f>SUM(T2:T3)</f>
        <v>12000000</v>
      </c>
      <c r="U4" s="189"/>
      <c r="V4" s="253"/>
      <c r="AB4" s="254">
        <f>SUMIFS($T:$T,$W:$W,"Contratado")</f>
        <v>0</v>
      </c>
      <c r="AC4" s="254">
        <f>SUMIFS($T:$T,$W:$W,"No Contratado")</f>
        <v>12000000</v>
      </c>
    </row>
  </sheetData>
  <dataValidations count="2">
    <dataValidation type="list" allowBlank="1" errorTitle="Valor inválido" error="Selecciona Contratado o No Contratado" promptTitle="Contratado/No Contratado" prompt="Selecciona estado" sqref="W2:W3" xr:uid="{00000000-0002-0000-4000-000000000000}">
      <formula1>"Contratado,No Contratado"</formula1>
      <formula2>0</formula2>
    </dataValidation>
    <dataValidation type="list" allowBlank="1" errorTitle="Valor inválido" error="Selecciona Sí o No" promptTitle="5 Recamara" prompt="¿Aplica 5a recámara?" sqref="X2:X3" xr:uid="{00000000-0002-0000-4000-000001000000}">
      <formula1>"Sí,No"</formula1>
      <formula2>0</formula2>
    </dataValidation>
  </dataValidations>
  <hyperlinks>
    <hyperlink ref="A1" location="'BUY OUT'!A1" display="⬅ Resumen PU" xr:uid="{00000000-0004-0000-4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0000"/>
  </sheetPr>
  <dimension ref="A1:L19"/>
  <sheetViews>
    <sheetView zoomScaleNormal="100" workbookViewId="0"/>
  </sheetViews>
  <sheetFormatPr baseColWidth="10" defaultColWidth="8.6640625" defaultRowHeight="15" customHeight="1" x14ac:dyDescent="0.2"/>
  <cols>
    <col min="1" max="1" width="1.5" customWidth="1"/>
    <col min="3" max="3" width="7.5" customWidth="1"/>
    <col min="5" max="6" width="7.5" customWidth="1"/>
    <col min="10" max="11" width="7.5" customWidth="1"/>
  </cols>
  <sheetData>
    <row r="1" spans="1:12" ht="15" customHeight="1" x14ac:dyDescent="0.2">
      <c r="A1" s="216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</row>
    <row r="2" spans="1:12" ht="15" customHeight="1" x14ac:dyDescent="0.2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</row>
    <row r="3" spans="1:12" ht="15" customHeight="1" x14ac:dyDescent="0.2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</row>
    <row r="4" spans="1:12" ht="15" customHeight="1" x14ac:dyDescent="0.2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2" ht="15" customHeight="1" x14ac:dyDescent="0.2">
      <c r="A5" s="216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</row>
    <row r="6" spans="1:12" ht="15" customHeight="1" x14ac:dyDescent="0.2">
      <c r="A6" s="216"/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</row>
    <row r="7" spans="1:12" ht="15" customHeight="1" x14ac:dyDescent="0.2">
      <c r="A7" s="216"/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</row>
    <row r="8" spans="1:12" ht="15" customHeight="1" x14ac:dyDescent="0.2">
      <c r="A8" s="216"/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</row>
    <row r="9" spans="1:12" ht="15" customHeight="1" x14ac:dyDescent="0.2">
      <c r="A9" s="216"/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</row>
    <row r="10" spans="1:12" ht="15" customHeight="1" x14ac:dyDescent="0.2">
      <c r="A10" s="216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</row>
    <row r="11" spans="1:12" ht="21" customHeight="1" x14ac:dyDescent="0.25">
      <c r="A11" s="216"/>
      <c r="B11" s="216"/>
      <c r="C11" s="216"/>
      <c r="D11" s="217"/>
      <c r="E11" s="216"/>
      <c r="F11" s="216"/>
      <c r="G11" s="216"/>
      <c r="H11" s="216"/>
      <c r="I11" s="216"/>
      <c r="J11" s="216"/>
      <c r="K11" s="216"/>
      <c r="L11" s="216"/>
    </row>
    <row r="12" spans="1:12" ht="18" customHeight="1" x14ac:dyDescent="0.2">
      <c r="A12" s="216"/>
      <c r="B12" s="216"/>
      <c r="C12" s="216"/>
      <c r="D12" s="218"/>
      <c r="E12" s="216"/>
      <c r="F12" s="216"/>
      <c r="G12" s="216"/>
      <c r="H12" s="216"/>
      <c r="I12" s="216"/>
      <c r="J12" s="216"/>
      <c r="K12" s="216"/>
      <c r="L12" s="216"/>
    </row>
    <row r="13" spans="1:12" ht="15" customHeight="1" x14ac:dyDescent="0.2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</row>
    <row r="14" spans="1:12" ht="15" customHeight="1" x14ac:dyDescent="0.2">
      <c r="A14" s="216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</row>
    <row r="15" spans="1:12" ht="15" customHeight="1" x14ac:dyDescent="0.2">
      <c r="A15" s="216"/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</row>
    <row r="16" spans="1:12" ht="15" customHeight="1" x14ac:dyDescent="0.2">
      <c r="A16" s="216"/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</row>
    <row r="17" spans="1:12" ht="15" customHeight="1" x14ac:dyDescent="0.2">
      <c r="A17" s="216"/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</row>
    <row r="18" spans="1:12" ht="15" customHeight="1" x14ac:dyDescent="0.2">
      <c r="A18" s="216"/>
      <c r="B18" s="216"/>
      <c r="C18" s="216"/>
      <c r="D18" s="216"/>
      <c r="E18" s="216"/>
      <c r="F18" s="216"/>
      <c r="G18" s="216"/>
      <c r="H18" s="216"/>
      <c r="I18" s="219"/>
      <c r="J18" s="216"/>
      <c r="K18" s="220"/>
      <c r="L18" s="216"/>
    </row>
    <row r="19" spans="1:12" ht="15" customHeight="1" x14ac:dyDescent="0.2">
      <c r="A19" s="216"/>
      <c r="B19" s="216"/>
      <c r="C19" s="216"/>
      <c r="D19" s="216"/>
      <c r="E19" s="216"/>
      <c r="F19" s="216"/>
      <c r="G19" s="216"/>
      <c r="H19" s="216"/>
      <c r="I19" s="219"/>
      <c r="J19" s="216"/>
      <c r="K19" s="216"/>
      <c r="L19" s="2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B3:C30"/>
  <sheetViews>
    <sheetView zoomScaleNormal="100" workbookViewId="0"/>
  </sheetViews>
  <sheetFormatPr baseColWidth="10" defaultColWidth="8.6640625" defaultRowHeight="15" customHeight="1" x14ac:dyDescent="0.2"/>
  <cols>
    <col min="2" max="2" width="28" customWidth="1"/>
    <col min="3" max="3" width="13.6640625" customWidth="1"/>
  </cols>
  <sheetData>
    <row r="3" spans="2:3" ht="15" customHeight="1" x14ac:dyDescent="0.2">
      <c r="B3" s="439" t="s">
        <v>1112</v>
      </c>
      <c r="C3" s="440" t="s">
        <v>1113</v>
      </c>
    </row>
    <row r="4" spans="2:3" ht="15" customHeight="1" x14ac:dyDescent="0.2">
      <c r="B4" s="441" t="s">
        <v>52</v>
      </c>
      <c r="C4" s="442">
        <v>32000000</v>
      </c>
    </row>
    <row r="5" spans="2:3" ht="15" customHeight="1" x14ac:dyDescent="0.2">
      <c r="B5" s="441" t="s">
        <v>290</v>
      </c>
      <c r="C5" s="442">
        <v>8000000</v>
      </c>
    </row>
    <row r="6" spans="2:3" ht="15" customHeight="1" x14ac:dyDescent="0.2">
      <c r="B6" s="441" t="s">
        <v>189</v>
      </c>
      <c r="C6" s="442">
        <v>8000000</v>
      </c>
    </row>
    <row r="7" spans="2:3" ht="15" customHeight="1" x14ac:dyDescent="0.2">
      <c r="B7" s="441" t="s">
        <v>194</v>
      </c>
      <c r="C7" s="442">
        <v>8000000</v>
      </c>
    </row>
    <row r="8" spans="2:3" ht="15" customHeight="1" x14ac:dyDescent="0.2">
      <c r="B8" s="441" t="s">
        <v>190</v>
      </c>
      <c r="C8" s="442">
        <v>10200000</v>
      </c>
    </row>
    <row r="9" spans="2:3" ht="15" customHeight="1" x14ac:dyDescent="0.2">
      <c r="B9" s="441" t="s">
        <v>191</v>
      </c>
      <c r="C9" s="442">
        <v>12000000</v>
      </c>
    </row>
    <row r="10" spans="2:3" ht="15" customHeight="1" x14ac:dyDescent="0.2">
      <c r="B10" s="441" t="s">
        <v>188</v>
      </c>
      <c r="C10" s="442">
        <v>15000000</v>
      </c>
    </row>
    <row r="11" spans="2:3" ht="15" customHeight="1" x14ac:dyDescent="0.2">
      <c r="B11" s="441" t="s">
        <v>193</v>
      </c>
      <c r="C11" s="442">
        <v>12000000</v>
      </c>
    </row>
    <row r="12" spans="2:3" ht="15" customHeight="1" x14ac:dyDescent="0.2">
      <c r="B12" s="441" t="s">
        <v>289</v>
      </c>
      <c r="C12" s="442">
        <v>11000000</v>
      </c>
    </row>
    <row r="13" spans="2:3" ht="15" customHeight="1" x14ac:dyDescent="0.2">
      <c r="B13" s="441" t="s">
        <v>70</v>
      </c>
      <c r="C13" s="442">
        <v>8000000</v>
      </c>
    </row>
    <row r="14" spans="2:3" ht="15" customHeight="1" x14ac:dyDescent="0.2">
      <c r="B14" s="441" t="s">
        <v>73</v>
      </c>
      <c r="C14" s="442">
        <v>8500000</v>
      </c>
    </row>
    <row r="15" spans="2:3" ht="15" customHeight="1" x14ac:dyDescent="0.2">
      <c r="B15" s="441" t="s">
        <v>211</v>
      </c>
      <c r="C15" s="442">
        <v>2197255.4421000001</v>
      </c>
    </row>
    <row r="16" spans="2:3" ht="15" customHeight="1" x14ac:dyDescent="0.2">
      <c r="B16" s="441" t="s">
        <v>108</v>
      </c>
      <c r="C16" s="442">
        <v>3947913.6776000001</v>
      </c>
    </row>
    <row r="17" spans="2:3" ht="15" customHeight="1" x14ac:dyDescent="0.2">
      <c r="B17" s="441" t="s">
        <v>203</v>
      </c>
      <c r="C17" s="442">
        <v>3126827.3280000002</v>
      </c>
    </row>
    <row r="18" spans="2:3" ht="15" customHeight="1" x14ac:dyDescent="0.2">
      <c r="B18" s="441" t="s">
        <v>76</v>
      </c>
      <c r="C18" s="442">
        <v>2715892.2239999999</v>
      </c>
    </row>
    <row r="19" spans="2:3" ht="15" customHeight="1" x14ac:dyDescent="0.2">
      <c r="B19" s="441" t="s">
        <v>127</v>
      </c>
      <c r="C19" s="442">
        <v>800000</v>
      </c>
    </row>
    <row r="20" spans="2:3" ht="15" customHeight="1" x14ac:dyDescent="0.2">
      <c r="B20" s="441" t="s">
        <v>200</v>
      </c>
      <c r="C20" s="442">
        <v>928000</v>
      </c>
    </row>
    <row r="21" spans="2:3" ht="15" customHeight="1" x14ac:dyDescent="0.2">
      <c r="B21" s="441" t="s">
        <v>199</v>
      </c>
      <c r="C21" s="442">
        <v>441385</v>
      </c>
    </row>
    <row r="22" spans="2:3" ht="15" customHeight="1" x14ac:dyDescent="0.2">
      <c r="B22" s="441" t="s">
        <v>192</v>
      </c>
      <c r="C22" s="442">
        <v>2000000</v>
      </c>
    </row>
    <row r="23" spans="2:3" ht="15" customHeight="1" x14ac:dyDescent="0.2">
      <c r="B23" s="441" t="s">
        <v>213</v>
      </c>
      <c r="C23" s="442">
        <v>0</v>
      </c>
    </row>
    <row r="24" spans="2:3" ht="15" customHeight="1" x14ac:dyDescent="0.2">
      <c r="B24" s="441" t="s">
        <v>196</v>
      </c>
      <c r="C24" s="442">
        <v>2000000</v>
      </c>
    </row>
    <row r="25" spans="2:3" ht="15" customHeight="1" x14ac:dyDescent="0.2">
      <c r="B25" s="441" t="s">
        <v>1114</v>
      </c>
      <c r="C25" s="442">
        <v>0</v>
      </c>
    </row>
    <row r="26" spans="2:3" ht="15" customHeight="1" x14ac:dyDescent="0.2">
      <c r="B26" s="441" t="s">
        <v>201</v>
      </c>
      <c r="C26" s="442">
        <v>0</v>
      </c>
    </row>
    <row r="27" spans="2:3" ht="15" customHeight="1" x14ac:dyDescent="0.2">
      <c r="B27" s="441" t="s">
        <v>79</v>
      </c>
      <c r="C27" s="442">
        <v>5000000</v>
      </c>
    </row>
    <row r="28" spans="2:3" ht="15" customHeight="1" x14ac:dyDescent="0.2">
      <c r="B28" s="441" t="s">
        <v>198</v>
      </c>
      <c r="C28" s="442">
        <v>2000000</v>
      </c>
    </row>
    <row r="29" spans="2:3" ht="15" customHeight="1" x14ac:dyDescent="0.2">
      <c r="B29" s="441" t="s">
        <v>195</v>
      </c>
      <c r="C29" s="442">
        <v>20000000</v>
      </c>
    </row>
    <row r="30" spans="2:3" ht="15" customHeight="1" x14ac:dyDescent="0.2">
      <c r="B30" s="439" t="s">
        <v>185</v>
      </c>
      <c r="C30" s="443">
        <f>SUM(C4:C29)</f>
        <v>177857273.6717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I100"/>
  <sheetViews>
    <sheetView topLeftCell="A67" zoomScaleNormal="100" workbookViewId="0">
      <selection activeCell="M43" sqref="M43"/>
    </sheetView>
  </sheetViews>
  <sheetFormatPr baseColWidth="10" defaultColWidth="8.6640625" defaultRowHeight="15" customHeight="1" x14ac:dyDescent="0.2"/>
  <cols>
    <col min="1" max="1" width="1.5" customWidth="1"/>
    <col min="2" max="2" width="5.33203125" customWidth="1"/>
    <col min="3" max="3" width="40.5" customWidth="1"/>
    <col min="4" max="4" width="45.83203125" customWidth="1"/>
    <col min="5" max="5" width="12.5" customWidth="1"/>
    <col min="7" max="7" width="1.5" customWidth="1"/>
    <col min="8" max="8" width="12.83203125" customWidth="1"/>
    <col min="9" max="9" width="12.5" customWidth="1"/>
    <col min="11" max="11" width="4.5" customWidth="1"/>
    <col min="12" max="12" width="4" customWidth="1"/>
    <col min="13" max="13" width="20.6640625" customWidth="1"/>
    <col min="14" max="14" width="12.5" customWidth="1"/>
    <col min="16" max="16" width="2.5" customWidth="1"/>
    <col min="18" max="18" width="12.5" customWidth="1"/>
    <col min="21" max="21" width="2.5" customWidth="1"/>
    <col min="23" max="23" width="12.5" customWidth="1"/>
    <col min="26" max="26" width="2.5" customWidth="1"/>
    <col min="28" max="28" width="12.5" customWidth="1"/>
    <col min="31" max="31" width="2.5" customWidth="1"/>
    <col min="33" max="33" width="12.5" customWidth="1"/>
  </cols>
  <sheetData>
    <row r="1" spans="1:13" ht="15" customHeight="1" x14ac:dyDescent="0.2">
      <c r="A1" s="444" t="s">
        <v>1115</v>
      </c>
    </row>
    <row r="2" spans="1:13" ht="15" customHeight="1" x14ac:dyDescent="0.2">
      <c r="A2" s="445" t="s">
        <v>1116</v>
      </c>
    </row>
    <row r="6" spans="1:13" ht="15" customHeight="1" x14ac:dyDescent="0.2">
      <c r="B6" s="446" t="s">
        <v>295</v>
      </c>
      <c r="C6" s="447"/>
      <c r="D6" s="447"/>
      <c r="E6" s="447"/>
      <c r="H6" s="446" t="s">
        <v>299</v>
      </c>
      <c r="I6" s="447"/>
      <c r="K6" s="446" t="s">
        <v>301</v>
      </c>
      <c r="L6" s="447"/>
      <c r="M6" s="447"/>
    </row>
    <row r="7" spans="1:13" ht="15" customHeight="1" x14ac:dyDescent="0.2">
      <c r="B7" s="448"/>
      <c r="C7" s="449" t="s">
        <v>1117</v>
      </c>
      <c r="D7" s="449" t="s">
        <v>1118</v>
      </c>
      <c r="E7" s="448"/>
      <c r="H7" s="448"/>
      <c r="I7" s="449" t="s">
        <v>1117</v>
      </c>
      <c r="K7" s="448"/>
      <c r="L7" s="449" t="s">
        <v>1117</v>
      </c>
      <c r="M7" s="448"/>
    </row>
    <row r="8" spans="1:13" ht="15" customHeight="1" x14ac:dyDescent="0.2">
      <c r="B8" s="450">
        <v>1</v>
      </c>
      <c r="C8" s="451" t="s">
        <v>201</v>
      </c>
      <c r="D8" s="451"/>
      <c r="E8" s="452"/>
      <c r="H8" s="453">
        <v>1</v>
      </c>
      <c r="I8" s="451" t="s">
        <v>207</v>
      </c>
      <c r="K8" s="453">
        <v>1</v>
      </c>
      <c r="L8" s="451" t="s">
        <v>269</v>
      </c>
      <c r="M8" s="454">
        <v>1</v>
      </c>
    </row>
    <row r="9" spans="1:13" ht="15" customHeight="1" x14ac:dyDescent="0.2">
      <c r="B9" s="450">
        <f t="shared" ref="B9:B35" si="0">+B8+1</f>
        <v>2</v>
      </c>
      <c r="C9" s="451" t="s">
        <v>50</v>
      </c>
      <c r="D9" s="451"/>
      <c r="E9" s="452"/>
      <c r="H9" s="453">
        <f t="shared" ref="H9:H14" si="1">+H8+1</f>
        <v>2</v>
      </c>
      <c r="I9" s="451" t="s">
        <v>314</v>
      </c>
      <c r="K9" s="453">
        <f>+K8+1</f>
        <v>2</v>
      </c>
      <c r="L9" s="451" t="s">
        <v>153</v>
      </c>
      <c r="M9" s="454">
        <v>17.5</v>
      </c>
    </row>
    <row r="10" spans="1:13" ht="15" customHeight="1" x14ac:dyDescent="0.2">
      <c r="B10" s="450">
        <f t="shared" si="0"/>
        <v>3</v>
      </c>
      <c r="C10" s="451" t="s">
        <v>199</v>
      </c>
      <c r="D10" s="451"/>
      <c r="E10" s="452"/>
      <c r="H10" s="453">
        <f t="shared" si="1"/>
        <v>3</v>
      </c>
      <c r="I10" s="451" t="s">
        <v>316</v>
      </c>
      <c r="K10" s="453">
        <f>+K9+1</f>
        <v>3</v>
      </c>
      <c r="L10" s="451" t="s">
        <v>396</v>
      </c>
      <c r="M10" s="454">
        <v>22</v>
      </c>
    </row>
    <row r="11" spans="1:13" ht="15" customHeight="1" x14ac:dyDescent="0.2">
      <c r="B11" s="450">
        <f t="shared" si="0"/>
        <v>4</v>
      </c>
      <c r="C11" s="451" t="s">
        <v>290</v>
      </c>
      <c r="D11" s="451"/>
      <c r="E11" s="452"/>
      <c r="H11" s="453">
        <f t="shared" si="1"/>
        <v>4</v>
      </c>
      <c r="I11" s="451" t="s">
        <v>328</v>
      </c>
    </row>
    <row r="12" spans="1:13" ht="15" customHeight="1" x14ac:dyDescent="0.2">
      <c r="B12" s="450">
        <f t="shared" si="0"/>
        <v>5</v>
      </c>
      <c r="C12" s="451" t="s">
        <v>52</v>
      </c>
      <c r="D12" s="451"/>
      <c r="E12" s="452"/>
      <c r="H12" s="453">
        <f t="shared" si="1"/>
        <v>5</v>
      </c>
      <c r="I12" s="451" t="s">
        <v>410</v>
      </c>
    </row>
    <row r="13" spans="1:13" ht="15" customHeight="1" x14ac:dyDescent="0.2">
      <c r="B13" s="450">
        <f t="shared" si="0"/>
        <v>6</v>
      </c>
      <c r="C13" s="451" t="s">
        <v>213</v>
      </c>
      <c r="D13" s="451"/>
      <c r="E13" s="452"/>
      <c r="H13" s="453">
        <f t="shared" si="1"/>
        <v>6</v>
      </c>
      <c r="I13" s="451" t="s">
        <v>1119</v>
      </c>
    </row>
    <row r="14" spans="1:13" ht="15" customHeight="1" x14ac:dyDescent="0.2">
      <c r="B14" s="450">
        <f t="shared" si="0"/>
        <v>7</v>
      </c>
      <c r="C14" s="451" t="s">
        <v>211</v>
      </c>
      <c r="D14" s="451"/>
      <c r="E14" s="452"/>
      <c r="H14" s="453">
        <f t="shared" si="1"/>
        <v>7</v>
      </c>
      <c r="I14" s="451" t="s">
        <v>1109</v>
      </c>
    </row>
    <row r="15" spans="1:13" ht="15" customHeight="1" x14ac:dyDescent="0.2">
      <c r="B15" s="450">
        <f t="shared" si="0"/>
        <v>8</v>
      </c>
      <c r="C15" s="451" t="s">
        <v>1120</v>
      </c>
      <c r="D15" s="451"/>
      <c r="E15" s="452"/>
    </row>
    <row r="16" spans="1:13" ht="15" customHeight="1" x14ac:dyDescent="0.2">
      <c r="B16" s="450">
        <f t="shared" si="0"/>
        <v>9</v>
      </c>
      <c r="C16" s="451" t="s">
        <v>1121</v>
      </c>
      <c r="D16" s="451"/>
      <c r="E16" s="452"/>
    </row>
    <row r="17" spans="2:5" ht="15" customHeight="1" x14ac:dyDescent="0.2">
      <c r="B17" s="450">
        <f t="shared" si="0"/>
        <v>10</v>
      </c>
      <c r="C17" s="451" t="s">
        <v>1122</v>
      </c>
      <c r="D17" s="451"/>
      <c r="E17" s="452"/>
    </row>
    <row r="18" spans="2:5" ht="15" customHeight="1" x14ac:dyDescent="0.2">
      <c r="B18" s="450">
        <f t="shared" si="0"/>
        <v>11</v>
      </c>
      <c r="C18" s="63" t="s">
        <v>189</v>
      </c>
      <c r="D18" s="451"/>
      <c r="E18" s="452"/>
    </row>
    <row r="19" spans="2:5" ht="15" customHeight="1" x14ac:dyDescent="0.2">
      <c r="B19" s="450">
        <f t="shared" si="0"/>
        <v>12</v>
      </c>
      <c r="C19" s="63" t="s">
        <v>194</v>
      </c>
      <c r="D19" s="451"/>
      <c r="E19" s="452"/>
    </row>
    <row r="20" spans="2:5" ht="15" customHeight="1" x14ac:dyDescent="0.2">
      <c r="B20" s="450">
        <f t="shared" si="0"/>
        <v>13</v>
      </c>
      <c r="C20" s="63" t="s">
        <v>191</v>
      </c>
      <c r="D20" s="451"/>
      <c r="E20" s="452"/>
    </row>
    <row r="21" spans="2:5" ht="15" customHeight="1" x14ac:dyDescent="0.2">
      <c r="B21" s="450">
        <f t="shared" si="0"/>
        <v>14</v>
      </c>
      <c r="C21" s="63" t="s">
        <v>70</v>
      </c>
      <c r="D21" s="451"/>
      <c r="E21" s="452"/>
    </row>
    <row r="22" spans="2:5" ht="15" customHeight="1" x14ac:dyDescent="0.2">
      <c r="B22" s="450">
        <f t="shared" si="0"/>
        <v>15</v>
      </c>
      <c r="C22" s="63" t="s">
        <v>200</v>
      </c>
      <c r="D22" s="451"/>
      <c r="E22" s="452"/>
    </row>
    <row r="23" spans="2:5" ht="15" customHeight="1" x14ac:dyDescent="0.2">
      <c r="B23" s="450">
        <f t="shared" si="0"/>
        <v>16</v>
      </c>
      <c r="C23" s="63" t="s">
        <v>73</v>
      </c>
      <c r="D23" s="451"/>
      <c r="E23" s="452"/>
    </row>
    <row r="24" spans="2:5" ht="15" customHeight="1" x14ac:dyDescent="0.2">
      <c r="B24" s="450">
        <f t="shared" si="0"/>
        <v>17</v>
      </c>
      <c r="C24" s="63" t="s">
        <v>76</v>
      </c>
      <c r="D24" s="451"/>
      <c r="E24" s="452"/>
    </row>
    <row r="25" spans="2:5" ht="15" customHeight="1" x14ac:dyDescent="0.2">
      <c r="B25" s="450">
        <f t="shared" si="0"/>
        <v>18</v>
      </c>
      <c r="C25" s="63" t="s">
        <v>289</v>
      </c>
      <c r="D25" s="451"/>
      <c r="E25" s="452"/>
    </row>
    <row r="26" spans="2:5" ht="15" customHeight="1" x14ac:dyDescent="0.2">
      <c r="B26" s="450">
        <f t="shared" si="0"/>
        <v>19</v>
      </c>
      <c r="C26" s="63" t="s">
        <v>203</v>
      </c>
      <c r="D26" s="451"/>
      <c r="E26" s="452"/>
    </row>
    <row r="27" spans="2:5" ht="15" customHeight="1" x14ac:dyDescent="0.2">
      <c r="B27" s="450">
        <f t="shared" si="0"/>
        <v>20</v>
      </c>
      <c r="C27" s="63" t="s">
        <v>190</v>
      </c>
      <c r="D27" s="451"/>
      <c r="E27" s="452"/>
    </row>
    <row r="28" spans="2:5" ht="15" customHeight="1" x14ac:dyDescent="0.2">
      <c r="B28" s="450">
        <f t="shared" si="0"/>
        <v>21</v>
      </c>
      <c r="C28" s="63" t="s">
        <v>193</v>
      </c>
      <c r="D28" s="451"/>
      <c r="E28" s="452"/>
    </row>
    <row r="29" spans="2:5" ht="15" customHeight="1" x14ac:dyDescent="0.2">
      <c r="B29" s="450">
        <f t="shared" si="0"/>
        <v>22</v>
      </c>
      <c r="C29" s="63" t="s">
        <v>108</v>
      </c>
      <c r="D29" s="451"/>
      <c r="E29" s="452"/>
    </row>
    <row r="30" spans="2:5" ht="15" customHeight="1" x14ac:dyDescent="0.2">
      <c r="B30" s="450">
        <f t="shared" si="0"/>
        <v>23</v>
      </c>
      <c r="C30" s="63" t="s">
        <v>127</v>
      </c>
      <c r="D30" s="451"/>
      <c r="E30" s="452"/>
    </row>
    <row r="31" spans="2:5" ht="15" customHeight="1" x14ac:dyDescent="0.2">
      <c r="B31" s="450">
        <f t="shared" si="0"/>
        <v>24</v>
      </c>
      <c r="C31" s="63" t="s">
        <v>188</v>
      </c>
      <c r="D31" s="451"/>
      <c r="E31" s="452"/>
    </row>
    <row r="32" spans="2:5" ht="15" customHeight="1" x14ac:dyDescent="0.2">
      <c r="B32" s="450">
        <f t="shared" si="0"/>
        <v>25</v>
      </c>
      <c r="C32" s="63" t="s">
        <v>114</v>
      </c>
      <c r="D32" s="451"/>
      <c r="E32" s="452"/>
    </row>
    <row r="33" spans="2:5" ht="15" customHeight="1" x14ac:dyDescent="0.2">
      <c r="B33" s="450">
        <f t="shared" si="0"/>
        <v>26</v>
      </c>
      <c r="C33" s="63" t="s">
        <v>1123</v>
      </c>
      <c r="D33" s="451"/>
      <c r="E33" s="452"/>
    </row>
    <row r="34" spans="2:5" ht="15" customHeight="1" x14ac:dyDescent="0.2">
      <c r="B34" s="450">
        <f t="shared" si="0"/>
        <v>27</v>
      </c>
      <c r="C34" s="63" t="s">
        <v>192</v>
      </c>
      <c r="D34" s="451"/>
      <c r="E34" s="452"/>
    </row>
    <row r="35" spans="2:5" ht="15" customHeight="1" x14ac:dyDescent="0.2">
      <c r="B35" s="450">
        <f t="shared" si="0"/>
        <v>28</v>
      </c>
      <c r="C35" s="63" t="s">
        <v>1124</v>
      </c>
      <c r="D35" s="451"/>
      <c r="E35" s="452"/>
    </row>
    <row r="36" spans="2:5" ht="15" customHeight="1" x14ac:dyDescent="0.2">
      <c r="B36" s="450" t="s">
        <v>1125</v>
      </c>
    </row>
    <row r="38" spans="2:5" ht="15" customHeight="1" x14ac:dyDescent="0.2">
      <c r="B38" s="446" t="s">
        <v>201</v>
      </c>
      <c r="C38" s="447"/>
      <c r="D38" s="447"/>
      <c r="E38" s="447"/>
    </row>
    <row r="39" spans="2:5" ht="15" customHeight="1" x14ac:dyDescent="0.2">
      <c r="B39" s="448"/>
      <c r="C39" s="449" t="s">
        <v>1117</v>
      </c>
      <c r="D39" s="449" t="s">
        <v>1118</v>
      </c>
      <c r="E39" s="448"/>
    </row>
    <row r="40" spans="2:5" ht="15" customHeight="1" x14ac:dyDescent="0.2">
      <c r="B40" s="455">
        <v>1.01</v>
      </c>
      <c r="C40" s="451" t="s">
        <v>35</v>
      </c>
    </row>
    <row r="41" spans="2:5" ht="15" customHeight="1" x14ac:dyDescent="0.2">
      <c r="B41" s="455">
        <f>B40+0.01</f>
        <v>1.02</v>
      </c>
      <c r="C41" s="451" t="s">
        <v>21</v>
      </c>
    </row>
    <row r="42" spans="2:5" ht="15" customHeight="1" x14ac:dyDescent="0.2">
      <c r="B42" s="455">
        <f>B41+0.01</f>
        <v>1.03</v>
      </c>
      <c r="C42" s="451" t="s">
        <v>23</v>
      </c>
    </row>
    <row r="43" spans="2:5" ht="15" customHeight="1" x14ac:dyDescent="0.2">
      <c r="B43" s="455">
        <f>B42+0.01</f>
        <v>1.04</v>
      </c>
      <c r="C43" s="451" t="s">
        <v>25</v>
      </c>
    </row>
    <row r="44" spans="2:5" ht="15" customHeight="1" x14ac:dyDescent="0.2">
      <c r="B44" s="456"/>
    </row>
    <row r="45" spans="2:5" ht="15" customHeight="1" x14ac:dyDescent="0.2">
      <c r="B45" s="446" t="s">
        <v>50</v>
      </c>
      <c r="C45" s="447"/>
      <c r="D45" s="447"/>
      <c r="E45" s="447"/>
    </row>
    <row r="46" spans="2:5" ht="15" customHeight="1" x14ac:dyDescent="0.2">
      <c r="B46" s="448"/>
      <c r="C46" s="449" t="s">
        <v>1117</v>
      </c>
      <c r="D46" s="449" t="s">
        <v>1118</v>
      </c>
      <c r="E46" s="448"/>
    </row>
    <row r="47" spans="2:5" ht="15" customHeight="1" x14ac:dyDescent="0.2">
      <c r="B47" s="455">
        <v>2.0099999999999998</v>
      </c>
      <c r="C47" s="451" t="s">
        <v>50</v>
      </c>
    </row>
    <row r="48" spans="2:5" ht="15" customHeight="1" x14ac:dyDescent="0.2">
      <c r="B48" s="455">
        <f>B47+0.01</f>
        <v>2.0199999999999996</v>
      </c>
      <c r="C48" s="451"/>
    </row>
    <row r="49" spans="2:10" ht="15" customHeight="1" x14ac:dyDescent="0.2">
      <c r="B49" s="455">
        <f>B48+0.1</f>
        <v>2.1199999999999997</v>
      </c>
      <c r="C49" s="451"/>
    </row>
    <row r="50" spans="2:10" ht="15" customHeight="1" x14ac:dyDescent="0.2">
      <c r="B50" s="456"/>
    </row>
    <row r="51" spans="2:10" ht="15" customHeight="1" x14ac:dyDescent="0.2">
      <c r="B51" s="446" t="s">
        <v>199</v>
      </c>
      <c r="C51" s="447"/>
      <c r="D51" s="447"/>
      <c r="E51" s="447"/>
    </row>
    <row r="52" spans="2:10" ht="15" customHeight="1" x14ac:dyDescent="0.2">
      <c r="B52" s="448"/>
      <c r="C52" s="449" t="s">
        <v>1117</v>
      </c>
      <c r="D52" s="449" t="s">
        <v>1118</v>
      </c>
      <c r="E52" s="448"/>
    </row>
    <row r="53" spans="2:10" ht="15" customHeight="1" x14ac:dyDescent="0.2">
      <c r="B53" s="455">
        <v>3.01</v>
      </c>
      <c r="C53" s="451" t="s">
        <v>28</v>
      </c>
    </row>
    <row r="54" spans="2:10" ht="15" customHeight="1" x14ac:dyDescent="0.2">
      <c r="B54" s="455">
        <f t="shared" ref="B54:B61" si="2">B53+0.01</f>
        <v>3.0199999999999996</v>
      </c>
      <c r="C54" s="451" t="s">
        <v>29</v>
      </c>
    </row>
    <row r="55" spans="2:10" ht="15" customHeight="1" x14ac:dyDescent="0.2">
      <c r="B55" s="455">
        <f t="shared" si="2"/>
        <v>3.0299999999999994</v>
      </c>
      <c r="C55" s="451" t="s">
        <v>30</v>
      </c>
    </row>
    <row r="56" spans="2:10" ht="15" customHeight="1" x14ac:dyDescent="0.2">
      <c r="B56" s="455">
        <f t="shared" si="2"/>
        <v>3.0399999999999991</v>
      </c>
      <c r="C56" s="451" t="s">
        <v>31</v>
      </c>
    </row>
    <row r="57" spans="2:10" ht="15" customHeight="1" x14ac:dyDescent="0.2">
      <c r="B57" s="455">
        <f t="shared" si="2"/>
        <v>3.0499999999999989</v>
      </c>
      <c r="C57" s="451" t="s">
        <v>32</v>
      </c>
    </row>
    <row r="58" spans="2:10" ht="15" customHeight="1" x14ac:dyDescent="0.2">
      <c r="B58" s="455">
        <f t="shared" si="2"/>
        <v>3.0599999999999987</v>
      </c>
      <c r="C58" s="451" t="s">
        <v>33</v>
      </c>
    </row>
    <row r="59" spans="2:10" ht="15" customHeight="1" x14ac:dyDescent="0.2">
      <c r="B59" s="455">
        <f t="shared" si="2"/>
        <v>3.0699999999999985</v>
      </c>
      <c r="C59" s="451" t="s">
        <v>539</v>
      </c>
    </row>
    <row r="60" spans="2:10" ht="15" customHeight="1" x14ac:dyDescent="0.2">
      <c r="B60" s="455">
        <f t="shared" si="2"/>
        <v>3.0799999999999983</v>
      </c>
      <c r="C60" s="451" t="s">
        <v>35</v>
      </c>
    </row>
    <row r="61" spans="2:10" ht="15" customHeight="1" x14ac:dyDescent="0.2">
      <c r="B61" s="455">
        <f t="shared" si="2"/>
        <v>3.0899999999999981</v>
      </c>
      <c r="C61" s="451"/>
    </row>
    <row r="62" spans="2:10" ht="15" customHeight="1" x14ac:dyDescent="0.2">
      <c r="B62" s="456"/>
    </row>
    <row r="63" spans="2:10" ht="15" customHeight="1" x14ac:dyDescent="0.2">
      <c r="B63" s="446" t="s">
        <v>290</v>
      </c>
      <c r="C63" s="447"/>
      <c r="D63" s="447"/>
      <c r="E63" s="447"/>
      <c r="G63" s="457" t="s">
        <v>318</v>
      </c>
      <c r="H63" s="458"/>
      <c r="I63" s="458"/>
      <c r="J63" s="458"/>
    </row>
    <row r="64" spans="2:10" ht="15" customHeight="1" x14ac:dyDescent="0.2">
      <c r="B64" s="448"/>
      <c r="C64" s="449" t="s">
        <v>1117</v>
      </c>
      <c r="D64" s="449" t="s">
        <v>1118</v>
      </c>
      <c r="E64" s="448"/>
      <c r="G64" s="448"/>
      <c r="H64" s="449" t="s">
        <v>1117</v>
      </c>
      <c r="I64" s="449"/>
      <c r="J64" s="449" t="s">
        <v>1118</v>
      </c>
    </row>
    <row r="65" spans="2:10" ht="15" customHeight="1" x14ac:dyDescent="0.2">
      <c r="B65" s="455">
        <v>4.01</v>
      </c>
      <c r="C65" s="451" t="s">
        <v>560</v>
      </c>
      <c r="H65" s="451" t="s">
        <v>1126</v>
      </c>
    </row>
    <row r="66" spans="2:10" ht="15" customHeight="1" x14ac:dyDescent="0.2">
      <c r="B66" s="455">
        <f>B65+0.01</f>
        <v>4.0199999999999996</v>
      </c>
      <c r="C66" s="451" t="s">
        <v>558</v>
      </c>
      <c r="H66" s="451"/>
    </row>
    <row r="67" spans="2:10" ht="15" customHeight="1" x14ac:dyDescent="0.2">
      <c r="B67" s="455">
        <f t="shared" ref="B67:B75" si="3">B65+0.01</f>
        <v>4.0199999999999996</v>
      </c>
      <c r="C67" s="451" t="s">
        <v>327</v>
      </c>
      <c r="H67" s="451" t="s">
        <v>1127</v>
      </c>
      <c r="J67" s="63" t="s">
        <v>222</v>
      </c>
    </row>
    <row r="68" spans="2:10" ht="15" customHeight="1" x14ac:dyDescent="0.2">
      <c r="B68" s="455">
        <f t="shared" si="3"/>
        <v>4.0299999999999994</v>
      </c>
      <c r="C68" s="451" t="s">
        <v>322</v>
      </c>
      <c r="H68" s="451" t="s">
        <v>1128</v>
      </c>
    </row>
    <row r="69" spans="2:10" ht="15" customHeight="1" x14ac:dyDescent="0.2">
      <c r="B69" s="455">
        <f t="shared" si="3"/>
        <v>4.0299999999999994</v>
      </c>
      <c r="C69" s="451" t="s">
        <v>329</v>
      </c>
      <c r="H69" s="451" t="s">
        <v>1129</v>
      </c>
    </row>
    <row r="70" spans="2:10" ht="15" customHeight="1" x14ac:dyDescent="0.2">
      <c r="B70" s="455">
        <f t="shared" si="3"/>
        <v>4.0399999999999991</v>
      </c>
      <c r="C70" s="451" t="s">
        <v>330</v>
      </c>
    </row>
    <row r="71" spans="2:10" ht="15" customHeight="1" x14ac:dyDescent="0.2">
      <c r="B71" s="455">
        <f t="shared" si="3"/>
        <v>4.0399999999999991</v>
      </c>
      <c r="C71" s="451" t="s">
        <v>333</v>
      </c>
    </row>
    <row r="72" spans="2:10" ht="15" customHeight="1" x14ac:dyDescent="0.2">
      <c r="B72" s="455">
        <f t="shared" si="3"/>
        <v>4.0499999999999989</v>
      </c>
      <c r="C72" s="451" t="s">
        <v>334</v>
      </c>
    </row>
    <row r="73" spans="2:10" ht="15" customHeight="1" x14ac:dyDescent="0.2">
      <c r="B73" s="455">
        <f t="shared" si="3"/>
        <v>4.0499999999999989</v>
      </c>
      <c r="C73" s="451" t="s">
        <v>331</v>
      </c>
    </row>
    <row r="74" spans="2:10" ht="15" customHeight="1" x14ac:dyDescent="0.2">
      <c r="B74" s="455">
        <f t="shared" si="3"/>
        <v>4.0599999999999987</v>
      </c>
      <c r="C74" s="451" t="s">
        <v>332</v>
      </c>
    </row>
    <row r="75" spans="2:10" ht="15" customHeight="1" x14ac:dyDescent="0.2">
      <c r="B75" s="455">
        <f t="shared" si="3"/>
        <v>4.0599999999999987</v>
      </c>
      <c r="C75" s="451" t="s">
        <v>557</v>
      </c>
    </row>
    <row r="76" spans="2:10" ht="15" customHeight="1" x14ac:dyDescent="0.2">
      <c r="B76" s="455">
        <f>B75+0.01</f>
        <v>4.0699999999999985</v>
      </c>
      <c r="C76" s="63" t="s">
        <v>555</v>
      </c>
    </row>
    <row r="77" spans="2:10" ht="15" customHeight="1" x14ac:dyDescent="0.2">
      <c r="B77" s="455">
        <f>B76+0.01</f>
        <v>4.0799999999999983</v>
      </c>
      <c r="C77" s="63" t="s">
        <v>563</v>
      </c>
    </row>
    <row r="78" spans="2:10" ht="15" customHeight="1" x14ac:dyDescent="0.2">
      <c r="B78" s="455">
        <f>B77+0.01</f>
        <v>4.0899999999999981</v>
      </c>
      <c r="C78" s="451" t="s">
        <v>47</v>
      </c>
    </row>
    <row r="79" spans="2:10" ht="15" customHeight="1" x14ac:dyDescent="0.2">
      <c r="B79" s="455">
        <f>B78+0.01</f>
        <v>4.0999999999999979</v>
      </c>
      <c r="C79" s="451" t="s">
        <v>335</v>
      </c>
    </row>
    <row r="81" spans="2:35" ht="15" customHeight="1" x14ac:dyDescent="0.2">
      <c r="B81" s="446" t="s">
        <v>52</v>
      </c>
      <c r="C81" s="447"/>
      <c r="D81" s="447"/>
      <c r="E81" s="447"/>
    </row>
    <row r="82" spans="2:35" ht="15" customHeight="1" x14ac:dyDescent="0.2">
      <c r="B82" s="448"/>
      <c r="C82" s="449" t="s">
        <v>1117</v>
      </c>
      <c r="D82" s="449" t="s">
        <v>1118</v>
      </c>
      <c r="E82" s="448"/>
    </row>
    <row r="83" spans="2:35" ht="15" customHeight="1" x14ac:dyDescent="0.2">
      <c r="B83" s="455">
        <v>5.01</v>
      </c>
      <c r="C83" s="451" t="s">
        <v>336</v>
      </c>
      <c r="D83" s="451" t="s">
        <v>1130</v>
      </c>
    </row>
    <row r="84" spans="2:35" ht="15" customHeight="1" x14ac:dyDescent="0.2">
      <c r="B84" s="455">
        <f>B83+0.01</f>
        <v>5.0199999999999996</v>
      </c>
      <c r="C84" s="451" t="s">
        <v>39</v>
      </c>
      <c r="D84" s="451"/>
    </row>
    <row r="85" spans="2:35" ht="15" customHeight="1" x14ac:dyDescent="0.2">
      <c r="B85" s="456"/>
    </row>
    <row r="86" spans="2:35" ht="15" customHeight="1" x14ac:dyDescent="0.2">
      <c r="B86" s="446" t="s">
        <v>213</v>
      </c>
      <c r="C86" s="447"/>
      <c r="D86" s="447"/>
      <c r="E86" s="447"/>
      <c r="G86" s="457" t="s">
        <v>340</v>
      </c>
      <c r="H86" s="458"/>
      <c r="I86" s="458"/>
      <c r="J86" s="458"/>
      <c r="L86" s="457" t="s">
        <v>343</v>
      </c>
      <c r="M86" s="458"/>
      <c r="N86" s="458"/>
      <c r="O86" s="458"/>
      <c r="Q86" s="457" t="s">
        <v>1131</v>
      </c>
      <c r="R86" s="458"/>
      <c r="S86" s="458"/>
      <c r="T86" s="458"/>
    </row>
    <row r="87" spans="2:35" ht="15" customHeight="1" x14ac:dyDescent="0.2">
      <c r="B87" s="448"/>
      <c r="C87" s="449" t="s">
        <v>1117</v>
      </c>
      <c r="D87" s="449" t="s">
        <v>1118</v>
      </c>
      <c r="E87" s="448"/>
      <c r="G87" s="448"/>
      <c r="H87" s="449" t="s">
        <v>1117</v>
      </c>
      <c r="I87" s="449" t="s">
        <v>1118</v>
      </c>
      <c r="J87" s="448"/>
      <c r="L87" s="448"/>
      <c r="M87" s="449" t="s">
        <v>1117</v>
      </c>
      <c r="N87" s="449" t="s">
        <v>1118</v>
      </c>
      <c r="O87" s="448"/>
      <c r="Q87" s="448"/>
      <c r="R87" s="449" t="s">
        <v>1117</v>
      </c>
      <c r="S87" s="449" t="s">
        <v>1118</v>
      </c>
      <c r="T87" s="448"/>
    </row>
    <row r="88" spans="2:35" ht="15" customHeight="1" x14ac:dyDescent="0.2">
      <c r="B88" s="455">
        <v>6.01</v>
      </c>
      <c r="C88" s="451" t="s">
        <v>340</v>
      </c>
      <c r="H88" s="451" t="s">
        <v>341</v>
      </c>
      <c r="M88" s="451" t="s">
        <v>344</v>
      </c>
      <c r="R88" s="451" t="s">
        <v>347</v>
      </c>
    </row>
    <row r="89" spans="2:35" ht="15" customHeight="1" x14ac:dyDescent="0.2">
      <c r="B89" s="455">
        <f>B88+0.01</f>
        <v>6.02</v>
      </c>
      <c r="C89" s="451" t="s">
        <v>343</v>
      </c>
      <c r="H89" s="451"/>
      <c r="M89" s="451" t="s">
        <v>345</v>
      </c>
      <c r="R89" s="451"/>
    </row>
    <row r="90" spans="2:35" ht="15" customHeight="1" x14ac:dyDescent="0.2">
      <c r="B90" s="455">
        <f>B89+0.01</f>
        <v>6.0299999999999994</v>
      </c>
      <c r="C90" s="451" t="s">
        <v>346</v>
      </c>
      <c r="H90" s="451"/>
      <c r="M90" s="451"/>
      <c r="R90" s="451"/>
    </row>
    <row r="91" spans="2:35" ht="15" customHeight="1" x14ac:dyDescent="0.2">
      <c r="B91" s="456"/>
      <c r="H91" s="451"/>
      <c r="M91" s="451"/>
    </row>
    <row r="92" spans="2:35" ht="15" customHeight="1" x14ac:dyDescent="0.2">
      <c r="B92" s="446" t="s">
        <v>211</v>
      </c>
      <c r="C92" s="447"/>
      <c r="D92" s="447"/>
      <c r="E92" s="447"/>
      <c r="H92" s="451"/>
      <c r="M92" s="451"/>
    </row>
    <row r="93" spans="2:35" ht="15" customHeight="1" x14ac:dyDescent="0.2">
      <c r="B93" s="448"/>
      <c r="C93" s="449" t="s">
        <v>1117</v>
      </c>
      <c r="D93" s="449" t="s">
        <v>1118</v>
      </c>
      <c r="E93" s="448"/>
    </row>
    <row r="94" spans="2:35" ht="15" customHeight="1" x14ac:dyDescent="0.2">
      <c r="B94" s="455">
        <v>7.01</v>
      </c>
      <c r="C94" s="451" t="s">
        <v>1132</v>
      </c>
      <c r="G94" s="457" t="s">
        <v>1133</v>
      </c>
      <c r="H94" s="458"/>
      <c r="I94" s="458"/>
      <c r="J94" s="458"/>
      <c r="L94" s="457" t="s">
        <v>1134</v>
      </c>
      <c r="M94" s="458"/>
      <c r="N94" s="458"/>
      <c r="O94" s="458"/>
      <c r="Q94" s="457" t="s">
        <v>1135</v>
      </c>
      <c r="R94" s="458"/>
      <c r="S94" s="458"/>
      <c r="T94" s="458"/>
      <c r="V94" s="457" t="s">
        <v>357</v>
      </c>
      <c r="W94" s="458"/>
      <c r="X94" s="458"/>
      <c r="Y94" s="458"/>
      <c r="AA94" s="457" t="s">
        <v>1136</v>
      </c>
      <c r="AB94" s="458"/>
      <c r="AC94" s="458"/>
      <c r="AD94" s="458"/>
      <c r="AF94" s="457" t="s">
        <v>1137</v>
      </c>
      <c r="AG94" s="458"/>
      <c r="AH94" s="458"/>
      <c r="AI94" s="458"/>
    </row>
    <row r="95" spans="2:35" ht="15" customHeight="1" x14ac:dyDescent="0.2">
      <c r="B95" s="455">
        <f>B94+0.01</f>
        <v>7.02</v>
      </c>
      <c r="C95" s="451" t="s">
        <v>1138</v>
      </c>
      <c r="G95" s="448"/>
      <c r="H95" s="449" t="s">
        <v>1117</v>
      </c>
      <c r="I95" s="449" t="s">
        <v>1118</v>
      </c>
      <c r="J95" s="448"/>
      <c r="L95" s="448"/>
      <c r="M95" s="449" t="s">
        <v>1117</v>
      </c>
      <c r="N95" s="449" t="s">
        <v>1118</v>
      </c>
      <c r="O95" s="448"/>
      <c r="Q95" s="448"/>
      <c r="R95" s="449" t="s">
        <v>1117</v>
      </c>
      <c r="S95" s="449" t="s">
        <v>1118</v>
      </c>
      <c r="T95" s="448"/>
      <c r="V95" s="448"/>
      <c r="W95" s="449" t="s">
        <v>1117</v>
      </c>
      <c r="X95" s="449" t="s">
        <v>1118</v>
      </c>
      <c r="Y95" s="448"/>
      <c r="AA95" s="448"/>
      <c r="AB95" s="449" t="s">
        <v>1117</v>
      </c>
      <c r="AC95" s="449" t="s">
        <v>1118</v>
      </c>
      <c r="AD95" s="448"/>
      <c r="AF95" s="448"/>
      <c r="AG95" s="449" t="s">
        <v>1117</v>
      </c>
      <c r="AH95" s="449" t="s">
        <v>1118</v>
      </c>
      <c r="AI95" s="448"/>
    </row>
    <row r="96" spans="2:35" ht="15" customHeight="1" x14ac:dyDescent="0.2">
      <c r="B96" s="455">
        <f>B95+0.01</f>
        <v>7.0299999999999994</v>
      </c>
      <c r="C96" s="451" t="s">
        <v>353</v>
      </c>
      <c r="H96" s="451" t="s">
        <v>1139</v>
      </c>
      <c r="M96" s="451" t="s">
        <v>1140</v>
      </c>
      <c r="R96" s="451" t="s">
        <v>1140</v>
      </c>
      <c r="W96" s="451" t="s">
        <v>1140</v>
      </c>
      <c r="AB96" s="451" t="s">
        <v>1141</v>
      </c>
      <c r="AG96" s="451" t="s">
        <v>1142</v>
      </c>
    </row>
    <row r="97" spans="2:28" ht="15" customHeight="1" x14ac:dyDescent="0.2">
      <c r="B97" s="455">
        <f>B96+0.01</f>
        <v>7.0399999999999991</v>
      </c>
      <c r="C97" s="451"/>
      <c r="H97" s="451" t="s">
        <v>1143</v>
      </c>
      <c r="M97" s="451" t="s">
        <v>1144</v>
      </c>
      <c r="R97" s="451" t="s">
        <v>1144</v>
      </c>
      <c r="W97" s="451"/>
      <c r="AB97" s="451"/>
    </row>
    <row r="98" spans="2:28" ht="15" customHeight="1" x14ac:dyDescent="0.2">
      <c r="B98" s="455">
        <f>B97+0.01</f>
        <v>7.0499999999999989</v>
      </c>
      <c r="C98" s="451"/>
      <c r="H98" s="451" t="s">
        <v>1144</v>
      </c>
      <c r="M98" s="451"/>
    </row>
    <row r="99" spans="2:28" ht="15" customHeight="1" x14ac:dyDescent="0.2">
      <c r="B99" s="455">
        <f>B98+0.01</f>
        <v>7.0599999999999987</v>
      </c>
      <c r="C99" s="451"/>
      <c r="H99" s="451"/>
    </row>
    <row r="100" spans="2:28" ht="15" customHeight="1" x14ac:dyDescent="0.2">
      <c r="B100" s="45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BUY OUT</vt:lpstr>
      <vt:lpstr>UNITARIO</vt:lpstr>
      <vt:lpstr>PPTO vs PAR</vt:lpstr>
      <vt:lpstr>BF vs Golf</vt:lpstr>
      <vt:lpstr>Glosario Deptos</vt:lpstr>
      <vt:lpstr>Prompt</vt:lpstr>
      <vt:lpstr>PPT</vt:lpstr>
      <vt:lpstr>BD &gt;&gt;</vt:lpstr>
      <vt:lpstr>BD</vt:lpstr>
      <vt:lpstr>PU &gt;&gt;</vt:lpstr>
      <vt:lpstr>Arquitectura</vt:lpstr>
      <vt:lpstr>Ingenierias_Y_Topografia</vt:lpstr>
      <vt:lpstr>Mecanica de Suelos PU</vt:lpstr>
      <vt:lpstr>Calculo Estructural PU</vt:lpstr>
      <vt:lpstr>Diseño HVAC PU</vt:lpstr>
      <vt:lpstr>Diseño Albercas PU</vt:lpstr>
      <vt:lpstr>Diseño Instalaciones PU</vt:lpstr>
      <vt:lpstr>Diseño Iluminacion PU</vt:lpstr>
      <vt:lpstr>Diseño Acustica</vt:lpstr>
      <vt:lpstr>Condiciones Generales</vt:lpstr>
      <vt:lpstr>Papeleria PU</vt:lpstr>
      <vt:lpstr>Camper PU</vt:lpstr>
      <vt:lpstr>Generador Luz PU</vt:lpstr>
      <vt:lpstr>Preliminares</vt:lpstr>
      <vt:lpstr>Despalme PU</vt:lpstr>
      <vt:lpstr>Malla PU</vt:lpstr>
      <vt:lpstr>Plataformas PU</vt:lpstr>
      <vt:lpstr>Excavacion</vt:lpstr>
      <vt:lpstr>Obra_Civil</vt:lpstr>
      <vt:lpstr>Obra_Civil PU</vt:lpstr>
      <vt:lpstr>Albañilerias </vt:lpstr>
      <vt:lpstr>Aplanados PU</vt:lpstr>
      <vt:lpstr>Pilas</vt:lpstr>
      <vt:lpstr>Pilas - Mano de Obra PU</vt:lpstr>
      <vt:lpstr>Pilas - Varilla PU</vt:lpstr>
      <vt:lpstr>Impermeabilizacion</vt:lpstr>
      <vt:lpstr>Herreria</vt:lpstr>
      <vt:lpstr>Instalaciones_Electricas</vt:lpstr>
      <vt:lpstr>Instalaciones_Hidraulicas</vt:lpstr>
      <vt:lpstr>Instalaciones_Gas</vt:lpstr>
      <vt:lpstr>Automat_Control_Ilum</vt:lpstr>
      <vt:lpstr>Aire_Acond_Y_Extraccion</vt:lpstr>
      <vt:lpstr>Iluminacion</vt:lpstr>
      <vt:lpstr>Acabados</vt:lpstr>
      <vt:lpstr>Sumin_Coloc_Marmol</vt:lpstr>
      <vt:lpstr>Madera_De_Ingenieria</vt:lpstr>
      <vt:lpstr>Vidrios_Y_Canceles</vt:lpstr>
      <vt:lpstr>Canceles y Vidrios PU</vt:lpstr>
      <vt:lpstr>Barandales PU</vt:lpstr>
      <vt:lpstr>Canceles de Baño PU</vt:lpstr>
      <vt:lpstr>Cocinas</vt:lpstr>
      <vt:lpstr>DIECI</vt:lpstr>
      <vt:lpstr>BOA</vt:lpstr>
      <vt:lpstr>Carpinterias</vt:lpstr>
      <vt:lpstr>Albercas</vt:lpstr>
      <vt:lpstr>Albercas PU</vt:lpstr>
      <vt:lpstr>Griferia_Y_Acces_Baño</vt:lpstr>
      <vt:lpstr>GC</vt:lpstr>
      <vt:lpstr>Jardineria_Y_Riego</vt:lpstr>
      <vt:lpstr>Elevador</vt:lpstr>
      <vt:lpstr>Exteriores</vt:lpstr>
      <vt:lpstr>Garden and Privacy Walls</vt:lpstr>
      <vt:lpstr>Infraestructura</vt:lpstr>
      <vt:lpstr>Otros</vt:lpstr>
      <vt:lpstr>Contingencias</vt:lpstr>
      <vt:lpstr>Glosario &gt;&gt;</vt:lpstr>
      <vt:lpstr>Objetivo</vt:lpstr>
      <vt:lpstr>Glosario Partidas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Alfonso Ison</cp:lastModifiedBy>
  <cp:revision>0</cp:revision>
  <dcterms:created xsi:type="dcterms:W3CDTF">2026-03-06T20:14:28Z</dcterms:created>
  <dcterms:modified xsi:type="dcterms:W3CDTF">2026-06-30T00:49:06Z</dcterms:modified>
  <dc:language>en-US</dc:language>
</cp:coreProperties>
</file>